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 activeTab="3"/>
  </bookViews>
  <sheets>
    <sheet name="relatorio" sheetId="3" r:id="rId1"/>
    <sheet name="fluxo caixa" sheetId="1" r:id="rId2"/>
    <sheet name="GRUPOS" sheetId="5" r:id="rId3"/>
    <sheet name="institucao" sheetId="6" r:id="rId4"/>
  </sheets>
  <functionGroups/>
  <definedNames>
    <definedName name="_xlnm._FilterDatabase" localSheetId="1" hidden="1">'fluxo caixa'!$A$1:$AS$4986</definedName>
  </definedNames>
  <calcPr calcId="125725"/>
  <pivotCaches>
    <pivotCache cacheId="0" r:id="rId5"/>
  </pivotCaches>
</workbook>
</file>

<file path=xl/calcChain.xml><?xml version="1.0" encoding="utf-8"?>
<calcChain xmlns="http://schemas.openxmlformats.org/spreadsheetml/2006/main">
  <c r="D9" i="3"/>
  <c r="I3333" i="1" s="1"/>
  <c r="I2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</calcChain>
</file>

<file path=xl/sharedStrings.xml><?xml version="1.0" encoding="utf-8"?>
<sst xmlns="http://schemas.openxmlformats.org/spreadsheetml/2006/main" count="27331" uniqueCount="5715">
  <si>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</si>
  <si>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</si>
  <si>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</si>
  <si>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</si>
  <si>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</si>
  <si>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</si>
  <si>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</si>
  <si>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</si>
  <si>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</si>
  <si>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</si>
  <si>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</si>
  <si>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</si>
  <si>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</si>
  <si>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</si>
  <si>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</si>
  <si>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</si>
  <si>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</si>
  <si>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</si>
  <si>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</si>
  <si>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</si>
  <si>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</si>
  <si>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</si>
  <si>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</si>
  <si>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</si>
  <si>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</si>
  <si>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</si>
  <si>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</si>
  <si>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</si>
  <si>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</si>
  <si>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</si>
  <si>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</si>
  <si>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</si>
  <si>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</si>
  <si>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</si>
  <si>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</si>
  <si>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</si>
  <si>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</si>
  <si>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</si>
  <si>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</si>
  <si>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</si>
  <si>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</si>
  <si>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</si>
  <si>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</si>
  <si>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</si>
  <si>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</si>
  <si>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</si>
  <si>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COLÉGIO OLIMPO LTDA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</si>
  <si>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</si>
  <si>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</si>
  <si>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</si>
  <si>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</si>
  <si>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</si>
  <si>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</si>
  <si>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</si>
  <si>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</si>
  <si>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</si>
  <si>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</si>
  <si>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</si>
  <si>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</si>
  <si>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</si>
  <si>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</si>
  <si>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</si>
  <si>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</si>
  <si>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</si>
  <si>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</si>
  <si>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</si>
  <si>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</si>
  <si>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</si>
  <si>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</si>
  <si>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</si>
  <si>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</si>
  <si>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</si>
  <si>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</si>
  <si>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</si>
  <si>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</si>
  <si>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</si>
  <si>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</si>
  <si>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</si>
  <si>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</si>
  <si>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</si>
  <si>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</si>
  <si>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</si>
  <si>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</si>
  <si>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</si>
  <si>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</si>
  <si>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</si>
  <si>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</si>
  <si>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</si>
  <si>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</si>
  <si>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</si>
  <si>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</si>
  <si>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</si>
  <si>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</si>
  <si>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</si>
  <si>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</si>
  <si>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</si>
  <si>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</si>
  <si>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</si>
  <si>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</si>
  <si>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</si>
  <si>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</si>
  <si>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</si>
  <si>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</si>
  <si>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</si>
  <si>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</si>
  <si>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</si>
  <si>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</si>
  <si>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</si>
  <si>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</si>
  <si>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</si>
  <si>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Desconto de boleto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</si>
  <si>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</si>
  <si>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</si>
  <si>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</si>
  <si>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</si>
  <si>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</si>
  <si>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</si>
  <si>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</si>
  <si>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</si>
  <si>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</si>
  <si>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</si>
  <si>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</si>
  <si>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</si>
  <si>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</si>
  <si>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</si>
  <si>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</si>
  <si>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</si>
  <si>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</si>
  <si>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</si>
  <si>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</si>
  <si>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</si>
  <si>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</si>
  <si>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</si>
  <si>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</si>
  <si>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</si>
  <si>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</si>
  <si>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</si>
  <si>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</si>
  <si>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</si>
  <si>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</si>
  <si>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</si>
  <si>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</si>
  <si>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</si>
  <si>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</si>
  <si>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</si>
  <si>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</si>
  <si>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</si>
  <si>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</si>
  <si>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</si>
  <si>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</si>
  <si>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</si>
  <si>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</si>
  <si>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</si>
  <si>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</si>
  <si>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</si>
  <si>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</si>
  <si>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</si>
  <si>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</si>
  <si>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</si>
  <si>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</si>
  <si>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</si>
  <si>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</si>
  <si>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</si>
  <si>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</si>
  <si>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</si>
  <si>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</si>
  <si>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</si>
  <si>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REMESSA OLIMPO FUNDAMENTAL</t>
  </si>
  <si>
    <t>T-27.13º Salário</t>
  </si>
  <si>
    <t>Operação Titulo Descontado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</si>
  <si>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</si>
  <si>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</si>
  <si>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</si>
  <si>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</si>
  <si>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</si>
  <si>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</si>
  <si>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</si>
  <si>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</si>
  <si>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</si>
  <si>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</si>
  <si>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</si>
  <si>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</si>
  <si>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</si>
  <si>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</si>
  <si>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</si>
  <si>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</si>
  <si>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</si>
  <si>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</si>
  <si>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</si>
  <si>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</si>
  <si>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</si>
  <si>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</si>
  <si>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</si>
  <si>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</si>
  <si>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</si>
  <si>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</si>
  <si>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</si>
  <si>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</si>
  <si>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</si>
  <si>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</si>
  <si>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</si>
  <si>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</si>
  <si>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</si>
  <si>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</si>
  <si>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</si>
  <si>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</si>
  <si>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</si>
  <si>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</si>
  <si>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</si>
  <si>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</si>
  <si>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</si>
  <si>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</si>
  <si>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</si>
  <si>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</si>
  <si>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Gisele</t>
  </si>
  <si>
    <t xml:space="preserve">Recebimento de Alunos </t>
  </si>
  <si>
    <t>CA.Táxi</t>
  </si>
  <si>
    <t>Operação de Crédito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</si>
  <si>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</si>
  <si>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</si>
  <si>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</si>
  <si>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</si>
  <si>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</si>
  <si>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</si>
  <si>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</si>
  <si>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</si>
  <si>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</si>
  <si>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</si>
  <si>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</si>
  <si>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</si>
  <si>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</si>
  <si>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</si>
  <si>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</si>
  <si>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</si>
  <si>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</si>
  <si>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</si>
  <si>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</si>
  <si>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</si>
  <si>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</si>
  <si>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</si>
  <si>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</si>
  <si>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Entrada 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</si>
  <si>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</si>
  <si>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</si>
  <si>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</si>
  <si>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</si>
  <si>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</si>
  <si>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</si>
  <si>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</si>
  <si>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</si>
  <si>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</si>
  <si>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</si>
  <si>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</si>
  <si>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</si>
  <si>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</si>
  <si>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</si>
  <si>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</si>
  <si>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</si>
  <si>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</si>
  <si>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</si>
  <si>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</si>
  <si>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</si>
  <si>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</si>
  <si>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</si>
  <si>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</si>
  <si>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</si>
  <si>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</si>
  <si>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</si>
  <si>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</si>
  <si>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</si>
  <si>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</si>
  <si>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</si>
  <si>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</si>
  <si>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</si>
  <si>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</si>
  <si>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</si>
  <si>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</si>
  <si>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</si>
  <si>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</si>
  <si>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</si>
  <si>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</si>
  <si>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</si>
  <si>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</si>
  <si>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</si>
  <si>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</si>
  <si>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</si>
  <si>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</si>
  <si>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</si>
  <si>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</si>
  <si>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</si>
  <si>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</si>
  <si>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</si>
  <si>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</si>
  <si>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</si>
  <si>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</si>
  <si>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</si>
  <si>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</si>
  <si>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Empréstimo</t>
  </si>
  <si>
    <t>Rótulos de Linha</t>
  </si>
  <si>
    <t>(vazio)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</si>
  <si>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</si>
  <si>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</si>
  <si>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</si>
  <si>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</si>
  <si>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</si>
  <si>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</si>
  <si>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</si>
  <si>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</si>
  <si>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Biblioteca Unidade T-27</t>
  </si>
  <si>
    <t>Biblioteca</t>
  </si>
  <si>
    <t>Extrato/122867</t>
  </si>
  <si>
    <t>Mercantil Do Brasil - Cód. 122867</t>
  </si>
  <si>
    <t>MERC [GYN] [02.011938-7] [CC]</t>
  </si>
  <si>
    <t>Extrato/122868</t>
  </si>
  <si>
    <t>Mercantil Do Brasil - Cód. 122868</t>
  </si>
  <si>
    <t>Extrato/122869</t>
  </si>
  <si>
    <t>Mercantil Do Brasil - Cód. 122869</t>
  </si>
  <si>
    <t>Extrato/122870</t>
  </si>
  <si>
    <t>Mercantil Do Brasil - Cód. 122870</t>
  </si>
  <si>
    <t>Extrato/122871</t>
  </si>
  <si>
    <t>Mercantil Do Brasil - Cód. 122871</t>
  </si>
  <si>
    <t>MERC [GYN] [OPERAÇÕES]</t>
  </si>
  <si>
    <t>Destino: 268619-Transferência Entre Contas</t>
  </si>
  <si>
    <t>Destino: 268621-Transferência Entre Contas</t>
  </si>
  <si>
    <t>Par.(02-12) 019703/JÚLIA CAROLINE COIMBRA CO - Renegociado</t>
  </si>
  <si>
    <t>BRB [SOL] [012052-4] [CC] [COB]</t>
  </si>
  <si>
    <t>Par.(04/12) 020776/THALISSON ARAÚJO NUNES - Parcelas</t>
  </si>
  <si>
    <t>Par.(04-12) 020302/CHRISTOPHER RAFAEL DI LUC - PAGAMENTO CHE</t>
  </si>
  <si>
    <t>Par.(02-12) 020263/IARA MACHADO DE SOUZA AZE - PAGAMENTO CHE</t>
  </si>
  <si>
    <t>Extrato/122873</t>
  </si>
  <si>
    <t>Banco Santander  - Par. 122873(01-4)</t>
  </si>
  <si>
    <t>SANTANDER SOL 3369-0</t>
  </si>
  <si>
    <t>Extrato/122874</t>
  </si>
  <si>
    <t>Banco Santander  - Par. 122874(02-4)</t>
  </si>
  <si>
    <t>Extrato/122875</t>
  </si>
  <si>
    <t>Banco Santander  - Par. 122875(03-4)</t>
  </si>
  <si>
    <t>Extrato/122876</t>
  </si>
  <si>
    <t>Banco Santander  - Par. 122876(04-4)</t>
  </si>
  <si>
    <t>Remessa Olimp Fundamental</t>
  </si>
  <si>
    <t>DAYCOVAL [GYN] [6964461] [COB]</t>
  </si>
  <si>
    <t>Destino: 268637-Transferência Entre Contas</t>
  </si>
  <si>
    <t>DAYCOVAL [GYN] [7112965] [CC]</t>
  </si>
  <si>
    <t>Destino: 268639-Transferência Entre Contas</t>
  </si>
  <si>
    <t>DAYCOVAL [GYN] [6019333] [CC]</t>
  </si>
  <si>
    <t>Juros 20150504/122881</t>
  </si>
  <si>
    <t>Banco Brb - Cód. 122881</t>
  </si>
  <si>
    <t>DB20150504</t>
  </si>
  <si>
    <t>Operação Desconto Boletos 2015.05.04</t>
  </si>
  <si>
    <t>Credito De Cobrança</t>
  </si>
  <si>
    <t>Credito Cobrança Brb</t>
  </si>
  <si>
    <t>Extrato/122886</t>
  </si>
  <si>
    <t>Banco Daycoval S/A  - Par. 122886(01-7)</t>
  </si>
  <si>
    <t>Extrato/122887</t>
  </si>
  <si>
    <t>Banco Daycoval S/A  - Par. 122887(02-7)</t>
  </si>
  <si>
    <t>Extrato/122884</t>
  </si>
  <si>
    <t>Banco Daycoval S/A  - Par. 122884(03-4)</t>
  </si>
  <si>
    <t>Extrato/122888</t>
  </si>
  <si>
    <t>Banco Daycoval S/A  - Par. 122888(03-7)</t>
  </si>
  <si>
    <t>Extrato/122885</t>
  </si>
  <si>
    <t>Banco Daycoval S/A  - Par. 122885(04-4)</t>
  </si>
  <si>
    <t>Extrato/122889</t>
  </si>
  <si>
    <t>Banco Daycoval S/A  - Par. 122889(04-7)</t>
  </si>
  <si>
    <t>739679/122897</t>
  </si>
  <si>
    <t>Banco Daycoval S/A  - Par. 122897(01-1)</t>
  </si>
  <si>
    <t>Extrato/122896</t>
  </si>
  <si>
    <t>Banco Daycoval S/A  - Par. 122896(04-4)</t>
  </si>
  <si>
    <t>Extrato/122882</t>
  </si>
  <si>
    <t>Banco Daycoval S/A  - Par. 122882(01-4)</t>
  </si>
  <si>
    <t>Extrato/122883</t>
  </si>
  <si>
    <t>Banco Daycoval S/A  - Par. 122883(02-4)</t>
  </si>
  <si>
    <t>Extrato/122893</t>
  </si>
  <si>
    <t>Banco Daycoval S/A  - Par. 122893(01-4)</t>
  </si>
  <si>
    <t>Extrato/122894</t>
  </si>
  <si>
    <t>Banco Daycoval S/A  - Par. 122894(02-4)</t>
  </si>
  <si>
    <t>Extrato/122895</t>
  </si>
  <si>
    <t>Banco Daycoval S/A  - Par. 122895(03-4)</t>
  </si>
  <si>
    <t>Extrato/122898</t>
  </si>
  <si>
    <t>Banco Brb - Cód. 122898</t>
  </si>
  <si>
    <t>Extrato/122899</t>
  </si>
  <si>
    <t>Banco Brb - Cód. 122899</t>
  </si>
  <si>
    <t>Extrato/122900</t>
  </si>
  <si>
    <t>Banco Brb - Cód. 122900</t>
  </si>
  <si>
    <t>Extrato/122901</t>
  </si>
  <si>
    <t>Banco Brb - Cód. 122901</t>
  </si>
  <si>
    <t>Fiscais/123237</t>
  </si>
  <si>
    <t>Fiscais De Prova - Cód. 123237</t>
  </si>
  <si>
    <t>T-27.Fiscais de Provas e Simulados</t>
  </si>
  <si>
    <t>DEPÓSITO 2015-05-04</t>
  </si>
  <si>
    <t>PAGAMENTO DAS MENSALIDADES DE FEVEREIRO E MARÇO/2015, DO(A) ALUNO(A) MARIANA ESPER PINHEIRO_EM</t>
  </si>
  <si>
    <t>BB [022382-4] [GYN] [CC]</t>
  </si>
  <si>
    <t>Extrato/122460</t>
  </si>
  <si>
    <t>Banco Brb - Par. 122460(08-12)</t>
  </si>
  <si>
    <t>BRB [GYN] [011616-0] [CC] [COB]</t>
  </si>
  <si>
    <t>Extrato/122461</t>
  </si>
  <si>
    <t>Banco Brb - Par. 122461(09-12)</t>
  </si>
  <si>
    <t>Extrato/122457</t>
  </si>
  <si>
    <t>Banco Brb - Par. 122457(05-12)</t>
  </si>
  <si>
    <t>Extrato/122458</t>
  </si>
  <si>
    <t>Banco Brb - Par. 122458(06-12)</t>
  </si>
  <si>
    <t>Extrato/122459</t>
  </si>
  <si>
    <t>Banco Brb - Par. 122459(07-12)</t>
  </si>
  <si>
    <t>Destino: 263041-Transferência Entre Conta Ch Pre Brb 2706</t>
  </si>
  <si>
    <t>Transferência Entre Conta Ch Pre Brb 2706</t>
  </si>
  <si>
    <t>Borderô/123621</t>
  </si>
  <si>
    <t>Banco Brb - Par. 123621(03-3)</t>
  </si>
  <si>
    <t>BRB [SOL] [OPERAÇÕES]</t>
  </si>
  <si>
    <t>Borderô/123624</t>
  </si>
  <si>
    <t>Banco Brb - Par. 123624(01-3)</t>
  </si>
  <si>
    <t>Extrato/122462</t>
  </si>
  <si>
    <t>Banco Brb - Par. 122462(10-12)</t>
  </si>
  <si>
    <t>Extrato/122463</t>
  </si>
  <si>
    <t>Banco Brb - Par. 122463(11-12)</t>
  </si>
  <si>
    <t>Extrato/122464</t>
  </si>
  <si>
    <t>Banco Brb - Par. 122464(12-12)</t>
  </si>
  <si>
    <t>Extrato/122456</t>
  </si>
  <si>
    <t>Banco Brb - Par. 122456(04-12)</t>
  </si>
  <si>
    <t>Extrato/123171</t>
  </si>
  <si>
    <t>Caixa Econômica Federal - Cód. 123171</t>
  </si>
  <si>
    <t>CEF [GYN] [000154-0] [CC]</t>
  </si>
  <si>
    <t>Extrato/123172</t>
  </si>
  <si>
    <t>Caixa Econômica Federal - Cód. 123172</t>
  </si>
  <si>
    <t>Extrato/123173</t>
  </si>
  <si>
    <t>Caixa Econômica Federal - Cód. 123173</t>
  </si>
  <si>
    <t>Extrato/123174</t>
  </si>
  <si>
    <t>Caixa Econômica Federal - Cód. 123174</t>
  </si>
  <si>
    <t>Borderô/123640</t>
  </si>
  <si>
    <t>Banco Brb - Par. 123640(06-8)</t>
  </si>
  <si>
    <t>BRB [GYN] [OPERAÇÕES]</t>
  </si>
  <si>
    <t>Borderô/123628</t>
  </si>
  <si>
    <t>Banco Brb - Par. 123628(02-8)</t>
  </si>
  <si>
    <t>Retorno: Par. 189800(04/12) - 019639/ART - Mensalidades</t>
  </si>
  <si>
    <t>Retorno: Par. 190002(04/12) - 018318/ALY - Mensalidades</t>
  </si>
  <si>
    <t>Retorno: Par. 190065(04/12) - 018147/ISA - Mensalidades</t>
  </si>
  <si>
    <t>Retorno: Par. 189898(04/12) - 018360/VIC - Mensalidades</t>
  </si>
  <si>
    <t>Retorno: Par. 191295(04/12) - 019771/GAB - Mensalidades</t>
  </si>
  <si>
    <t>Retorno: Par. 190166(04/12) - 019707/JUL - Mensalidades</t>
  </si>
  <si>
    <t>Retorno: Par. 191247(04/12) - 019740/MAR - Mensalidades</t>
  </si>
  <si>
    <t>Retorno: Par. 194399(04/12) - 019853/CAI - Mensalidades</t>
  </si>
  <si>
    <t>Fiscais/123267</t>
  </si>
  <si>
    <t>Fiscais De Prova - Cód. 123267</t>
  </si>
  <si>
    <t>Extrato/123315</t>
  </si>
  <si>
    <t>Banco Daycoval S/A  - Cód. 123315</t>
  </si>
  <si>
    <t>Extrato/123803</t>
  </si>
  <si>
    <t>Banco Santander  - Cód. 123803</t>
  </si>
  <si>
    <t>SANTANDER SOL 3381-0</t>
  </si>
  <si>
    <t>Extrato/123804</t>
  </si>
  <si>
    <t>Banco Santander  - Cód. 123804</t>
  </si>
  <si>
    <t>Extrato/123805</t>
  </si>
  <si>
    <t>Banco Santander  - Cód. 123805</t>
  </si>
  <si>
    <t>Extrato/123806</t>
  </si>
  <si>
    <t>Banco Santander  - Cód. 123806</t>
  </si>
  <si>
    <t>Extrato/123807</t>
  </si>
  <si>
    <t>Banco Santander  - Cód. 123807</t>
  </si>
  <si>
    <t>Extrato/123808</t>
  </si>
  <si>
    <t>Banco Santander  - Cód. 123808</t>
  </si>
  <si>
    <t>Extrato/123319</t>
  </si>
  <si>
    <t>Mercantil Do Brasil - Cód. 123319</t>
  </si>
  <si>
    <t>MERC [EDI] [02.012164-9] [CC]</t>
  </si>
  <si>
    <t>Extrato/123320</t>
  </si>
  <si>
    <t>Mercantil Do Brasil - Cód. 123320</t>
  </si>
  <si>
    <t>Retorno: Par. 204810(04/12) - 20177/YAS - Mensalidades</t>
  </si>
  <si>
    <t>Retorno: Par. 205121(04/12) - 20072/ANT - Mensalidades</t>
  </si>
  <si>
    <t>Retorno: Par. 204641(04/12) - 20189/MEL - Mensalidades</t>
  </si>
  <si>
    <t>Retorno: Par. 204822(04/12) - 20094/ÁVI - Mensalidades</t>
  </si>
  <si>
    <t>Retorno: Par. 205103(04/12) - 20129/MAR - Mensalidades</t>
  </si>
  <si>
    <t>Retorno: Par. 205033(04/12) - 20099/JUL - Mensalidades</t>
  </si>
  <si>
    <t>Retorno: Par. 205115(04/12) - 20126/JOR - Mensalidades</t>
  </si>
  <si>
    <t>Retorno: Par. 205055(04/12) - 20139/FER - Mensalidades</t>
  </si>
  <si>
    <t>Retorno: Par. 205085(04/12) - 20110/LAU - Mensalidades</t>
  </si>
  <si>
    <t>Retorno: Par. 205185(04/12) - 19961/MIC - Mensalidades</t>
  </si>
  <si>
    <t>Retorno: Par. 204736(04/12) - 19872/LUI - Mensalidades</t>
  </si>
  <si>
    <t>Retorno: Par. 205166(04/12) - 19899/SAU - Mensalidades</t>
  </si>
  <si>
    <t>Retorno: Par. 204647(04/12) - 19991/ARI - Mensalidades</t>
  </si>
  <si>
    <t>Retorno: Par. 205067(04/12) - 19968/MAR - Mensalidades</t>
  </si>
  <si>
    <t>Retorno: Par. 205109(04/12) - 20104/MAR - Mensalidades</t>
  </si>
  <si>
    <t>Retorno: Par. 205049(04/12) - 20178/RIC - Mensalidades</t>
  </si>
  <si>
    <t>Retorno: Par. 191230(04/12) - 19695/AMA - Mensalidades</t>
  </si>
  <si>
    <t>Retorno: Par. 191860(04/12) - 18678/ALD - Mensalidades</t>
  </si>
  <si>
    <t>Retorno: Par. 192190(04/12) - 18591/STE - Mensalidades</t>
  </si>
  <si>
    <t>Retorno: Par. 192061(04/12) - 18555/GAB - Mensalidades</t>
  </si>
  <si>
    <t>Retorno: Par. 191223(04/12) - 19682/EDU - Mensalidades</t>
  </si>
  <si>
    <t>Retorno: Par. 191233(04/12) - 19731/VIT - Mensalidades</t>
  </si>
  <si>
    <t>Retorno: Par. 191653(04/12) - 19681/TÚL - Mensalidades</t>
  </si>
  <si>
    <t>Retorno: Par. 192463(04/12) - 18539/HEN - Mensalidades</t>
  </si>
  <si>
    <t>Retorno: Par. 192073(04/12) - 18541/JOÃ - Mensalidades</t>
  </si>
  <si>
    <t>Retorno: Par. 192514(04/12) - 19724/LUI - Mensalidades</t>
  </si>
  <si>
    <t>Retorno: Par. 191234(04/12) - 19733/GIU - Mensalidades</t>
  </si>
  <si>
    <t>Retorno: Par. 192427(04/12) - 18586/BRU - Mensalidades</t>
  </si>
  <si>
    <t>Retorno: Par. 192508(04/12) - 19709/ANA - Mensalidades</t>
  </si>
  <si>
    <t>Retorno: Par. 191818(04/12) - 18496/BER - Mensalidades</t>
  </si>
  <si>
    <t>Retorno: Par. 192409(04/12) - 18547/TÁL - Mensalidades</t>
  </si>
  <si>
    <t>Retorno: Par. 191229(04/12) - 19693/LET - Mensalidades</t>
  </si>
  <si>
    <t>Retorno: Par. 192259(04/12) - 18605/MAT - Mensalidades</t>
  </si>
  <si>
    <t>Retorno: Par. 197030(05/12) - 18644/VIN - Mensalidades</t>
  </si>
  <si>
    <t xml:space="preserve">Fluxo de Caixa </t>
  </si>
  <si>
    <t>Extrato/122417</t>
  </si>
  <si>
    <t>Bic - Banco Industria E Comercio - Cód. 122417</t>
  </si>
  <si>
    <t>BICBANCO [14.102672-6] [GYN] [CC]</t>
  </si>
  <si>
    <t xml:space="preserve">Consignado Cláudio Corcino </t>
  </si>
  <si>
    <t>Abril/109721</t>
  </si>
  <si>
    <t>Brb - Credito Financiamento - Par. 109721(03-11)</t>
  </si>
  <si>
    <t>ITAÚ [SOL] [001691-4] [CC]</t>
  </si>
  <si>
    <t>ECRO/127276</t>
  </si>
  <si>
    <t>Brb - Credito Financiamento - Par. 127276(16-16)</t>
  </si>
  <si>
    <t>Extrato/122420</t>
  </si>
  <si>
    <t>Banco Brb - Cód. 122420</t>
  </si>
  <si>
    <t>BRB [ANA] [011594-4] [CC] [COB]</t>
  </si>
  <si>
    <t>Extrato/122421</t>
  </si>
  <si>
    <t>Banco Brb - Cód. 122421</t>
  </si>
  <si>
    <t>Extrato/122422</t>
  </si>
  <si>
    <t>Banco Brb - Cód. 122422</t>
  </si>
  <si>
    <t>Despesa/122428</t>
  </si>
  <si>
    <t>Mauricio Vieira De Melo - Cód. 122428</t>
  </si>
  <si>
    <t xml:space="preserve">Crédito Desconto Cheque </t>
  </si>
  <si>
    <t xml:space="preserve">Destino: 268089-Crédito Desconto Cheque </t>
  </si>
  <si>
    <t>Brb 2046/83448</t>
  </si>
  <si>
    <t>Impetus Consultoria - Cód. 083448</t>
  </si>
  <si>
    <t>Desconto/111026</t>
  </si>
  <si>
    <t>Senise Factoring - Brasilia/Df - Cód. 111026</t>
  </si>
  <si>
    <t>Rescisão /121946</t>
  </si>
  <si>
    <t>Rescisão - Grupo Olimpo - Cód. 121946</t>
  </si>
  <si>
    <t xml:space="preserve"> Rescisão /121942</t>
  </si>
  <si>
    <t>Rescisão - Grupo Olimpo - Cód. 121942</t>
  </si>
  <si>
    <t xml:space="preserve"> Rescisão /121941</t>
  </si>
  <si>
    <t>Rescisão - Grupo Olimpo - Cód. 121941</t>
  </si>
  <si>
    <t xml:space="preserve"> Rescisão /121943</t>
  </si>
  <si>
    <t>Rescisão - Grupo Olimpo - Cód. 121943</t>
  </si>
  <si>
    <t>Rescisão /121944</t>
  </si>
  <si>
    <t>Rescisão - Grupo Olimpo - Cód. 121944</t>
  </si>
  <si>
    <t>Rescisão /121945</t>
  </si>
  <si>
    <t>Rescisão - Grupo Olimpo - Cód. 121945</t>
  </si>
  <si>
    <t xml:space="preserve"> Rescisão /121940</t>
  </si>
  <si>
    <t>Rescisão - Grupo Olimpo - Cód. 121940</t>
  </si>
  <si>
    <t>Extrato/122430</t>
  </si>
  <si>
    <t>Banco Brb - Cód. 122430</t>
  </si>
  <si>
    <t>Extrato/122440</t>
  </si>
  <si>
    <t>Banco Brb - Cód. 122440</t>
  </si>
  <si>
    <t>Extrato/122431</t>
  </si>
  <si>
    <t>Banco Brb - Cód. 122431</t>
  </si>
  <si>
    <t>Extrato/122441</t>
  </si>
  <si>
    <t>Banco Brb - Cód. 122441</t>
  </si>
  <si>
    <t>Extrato/122432</t>
  </si>
  <si>
    <t>Banco Brb - Cód. 122432</t>
  </si>
  <si>
    <t>Extrato/122442</t>
  </si>
  <si>
    <t>Banco Brb - Cód. 122442</t>
  </si>
  <si>
    <t>Extrato/122433</t>
  </si>
  <si>
    <t>Banco Brb - Cód. 122433</t>
  </si>
  <si>
    <t>Extrato/122434</t>
  </si>
  <si>
    <t>Banco Brb - Cód. 122434</t>
  </si>
  <si>
    <t>Extrato/122435</t>
  </si>
  <si>
    <t>Banco Brb - Cód. 122435</t>
  </si>
  <si>
    <t>Extrato/122436</t>
  </si>
  <si>
    <t>Banco Brb - Cód. 122436</t>
  </si>
  <si>
    <t>Extrato/122437</t>
  </si>
  <si>
    <t>Banco Brb - Cód. 122437</t>
  </si>
  <si>
    <t>Extrato/122438</t>
  </si>
  <si>
    <t>Banco Brb - Cód. 122438</t>
  </si>
  <si>
    <t>Extrato/122429</t>
  </si>
  <si>
    <t>Banco Brb - Cód. 122429</t>
  </si>
  <si>
    <t>Extrato/122439</t>
  </si>
  <si>
    <t>Banco Brb - Cód. 122439</t>
  </si>
  <si>
    <t>Extrato/122450</t>
  </si>
  <si>
    <t>Banco Brb - Cód. 122450</t>
  </si>
  <si>
    <t>Extrato/122451</t>
  </si>
  <si>
    <t>Banco Brb - Cód. 122451</t>
  </si>
  <si>
    <t>Extrato/122452</t>
  </si>
  <si>
    <t>Banco Brb - Cód. 122452</t>
  </si>
  <si>
    <t>Extrato/122443</t>
  </si>
  <si>
    <t>Banco Brb - Cód. 122443</t>
  </si>
  <si>
    <t>Extrato/122444</t>
  </si>
  <si>
    <t>Banco Brb - Cód. 122444</t>
  </si>
  <si>
    <t>Extrato/122445</t>
  </si>
  <si>
    <t>Banco Brb - Cód. 122445</t>
  </si>
  <si>
    <t>Extrato/122465</t>
  </si>
  <si>
    <t>Banco Brb - Cód. 122465</t>
  </si>
  <si>
    <t>Extrato/122446</t>
  </si>
  <si>
    <t>Banco Brb - Cód. 122446</t>
  </si>
  <si>
    <t>Extrato/122466</t>
  </si>
  <si>
    <t>Banco Brb - Cód. 122466</t>
  </si>
  <si>
    <t>Extrato/122447</t>
  </si>
  <si>
    <t>Banco Brb - Cód. 122447</t>
  </si>
  <si>
    <t>Extrato/122467</t>
  </si>
  <si>
    <t>Banco Brb - Cód. 122467</t>
  </si>
  <si>
    <t>Extrato/122448</t>
  </si>
  <si>
    <t>Banco Brb - Cód. 122448</t>
  </si>
  <si>
    <t>Extrato/122468</t>
  </si>
  <si>
    <t>Banco Brb - Cód. 122468</t>
  </si>
  <si>
    <t>Extrato/122449</t>
  </si>
  <si>
    <t>Banco Brb - Cód. 122449</t>
  </si>
  <si>
    <t>Extrato/122469</t>
  </si>
  <si>
    <t>Banco Brb - Cód. 122469</t>
  </si>
  <si>
    <t>Extrato/122470</t>
  </si>
  <si>
    <t>Banco Brb - Cód. 122470</t>
  </si>
  <si>
    <t>Extrato/122471</t>
  </si>
  <si>
    <t>Banco Brb - Cód. 122471</t>
  </si>
  <si>
    <t>Extrato/122602</t>
  </si>
  <si>
    <t>Banco Brb - Par. 122602(31-48)</t>
  </si>
  <si>
    <t>Extrato/122612</t>
  </si>
  <si>
    <t>Banco Brb - Par. 122612(41-48)</t>
  </si>
  <si>
    <t>Extrato/122572</t>
  </si>
  <si>
    <t>Banco Brb - Par. 122572(01-48)</t>
  </si>
  <si>
    <t>Extrato/122582</t>
  </si>
  <si>
    <t>Banco Brb - Par. 122582(11-48)</t>
  </si>
  <si>
    <t>Extrato/122592</t>
  </si>
  <si>
    <t>Banco Brb - Par. 122592(21-48)</t>
  </si>
  <si>
    <t>Extrato/122603</t>
  </si>
  <si>
    <t>Banco Brb - Par. 122603(32-48)</t>
  </si>
  <si>
    <t>Extrato/122613</t>
  </si>
  <si>
    <t>Banco Brb - Par. 122613(42-48)</t>
  </si>
  <si>
    <t>Extrato/122573</t>
  </si>
  <si>
    <t>Banco Brb - Par. 122573(02-48)</t>
  </si>
  <si>
    <t>Extrato/122583</t>
  </si>
  <si>
    <t>Banco Brb - Par. 122583(12-48)</t>
  </si>
  <si>
    <t>Extrato/122593</t>
  </si>
  <si>
    <t>Banco Brb - Par. 122593(22-48)</t>
  </si>
  <si>
    <t>Extrato/122604</t>
  </si>
  <si>
    <t>Banco Brb - Par. 122604(33-48)</t>
  </si>
  <si>
    <t>Extrato/122614</t>
  </si>
  <si>
    <t>Banco Brb - Par. 122614(43-48)</t>
  </si>
  <si>
    <t>Extrato/122574</t>
  </si>
  <si>
    <t>Banco Brb - Par. 122574(03-48)</t>
  </si>
  <si>
    <t>Extrato/122584</t>
  </si>
  <si>
    <t>Banco Brb - Par. 122584(13-48)</t>
  </si>
  <si>
    <t>Extrato/122594</t>
  </si>
  <si>
    <t>Banco Brb - Par. 122594(23-48)</t>
  </si>
  <si>
    <t>Extrato/122605</t>
  </si>
  <si>
    <t>Banco Brb - Par. 122605(34-48)</t>
  </si>
  <si>
    <t>Extrato/122615</t>
  </si>
  <si>
    <t>Banco Brb - Par. 122615(44-48)</t>
  </si>
  <si>
    <t>Extrato/122575</t>
  </si>
  <si>
    <t>Banco Brb - Par. 122575(04-48)</t>
  </si>
  <si>
    <t>Extrato/122585</t>
  </si>
  <si>
    <t>Banco Brb - Par. 122585(14-48)</t>
  </si>
  <si>
    <t>Extrato/122595</t>
  </si>
  <si>
    <t>Banco Brb - Par. 122595(24-48)</t>
  </si>
  <si>
    <t>Extrato/122576</t>
  </si>
  <si>
    <t>Banco Brb - Par. 122576(05-48)</t>
  </si>
  <si>
    <t>Extrato/122586</t>
  </si>
  <si>
    <t>Banco Brb - Par. 122586(15-48)</t>
  </si>
  <si>
    <t>Extrato/122606</t>
  </si>
  <si>
    <t>Banco Brb - Par. 122606(35-48)</t>
  </si>
  <si>
    <t>Extrato/122596</t>
  </si>
  <si>
    <t>Banco Brb - Par. 122596(25-48)</t>
  </si>
  <si>
    <t>Extrato/122616</t>
  </si>
  <si>
    <t>Banco Brb - Par. 122616(45-48)</t>
  </si>
  <si>
    <t>Extrato/122607</t>
  </si>
  <si>
    <t>Banco Brb - Par. 122607(36-48)</t>
  </si>
  <si>
    <t>Extrato/122617</t>
  </si>
  <si>
    <t>Banco Brb - Par. 122617(46-48)</t>
  </si>
  <si>
    <t>Extrato/122577</t>
  </si>
  <si>
    <t>Banco Brb - Par. 122577(06-48)</t>
  </si>
  <si>
    <t>Extrato/122587</t>
  </si>
  <si>
    <t>Banco Brb - Par. 122587(16-48)</t>
  </si>
  <si>
    <t>Extrato/122597</t>
  </si>
  <si>
    <t>Banco Brb - Par. 122597(26-48)</t>
  </si>
  <si>
    <t>Extrato/122578</t>
  </si>
  <si>
    <t>Banco Brb - Par. 122578(07-48)</t>
  </si>
  <si>
    <t>Extrato/122588</t>
  </si>
  <si>
    <t>Banco Brb - Par. 122588(17-48)</t>
  </si>
  <si>
    <t>Extrato/122600</t>
  </si>
  <si>
    <t>Banco Brb - Par. 122600(29-48)</t>
  </si>
  <si>
    <t>Extrato/122610</t>
  </si>
  <si>
    <t>Banco Brb - Par. 122610(39-48)</t>
  </si>
  <si>
    <t>Extrato/122580</t>
  </si>
  <si>
    <t>Banco Brb - Par. 122580(09-48)</t>
  </si>
  <si>
    <t>Extrato/122590</t>
  </si>
  <si>
    <t>Banco Brb - Par. 122590(19-48)</t>
  </si>
  <si>
    <t>Extrato/122608</t>
  </si>
  <si>
    <t>Banco Brb - Par. 122608(37-48)</t>
  </si>
  <si>
    <t>Extrato/122618</t>
  </si>
  <si>
    <t>Banco Brb - Par. 122618(47-48)</t>
  </si>
  <si>
    <t>Extrato/122598</t>
  </si>
  <si>
    <t>Banco Brb - Par. 122598(27-48)</t>
  </si>
  <si>
    <t>Extrato/122609</t>
  </si>
  <si>
    <t>Banco Brb - Par. 122609(38-48)</t>
  </si>
  <si>
    <t>Extrato/122619</t>
  </si>
  <si>
    <t>Banco Brb - Par. 122619(48-48)</t>
  </si>
  <si>
    <t>Extrato/122579</t>
  </si>
  <si>
    <t>Banco Brb - Par. 122579(08-48)</t>
  </si>
  <si>
    <t>Extrato/122589</t>
  </si>
  <si>
    <t>Banco Brb - Par. 122589(18-48)</t>
  </si>
  <si>
    <t>Extrato/122599</t>
  </si>
  <si>
    <t>Banco Brb - Par. 122599(28-48)</t>
  </si>
  <si>
    <t>Ant. Cob/122571</t>
  </si>
  <si>
    <t>Banco Brb - Par. 122571(100-1)</t>
  </si>
  <si>
    <t>Ant. Cob/122481</t>
  </si>
  <si>
    <t>Banco Brb - Par. 122481(10-10)</t>
  </si>
  <si>
    <t>Ant. Cob/122501</t>
  </si>
  <si>
    <t>Banco Brb - Par. 122501(30-10)</t>
  </si>
  <si>
    <t>Ant. Cob/122511</t>
  </si>
  <si>
    <t>Banco Brb - Par. 122511(40-10)</t>
  </si>
  <si>
    <t>Ant. Cob/122521</t>
  </si>
  <si>
    <t>Banco Brb - Par. 122521(50-10)</t>
  </si>
  <si>
    <t>Ant. Cob/122551</t>
  </si>
  <si>
    <t>Banco Brb - Par. 122551(80-10)</t>
  </si>
  <si>
    <t>Ant. Cob/122561</t>
  </si>
  <si>
    <t>Banco Brb - Par. 122561(90-10)</t>
  </si>
  <si>
    <t>Ant. Cob/122491</t>
  </si>
  <si>
    <t>Banco Brb - Par. 122491(20-10)</t>
  </si>
  <si>
    <t>Ant. Cob/122472</t>
  </si>
  <si>
    <t>Banco Brb - Par. 122472(01-10)</t>
  </si>
  <si>
    <t>Ant. Cob/122482</t>
  </si>
  <si>
    <t>Banco Brb - Par. 122482(11-10)</t>
  </si>
  <si>
    <t>Extrato/122453</t>
  </si>
  <si>
    <t>Banco Brb - Par. 122453(01-12)</t>
  </si>
  <si>
    <t>Ant. Cob/122502</t>
  </si>
  <si>
    <t>Banco Brb - Par. 122502(31-10)</t>
  </si>
  <si>
    <t>Ant. Cob/122492</t>
  </si>
  <si>
    <t>Banco Brb - Par. 122492(21-10)</t>
  </si>
  <si>
    <t>Ant. Cob/122512</t>
  </si>
  <si>
    <t>Banco Brb - Par. 122512(41-10)</t>
  </si>
  <si>
    <t>Ant. Cob/122522</t>
  </si>
  <si>
    <t>Banco Brb - Par. 122522(51-10)</t>
  </si>
  <si>
    <t>Ant. Cob/122562</t>
  </si>
  <si>
    <t>Banco Brb - Par. 122562(91-10)</t>
  </si>
  <si>
    <t>Ant. Cob/122503</t>
  </si>
  <si>
    <t>Banco Brb - Par. 122503(32-10)</t>
  </si>
  <si>
    <t>Ant. Cob/122473</t>
  </si>
  <si>
    <t>Banco Brb - Par. 122473(02-10)</t>
  </si>
  <si>
    <t>Ant. Cob/122483</t>
  </si>
  <si>
    <t>Banco Brb - Par. 122483(12-10)</t>
  </si>
  <si>
    <t>Ant. Cob/122493</t>
  </si>
  <si>
    <t>Banco Brb - Par. 122493(22-10)</t>
  </si>
  <si>
    <t>Extrato/122454</t>
  </si>
  <si>
    <t>Banco Brb - Par. 122454(02-12)</t>
  </si>
  <si>
    <t>Ant. Cob/122513</t>
  </si>
  <si>
    <t>Banco Brb - Par. 122513(42-10)</t>
  </si>
  <si>
    <t>Ant. Cob/122523</t>
  </si>
  <si>
    <t>Banco Brb - Par. 122523(52-10)</t>
  </si>
  <si>
    <t>Ant. Cob/122543</t>
  </si>
  <si>
    <t>Banco Brb - Par. 122543(72-10)</t>
  </si>
  <si>
    <t>Ant. Cob/122553</t>
  </si>
  <si>
    <t>Banco Brb - Par. 122553(82-10)</t>
  </si>
  <si>
    <t>Ant. Cob/122563</t>
  </si>
  <si>
    <t>Banco Brb - Par. 122563(92-10)</t>
  </si>
  <si>
    <t>Ant. Cob/122504</t>
  </si>
  <si>
    <t>Banco Brb - Par. 122504(33-10)</t>
  </si>
  <si>
    <t>Ant. Cob/122474</t>
  </si>
  <si>
    <t>Banco Brb - Par. 122474(03-10)</t>
  </si>
  <si>
    <t>Ant. Cob/122484</t>
  </si>
  <si>
    <t>Banco Brb - Par. 122484(13-10)</t>
  </si>
  <si>
    <t>Ant. Cob/122494</t>
  </si>
  <si>
    <t>Banco Brb - Par. 122494(23-10)</t>
  </si>
  <si>
    <t>Extrato/122455</t>
  </si>
  <si>
    <t>Banco Brb - Par. 122455(03-12)</t>
  </si>
  <si>
    <t>Ant. Cob/122514</t>
  </si>
  <si>
    <t>Banco Brb - Par. 122514(43-10)</t>
  </si>
  <si>
    <t>Ant. Cob/122524</t>
  </si>
  <si>
    <t>Banco Brb - Par. 122524(53-10)</t>
  </si>
  <si>
    <t>Ant. Cob/122544</t>
  </si>
  <si>
    <t>Banco Brb - Par. 122544(73-10)</t>
  </si>
  <si>
    <t>Ant. Cob/122564</t>
  </si>
  <si>
    <t>Banco Brb - Par. 122564(93-10)</t>
  </si>
  <si>
    <t>Ant. Cob/122505</t>
  </si>
  <si>
    <t>Banco Brb - Par. 122505(34-10)</t>
  </si>
  <si>
    <t>Ant. Cob/122475</t>
  </si>
  <si>
    <t>Banco Brb - Par. 122475(04-10)</t>
  </si>
  <si>
    <t>Ant. Cob/122485</t>
  </si>
  <si>
    <t>Banco Brb - Par. 122485(14-10)</t>
  </si>
  <si>
    <t>Ant. Cob/122495</t>
  </si>
  <si>
    <t>Banco Brb - Par. 122495(24-10)</t>
  </si>
  <si>
    <t>Ant. Cob/122515</t>
  </si>
  <si>
    <t>Banco Brb - Par. 122515(44-10)</t>
  </si>
  <si>
    <t>Ant. Cob/122525</t>
  </si>
  <si>
    <t>Banco Brb - Par. 122525(54-10)</t>
  </si>
  <si>
    <t>Ant. Cob/122545</t>
  </si>
  <si>
    <t>Banco Brb - Par. 122545(74-10)</t>
  </si>
  <si>
    <t>Ant. Cob/122555</t>
  </si>
  <si>
    <t>Banco Brb - Par. 122555(84-10)</t>
  </si>
  <si>
    <t>Ant. Cob/122565</t>
  </si>
  <si>
    <t>Banco Brb - Par. 122565(94-10)</t>
  </si>
  <si>
    <t>Ant. Cob/122506</t>
  </si>
  <si>
    <t>Banco Brb - Par. 122506(35-10)</t>
  </si>
  <si>
    <t>Ant. Cob/122516</t>
  </si>
  <si>
    <t>Banco Brb - Par. 122516(45-10)</t>
  </si>
  <si>
    <t>Ant. Cob/122526</t>
  </si>
  <si>
    <t>Banco Brb - Par. 122526(55-10)</t>
  </si>
  <si>
    <t>Ant. Cob/122476</t>
  </si>
  <si>
    <t>Banco Brb - Par. 122476(05-10)</t>
  </si>
  <si>
    <t>Ant. Cob/122486</t>
  </si>
  <si>
    <t>Banco Brb - Par. 122486(15-10)</t>
  </si>
  <si>
    <t>Ant. Cob/122496</t>
  </si>
  <si>
    <t>Banco Brb - Par. 122496(25-10)</t>
  </si>
  <si>
    <t>Ant. Cob/122546</t>
  </si>
  <si>
    <t>Banco Brb - Par. 122546(75-10)</t>
  </si>
  <si>
    <t>Ant. Cob/122556</t>
  </si>
  <si>
    <t>Banco Brb - Par. 122556(85-10)</t>
  </si>
  <si>
    <t>Ant. Cob/122566</t>
  </si>
  <si>
    <t>Banco Brb - Par. 122566(95-10)</t>
  </si>
  <si>
    <t>Ant. Cob/122507</t>
  </si>
  <si>
    <t>Banco Brb - Par. 122507(36-10)</t>
  </si>
  <si>
    <t>Ant. Cob/122517</t>
  </si>
  <si>
    <t>Banco Brb - Par. 122517(46-10)</t>
  </si>
  <si>
    <t>Ant. Cob/122527</t>
  </si>
  <si>
    <t>Banco Brb - Par. 122527(56-10)</t>
  </si>
  <si>
    <t>Ant. Cob/122477</t>
  </si>
  <si>
    <t>Banco Brb - Par. 122477(06-10)</t>
  </si>
  <si>
    <t>Ant. Cob/122487</t>
  </si>
  <si>
    <t>Banco Brb - Par. 122487(16-10)</t>
  </si>
  <si>
    <t>Ant. Cob/122497</t>
  </si>
  <si>
    <t>Banco Brb - Par. 122497(26-10)</t>
  </si>
  <si>
    <t>Ant. Cob/122547</t>
  </si>
  <si>
    <t>Banco Brb - Par. 122547(76-10)</t>
  </si>
  <si>
    <t>Ant. Cob/122557</t>
  </si>
  <si>
    <t>Banco Brb - Par. 122557(86-10)</t>
  </si>
  <si>
    <t>Ant. Cob/122567</t>
  </si>
  <si>
    <t>Banco Brb - Par. 122567(96-10)</t>
  </si>
  <si>
    <t>Ant. Cob/122508</t>
  </si>
  <si>
    <t>Banco Brb - Par. 122508(37-10)</t>
  </si>
  <si>
    <t>Ant. Cob/122518</t>
  </si>
  <si>
    <t>Banco Brb - Par. 122518(47-10)</t>
  </si>
  <si>
    <t>Ant. Cob/122548</t>
  </si>
  <si>
    <t>Banco Brb - Par. 122548(77-10)</t>
  </si>
  <si>
    <t>Ant. Cob/122558</t>
  </si>
  <si>
    <t>Banco Brb - Par. 122558(87-10)</t>
  </si>
  <si>
    <t>Ant. Cob/122568</t>
  </si>
  <si>
    <t>Banco Brb - Par. 122568(97-10)</t>
  </si>
  <si>
    <t>Ant. Cob/122478</t>
  </si>
  <si>
    <t>Banco Brb - Par. 122478(07-10)</t>
  </si>
  <si>
    <t>Ant. Cob/122488</t>
  </si>
  <si>
    <t>Banco Brb - Par. 122488(17-10)</t>
  </si>
  <si>
    <t>Ant. Cob/122498</t>
  </si>
  <si>
    <t>Banco Brb - Par. 122498(27-10)</t>
  </si>
  <si>
    <t>Ant. Cob/122480</t>
  </si>
  <si>
    <t>Banco Brb - Par. 122480(09-10)</t>
  </si>
  <si>
    <t>Ant. Cob/122509</t>
  </si>
  <si>
    <t>Banco Brb - Par. 122509(38-10)</t>
  </si>
  <si>
    <t>Ant. Cob/122519</t>
  </si>
  <si>
    <t>Banco Brb - Par. 122519(48-10)</t>
  </si>
  <si>
    <t>Ant. Cob/122549</t>
  </si>
  <si>
    <t>Banco Brb - Par. 122549(78-10)</t>
  </si>
  <si>
    <t>Ant. Cob/122559</t>
  </si>
  <si>
    <t>Banco Brb - Par. 122559(88-10)</t>
  </si>
  <si>
    <t>Ant. Cob/122569</t>
  </si>
  <si>
    <t>Banco Brb - Par. 122569(98-10)</t>
  </si>
  <si>
    <t>Ant. Cob/122479</t>
  </si>
  <si>
    <t>Banco Brb - Par. 122479(08-10)</t>
  </si>
  <si>
    <t>Ant. Cob/122489</t>
  </si>
  <si>
    <t>Banco Brb - Par. 122489(18-10)</t>
  </si>
  <si>
    <t>Ant. Cob/122499</t>
  </si>
  <si>
    <t>Banco Brb - Par. 122499(28-10)</t>
  </si>
  <si>
    <t>Ant. Cob/122500</t>
  </si>
  <si>
    <t>Banco Brb - Par. 122500(29-10)</t>
  </si>
  <si>
    <t>Ant. Cob/122510</t>
  </si>
  <si>
    <t>Banco Brb - Par. 122510(39-10)</t>
  </si>
  <si>
    <t>Ant. Cob/122520</t>
  </si>
  <si>
    <t>Banco Brb - Par. 122520(49-10)</t>
  </si>
  <si>
    <t>Ant. Cob/122550</t>
  </si>
  <si>
    <t>Banco Brb - Par. 122550(79-10)</t>
  </si>
  <si>
    <t>Ant. Cob/122560</t>
  </si>
  <si>
    <t>Banco Brb - Par. 122560(89-10)</t>
  </si>
  <si>
    <t>Ant. Cob/122570</t>
  </si>
  <si>
    <t>Banco Brb - Par. 122570(99-10)</t>
  </si>
  <si>
    <t>Ant. Cob/122490</t>
  </si>
  <si>
    <t>Banco Brb - Par. 122490(19-10)</t>
  </si>
  <si>
    <t>Extrato/122723</t>
  </si>
  <si>
    <t>Banco Brb - Par. 122723(01-3)</t>
  </si>
  <si>
    <t>Extrato/122709</t>
  </si>
  <si>
    <t>Banco Brb - Par. 122709(01-3)</t>
  </si>
  <si>
    <t>Ant. Cob/122531</t>
  </si>
  <si>
    <t>Banco Brb - Par. 122531(60-10)</t>
  </si>
  <si>
    <t>Ant. Cob/122541</t>
  </si>
  <si>
    <t>Banco Brb - Par. 122541(70-10)</t>
  </si>
  <si>
    <t>Ant. Cob/122532</t>
  </si>
  <si>
    <t>Banco Brb - Par. 122532(61-10)</t>
  </si>
  <si>
    <t>Extrato/122710</t>
  </si>
  <si>
    <t>Banco Brb - Par. 122710(02-3)</t>
  </si>
  <si>
    <t>Extrato/122711</t>
  </si>
  <si>
    <t>Banco Brb - Par. 122711(03-3)</t>
  </si>
  <si>
    <t>Extrato/122724</t>
  </si>
  <si>
    <t>Banco Brb - Par. 122724(02-3)</t>
  </si>
  <si>
    <t>Extrato/122725</t>
  </si>
  <si>
    <t>Banco Brb - Par. 122725(03-3)</t>
  </si>
  <si>
    <t>Ant. Cob/122542</t>
  </si>
  <si>
    <t>Banco Brb - Par. 122542(71-10)</t>
  </si>
  <si>
    <t>Ant. Cob/122533</t>
  </si>
  <si>
    <t>Banco Brb - Par. 122533(62-10)</t>
  </si>
  <si>
    <t>Ant. Cob/122534</t>
  </si>
  <si>
    <t>Banco Brb - Par. 122534(63-10)</t>
  </si>
  <si>
    <t>Ant. Cob/122535</t>
  </si>
  <si>
    <t>Banco Brb - Par. 122535(64-10)</t>
  </si>
  <si>
    <t>Ant. Cob/122536</t>
  </si>
  <si>
    <t>Banco Brb - Par. 122536(65-10)</t>
  </si>
  <si>
    <t>Ant. Cob/122537</t>
  </si>
  <si>
    <t>Banco Brb - Par. 122537(66-10)</t>
  </si>
  <si>
    <t>Ant. Cob/122530</t>
  </si>
  <si>
    <t>Banco Brb - Par. 122530(59-10)</t>
  </si>
  <si>
    <t>Ant. Cob/122540</t>
  </si>
  <si>
    <t>Banco Brb - Par. 122540(69-10)</t>
  </si>
  <si>
    <t>Ant. Cob/122528</t>
  </si>
  <si>
    <t>Banco Brb - Par. 122528(57-10)</t>
  </si>
  <si>
    <t>Ant. Cob/122538</t>
  </si>
  <si>
    <t>Banco Brb - Par. 122538(67-10)</t>
  </si>
  <si>
    <t>Ant. Cob/122529</t>
  </si>
  <si>
    <t>Banco Brb - Par. 122529(58-10)</t>
  </si>
  <si>
    <t>Ant. Cob/122539</t>
  </si>
  <si>
    <t>Banco Brb - Par. 122539(68-10)</t>
  </si>
  <si>
    <t>Retorno: Par. 191755(04/12) - 018510/GEO - Mensalidades</t>
  </si>
  <si>
    <t>SAFRA [GYN] [206009-7] [COB]</t>
  </si>
  <si>
    <t>Retorno: Par. 192148(04/12) - 018418/ANT - Mensalidades</t>
  </si>
  <si>
    <t>Retorno: Par. 191839(04/12) - 018448/ALB - Mensalidades</t>
  </si>
  <si>
    <t>Retorno: Par. 191740(04/12) - 018406/LAU - Mensalidades</t>
  </si>
  <si>
    <t>Extrato/122730</t>
  </si>
  <si>
    <t>Banco Brb - Cód. 122730</t>
  </si>
  <si>
    <t>Extrato/122732</t>
  </si>
  <si>
    <t>Banco Brb - Cód. 122732</t>
  </si>
  <si>
    <t>Extrato/122733</t>
  </si>
  <si>
    <t>Banco Brb - Cód. 122733</t>
  </si>
  <si>
    <t>Extrato/122734</t>
  </si>
  <si>
    <t>Banco Brb - Cód. 122734</t>
  </si>
  <si>
    <t>Extrato/122735</t>
  </si>
  <si>
    <t>Banco Brb - Cód. 122735</t>
  </si>
  <si>
    <t>Extrato/122726</t>
  </si>
  <si>
    <t>Banco Brb - Cód. 122726</t>
  </si>
  <si>
    <t>Extrato/122727</t>
  </si>
  <si>
    <t>Banco Brb - Cód. 122727</t>
  </si>
  <si>
    <t>Extrato/122728</t>
  </si>
  <si>
    <t>Banco Brb - Cód. 122728</t>
  </si>
  <si>
    <t>Extrato/122729</t>
  </si>
  <si>
    <t>Banco Brb - Cód. 122729</t>
  </si>
  <si>
    <t>Extrato/122740</t>
  </si>
  <si>
    <t>Banco Brb - Cód. 122740</t>
  </si>
  <si>
    <t>Extrato/122741</t>
  </si>
  <si>
    <t>Banco Brb - Cód. 122741</t>
  </si>
  <si>
    <t>Extrato/122742</t>
  </si>
  <si>
    <t>Banco Brb - Cód. 122742</t>
  </si>
  <si>
    <t>Extrato/122736</t>
  </si>
  <si>
    <t>Banco Brb - Cód. 122736</t>
  </si>
  <si>
    <t>Extrato/122737</t>
  </si>
  <si>
    <t>Banco Brb - Cód. 122737</t>
  </si>
  <si>
    <t>Extrato/122739</t>
  </si>
  <si>
    <t>Banco Brb - Cód. 122739</t>
  </si>
  <si>
    <t>Extrato/122712</t>
  </si>
  <si>
    <t>Banco Brb - Cód. 122712</t>
  </si>
  <si>
    <t>Extrato/122708</t>
  </si>
  <si>
    <t>Banco Brb - Cód. 122708</t>
  </si>
  <si>
    <t>Extrato/122720</t>
  </si>
  <si>
    <t>Banco Brb - Cód. 122720</t>
  </si>
  <si>
    <t>Extrato/122721</t>
  </si>
  <si>
    <t>Banco Brb - Cód. 122721</t>
  </si>
  <si>
    <t>Extrato/122722</t>
  </si>
  <si>
    <t>Banco Brb - Cód. 122722</t>
  </si>
  <si>
    <t>Extrato/122713</t>
  </si>
  <si>
    <t>Banco Brb - Cód. 122713</t>
  </si>
  <si>
    <t>Extrato/122714</t>
  </si>
  <si>
    <t>Banco Brb - Cód. 122714</t>
  </si>
  <si>
    <t>Extrato/122715</t>
  </si>
  <si>
    <t>Banco Brb - Cód. 122715</t>
  </si>
  <si>
    <t>Extrato/122620</t>
  </si>
  <si>
    <t>Banco Brb - Cód. 122620</t>
  </si>
  <si>
    <t>Extrato/122744</t>
  </si>
  <si>
    <t>Banco Brb - Cód. 122744</t>
  </si>
  <si>
    <t>Extrato/122745</t>
  </si>
  <si>
    <t>Banco Brb - Cód. 122745</t>
  </si>
  <si>
    <t>Extrato/122746</t>
  </si>
  <si>
    <t>Banco Brb - Cód. 122746</t>
  </si>
  <si>
    <t>Extrato/122747</t>
  </si>
  <si>
    <t>Banco Brb - Cód. 122747</t>
  </si>
  <si>
    <t>Extrato/122750</t>
  </si>
  <si>
    <t>Banco Brb - Par. 122750(03-16)</t>
  </si>
  <si>
    <t>Extrato/122760</t>
  </si>
  <si>
    <t>Banco Brb - Par. 122760(13-16)</t>
  </si>
  <si>
    <t>Extrato/122751</t>
  </si>
  <si>
    <t>Banco Brb - Par. 122751(04-16)</t>
  </si>
  <si>
    <t>Extrato/122761</t>
  </si>
  <si>
    <t>Banco Brb - Par. 122761(14-16)</t>
  </si>
  <si>
    <t>Extrato/122752</t>
  </si>
  <si>
    <t>Banco Brb - Par. 122752(05-16)</t>
  </si>
  <si>
    <t>Extrato/122762</t>
  </si>
  <si>
    <t>Banco Brb - Par. 122762(15-16)</t>
  </si>
  <si>
    <t>Extrato/122753</t>
  </si>
  <si>
    <t>Banco Brb - Par. 122753(06-16)</t>
  </si>
  <si>
    <t>Extrato/122763</t>
  </si>
  <si>
    <t>Banco Brb - Par. 122763(16-16)</t>
  </si>
  <si>
    <t>Extrato/122757</t>
  </si>
  <si>
    <t>Banco Brb - Par. 122757(10-16)</t>
  </si>
  <si>
    <t>Extrato/122748</t>
  </si>
  <si>
    <t>Banco Brb - Par. 122748(01-16)</t>
  </si>
  <si>
    <t>Extrato/122758</t>
  </si>
  <si>
    <t>Banco Brb - Par. 122758(11-16)</t>
  </si>
  <si>
    <t>Extrato/122749</t>
  </si>
  <si>
    <t>Banco Brb - Par. 122749(02-16)</t>
  </si>
  <si>
    <t>Extrato/122759</t>
  </si>
  <si>
    <t>Banco Brb - Par. 122759(12-16)</t>
  </si>
  <si>
    <t>Extrato/122754</t>
  </si>
  <si>
    <t>Banco Brb - Par. 122754(07-16)</t>
  </si>
  <si>
    <t>Extrato/122755</t>
  </si>
  <si>
    <t>Banco Brb - Par. 122755(08-16)</t>
  </si>
  <si>
    <t>Extrato/122756</t>
  </si>
  <si>
    <t>Banco Brb - Par. 122756(09-16)</t>
  </si>
  <si>
    <t>Extrato/122764</t>
  </si>
  <si>
    <t>Banco Brb - Cód. 122764</t>
  </si>
  <si>
    <t>Extrato/122765</t>
  </si>
  <si>
    <t>Banco Brb - Cód. 122765</t>
  </si>
  <si>
    <t>Extrato/122766</t>
  </si>
  <si>
    <t>Banco Brb - Cód. 122766</t>
  </si>
  <si>
    <t>JUROS20150504/122769</t>
  </si>
  <si>
    <t>Banco Brb - Par. 122769(02-3)</t>
  </si>
  <si>
    <t>JUROS20150504/122768</t>
  </si>
  <si>
    <t>Banco Brb - Par. 122768(01-3)</t>
  </si>
  <si>
    <t>Extrato/122772</t>
  </si>
  <si>
    <t>Banco Brb - Par. 122772(02-7)</t>
  </si>
  <si>
    <t>Extrato/122773</t>
  </si>
  <si>
    <t>Banco Brb - Par. 122773(03-7)</t>
  </si>
  <si>
    <t>Extrato/122774</t>
  </si>
  <si>
    <t>Banco Brb - Par. 122774(04-7)</t>
  </si>
  <si>
    <t>Extrato/122775</t>
  </si>
  <si>
    <t>Banco Brb - Par. 122775(05-7)</t>
  </si>
  <si>
    <t>Extrato/122776</t>
  </si>
  <si>
    <t>Banco Brb - Par. 122776(06-7)</t>
  </si>
  <si>
    <t>Extrato/122777</t>
  </si>
  <si>
    <t>Banco Brb - Par. 122777(07-7)</t>
  </si>
  <si>
    <t>OPERAÇÃO DESCONTO BOLETOS 2013.05.04</t>
  </si>
  <si>
    <t>Extrato/122780</t>
  </si>
  <si>
    <t>Banco Brb - Cód. 122780</t>
  </si>
  <si>
    <t>Extrato/122781</t>
  </si>
  <si>
    <t>Banco Brb - Cód. 122781</t>
  </si>
  <si>
    <t>Extrato/122782</t>
  </si>
  <si>
    <t>Banco Brb - Cód. 122782</t>
  </si>
  <si>
    <t>Extrato/122778</t>
  </si>
  <si>
    <t>Banco Brb - Cód. 122778</t>
  </si>
  <si>
    <t>Extrato/122779</t>
  </si>
  <si>
    <t>Banco Brb - Cód. 122779</t>
  </si>
  <si>
    <t>Extrato/122792</t>
  </si>
  <si>
    <t>Banco Brb - Par. 122792(10-17)</t>
  </si>
  <si>
    <t>Extrato/122790</t>
  </si>
  <si>
    <t>Banco Brb - Par. 122790(08-17)</t>
  </si>
  <si>
    <t>Extrato/122791</t>
  </si>
  <si>
    <t>Banco Brb - Par. 122791(09-17)</t>
  </si>
  <si>
    <t>Extrato/122793</t>
  </si>
  <si>
    <t>Banco Brb - Par. 122793(11-17)</t>
  </si>
  <si>
    <t>Extrato/122784</t>
  </si>
  <si>
    <t>Banco Brb - Par. 122784(02-17)</t>
  </si>
  <si>
    <t>Extrato/122794</t>
  </si>
  <si>
    <t>Banco Brb - Par. 122794(12-17)</t>
  </si>
  <si>
    <t>Extrato/122785</t>
  </si>
  <si>
    <t>Banco Brb - Par. 122785(03-17)</t>
  </si>
  <si>
    <t>Extrato/122795</t>
  </si>
  <si>
    <t>Banco Brb - Par. 122795(13-17)</t>
  </si>
  <si>
    <t>Extrato/122786</t>
  </si>
  <si>
    <t>Banco Brb - Par. 122786(04-17)</t>
  </si>
  <si>
    <t>Extrato/122796</t>
  </si>
  <si>
    <t>Banco Brb - Par. 122796(14-17)</t>
  </si>
  <si>
    <t>Extrato/122787</t>
  </si>
  <si>
    <t>Banco Brb - Par. 122787(05-17)</t>
  </si>
  <si>
    <t>Extrato/122797</t>
  </si>
  <si>
    <t>Banco Brb - Par. 122797(15-17)</t>
  </si>
  <si>
    <t>Extrato/122788</t>
  </si>
  <si>
    <t>Banco Brb - Par. 122788(06-17)</t>
  </si>
  <si>
    <t>Extrato/122798</t>
  </si>
  <si>
    <t>Banco Brb - Par. 122798(16-17)</t>
  </si>
  <si>
    <t>Extrato/122789</t>
  </si>
  <si>
    <t>Banco Brb - Par. 122789(07-17)</t>
  </si>
  <si>
    <t>Extrato/122799</t>
  </si>
  <si>
    <t>Banco Brb - Par. 122799(17-17)</t>
  </si>
  <si>
    <t>Extrato/122800</t>
  </si>
  <si>
    <t>Banco Brb - Cód. 122800</t>
  </si>
  <si>
    <t>Extrato/122801</t>
  </si>
  <si>
    <t>Banco Brb - Cód. 122801</t>
  </si>
  <si>
    <t>Extrato/122821</t>
  </si>
  <si>
    <t>Banco Brb - Cód. 122821</t>
  </si>
  <si>
    <t>Extrato/122831</t>
  </si>
  <si>
    <t>Banco Brb - Cód. 122831</t>
  </si>
  <si>
    <t>Extrato/122802</t>
  </si>
  <si>
    <t>Banco Brb - Cód. 122802</t>
  </si>
  <si>
    <t>Extrato/122822</t>
  </si>
  <si>
    <t>Banco Brb - Cód. 122822</t>
  </si>
  <si>
    <t>Extrato/122803</t>
  </si>
  <si>
    <t>Banco Brb - Cód. 122803</t>
  </si>
  <si>
    <t>Extrato/122823</t>
  </si>
  <si>
    <t>Banco Brb - Cód. 122823</t>
  </si>
  <si>
    <t>Extrato/122805</t>
  </si>
  <si>
    <t>Banco Brb - Cód. 122805</t>
  </si>
  <si>
    <t>Extrato/122815</t>
  </si>
  <si>
    <t>Banco Brb - Cód. 122815</t>
  </si>
  <si>
    <t>Extrato/122806</t>
  </si>
  <si>
    <t>Banco Brb - Cód. 122806</t>
  </si>
  <si>
    <t>Extrato/122816</t>
  </si>
  <si>
    <t>Banco Brb - Cód. 122816</t>
  </si>
  <si>
    <t>Extrato/122810</t>
  </si>
  <si>
    <t>Banco Brb - Cód. 122810</t>
  </si>
  <si>
    <t>Extrato/122820</t>
  </si>
  <si>
    <t>Banco Brb - Cód. 122820</t>
  </si>
  <si>
    <t>Extrato/122812</t>
  </si>
  <si>
    <t>Banco Brb - Cód. 122812</t>
  </si>
  <si>
    <t>Extrato/122813</t>
  </si>
  <si>
    <t>Banco Brb - Cód. 122813</t>
  </si>
  <si>
    <t>Extrato/122804</t>
  </si>
  <si>
    <t>Banco Brb - Cód. 122804</t>
  </si>
  <si>
    <t>Extrato/122814</t>
  </si>
  <si>
    <t>Banco Brb - Cód. 122814</t>
  </si>
  <si>
    <t>Extrato/122824</t>
  </si>
  <si>
    <t>Banco Brb - Cód. 122824</t>
  </si>
  <si>
    <t>Extrato/122825</t>
  </si>
  <si>
    <t>Banco Brb - Cód. 122825</t>
  </si>
  <si>
    <t>Extrato/122826</t>
  </si>
  <si>
    <t>Banco Brb - Cód. 122826</t>
  </si>
  <si>
    <t>Extrato/122807</t>
  </si>
  <si>
    <t>Banco Brb - Cód. 122807</t>
  </si>
  <si>
    <t>Extrato/122817</t>
  </si>
  <si>
    <t>Banco Brb - Cód. 122817</t>
  </si>
  <si>
    <t>Extrato/122827</t>
  </si>
  <si>
    <t>Banco Brb - Cód. 122827</t>
  </si>
  <si>
    <t>Extrato/122808</t>
  </si>
  <si>
    <t>Banco Brb - Cód. 122808</t>
  </si>
  <si>
    <t>Extrato/122818</t>
  </si>
  <si>
    <t>Banco Brb - Cód. 122818</t>
  </si>
  <si>
    <t>Extrato/122828</t>
  </si>
  <si>
    <t>Banco Brb - Cód. 122828</t>
  </si>
  <si>
    <t>Extrato/122809</t>
  </si>
  <si>
    <t>Banco Brb - Cód. 122809</t>
  </si>
  <si>
    <t>Extrato/122819</t>
  </si>
  <si>
    <t>Banco Brb - Cód. 122819</t>
  </si>
  <si>
    <t>Extrato/122829</t>
  </si>
  <si>
    <t>Banco Brb - Cód. 122829</t>
  </si>
  <si>
    <t>Extrato/122830</t>
  </si>
  <si>
    <t>Banco Brb - Cód. 122830</t>
  </si>
  <si>
    <t>Extrato/122832</t>
  </si>
  <si>
    <t>Banco Brb - Cód. 122832</t>
  </si>
  <si>
    <t>Extrato/128700</t>
  </si>
  <si>
    <t>Banco Safra - Cód. 128700</t>
  </si>
  <si>
    <t>SAFRA [GYN] [000048-8] [CC]</t>
  </si>
  <si>
    <t>Extrato/128702</t>
  </si>
  <si>
    <t>Banco Safra - Cód. 128702</t>
  </si>
  <si>
    <t>Extrato/128703</t>
  </si>
  <si>
    <t>Banco Safra - Cód. 128703</t>
  </si>
  <si>
    <t>Extrato/128697</t>
  </si>
  <si>
    <t>Banco Safra - Cód. 128697</t>
  </si>
  <si>
    <t>Extrato/128698</t>
  </si>
  <si>
    <t>Banco Safra - Cód. 128698</t>
  </si>
  <si>
    <t>Extrato/128699</t>
  </si>
  <si>
    <t>Banco Safra - Cód. 128699</t>
  </si>
  <si>
    <t>Extrato/122840</t>
  </si>
  <si>
    <t>Banco Brb - Cód. 122840</t>
  </si>
  <si>
    <t>Extrato/122841</t>
  </si>
  <si>
    <t>Banco Brb - Cód. 122841</t>
  </si>
  <si>
    <t>Extrato/122842</t>
  </si>
  <si>
    <t>Banco Brb - Cód. 122842</t>
  </si>
  <si>
    <t>Extrato/122835</t>
  </si>
  <si>
    <t>Banco Brb - Cód. 122835</t>
  </si>
  <si>
    <t>Extrato/122836</t>
  </si>
  <si>
    <t>Banco Brb - Cód. 122836</t>
  </si>
  <si>
    <t>Extrato/122837</t>
  </si>
  <si>
    <t>Banco Brb - Cód. 122837</t>
  </si>
  <si>
    <t>Extrato/122838</t>
  </si>
  <si>
    <t>Banco Brb - Cód. 122838</t>
  </si>
  <si>
    <t>Extrato/122839</t>
  </si>
  <si>
    <t>Banco Brb - Cód. 122839</t>
  </si>
  <si>
    <t>Extrato/122847</t>
  </si>
  <si>
    <t>Banco Brb - Cód. 122847</t>
  </si>
  <si>
    <t>Extrato/122850</t>
  </si>
  <si>
    <t>Banco Brb - Par. 122850(01-7)</t>
  </si>
  <si>
    <t>Extrato/122851</t>
  </si>
  <si>
    <t>Banco Brb - Par. 122851(02-7)</t>
  </si>
  <si>
    <t>Extrato/122852</t>
  </si>
  <si>
    <t>Banco Brb - Par. 122852(03-7)</t>
  </si>
  <si>
    <t>Extrato/122853</t>
  </si>
  <si>
    <t>Banco Brb - Par. 122853(04-7)</t>
  </si>
  <si>
    <t>Extrato/122854</t>
  </si>
  <si>
    <t>Banco Brb - Par. 122854(05-7)</t>
  </si>
  <si>
    <t>Extrato/122855</t>
  </si>
  <si>
    <t>Banco Brb - Par. 122855(06-7)</t>
  </si>
  <si>
    <t>Extrato/122856</t>
  </si>
  <si>
    <t>Banco Brb - Par. 122856(07-7)</t>
  </si>
  <si>
    <t>EXTRATO/122834</t>
  </si>
  <si>
    <t>Banco Itaú Unibanco S.A. - Cód. 122834</t>
  </si>
  <si>
    <t>Extrato/122844</t>
  </si>
  <si>
    <t>Banco Itaú Unibanco S.A. - Par. 122844(02-4)</t>
  </si>
  <si>
    <t>Extrato/122845</t>
  </si>
  <si>
    <t>Banco Itaú Unibanco S.A. - Par. 122845(03-4)</t>
  </si>
  <si>
    <t>Extrato/122848</t>
  </si>
  <si>
    <t>Banco Itaú Unibanco S.A. - Cód. 122848</t>
  </si>
  <si>
    <t>Extrato/122860</t>
  </si>
  <si>
    <t>Banco Brb - Cód. 122860</t>
  </si>
  <si>
    <t>Extrato/122861</t>
  </si>
  <si>
    <t>Banco Brb - Cód. 122861</t>
  </si>
  <si>
    <t>Extrato/122862</t>
  </si>
  <si>
    <t>Banco Brb - Cód. 122862</t>
  </si>
  <si>
    <t>Extrato/122863</t>
  </si>
  <si>
    <t>Banco Brb - Cód. 122863</t>
  </si>
  <si>
    <t>Extrato/122857</t>
  </si>
  <si>
    <t>Banco Brb - Cód. 122857</t>
  </si>
  <si>
    <t>Extrato/122864</t>
  </si>
  <si>
    <t>Banco Brb - Cód. 122864</t>
  </si>
  <si>
    <t>Destino: 276190-Transferência Entre Conta</t>
  </si>
  <si>
    <t>HN/115637</t>
  </si>
  <si>
    <t>Henrique Nogueira - Fornecedores - Cód. 115637</t>
  </si>
  <si>
    <t>Destino: 268568-Transferência Entre Conta</t>
  </si>
  <si>
    <t>AM/114290</t>
  </si>
  <si>
    <t>Augusto Melo - Cód. 114290</t>
  </si>
  <si>
    <t>Destino: 268571-Transferência Entre Conta</t>
  </si>
  <si>
    <t>AM/114292</t>
  </si>
  <si>
    <t>Augusto Melo - Cód. 114292</t>
  </si>
  <si>
    <t>Destino: 268574-Transferência Entre Conta</t>
  </si>
  <si>
    <t>Destino: 268577-Transferência Entre Conta</t>
  </si>
  <si>
    <t>DMDP/116400</t>
  </si>
  <si>
    <t>Dalva Mendes / Dorvano Pedro - Cód. 116400</t>
  </si>
  <si>
    <t>MAFR/122133</t>
  </si>
  <si>
    <t>Marco Antônio Ferreira Rios - Cód. 122133</t>
  </si>
  <si>
    <t>Extrato/121427</t>
  </si>
  <si>
    <t>Banco Itaú Unibanco S.A. - Cód. 121427</t>
  </si>
  <si>
    <t>ITAÚ [GYN] [026016-5] []</t>
  </si>
  <si>
    <t>Extrato/122402</t>
  </si>
  <si>
    <t>Banco Itaú Unibanco S.A. - Cód. 122402</t>
  </si>
  <si>
    <t>Extrato/122403</t>
  </si>
  <si>
    <t>Banco Itaú Unibanco S.A. - Cód. 122403</t>
  </si>
  <si>
    <t>Extrato/122843</t>
  </si>
  <si>
    <t>Banco Itaú Unibanco S.A. - Par. 122843(01-4)</t>
  </si>
  <si>
    <t>Extrato/121453</t>
  </si>
  <si>
    <t>Banco Itaú Unibanco S.A. - Cód. 121453</t>
  </si>
  <si>
    <t>Extrato/128421</t>
  </si>
  <si>
    <t>Banco Brb - Par. 128421(13-18)</t>
  </si>
  <si>
    <t>BRB [BER] [011851-1] [CC]</t>
  </si>
  <si>
    <t>Extrato/128422</t>
  </si>
  <si>
    <t>Banco Brb - Par. 128422(14-18)</t>
  </si>
  <si>
    <t>Extrato/128423</t>
  </si>
  <si>
    <t>Banco Brb - Par. 128423(15-18)</t>
  </si>
  <si>
    <t>Despesa/122354</t>
  </si>
  <si>
    <t>Marcelo De Moraes Melo - Cód. 122354</t>
  </si>
  <si>
    <t>2688/01/119065</t>
  </si>
  <si>
    <t>Markos Comunicação Visual Ltda - Cód. 119065</t>
  </si>
  <si>
    <t>Marista.Marketing</t>
  </si>
  <si>
    <t>Extrato/128525</t>
  </si>
  <si>
    <t>Banco Brb - Cód. 128525</t>
  </si>
  <si>
    <t>BRB [MAR] [011852-0] [CC]</t>
  </si>
  <si>
    <t>Extrato/128526</t>
  </si>
  <si>
    <t>Banco Brb - Cód. 128526</t>
  </si>
  <si>
    <t>Extrato/128527</t>
  </si>
  <si>
    <t>Banco Brb - Cód. 128527</t>
  </si>
  <si>
    <t>043446/122358</t>
  </si>
  <si>
    <t>Posto De Combustível - Cód. 122358</t>
  </si>
  <si>
    <t>089267/122359</t>
  </si>
  <si>
    <t>Posto De Combustível - Cód. 122359</t>
  </si>
  <si>
    <t>Fgts/122360</t>
  </si>
  <si>
    <t>Fgts - Cód. 122360</t>
  </si>
  <si>
    <t>Fgts/122361</t>
  </si>
  <si>
    <t>Fgts - Cód. 122361</t>
  </si>
  <si>
    <t>Fgts/122362</t>
  </si>
  <si>
    <t>Fgts - Cód. 122362</t>
  </si>
  <si>
    <t>Par.(12/12) 013950/ANA FLÁVIA SANDRI MENDONÇ - Mensalidades</t>
  </si>
  <si>
    <t>99932/1/118061</t>
  </si>
  <si>
    <t>Papelaria Tributária - Cód. 118061</t>
  </si>
  <si>
    <t>Marista.Produtos de Papelaria</t>
  </si>
  <si>
    <t>Despesa/121958</t>
  </si>
  <si>
    <t>Marcelo De Moraes Melo - Cód. 121958</t>
  </si>
  <si>
    <t>075942/121215</t>
  </si>
  <si>
    <t>Largent Fac. Fom.Merc. Ltda - Cód. 121215</t>
  </si>
  <si>
    <t>739600/120653</t>
  </si>
  <si>
    <t>Setransp - Go - Cód. 120653</t>
  </si>
  <si>
    <t>739456/120655</t>
  </si>
  <si>
    <t>Setransp - Go - Cód. 120655</t>
  </si>
  <si>
    <t>5/121138/114144</t>
  </si>
  <si>
    <t>Escola Canadense De Goiania Ltda - M - Par. 114144(03-10)</t>
  </si>
  <si>
    <t>739421/120658</t>
  </si>
  <si>
    <t>Setransp - Go - Cód. 120658</t>
  </si>
  <si>
    <t>0339/119189</t>
  </si>
  <si>
    <t>MasTec Telecom Segurança Ltda - Cód. 119189</t>
  </si>
  <si>
    <t>10604347/122387</t>
  </si>
  <si>
    <t>Unimed - Cód. 122387</t>
  </si>
  <si>
    <t>0205431018/122388</t>
  </si>
  <si>
    <t>Celg - Cód. 122388</t>
  </si>
  <si>
    <t>99989/1/118060</t>
  </si>
  <si>
    <t>Papelaria Tributária - Cód. 118060</t>
  </si>
  <si>
    <t>CA.Produtos de Papelaria (DESPESA)</t>
  </si>
  <si>
    <t>100073/1/118062</t>
  </si>
  <si>
    <t>Papelaria Tributária - Cód. 118062</t>
  </si>
  <si>
    <t xml:space="preserve">T-27. Produtos de Papelaria </t>
  </si>
  <si>
    <t>4/11/114155</t>
  </si>
  <si>
    <t>Marcelo De Moraes Melo - Par. 114155(03-10)</t>
  </si>
  <si>
    <t>6074/119616</t>
  </si>
  <si>
    <t>Termosul Ar Condicionado E Refrigeração - Cód. 119616</t>
  </si>
  <si>
    <t>Extrato/122872</t>
  </si>
  <si>
    <t>Mercantil Do Brasil - Cód. 122872</t>
  </si>
  <si>
    <t>Cheque Reapresentado</t>
  </si>
  <si>
    <t>Credito de Cheque Reapresentado</t>
  </si>
  <si>
    <t>Extrato/122877</t>
  </si>
  <si>
    <t>Banco Santander  - Par. 122877(01-3)</t>
  </si>
  <si>
    <t>BICBANCO [42.102673-4] [GYN] [CH]</t>
  </si>
  <si>
    <t>Destino: 270919-Transferência Entre Conta</t>
  </si>
  <si>
    <t>Extrato/122890</t>
  </si>
  <si>
    <t>Banco Daycoval S/A  - Par. 122890(05-7)</t>
  </si>
  <si>
    <t>Extrato/122891</t>
  </si>
  <si>
    <t>Banco Daycoval S/A  - Par. 122891(06-7)</t>
  </si>
  <si>
    <t>Brb Sol 2654/109076</t>
  </si>
  <si>
    <t>Marcelo Oliveira - Cód. 109076</t>
  </si>
  <si>
    <t>MAFR/111011</t>
  </si>
  <si>
    <t>Marco Antônio Ferreira Rios - Cód. 111011</t>
  </si>
  <si>
    <t>MAFR/111017</t>
  </si>
  <si>
    <t>Marco Antônio Ferreira Rios - Cód. 111017</t>
  </si>
  <si>
    <t>MV/111874</t>
  </si>
  <si>
    <t>Max Vieira  - Par. 111874(04-11)</t>
  </si>
  <si>
    <t>MFN/110070</t>
  </si>
  <si>
    <t>Maria Floriza Neta - Par. 110070(05-12)</t>
  </si>
  <si>
    <t>Despesa/122355</t>
  </si>
  <si>
    <t>Rodrigo Bernadelli Dos Santos - Cód. 122355</t>
  </si>
  <si>
    <t>8626/124006</t>
  </si>
  <si>
    <t>Leo Maquinas  - Cód. 124006</t>
  </si>
  <si>
    <t>Borderô/123641</t>
  </si>
  <si>
    <t>Banco Brb - Par. 123641(07-8)</t>
  </si>
  <si>
    <t>Borderô/123627</t>
  </si>
  <si>
    <t>Banco Brb - Par. 123627(01-8)</t>
  </si>
  <si>
    <t>Extrato/123175</t>
  </si>
  <si>
    <t>Caixa Econômica Federal - Cód. 123175</t>
  </si>
  <si>
    <t>Extrato/123176</t>
  </si>
  <si>
    <t>Caixa Econômica Federal - Cód. 123176</t>
  </si>
  <si>
    <t>Extrato/123177</t>
  </si>
  <si>
    <t>Caixa Econômica Federal - Cód. 123177</t>
  </si>
  <si>
    <t>Extrato/123178</t>
  </si>
  <si>
    <t>Caixa Econômica Federal - Cód. 123178</t>
  </si>
  <si>
    <t>Extrato/123179</t>
  </si>
  <si>
    <t>Caixa Econômica Federal - Cód. 123179</t>
  </si>
  <si>
    <t>Extrato/123180</t>
  </si>
  <si>
    <t>Caixa Econômica Federal - Cód. 123180</t>
  </si>
  <si>
    <t>Extrato/123181</t>
  </si>
  <si>
    <t>Caixa Econômica Federal - Cód. 123181</t>
  </si>
  <si>
    <t>Extrato/123182</t>
  </si>
  <si>
    <t>Caixa Econômica Federal - Cód. 123182</t>
  </si>
  <si>
    <t>Retorno: Par. 189874(04/12) - 018169/JOÃ - Mensalidades</t>
  </si>
  <si>
    <t>Retorno: Par. 189975(04/12) - 018309/GUS - Mensalidades</t>
  </si>
  <si>
    <t>Retorno: Par. 189787(04/12) - 019534/MUR - Mensalidades</t>
  </si>
  <si>
    <t>Retorno: Par. 189929(04/12) - 018228/ART - Mensalidades</t>
  </si>
  <si>
    <t>Retorno: Par. 191190(04/12) - 019342/DOU - Mensalidades</t>
  </si>
  <si>
    <t>Retorno: Par. 190015(04/12) - 018262/JOÃ - Mensalidades</t>
  </si>
  <si>
    <t>Retorno: Par. 191337(04/12) - 019806/THI - Mensalidades</t>
  </si>
  <si>
    <t>Retorno: Par. 198858(06/12) - 018175/LUA - Mensalidades</t>
  </si>
  <si>
    <t>Retorno: Par. 189896(04/12) - 018176/ISA - Mensalidades</t>
  </si>
  <si>
    <t>Par.(05/12) 020810/MARIA PAULA PERILLO FERRE - Parcelas</t>
  </si>
  <si>
    <t>Retorno: Par. 192487(04/12) - 18476/CAR - Mensalidades</t>
  </si>
  <si>
    <t>Retorno: Par. 192199(04/12) - 18505/GAB - Mensalidades</t>
  </si>
  <si>
    <t>Retorno: Par. 192163(04/12) - 18693/BEA - Mensalidades</t>
  </si>
  <si>
    <t>Retorno: Par. 191773(04/12) - 18644/VIN - Mensalidades</t>
  </si>
  <si>
    <t>Retorno: Par. 197424(04/12) - 19906/ELY - Mensalidades</t>
  </si>
  <si>
    <t>Extrato/122418</t>
  </si>
  <si>
    <t>Banco Do Brasil - Cód. 122418</t>
  </si>
  <si>
    <t>Extrato/122419</t>
  </si>
  <si>
    <t>Banco Do Brasil - Cód. 122419</t>
  </si>
  <si>
    <t xml:space="preserve">Transferência entre Contas </t>
  </si>
  <si>
    <t>BRADESCO [008378-0] [SOL] [CC]</t>
  </si>
  <si>
    <t>Par.(01-1) 018367/FELIPE ROSA MALENA GARCIA - 1ª OU 2ª SÉRI</t>
  </si>
  <si>
    <t>Taxa Prova Substitutiva</t>
  </si>
  <si>
    <t>Par.(01-1) 018217/ANA LAURA ZUIN RUIZ - 1ª OU 2ª SÉRI</t>
  </si>
  <si>
    <t>Par.(01-1) 019803/LUCAS MORAES AGUIAR - 1ª OU 2ª SÉRI</t>
  </si>
  <si>
    <t>Par.(01-1) 018160/LUCAS MARTINS VASCONCELOS - 1ª OU 2ª SÉRI</t>
  </si>
  <si>
    <t>Par.(01-1) 019553/LEONARDO RODRIGUES DE SOU - 1ª OU 2ª SÉRI</t>
  </si>
  <si>
    <t>Par.(01-1) 018147/ISABELA SIMÕES BENTO DE S - 1ª OU 2ª SÉRI</t>
  </si>
  <si>
    <t>Par.(01-1) 018182/CLÁUDIO DE MELO GERVÁSIO  - 1ª OU 2ª SÉRI</t>
  </si>
  <si>
    <t>Ant.Cob/122423</t>
  </si>
  <si>
    <t>Banco Brb - Cód. 122423</t>
  </si>
  <si>
    <t>Aná.Déb.antecipação de Cobrança</t>
  </si>
  <si>
    <t>Extrato/123282</t>
  </si>
  <si>
    <t>Bradesco - Cód. 123282</t>
  </si>
  <si>
    <t>3790125/122424</t>
  </si>
  <si>
    <t>Bradesco S/A - Cód. 122424</t>
  </si>
  <si>
    <t>2270125/122425</t>
  </si>
  <si>
    <t>Bradesco S/A - Cód. 122425</t>
  </si>
  <si>
    <t>Extrato/122426</t>
  </si>
  <si>
    <t>Banco Brb - Cód. 122426</t>
  </si>
  <si>
    <t>BRB [EDI] [012053-2] [CC]</t>
  </si>
  <si>
    <t>Retorno: Par. 191770(04/12) - 018554/FAB - Mensalidades</t>
  </si>
  <si>
    <t>Retorno: Par. 191893(04/12) - 018473/CAR - Mensalidades</t>
  </si>
  <si>
    <t>Retorno: Par. 191677(04/12) - 018681/CAR - Mensalidades</t>
  </si>
  <si>
    <t>Retorno: Par. 191800(04/12) - 018495/EST - Mensalidades</t>
  </si>
  <si>
    <t>Retorno: Par. 191710(04/12) - 018646/ANA - Mensalidades</t>
  </si>
  <si>
    <t>Retorno: Par. 192112(04/12) - 018574/CAM - Mensalidades</t>
  </si>
  <si>
    <t>Retorno: Par. 191842(04/12) - 018623/BEA - Mensalidades</t>
  </si>
  <si>
    <t>Retorno: Par. 192055(04/12) - 018464/CEC - Mensalidades</t>
  </si>
  <si>
    <t>Retorno: Par. 192076(04/12) - 018458/ANA - Mensalidades</t>
  </si>
  <si>
    <t>Retorno: Par. 191896(04/12) - 018416/GUI - Mensalidades</t>
  </si>
  <si>
    <t>Retorno: Par. 192058(04/12) - 018530/CYN - Mensalidades</t>
  </si>
  <si>
    <t>Retorno: Par. 192478(04/12) - 018491/GIU - Mensalidades</t>
  </si>
  <si>
    <t>Retorno: Par. 192019(04/12) - 018629/HOM - Mensalidades</t>
  </si>
  <si>
    <t>Retorno: Par. 204264(04/12) - 018654/FER - Mensalidades</t>
  </si>
  <si>
    <t>Retorno: Par. 205987(04/12) - 020398/VIC - Mensalidades</t>
  </si>
  <si>
    <t>Retorno: Par. 192382(04/12) - 018601/FLÁ - Mensalidades</t>
  </si>
  <si>
    <t>Retorno: Par. 192484(04/12) - 018437/GAB - Mensalidades</t>
  </si>
  <si>
    <t>Retorno: Par. 191689(04/12) - 018635/CAR - Mensalidades</t>
  </si>
  <si>
    <t>Retorno: Par. 192100(04/12) - 018638/ANA - Mensalidades</t>
  </si>
  <si>
    <t>CEF [GYN] [000158-2] [COB]</t>
  </si>
  <si>
    <t>Ant. Cob/122670</t>
  </si>
  <si>
    <t>Banco Brb - Par. 122670(50-87)</t>
  </si>
  <si>
    <t>Ant. Cob/122630</t>
  </si>
  <si>
    <t>Banco Brb - Par. 122630(10-87)</t>
  </si>
  <si>
    <t>Ant. Cob/122640</t>
  </si>
  <si>
    <t>Banco Brb - Par. 122640(20-87)</t>
  </si>
  <si>
    <t>Ant. Cob/122650</t>
  </si>
  <si>
    <t>Banco Brb - Par. 122650(30-87)</t>
  </si>
  <si>
    <t>Ant. Cob/122660</t>
  </si>
  <si>
    <t>Banco Brb - Par. 122660(40-87)</t>
  </si>
  <si>
    <t>Ant. Cob/122621</t>
  </si>
  <si>
    <t>Banco Brb - Par. 122621(01-87)</t>
  </si>
  <si>
    <t>Ant. Cob/122622</t>
  </si>
  <si>
    <t>Banco Brb - Par. 122622(02-87)</t>
  </si>
  <si>
    <t>Extrato/122716</t>
  </si>
  <si>
    <t>Banco Brb - Par. 122716(01-4)</t>
  </si>
  <si>
    <t>Ant. Cob/122700</t>
  </si>
  <si>
    <t>Banco Brb - Par. 122700(80-87)</t>
  </si>
  <si>
    <t>Ant. Cob/122680</t>
  </si>
  <si>
    <t>Banco Brb - Par. 122680(60-87)</t>
  </si>
  <si>
    <t>Ant. Cob/122690</t>
  </si>
  <si>
    <t>Banco Brb - Par. 122690(70-87)</t>
  </si>
  <si>
    <t>Ant. Cob/122631</t>
  </si>
  <si>
    <t>Banco Brb - Par. 122631(11-87)</t>
  </si>
  <si>
    <t>Ant. Cob/122641</t>
  </si>
  <si>
    <t>Banco Brb - Par. 122641(21-87)</t>
  </si>
  <si>
    <t>Ant. Cob/122651</t>
  </si>
  <si>
    <t>Banco Brb - Par. 122651(31-87)</t>
  </si>
  <si>
    <t>Ant. Cob/122661</t>
  </si>
  <si>
    <t>Banco Brb - Par. 122661(41-87)</t>
  </si>
  <si>
    <t>Ant. Cob/122671</t>
  </si>
  <si>
    <t>Banco Brb - Par. 122671(51-87)</t>
  </si>
  <si>
    <t>Ant. Cob/122681</t>
  </si>
  <si>
    <t>Banco Brb - Par. 122681(61-87)</t>
  </si>
  <si>
    <t>Ant. Cob/122691</t>
  </si>
  <si>
    <t>Banco Brb - Par. 122691(71-87)</t>
  </si>
  <si>
    <t>Extrato/122717</t>
  </si>
  <si>
    <t>Banco Brb - Par. 122717(02-4)</t>
  </si>
  <si>
    <t>Ant. Cob/122701</t>
  </si>
  <si>
    <t>Banco Brb - Par. 122701(81-87)</t>
  </si>
  <si>
    <t>Ant. Cob/122632</t>
  </si>
  <si>
    <t>Banco Brb - Par. 122632(12-87)</t>
  </si>
  <si>
    <t>Ant. Cob/122642</t>
  </si>
  <si>
    <t>Banco Brb - Par. 122642(22-87)</t>
  </si>
  <si>
    <t>Ant. Cob/122652</t>
  </si>
  <si>
    <t>Banco Brb - Par. 122652(32-87)</t>
  </si>
  <si>
    <t>Ant. Cob/122662</t>
  </si>
  <si>
    <t>Banco Brb - Par. 122662(42-87)</t>
  </si>
  <si>
    <t>Ant. Cob/122672</t>
  </si>
  <si>
    <t>Banco Brb - Par. 122672(52-87)</t>
  </si>
  <si>
    <t>Extrato/122718</t>
  </si>
  <si>
    <t>Banco Brb - Par. 122718(03-4)</t>
  </si>
  <si>
    <t>Ant. Cob/122702</t>
  </si>
  <si>
    <t>Banco Brb - Par. 122702(82-87)</t>
  </si>
  <si>
    <t>Ant. Cob/122682</t>
  </si>
  <si>
    <t>Banco Brb - Par. 122682(62-87)</t>
  </si>
  <si>
    <t>Ant. Cob/122692</t>
  </si>
  <si>
    <t>Banco Brb - Par. 122692(72-87)</t>
  </si>
  <si>
    <t>Ant. Cob/122623</t>
  </si>
  <si>
    <t>Banco Brb - Par. 122623(03-87)</t>
  </si>
  <si>
    <t>Ant. Cob/122633</t>
  </si>
  <si>
    <t>Banco Brb - Par. 122633(13-87)</t>
  </si>
  <si>
    <t>Ant. Cob/122643</t>
  </si>
  <si>
    <t>Banco Brb - Par. 122643(23-87)</t>
  </si>
  <si>
    <t>Ant. Cob/122653</t>
  </si>
  <si>
    <t>Banco Brb - Par. 122653(33-87)</t>
  </si>
  <si>
    <t>Ant. Cob/122663</t>
  </si>
  <si>
    <t>Banco Brb - Par. 122663(43-87)</t>
  </si>
  <si>
    <t>Ant. Cob/122673</t>
  </si>
  <si>
    <t>Banco Brb - Par. 122673(53-87)</t>
  </si>
  <si>
    <t>Ant. Cob/122683</t>
  </si>
  <si>
    <t>Banco Brb - Par. 122683(63-87)</t>
  </si>
  <si>
    <t>Extrato/122719</t>
  </si>
  <si>
    <t>Banco Brb - Par. 122719(04-4)</t>
  </si>
  <si>
    <t>Ant. Cob/122703</t>
  </si>
  <si>
    <t>Banco Brb - Par. 122703(83-87)</t>
  </si>
  <si>
    <t>Ant. Cob/122693</t>
  </si>
  <si>
    <t>Banco Brb - Par. 122693(73-87)</t>
  </si>
  <si>
    <t>Ant. Cob/122624</t>
  </si>
  <si>
    <t>Banco Brb - Par. 122624(04-87)</t>
  </si>
  <si>
    <t>Ant. Cob/122634</t>
  </si>
  <si>
    <t>Banco Brb - Par. 122634(14-87)</t>
  </si>
  <si>
    <t>Ant. Cob/122644</t>
  </si>
  <si>
    <t>Banco Brb - Par. 122644(24-87)</t>
  </si>
  <si>
    <t>Ant. Cob/122654</t>
  </si>
  <si>
    <t>Banco Brb - Par. 122654(34-87)</t>
  </si>
  <si>
    <t>Ant. Cob/122664</t>
  </si>
  <si>
    <t>Banco Brb - Par. 122664(44-87)</t>
  </si>
  <si>
    <t>Ant. Cob/122674</t>
  </si>
  <si>
    <t>Banco Brb - Par. 122674(54-87)</t>
  </si>
  <si>
    <t>Ant. Cob/122684</t>
  </si>
  <si>
    <t>Banco Brb - Par. 122684(64-87)</t>
  </si>
  <si>
    <t>Ant. Cob/122694</t>
  </si>
  <si>
    <t>Banco Brb - Par. 122694(74-87)</t>
  </si>
  <si>
    <t>Ant. Cob/122704</t>
  </si>
  <si>
    <t>Banco Brb - Par. 122704(84-87)</t>
  </si>
  <si>
    <t>Ant. Cob/122705</t>
  </si>
  <si>
    <t>Banco Brb - Par. 122705(85-87)</t>
  </si>
  <si>
    <t>Ant. Cob/122625</t>
  </si>
  <si>
    <t>Banco Brb - Par. 122625(05-87)</t>
  </si>
  <si>
    <t>Ant. Cob/122635</t>
  </si>
  <si>
    <t>Banco Brb - Par. 122635(15-87)</t>
  </si>
  <si>
    <t>Ant. Cob/122645</t>
  </si>
  <si>
    <t>Banco Brb - Par. 122645(25-87)</t>
  </si>
  <si>
    <t>Ant. Cob/122655</t>
  </si>
  <si>
    <t>Banco Brb - Par. 122655(35-87)</t>
  </si>
  <si>
    <t>Ant. Cob/122665</t>
  </si>
  <si>
    <t>Banco Brb - Par. 122665(45-87)</t>
  </si>
  <si>
    <t>Ant. Cob/122675</t>
  </si>
  <si>
    <t>Banco Brb - Par. 122675(55-87)</t>
  </si>
  <si>
    <t>Ant. Cob/122685</t>
  </si>
  <si>
    <t>Banco Brb - Par. 122685(65-87)</t>
  </si>
  <si>
    <t>Ant. Cob/122695</t>
  </si>
  <si>
    <t>Banco Brb - Par. 122695(75-87)</t>
  </si>
  <si>
    <t>Ant. Cob/122626</t>
  </si>
  <si>
    <t>Banco Brb - Par. 122626(06-87)</t>
  </si>
  <si>
    <t>Ant. Cob/122706</t>
  </si>
  <si>
    <t>Banco Brb - Par. 122706(86-87)</t>
  </si>
  <si>
    <t>Ant. Cob/122636</t>
  </si>
  <si>
    <t>Banco Brb - Par. 122636(16-87)</t>
  </si>
  <si>
    <t>Ant. Cob/122646</t>
  </si>
  <si>
    <t>Banco Brb - Par. 122646(26-87)</t>
  </si>
  <si>
    <t>Ant. Cob/122656</t>
  </si>
  <si>
    <t>Banco Brb - Par. 122656(36-87)</t>
  </si>
  <si>
    <t>Ant. Cob/122666</t>
  </si>
  <si>
    <t>Banco Brb - Par. 122666(46-87)</t>
  </si>
  <si>
    <t>Ant. Cob/122676</t>
  </si>
  <si>
    <t>Banco Brb - Par. 122676(56-87)</t>
  </si>
  <si>
    <t>Ant. Cob/122686</t>
  </si>
  <si>
    <t>Banco Brb - Par. 122686(66-87)</t>
  </si>
  <si>
    <t>Ant. Cob/122696</t>
  </si>
  <si>
    <t>Banco Brb - Par. 122696(76-87)</t>
  </si>
  <si>
    <t>Ant. Cob/122627</t>
  </si>
  <si>
    <t>Banco Brb - Par. 122627(07-87)</t>
  </si>
  <si>
    <t>Ant. Cob/122637</t>
  </si>
  <si>
    <t>Banco Brb - Par. 122637(17-87)</t>
  </si>
  <si>
    <t>Ant. Cob/122647</t>
  </si>
  <si>
    <t>Banco Brb - Par. 122647(27-87)</t>
  </si>
  <si>
    <t>Ant. Cob/122707</t>
  </si>
  <si>
    <t>Banco Brb - Par. 122707(87-87)</t>
  </si>
  <si>
    <t>Ant. Cob/122657</t>
  </si>
  <si>
    <t>Banco Brb - Par. 122657(37-87)</t>
  </si>
  <si>
    <t>Ant. Cob/122667</t>
  </si>
  <si>
    <t>Banco Brb - Par. 122667(47-87)</t>
  </si>
  <si>
    <t>Ant. Cob/122677</t>
  </si>
  <si>
    <t>Banco Brb - Par. 122677(57-87)</t>
  </si>
  <si>
    <t>Ant. Cob/122687</t>
  </si>
  <si>
    <t>Banco Brb - Par. 122687(67-87)</t>
  </si>
  <si>
    <t>Ant. Cob/122697</t>
  </si>
  <si>
    <t>Banco Brb - Par. 122697(77-87)</t>
  </si>
  <si>
    <t>Ant. Cob/122628</t>
  </si>
  <si>
    <t>Banco Brb - Par. 122628(08-87)</t>
  </si>
  <si>
    <t>Ant. Cob/122638</t>
  </si>
  <si>
    <t>Banco Brb - Par. 122638(18-87)</t>
  </si>
  <si>
    <t>Ant. Cob/122648</t>
  </si>
  <si>
    <t>Banco Brb - Par. 122648(28-87)</t>
  </si>
  <si>
    <t>Ant. Cob/122658</t>
  </si>
  <si>
    <t>Banco Brb - Par. 122658(38-87)</t>
  </si>
  <si>
    <t>Ant. Cob/122668</t>
  </si>
  <si>
    <t>Banco Brb - Par. 122668(48-87)</t>
  </si>
  <si>
    <t>Ant. Cob/122678</t>
  </si>
  <si>
    <t>Banco Brb - Par. 122678(58-87)</t>
  </si>
  <si>
    <t>Ant. Cob/122688</t>
  </si>
  <si>
    <t>Banco Brb - Par. 122688(68-87)</t>
  </si>
  <si>
    <t>Ant. Cob/122698</t>
  </si>
  <si>
    <t>Banco Brb - Par. 122698(78-87)</t>
  </si>
  <si>
    <t>Ant. Cob/122629</t>
  </si>
  <si>
    <t>Banco Brb - Par. 122629(09-87)</t>
  </si>
  <si>
    <t>Ant. Cob/122639</t>
  </si>
  <si>
    <t>Banco Brb - Par. 122639(19-87)</t>
  </si>
  <si>
    <t>Ant. Cob/122649</t>
  </si>
  <si>
    <t>Banco Brb - Par. 122649(29-87)</t>
  </si>
  <si>
    <t>Ant. Cob/122659</t>
  </si>
  <si>
    <t>Banco Brb - Par. 122659(39-87)</t>
  </si>
  <si>
    <t>Ant. Cob/122669</t>
  </si>
  <si>
    <t>Banco Brb - Par. 122669(49-87)</t>
  </si>
  <si>
    <t>Ant. Cob/122679</t>
  </si>
  <si>
    <t>Banco Brb - Par. 122679(59-87)</t>
  </si>
  <si>
    <t>Ant. Cob/122689</t>
  </si>
  <si>
    <t>Banco Brb - Par. 122689(69-87)</t>
  </si>
  <si>
    <t>Ant. Cob/122699</t>
  </si>
  <si>
    <t>Banco Brb - Par. 122699(79-87)</t>
  </si>
  <si>
    <t>DB20150505</t>
  </si>
  <si>
    <t>OPERAÇÃO DESCONTO BOLETOS 2013.05.05</t>
  </si>
  <si>
    <t xml:space="preserve">Deposito Cheque </t>
  </si>
  <si>
    <t>JUROS20150504/122770</t>
  </si>
  <si>
    <t>Banco Brb - Par. 122770(03-3)</t>
  </si>
  <si>
    <t>APLICAÇÃO AUTO MAIS</t>
  </si>
  <si>
    <t>Destino: 276165-Transferência Entre Conta</t>
  </si>
  <si>
    <t>Extrato/128704</t>
  </si>
  <si>
    <t>Banco Safra - Cód. 128704</t>
  </si>
  <si>
    <t>2176/119637</t>
  </si>
  <si>
    <t>Morais Souza C V L E Public - Cód. 119637</t>
  </si>
  <si>
    <t>Extrato/122849</t>
  </si>
  <si>
    <t>Banco Itaú Unibanco S.A. - Cód. 122849</t>
  </si>
  <si>
    <t>Extrato/122859</t>
  </si>
  <si>
    <t>Banco Itaú Unibanco S.A. - Cód. 122859</t>
  </si>
  <si>
    <t>Extrato/122846</t>
  </si>
  <si>
    <t>Banco Itaú Unibanco S.A. - Par. 122846(04-4)</t>
  </si>
  <si>
    <t xml:space="preserve">Aplicação auto mais </t>
  </si>
  <si>
    <t xml:space="preserve">Liquidação de Cobrança </t>
  </si>
  <si>
    <t>Brb Sol 3316/118082</t>
  </si>
  <si>
    <t>Alex - Cunhado do Diego Bernadelli - Cód. 118082</t>
  </si>
  <si>
    <t>Brb Sol 3494/122365</t>
  </si>
  <si>
    <t>Instituto C Lamar - Cód. 122365</t>
  </si>
  <si>
    <t>Extrato/122858</t>
  </si>
  <si>
    <t>Banco Itaú Unibanco S.A. - Cód. 122858</t>
  </si>
  <si>
    <t>EXTRATO/122833</t>
  </si>
  <si>
    <t>Banco Itaú Unibanco S.A. - Cód. 122833</t>
  </si>
  <si>
    <t>MMDMB/122356</t>
  </si>
  <si>
    <t>Marilia Maria De Moura Barros - Cód. 122356</t>
  </si>
  <si>
    <t>RVF/108677</t>
  </si>
  <si>
    <t>Renato Vieira Ferro - Par. 108677(05-12)</t>
  </si>
  <si>
    <t>HJB/108627</t>
  </si>
  <si>
    <t>Henrique José Bernadelli - Par. 108627(05-12)</t>
  </si>
  <si>
    <t>SRP/122357</t>
  </si>
  <si>
    <t>Silvanio Rodrigues Peres - Cód. 122357</t>
  </si>
  <si>
    <t>Recibo/115058</t>
  </si>
  <si>
    <t>Mi - Morada Imóveis Ltda - Par. 115058(04-12)</t>
  </si>
  <si>
    <t>Ant. Cob/122865</t>
  </si>
  <si>
    <t>Banco Brb - Cód. 122865</t>
  </si>
  <si>
    <t>Ant.Cob/122866</t>
  </si>
  <si>
    <t>Banco Brb - Cód. 122866</t>
  </si>
  <si>
    <t>Destino: 267661-Transferência Entre Conta</t>
  </si>
  <si>
    <t>BRB [CAN] [012037-0] [CC]</t>
  </si>
  <si>
    <t>Fgts/122378</t>
  </si>
  <si>
    <t>Fgts - Cód. 122378</t>
  </si>
  <si>
    <t>12602541512501236/122379</t>
  </si>
  <si>
    <t>Ministério da Fazenda - Cód. 122379</t>
  </si>
  <si>
    <t>Fgts/122380</t>
  </si>
  <si>
    <t>Fgts - Cód. 122380</t>
  </si>
  <si>
    <t>Fgts/122381</t>
  </si>
  <si>
    <t>Fgts - Cód. 122381</t>
  </si>
  <si>
    <t>Fgts/122382</t>
  </si>
  <si>
    <t>Fgts - Cód. 122382</t>
  </si>
  <si>
    <t>Fgts/122383</t>
  </si>
  <si>
    <t>Fgts - Cód. 122383</t>
  </si>
  <si>
    <t>Fgts/122384</t>
  </si>
  <si>
    <t>Fgts - Cód. 122384</t>
  </si>
  <si>
    <t>Fgts/122385</t>
  </si>
  <si>
    <t>Fgts - Cód. 122385</t>
  </si>
  <si>
    <t>Fgts/122386</t>
  </si>
  <si>
    <t>Fgts - Cód. 122386</t>
  </si>
  <si>
    <t>Rescisão/123231</t>
  </si>
  <si>
    <t>Rescisão - Grupo Olimpo - Cód. 123231</t>
  </si>
  <si>
    <t>MD/108651</t>
  </si>
  <si>
    <t>Marisvaldo Divino  - Par. 108651(05-12)</t>
  </si>
  <si>
    <t>MAC/123223</t>
  </si>
  <si>
    <t>Marco Antônio Cruvinel - Cód. 123223</t>
  </si>
  <si>
    <t>Brb Sol 3505/123224</t>
  </si>
  <si>
    <t>Faculdade Eso - Cód. 123224</t>
  </si>
  <si>
    <t>EV/110042</t>
  </si>
  <si>
    <t>Edizilda Vieira Moraes Marinho - Par. 110042(05-12)</t>
  </si>
  <si>
    <t>Extrato/122878</t>
  </si>
  <si>
    <t>Banco Santander  - Par. 122878(02-3)</t>
  </si>
  <si>
    <t>Extrato/122879</t>
  </si>
  <si>
    <t>Banco Santander  - Par. 122879(03-3)</t>
  </si>
  <si>
    <t>Extrato/123119</t>
  </si>
  <si>
    <t>Bic - Banco Industria E Comercio - Cód. 123119</t>
  </si>
  <si>
    <t>Par.(03/12) 019719/MARIANA RODRIGUES DE MATO - Mensalidades</t>
  </si>
  <si>
    <t>Par.(02/12) 019797/LUCCA FELICIO SCAFUTO - Mensalidades</t>
  </si>
  <si>
    <t>Par.(03/12) 019797/LUCCA FELICIO SCAFUTO - Mensalidades</t>
  </si>
  <si>
    <t>13765115/123239</t>
  </si>
  <si>
    <t>Celg - Cód. 123239</t>
  </si>
  <si>
    <t>13765115/123240</t>
  </si>
  <si>
    <t>Celg - Cód. 123240</t>
  </si>
  <si>
    <t>10360591/110409</t>
  </si>
  <si>
    <t>Celg - Par. 110409(04-11)</t>
  </si>
  <si>
    <t>10360815/110421</t>
  </si>
  <si>
    <t>Celg - Par. 110421(04-11)</t>
  </si>
  <si>
    <t>0247412991-0/111431</t>
  </si>
  <si>
    <t>Gvt  - Par. 111431(05-12)</t>
  </si>
  <si>
    <t>01687760/123241</t>
  </si>
  <si>
    <t>Saneago - Cód. 123241</t>
  </si>
  <si>
    <t>CA.Água (CUSTO)</t>
  </si>
  <si>
    <t>Brb Sol 2905/114228</t>
  </si>
  <si>
    <t>Rodrigo Do Petrônio - Cód. 114228</t>
  </si>
  <si>
    <t>Ch Brb Sol 2995/114172</t>
  </si>
  <si>
    <t>Fábio Villa Verde Moreno - Cód. 114172</t>
  </si>
  <si>
    <t>Ch Brb Sol 3009/114177</t>
  </si>
  <si>
    <t>Fábio Villa Verde Moreno - Cód. 114177</t>
  </si>
  <si>
    <t>Ch Brb Sol 3016/114188</t>
  </si>
  <si>
    <t>Fábio Villa Verde Moreno - Cód. 114188</t>
  </si>
  <si>
    <t>Ch Brb Sol 3019/114191</t>
  </si>
  <si>
    <t>Fábio Villa Verde Moreno - Cód. 114191</t>
  </si>
  <si>
    <t>Cheque/114895</t>
  </si>
  <si>
    <t>Bic - Banco Industria E Comercio - Cód. 114895</t>
  </si>
  <si>
    <t>Ant.Cob/123120</t>
  </si>
  <si>
    <t>Banco Brb - Cód. 123120</t>
  </si>
  <si>
    <t>Ant.Cob/123121</t>
  </si>
  <si>
    <t>Banco Brb - Cód. 123121</t>
  </si>
  <si>
    <t>Deposito Cheque - Senise</t>
  </si>
  <si>
    <t>Empréstimo Resp. OLimpo</t>
  </si>
  <si>
    <t>Recebimento de Aluno</t>
  </si>
  <si>
    <t>Extrato/123183</t>
  </si>
  <si>
    <t>Caixa Econômica Federal - Cód. 123183</t>
  </si>
  <si>
    <t>Extrato/123184</t>
  </si>
  <si>
    <t>Caixa Econômica Federal - Cód. 123184</t>
  </si>
  <si>
    <t>3288567/124432</t>
  </si>
  <si>
    <t>Ministério da Fazenda - Cód. 124432</t>
  </si>
  <si>
    <t>Destino: 269928-Transferência Entre Conta</t>
  </si>
  <si>
    <t>Extrato/123809</t>
  </si>
  <si>
    <t>Banco Santander  - Cód. 123809</t>
  </si>
  <si>
    <t>6007/119668</t>
  </si>
  <si>
    <t>Termosul Ar Condicionado E Refrigeração - Cód. 119668</t>
  </si>
  <si>
    <t>6008/119671</t>
  </si>
  <si>
    <t>Termosul Ar Condicionado E Refrigeração - Cód. 119671</t>
  </si>
  <si>
    <t>Destino: 269931-Transferência Entre Conta</t>
  </si>
  <si>
    <t>6006/119670</t>
  </si>
  <si>
    <t>Termosul Ar Condicionado E Refrigeração - Cód. 119670</t>
  </si>
  <si>
    <t>4629/123274</t>
  </si>
  <si>
    <t>Hidro Service Peças e Serviços - Cód. 123274</t>
  </si>
  <si>
    <t>6009/119669</t>
  </si>
  <si>
    <t>Termosul Ar Condicionado E Refrigeração - Cód. 119669</t>
  </si>
  <si>
    <t>Extrato/123317</t>
  </si>
  <si>
    <t>Banco Daycoval S/A  - Cód. 123317</t>
  </si>
  <si>
    <t>ITAÚ [SOL] [032614-9] [CG]</t>
  </si>
  <si>
    <t>Destino: 269553-Transferência Entre Conta</t>
  </si>
  <si>
    <t>Recibo/123275</t>
  </si>
  <si>
    <t>Climest - Medicina E Segurança Do Trabal - Cód. 123275</t>
  </si>
  <si>
    <t>Recibo/123276</t>
  </si>
  <si>
    <t>Climest - Medicina E Segurança Do Trabal - Cód. 123276</t>
  </si>
  <si>
    <t>Extrato/123196</t>
  </si>
  <si>
    <t>Banco Itaú Unibanco S.A. - Cód. 123196</t>
  </si>
  <si>
    <t>Destino: 269804-Transferência Entre Conta</t>
  </si>
  <si>
    <t>HSBC [MAR] [000338-39] [CC]</t>
  </si>
  <si>
    <t>Destino: 269806-Transferência Entre Conta</t>
  </si>
  <si>
    <t>Destino: 269808-Transferência Entre Conta</t>
  </si>
  <si>
    <t>Destino: 269810-Transferência Entre Conta</t>
  </si>
  <si>
    <t>Extrato/123197</t>
  </si>
  <si>
    <t>Mercantil Do Brasil - Cód. 123197</t>
  </si>
  <si>
    <t>Extrato/123198</t>
  </si>
  <si>
    <t>Mercantil Do Brasil - Cód. 123198</t>
  </si>
  <si>
    <t>Retorno: Par. 205146(05/12) - 19983/ANA - Mensalidades</t>
  </si>
  <si>
    <t>Retorno: Par. 192250(04/12) - 18596/LUC - Mensalidades</t>
  </si>
  <si>
    <t>Retorno: Par. 191228(04/12) - 19692/LAU - Mensalidades</t>
  </si>
  <si>
    <t>Retorno: Par. 197350(04/12) - 19719/MAR - Mensalidades</t>
  </si>
  <si>
    <t>DB 20150506</t>
  </si>
  <si>
    <t>Operação Desconto Boletos - 2015.05.06</t>
  </si>
  <si>
    <t>Juros20150506/122956</t>
  </si>
  <si>
    <t>Banco Brb - Cód. 122956</t>
  </si>
  <si>
    <t>Ant. Cob/122957</t>
  </si>
  <si>
    <t>Banco Brb - Cód. 122957</t>
  </si>
  <si>
    <t>Ant.Cob/122958</t>
  </si>
  <si>
    <t>Banco Brb - Cód. 122958</t>
  </si>
  <si>
    <t>Extrato/122960</t>
  </si>
  <si>
    <t>Banco Brb - Cód. 122960</t>
  </si>
  <si>
    <t>Extrato/122959</t>
  </si>
  <si>
    <t>Banco Brb - Cód. 122959</t>
  </si>
  <si>
    <t>Ant.Cob/122970</t>
  </si>
  <si>
    <t>Banco Brb - Par. 122970(10-18)</t>
  </si>
  <si>
    <t>Ant.Cob/122961</t>
  </si>
  <si>
    <t>Banco Brb - Par. 122961(01-18)</t>
  </si>
  <si>
    <t>Ant.Cob/122971</t>
  </si>
  <si>
    <t>Banco Brb - Par. 122971(11-18)</t>
  </si>
  <si>
    <t>Ant.Cob/122962</t>
  </si>
  <si>
    <t>Banco Brb - Par. 122962(02-18)</t>
  </si>
  <si>
    <t>Ant.Cob/122972</t>
  </si>
  <si>
    <t>Banco Brb - Par. 122972(12-18)</t>
  </si>
  <si>
    <t>Ant.Cob/122963</t>
  </si>
  <si>
    <t>Banco Brb - Par. 122963(03-18)</t>
  </si>
  <si>
    <t>Ant.Cob/122973</t>
  </si>
  <si>
    <t>Banco Brb - Par. 122973(13-18)</t>
  </si>
  <si>
    <t>Ant.Cob/122964</t>
  </si>
  <si>
    <t>Banco Brb - Par. 122964(04-18)</t>
  </si>
  <si>
    <t>Ant.Cob/122974</t>
  </si>
  <si>
    <t>Banco Brb - Par. 122974(14-18)</t>
  </si>
  <si>
    <t>Ant.Cob/122965</t>
  </si>
  <si>
    <t>Banco Brb - Par. 122965(05-18)</t>
  </si>
  <si>
    <t>Ant.Cob/122975</t>
  </si>
  <si>
    <t>Banco Brb - Par. 122975(15-18)</t>
  </si>
  <si>
    <t>Ant.Cob/122966</t>
  </si>
  <si>
    <t>Banco Brb - Par. 122966(06-18)</t>
  </si>
  <si>
    <t>Ant.Cob/122976</t>
  </si>
  <si>
    <t>Banco Brb - Par. 122976(16-18)</t>
  </si>
  <si>
    <t>Ant.Cob/122967</t>
  </si>
  <si>
    <t>Banco Brb - Par. 122967(07-18)</t>
  </si>
  <si>
    <t>Ant.Cob/122977</t>
  </si>
  <si>
    <t>Banco Brb - Par. 122977(17-18)</t>
  </si>
  <si>
    <t>Ant.Cob/122968</t>
  </si>
  <si>
    <t>Banco Brb - Par. 122968(08-18)</t>
  </si>
  <si>
    <t>Ant.Cob/122978</t>
  </si>
  <si>
    <t>Banco Brb - Par. 122978(18-18)</t>
  </si>
  <si>
    <t>Ant.Cob/122969</t>
  </si>
  <si>
    <t>Banco Brb - Par. 122969(09-18)</t>
  </si>
  <si>
    <t>Ant.Cob/122988</t>
  </si>
  <si>
    <t>Banco Brb - Par. 122988(10-30)</t>
  </si>
  <si>
    <t>Ant.Cob/122998</t>
  </si>
  <si>
    <t>Banco Brb - Par. 122998(20-30)</t>
  </si>
  <si>
    <t>Ant.Cob/122980</t>
  </si>
  <si>
    <t>Banco Brb - Par. 122980(02-30)</t>
  </si>
  <si>
    <t>Ant.Cob/122990</t>
  </si>
  <si>
    <t>Banco Brb - Par. 122990(12-30)</t>
  </si>
  <si>
    <t>Ant.Cob/122981</t>
  </si>
  <si>
    <t>Banco Brb - Par. 122981(03-30)</t>
  </si>
  <si>
    <t>Ant.Cob/122991</t>
  </si>
  <si>
    <t>Banco Brb - Par. 122991(13-30)</t>
  </si>
  <si>
    <t>Ant.Cob/122982</t>
  </si>
  <si>
    <t>Banco Brb - Par. 122982(04-30)</t>
  </si>
  <si>
    <t>Ant.Cob/122992</t>
  </si>
  <si>
    <t>Banco Brb - Par. 122992(14-30)</t>
  </si>
  <si>
    <t>Ant.Cob/122983</t>
  </si>
  <si>
    <t>Banco Brb - Par. 122983(05-30)</t>
  </si>
  <si>
    <t>Ant.Cob/122979</t>
  </si>
  <si>
    <t>Banco Brb - Par. 122979(01-30)</t>
  </si>
  <si>
    <t>Ant.Cob/122999</t>
  </si>
  <si>
    <t>Banco Brb - Par. 122999(21-30)</t>
  </si>
  <si>
    <t>Ant.Cob/123000</t>
  </si>
  <si>
    <t>Banco Brb - Par. 123000(22-30)</t>
  </si>
  <si>
    <t>Ant.Cob/123001</t>
  </si>
  <si>
    <t>Banco Brb - Par. 123001(23-30)</t>
  </si>
  <si>
    <t>Ant.Cob/123002</t>
  </si>
  <si>
    <t>Banco Brb - Par. 123002(24-30)</t>
  </si>
  <si>
    <t>Ant.Cob/123008</t>
  </si>
  <si>
    <t>Banco Brb - Par. 123008(30-30)</t>
  </si>
  <si>
    <t>Ant.Cob/122993</t>
  </si>
  <si>
    <t>Banco Brb - Par. 122993(15-30)</t>
  </si>
  <si>
    <t>Ant.Cob/122984</t>
  </si>
  <si>
    <t>Banco Brb - Par. 122984(06-30)</t>
  </si>
  <si>
    <t>Ant.Cob/122994</t>
  </si>
  <si>
    <t>Banco Brb - Par. 122994(16-30)</t>
  </si>
  <si>
    <t>Ant.Cob/122985</t>
  </si>
  <si>
    <t>Banco Brb - Par. 122985(07-30)</t>
  </si>
  <si>
    <t>Ant.Cob/122995</t>
  </si>
  <si>
    <t>Banco Brb - Par. 122995(17-30)</t>
  </si>
  <si>
    <t>Ant.Cob/122986</t>
  </si>
  <si>
    <t>Banco Brb - Par. 122986(08-30)</t>
  </si>
  <si>
    <t>Ant.Cob/122996</t>
  </si>
  <si>
    <t>Banco Brb - Par. 122996(18-30)</t>
  </si>
  <si>
    <t>Ant.Cob/122987</t>
  </si>
  <si>
    <t>Banco Brb - Par. 122987(09-30)</t>
  </si>
  <si>
    <t>Ant.Cob/123003</t>
  </si>
  <si>
    <t>Banco Brb - Par. 123003(25-30)</t>
  </si>
  <si>
    <t>Ant.Cob/123004</t>
  </si>
  <si>
    <t>Banco Brb - Par. 123004(26-30)</t>
  </si>
  <si>
    <t>Ant.Cob/123005</t>
  </si>
  <si>
    <t>Banco Brb - Par. 123005(27-30)</t>
  </si>
  <si>
    <t>Ant.Cob/123006</t>
  </si>
  <si>
    <t>Banco Brb - Par. 123006(28-30)</t>
  </si>
  <si>
    <t>Ant.Cob/122997</t>
  </si>
  <si>
    <t>Banco Brb - Par. 122997(19-30)</t>
  </si>
  <si>
    <t>Ant.Cob/123007</t>
  </si>
  <si>
    <t>Banco Brb - Par. 123007(29-30)</t>
  </si>
  <si>
    <t>Ant.Cob/123018</t>
  </si>
  <si>
    <t>Banco Brb - Par. 123018(10-29)</t>
  </si>
  <si>
    <t>Ant.Cob/123010</t>
  </si>
  <si>
    <t>Banco Brb - Par. 123010(02-29)</t>
  </si>
  <si>
    <t>Ant.Cob/123020</t>
  </si>
  <si>
    <t>Banco Brb - Par. 123020(12-29)</t>
  </si>
  <si>
    <t>Ant.Cob/123030</t>
  </si>
  <si>
    <t>Banco Brb - Par. 123030(22-29)</t>
  </si>
  <si>
    <t>Ant.Cob/123011</t>
  </si>
  <si>
    <t>Banco Brb - Par. 123011(03-29)</t>
  </si>
  <si>
    <t>Ant.Cob/123028</t>
  </si>
  <si>
    <t>Banco Brb - Par. 123028(20-29)</t>
  </si>
  <si>
    <t>Ant.Cob/123009</t>
  </si>
  <si>
    <t>Banco Brb - Par. 123009(01-29)</t>
  </si>
  <si>
    <t>Ant.Cob/123019</t>
  </si>
  <si>
    <t>Banco Brb - Par. 123019(11-29)</t>
  </si>
  <si>
    <t>Ant.Cob/123029</t>
  </si>
  <si>
    <t>Banco Brb - Par. 123029(21-29)</t>
  </si>
  <si>
    <t>Ant.Cob/123021</t>
  </si>
  <si>
    <t>Banco Brb - Par. 123021(13-29)</t>
  </si>
  <si>
    <t>Ant.Cob/123031</t>
  </si>
  <si>
    <t>Banco Brb - Par. 123031(23-29)</t>
  </si>
  <si>
    <t>Ant.Cob/123012</t>
  </si>
  <si>
    <t>Banco Brb - Par. 123012(04-29)</t>
  </si>
  <si>
    <t>Ant.Cob/123022</t>
  </si>
  <si>
    <t>Banco Brb - Par. 123022(14-29)</t>
  </si>
  <si>
    <t>Ant.Cob/123032</t>
  </si>
  <si>
    <t>Banco Brb - Par. 123032(24-29)</t>
  </si>
  <si>
    <t>Ant.Cob/123013</t>
  </si>
  <si>
    <t>Banco Brb - Par. 123013(05-29)</t>
  </si>
  <si>
    <t>Ant.Cob/123023</t>
  </si>
  <si>
    <t>Banco Brb - Par. 123023(15-29)</t>
  </si>
  <si>
    <t>Ant.Cob/123033</t>
  </si>
  <si>
    <t>Banco Brb - Par. 123033(25-29)</t>
  </si>
  <si>
    <t>Ant.Cob/123014</t>
  </si>
  <si>
    <t>Banco Brb - Par. 123014(06-29)</t>
  </si>
  <si>
    <t>Ant.Cob/123024</t>
  </si>
  <si>
    <t>Banco Brb - Par. 123024(16-29)</t>
  </si>
  <si>
    <t>Ant.Cob/123034</t>
  </si>
  <si>
    <t>Banco Brb - Par. 123034(26-29)</t>
  </si>
  <si>
    <t>Ant.Cob/123015</t>
  </si>
  <si>
    <t>Banco Brb - Par. 123015(07-29)</t>
  </si>
  <si>
    <t>Ant.Cob/123025</t>
  </si>
  <si>
    <t>Banco Brb - Par. 123025(17-29)</t>
  </si>
  <si>
    <t>Ant.Cob/123035</t>
  </si>
  <si>
    <t>Banco Brb - Par. 123035(27-29)</t>
  </si>
  <si>
    <t>Ant.Cob/123016</t>
  </si>
  <si>
    <t>Banco Brb - Par. 123016(08-29)</t>
  </si>
  <si>
    <t>Ant.Cob/123026</t>
  </si>
  <si>
    <t>Banco Brb - Par. 123026(18-29)</t>
  </si>
  <si>
    <t>Ant.Cob/123036</t>
  </si>
  <si>
    <t>Banco Brb - Par. 123036(28-29)</t>
  </si>
  <si>
    <t>Ant.Cob/123017</t>
  </si>
  <si>
    <t>Banco Brb - Par. 123017(09-29)</t>
  </si>
  <si>
    <t>Ant.Cob/123027</t>
  </si>
  <si>
    <t>Banco Brb - Par. 123027(19-29)</t>
  </si>
  <si>
    <t>Ant.Cob/123037</t>
  </si>
  <si>
    <t>Banco Brb - Par. 123037(29-29)</t>
  </si>
  <si>
    <t>Ant.Cob/123040</t>
  </si>
  <si>
    <t>Banco Brb - Par. 123040(03-9)</t>
  </si>
  <si>
    <t>Ant.Cob/123038</t>
  </si>
  <si>
    <t>Banco Brb - Par. 123038(01-9)</t>
  </si>
  <si>
    <t>Ant.Cob/123039</t>
  </si>
  <si>
    <t>Banco Brb - Par. 123039(02-9)</t>
  </si>
  <si>
    <t>Ant.Cob/123041</t>
  </si>
  <si>
    <t>Banco Brb - Par. 123041(04-9)</t>
  </si>
  <si>
    <t>Ant.Cob/123042</t>
  </si>
  <si>
    <t>Banco Brb - Par. 123042(05-9)</t>
  </si>
  <si>
    <t>Ant.Cob/123043</t>
  </si>
  <si>
    <t>Banco Brb - Par. 123043(06-9)</t>
  </si>
  <si>
    <t>Ant.Cob/123044</t>
  </si>
  <si>
    <t>Banco Brb - Par. 123044(07-9)</t>
  </si>
  <si>
    <t>Ant.Cob/123045</t>
  </si>
  <si>
    <t>Banco Brb - Par. 123045(08-9)</t>
  </si>
  <si>
    <t>Ant.Cob/123046</t>
  </si>
  <si>
    <t>Banco Brb - Par. 123046(09-9)</t>
  </si>
  <si>
    <t>Retorno: Par. 191914(04/12) - 018393/GUS - Mensalidades</t>
  </si>
  <si>
    <t>Retorno: Par. 191857(04/12) - 018436/GAB - Mensalidades</t>
  </si>
  <si>
    <t>Retorno: Par. 189883(04/12) - 018236/MUR - Mensalidades</t>
  </si>
  <si>
    <t>Retorno: Par. 189944(04/12) - 018292/LAÍ - Mensalidades</t>
  </si>
  <si>
    <t>Retorno: Par. 192912(05/12) - 018107/BEA - Mensalidades</t>
  </si>
  <si>
    <t>Retorno: Par. 194382(04/12) - 019845/GUI - Mensalidades</t>
  </si>
  <si>
    <t>Retorno: Par. 191183(04/12) - 019027/ALA - Mensalidades</t>
  </si>
  <si>
    <t>Retorno: Par. 190077(04/12) - 018340/GAB - Mensalidades</t>
  </si>
  <si>
    <t>Retorno: Par. 189762(04/12) - 019618/LAR - Mensalidades</t>
  </si>
  <si>
    <t>Retorno: Par. 190112(04/12) - 018122/MAR - Mensalidades</t>
  </si>
  <si>
    <t>Destino: 276166-Transferência Entre Conta</t>
  </si>
  <si>
    <t>Extrato/128705</t>
  </si>
  <si>
    <t>Banco Safra - Cód. 128705</t>
  </si>
  <si>
    <t>Extrato/128706</t>
  </si>
  <si>
    <t>Banco Safra - Cód. 128706</t>
  </si>
  <si>
    <t>Extrato/128707</t>
  </si>
  <si>
    <t>Banco Safra - Cód. 128707</t>
  </si>
  <si>
    <t>Destino: 269262-Transferência Entre Conta</t>
  </si>
  <si>
    <t>Extrato/123117</t>
  </si>
  <si>
    <t>Bic - Banco Industria E Comercio - Cód. 123117</t>
  </si>
  <si>
    <t>Extrato/123118</t>
  </si>
  <si>
    <t>Bic - Banco Industria E Comercio - Cód. 123118</t>
  </si>
  <si>
    <t>JAD/110021</t>
  </si>
  <si>
    <t>Jusefa Alves Dionizio - Par. 110021(05-12)</t>
  </si>
  <si>
    <t>MFN/110009</t>
  </si>
  <si>
    <t>Maria Floriza Neta - Par. 110009(05-12)</t>
  </si>
  <si>
    <t>Extrato/123504</t>
  </si>
  <si>
    <t>Banco Brb - Cód. 123504</t>
  </si>
  <si>
    <t>ESPÉCIE 2015-05-07</t>
  </si>
  <si>
    <t>PAGAMENTO DA MENSALIDADE DE FEVEREIRO/2015, DO(A) ALUNO(A) BEATRIZ DA SILVA RESENDE_ESN</t>
  </si>
  <si>
    <t>Fgts/123242</t>
  </si>
  <si>
    <t>Fgts - Cód. 123242</t>
  </si>
  <si>
    <t>Extrato/123779</t>
  </si>
  <si>
    <t>Banco Brb - Cód. 123779</t>
  </si>
  <si>
    <t>Extrato/123122</t>
  </si>
  <si>
    <t>Banco Brb - Cód. 123122</t>
  </si>
  <si>
    <t>Extrato/123123</t>
  </si>
  <si>
    <t>Banco Brb - Cód. 123123</t>
  </si>
  <si>
    <t>PAGAMENTO DA MENSALIDADE DE ABRIL/2015, DO(A) ALUNO(A) SABRYNNA TEREZAN MORAES_EF</t>
  </si>
  <si>
    <t>Extrato/123124</t>
  </si>
  <si>
    <t>Banco Brb - Cód. 123124</t>
  </si>
  <si>
    <t>Extrato/123125</t>
  </si>
  <si>
    <t>Banco Brb - Cód. 123125</t>
  </si>
  <si>
    <t>Extrato/123130</t>
  </si>
  <si>
    <t>Banco Brb - Par. 123130(05-8)</t>
  </si>
  <si>
    <t>Extrato/123131</t>
  </si>
  <si>
    <t>Banco Brb - Par. 123131(06-8)</t>
  </si>
  <si>
    <t>Extrato/123132</t>
  </si>
  <si>
    <t>Banco Brb - Par. 123132(07-8)</t>
  </si>
  <si>
    <t>Extrato/123133</t>
  </si>
  <si>
    <t>Banco Brb - Par. 123133(08-8)</t>
  </si>
  <si>
    <t>Extrato/123126</t>
  </si>
  <si>
    <t>Banco Brb - Par. 123126(01-8)</t>
  </si>
  <si>
    <t>Extrato/123127</t>
  </si>
  <si>
    <t>Banco Brb - Par. 123127(02-8)</t>
  </si>
  <si>
    <t>Extrato/123128</t>
  </si>
  <si>
    <t>Banco Brb - Par. 123128(03-8)</t>
  </si>
  <si>
    <t>Extrato/123129</t>
  </si>
  <si>
    <t>Banco Brb - Par. 123129(04-8)</t>
  </si>
  <si>
    <t>Extrato/123134</t>
  </si>
  <si>
    <t>Banco Brb - Par. 123134(01-7)</t>
  </si>
  <si>
    <t>Extrato/123135</t>
  </si>
  <si>
    <t>Banco Brb - Par. 123135(02-7)</t>
  </si>
  <si>
    <t>Extrato/123136</t>
  </si>
  <si>
    <t>Banco Brb - Par. 123136(03-7)</t>
  </si>
  <si>
    <t>Extrato/123137</t>
  </si>
  <si>
    <t>Banco Brb - Par. 123137(04-7)</t>
  </si>
  <si>
    <t>Extrato/123138</t>
  </si>
  <si>
    <t>Banco Brb - Par. 123138(05-7)</t>
  </si>
  <si>
    <t>Extrato/123140</t>
  </si>
  <si>
    <t>Banco Brb - Par. 123140(07-7)</t>
  </si>
  <si>
    <t>Extrato/123139</t>
  </si>
  <si>
    <t>Banco Brb - Par. 123139(06-7)</t>
  </si>
  <si>
    <t>Extrato/123141</t>
  </si>
  <si>
    <t>Banco Brb - Cód. 123141</t>
  </si>
  <si>
    <t>Extrato/123142</t>
  </si>
  <si>
    <t>Banco Brb - Cód. 123142</t>
  </si>
  <si>
    <t>6069875/123244</t>
  </si>
  <si>
    <t>Tribunal de Justiça.GO - Cód. 123244</t>
  </si>
  <si>
    <t>Ant.Cob/123143</t>
  </si>
  <si>
    <t>Banco Brb - Cód. 123143</t>
  </si>
  <si>
    <t>Recibo/123250</t>
  </si>
  <si>
    <t>Cartório 3º Tabelionato De Notas - Cód. 123250</t>
  </si>
  <si>
    <t>Recibo/123262</t>
  </si>
  <si>
    <t>Marcelo De Moraes Melo - Cód. 123262</t>
  </si>
  <si>
    <t>Empréstimo Marco Antonio Rios (Jose Ferreira)</t>
  </si>
  <si>
    <t>Extrato/123185</t>
  </si>
  <si>
    <t>Caixa Econômica Federal - Cód. 123185</t>
  </si>
  <si>
    <t>Extrato/123186</t>
  </si>
  <si>
    <t>Caixa Econômica Federal - Cód. 123186</t>
  </si>
  <si>
    <t>Fiscais/123265</t>
  </si>
  <si>
    <t>Fiscais De Prova - Cód. 123265</t>
  </si>
  <si>
    <t>Fiscais/123272</t>
  </si>
  <si>
    <t>Fiscais De Prova - Cód. 123272</t>
  </si>
  <si>
    <t>Recibo/123273</t>
  </si>
  <si>
    <t>Marcelo De Moraes Melo - Cód. 123273</t>
  </si>
  <si>
    <t>Extrato/123318</t>
  </si>
  <si>
    <t>Banco Daycoval S/A  - Cód. 123318</t>
  </si>
  <si>
    <t>Destino: 269775-Transferência Entre Conta</t>
  </si>
  <si>
    <t>Destino: 269802-Transferência Entre Conta</t>
  </si>
  <si>
    <t>Retorno: Par. 204804(04/12) - 20033/CAR - Mensalidades</t>
  </si>
  <si>
    <t>Retorno: Par. 192280(04/12) - 18665/IGO - Mensalidades</t>
  </si>
  <si>
    <t>Retorno: Par. 191992(04/12) - 18578/LUÍ - Mensalidades</t>
  </si>
  <si>
    <t>Juros20150507/123048</t>
  </si>
  <si>
    <t>Banco Brb - Cód. 123048</t>
  </si>
  <si>
    <t>DB20150507</t>
  </si>
  <si>
    <t>Operação Desconto De Boletos 20150507</t>
  </si>
  <si>
    <t>Juros20150507/123047</t>
  </si>
  <si>
    <t>Banco Brb - Cód. 123047</t>
  </si>
  <si>
    <t>056/120/110706</t>
  </si>
  <si>
    <t>Nascente Agropecuária (Aluguel Marista) - Cód. 110706</t>
  </si>
  <si>
    <t>Recibo/118069</t>
  </si>
  <si>
    <t>Carlos Moreira - Cód. 118069</t>
  </si>
  <si>
    <t xml:space="preserve">T-3.Honorários </t>
  </si>
  <si>
    <t>Ant.Cob/123058</t>
  </si>
  <si>
    <t>Banco Brb - Par. 123058(10-18)</t>
  </si>
  <si>
    <t>Ant.Cob/123049</t>
  </si>
  <si>
    <t>Banco Brb - Par. 123049(01-18)</t>
  </si>
  <si>
    <t>Ant.Cob/123059</t>
  </si>
  <si>
    <t>Banco Brb - Par. 123059(11-18)</t>
  </si>
  <si>
    <t>Ant.Cob/123050</t>
  </si>
  <si>
    <t>Banco Brb - Par. 123050(02-18)</t>
  </si>
  <si>
    <t>Ant.Cob/123060</t>
  </si>
  <si>
    <t>Banco Brb - Par. 123060(12-18)</t>
  </si>
  <si>
    <t>Ant.Cob/123051</t>
  </si>
  <si>
    <t>Banco Brb - Par. 123051(03-18)</t>
  </si>
  <si>
    <t>Ant.Cob/123061</t>
  </si>
  <si>
    <t>Banco Brb - Par. 123061(13-18)</t>
  </si>
  <si>
    <t>Ant.Cob/123052</t>
  </si>
  <si>
    <t>Banco Brb - Par. 123052(04-18)</t>
  </si>
  <si>
    <t>Ant.Cob/123062</t>
  </si>
  <si>
    <t>Banco Brb - Par. 123062(14-18)</t>
  </si>
  <si>
    <t>Ant.Cob/123053</t>
  </si>
  <si>
    <t>Banco Brb - Par. 123053(05-18)</t>
  </si>
  <si>
    <t>Ant.Cob/123063</t>
  </si>
  <si>
    <t>Banco Brb - Par. 123063(15-18)</t>
  </si>
  <si>
    <t>Ant.Cob/123054</t>
  </si>
  <si>
    <t>Banco Brb - Par. 123054(06-18)</t>
  </si>
  <si>
    <t>Ant.Cob/123064</t>
  </si>
  <si>
    <t>Banco Brb - Par. 123064(16-18)</t>
  </si>
  <si>
    <t>Ant.Cob/123055</t>
  </si>
  <si>
    <t>Banco Brb - Par. 123055(07-18)</t>
  </si>
  <si>
    <t>Ant.Cob/123065</t>
  </si>
  <si>
    <t>Banco Brb - Par. 123065(17-18)</t>
  </si>
  <si>
    <t>Ant.Cob/123056</t>
  </si>
  <si>
    <t>Banco Brb - Par. 123056(08-18)</t>
  </si>
  <si>
    <t>Ant.Cob/123066</t>
  </si>
  <si>
    <t>Banco Brb - Par. 123066(18-18)</t>
  </si>
  <si>
    <t>Ant.Cob/123057</t>
  </si>
  <si>
    <t>Banco Brb - Par. 123057(09-18)</t>
  </si>
  <si>
    <t>Deposito Cheque Bloqueado</t>
  </si>
  <si>
    <t xml:space="preserve">Crédito Cheque Devolvido </t>
  </si>
  <si>
    <t>Retorno: Par. 189875(04/12) - 018350/MAT - Mensalidades</t>
  </si>
  <si>
    <t>Retorno: Par. 189958(04/12) - 018371/PAU - Mensalidades</t>
  </si>
  <si>
    <t>Retorno: Par. 190032(04/12) - 018150/VÍT - Mensalidades</t>
  </si>
  <si>
    <t>Retorno: Par. 191193(04/12) - 019354/ENZ - Mensalidades</t>
  </si>
  <si>
    <t>Retorno: Par. 191328(04/12) - 019803/LUC - Mensalidades</t>
  </si>
  <si>
    <t>Retorno: Par. 190088(04/12) - 018092/GEO - Mensalidades</t>
  </si>
  <si>
    <t>Extrato/123477</t>
  </si>
  <si>
    <t>Banco Brb - Cód. 123477</t>
  </si>
  <si>
    <t>Extrato/128708</t>
  </si>
  <si>
    <t>Banco Safra - Cód. 128708</t>
  </si>
  <si>
    <t>MD/110086</t>
  </si>
  <si>
    <t>Marisvaldo Divino  - Par. 110086(05-12)</t>
  </si>
  <si>
    <t>DFG/109997</t>
  </si>
  <si>
    <t>Danilo Ferreira Gomes - Par. 109997(05-12)</t>
  </si>
  <si>
    <t>APADM/109937</t>
  </si>
  <si>
    <t>Ana Paula Alves De Morais - Par. 109937(05-12)</t>
  </si>
  <si>
    <t>GB/110847</t>
  </si>
  <si>
    <t>Geni Bernadelli - Par. 110847(05-12)</t>
  </si>
  <si>
    <t>Rescisão/123236</t>
  </si>
  <si>
    <t>Rescisão - Grupo Olimpo - Cód. 123236</t>
  </si>
  <si>
    <t>Rescisão/123235</t>
  </si>
  <si>
    <t>Rescisão - Grupo Olimpo - Cód. 123235</t>
  </si>
  <si>
    <t>Rescisão/123234</t>
  </si>
  <si>
    <t>Rescisão - Grupo Olimpo - Cód. 123234</t>
  </si>
  <si>
    <t>Rescisão/123233</t>
  </si>
  <si>
    <t>Rescisão - Grupo Olimpo - Cód. 123233</t>
  </si>
  <si>
    <t>Rescisão/123227</t>
  </si>
  <si>
    <t>Rescisão - Grupo Olimpo - Cód. 123227</t>
  </si>
  <si>
    <t>Rescisão/123232</t>
  </si>
  <si>
    <t>Rescisão - Grupo Olimpo - Cód. 123232</t>
  </si>
  <si>
    <t>Destino: 270450-Transferência Entre Conta</t>
  </si>
  <si>
    <t>Ant.Cob/123658</t>
  </si>
  <si>
    <t>Banco Brb - Cód. 123658</t>
  </si>
  <si>
    <t>Destino: 270921-Transferência Entre Conta</t>
  </si>
  <si>
    <t>Extrato/123963</t>
  </si>
  <si>
    <t>Bic - Banco Industria E Comercio - Cód. 123963</t>
  </si>
  <si>
    <t>Rescisão/123225</t>
  </si>
  <si>
    <t>Rescisão - Grupo Olimpo - Cód. 123225</t>
  </si>
  <si>
    <t>Par.(02/12) 018351/IGOR FERREIRA COELHO GRAN - Mensalidades</t>
  </si>
  <si>
    <t>Par.(03/12) 019646/HANNA CAROLINA SOARES HIS - Mensalidades</t>
  </si>
  <si>
    <t>Abril /121394</t>
  </si>
  <si>
    <t>Folha De Pagamento - Unidade Anápolis - Cód. 121394</t>
  </si>
  <si>
    <t>Abril/121398</t>
  </si>
  <si>
    <t>Folha De Pagamento - Unidade T-3 - Cód. 121398</t>
  </si>
  <si>
    <t>Abril/121399</t>
  </si>
  <si>
    <t>Folha De Pagamento - Unidade Marista - Cód. 121399</t>
  </si>
  <si>
    <t>Abril/121396</t>
  </si>
  <si>
    <t>Folha De Pagamento - Unidade T-27  - Cód. 121396</t>
  </si>
  <si>
    <t>DEPÓSITO 2015-05-08</t>
  </si>
  <si>
    <t>PAGAMENTO DA MENSALIDADE DE MARÇO/2015, DO(A) ALUNO(A) JOÃO PAULO RODRIGUES ADORNO_EF</t>
  </si>
  <si>
    <t>Par.(01-12) 011905/NILZA ALVES VILELA - PAGAMENTO CHE</t>
  </si>
  <si>
    <t>PAGAMENTO DA MENSALIDADE DE MARÇO/2015, DO(A) ALUNO(A) EDUARDA PAIM DIAZ VIEIRA_EF</t>
  </si>
  <si>
    <t>ESPÉCIE 2015-05-08</t>
  </si>
  <si>
    <t>PAGAMENTO DE RENEGOCIAÇÃO DE 2014, DO(A) ALUNO(A) FELIPE AUGUSTO RIBEIRO MARQUES_ESN</t>
  </si>
  <si>
    <t>043876/123243</t>
  </si>
  <si>
    <t>Posto De Combustível - Cód. 123243</t>
  </si>
  <si>
    <t>Par.(01-6) 009527/LAIS DUARTE DE OLIVEIRA - Renegociado</t>
  </si>
  <si>
    <t>Destino: 269885-Transferência Entre Conta</t>
  </si>
  <si>
    <t>Destino: 269887-Transferência Entre Conta</t>
  </si>
  <si>
    <t>Rescisão/123230</t>
  </si>
  <si>
    <t>Rescisão - Grupo Olimpo - Cód. 123230</t>
  </si>
  <si>
    <t>Rescisão/123229</t>
  </si>
  <si>
    <t>Rescisão - Grupo Olimpo - Cód. 123229</t>
  </si>
  <si>
    <t>Rescisão/123228</t>
  </si>
  <si>
    <t>Rescisão - Grupo Olimpo - Cód. 123228</t>
  </si>
  <si>
    <t>Rescisão/123226</t>
  </si>
  <si>
    <t>Rescisão - Grupo Olimpo - Cód. 123226</t>
  </si>
  <si>
    <t>MMDMB/123245</t>
  </si>
  <si>
    <t>Marilia Maria De Moura Barros - Cód. 123245</t>
  </si>
  <si>
    <t>Par.(04-20) 002917/QUETSIA CAMELO VALLETTA - PAGAMENTO CHE</t>
  </si>
  <si>
    <t>ESPÉCIE 2015.05.08</t>
  </si>
  <si>
    <t>PAGAMENTO DA MENSALIDADE DE ABRIL/2015, DO(A) ALUNO(A) PEDRO LUSTOSA REGE BOTELHO_ITA</t>
  </si>
  <si>
    <t>Extrato/123144</t>
  </si>
  <si>
    <t>Banco Brb - Cód. 123144</t>
  </si>
  <si>
    <t>Extrato/123145</t>
  </si>
  <si>
    <t>Banco Brb - Cód. 123145</t>
  </si>
  <si>
    <t>Emprétimo Senis</t>
  </si>
  <si>
    <t>Extrato/123150</t>
  </si>
  <si>
    <t>Banco Brb - Par. 123150(05-6)</t>
  </si>
  <si>
    <t>Extrato/123151</t>
  </si>
  <si>
    <t>Banco Brb - Par. 123151(06-6)</t>
  </si>
  <si>
    <t>Extrato/123146</t>
  </si>
  <si>
    <t>Banco Brb - Par. 123146(01-6)</t>
  </si>
  <si>
    <t>Extrato/123147</t>
  </si>
  <si>
    <t>Banco Brb - Par. 123147(02-6)</t>
  </si>
  <si>
    <t>Extrato/123148</t>
  </si>
  <si>
    <t>Banco Brb - Par. 123148(03-6)</t>
  </si>
  <si>
    <t>Extrato/123149</t>
  </si>
  <si>
    <t>Banco Brb - Par. 123149(04-6)</t>
  </si>
  <si>
    <t>Extrato/123161</t>
  </si>
  <si>
    <t>Banco Brb - Par. 123161(10-10)</t>
  </si>
  <si>
    <t>Extrato/123152</t>
  </si>
  <si>
    <t>Banco Brb - Par. 123152(01-10)</t>
  </si>
  <si>
    <t>Extrato/123160</t>
  </si>
  <si>
    <t>Banco Brb - Par. 123160(09-10)</t>
  </si>
  <si>
    <t>Extrato/123153</t>
  </si>
  <si>
    <t>Banco Brb - Par. 123153(02-10)</t>
  </si>
  <si>
    <t>Extrato/123154</t>
  </si>
  <si>
    <t>Banco Brb - Par. 123154(03-10)</t>
  </si>
  <si>
    <t>Extrato/123155</t>
  </si>
  <si>
    <t>Banco Brb - Par. 123155(04-10)</t>
  </si>
  <si>
    <t>Extrato/123156</t>
  </si>
  <si>
    <t>Banco Brb - Par. 123156(05-10)</t>
  </si>
  <si>
    <t>Extrato/123157</t>
  </si>
  <si>
    <t>Banco Brb - Par. 123157(06-10)</t>
  </si>
  <si>
    <t>Extrato/123158</t>
  </si>
  <si>
    <t>Banco Brb - Par. 123158(07-10)</t>
  </si>
  <si>
    <t>Extrato/123159</t>
  </si>
  <si>
    <t>Banco Brb - Par. 123159(08-10)</t>
  </si>
  <si>
    <t>Extrato/123162</t>
  </si>
  <si>
    <t>Banco Brb - Par. 123162(01-4)</t>
  </si>
  <si>
    <t>Extrato/123163</t>
  </si>
  <si>
    <t>Banco Brb - Par. 123163(02-4)</t>
  </si>
  <si>
    <t>Extrato/123164</t>
  </si>
  <si>
    <t>Banco Brb - Par. 123164(03-4)</t>
  </si>
  <si>
    <t>Extrato/123165</t>
  </si>
  <si>
    <t>Banco Brb - Par. 123165(04-4)</t>
  </si>
  <si>
    <t>Extrato/123166</t>
  </si>
  <si>
    <t>Banco Brb - Par. 123166(01-4)</t>
  </si>
  <si>
    <t>Extrato/123167</t>
  </si>
  <si>
    <t>Banco Brb - Par. 123167(02-4)</t>
  </si>
  <si>
    <t>Extrato/123168</t>
  </si>
  <si>
    <t>Banco Brb - Par. 123168(03-4)</t>
  </si>
  <si>
    <t>Extrato/123169</t>
  </si>
  <si>
    <t>Banco Brb - Par. 123169(04-4)</t>
  </si>
  <si>
    <t>BM/51839</t>
  </si>
  <si>
    <t>Bruno Marques - Cód. 051839</t>
  </si>
  <si>
    <t>Brb Sol 2947/114234</t>
  </si>
  <si>
    <t>Luciano Prudente De Barros - Cód. 114234</t>
  </si>
  <si>
    <t>AM/114166</t>
  </si>
  <si>
    <t>Augusto Melo - Cód. 114166</t>
  </si>
  <si>
    <t>Ant.Cob/123170</t>
  </si>
  <si>
    <t>Banco Brb - Cód. 123170</t>
  </si>
  <si>
    <t>Credito Devolução Cheque</t>
  </si>
  <si>
    <t>SANTANDER EDITORA</t>
  </si>
  <si>
    <t xml:space="preserve">Destino: 270751-Transferência Entre Contas </t>
  </si>
  <si>
    <t>Extrato/123309</t>
  </si>
  <si>
    <t>Banco Do Brasil - Cód. 123309</t>
  </si>
  <si>
    <t>Extrato/123187</t>
  </si>
  <si>
    <t>Caixa Econômica Federal - Cód. 123187</t>
  </si>
  <si>
    <t>Extrato/123188</t>
  </si>
  <si>
    <t>Caixa Econômica Federal - Cód. 123188</t>
  </si>
  <si>
    <t>Fiscais/123268</t>
  </si>
  <si>
    <t>Fiscais De Prova - Cód. 123268</t>
  </si>
  <si>
    <t>Rend Aut Aplic</t>
  </si>
  <si>
    <t>083215/123270</t>
  </si>
  <si>
    <t>Posto De Combustível - Cód. 123270</t>
  </si>
  <si>
    <t>Extrato/123193</t>
  </si>
  <si>
    <t>Banco Itaú Unibanco S.A. - Cód. 123193</t>
  </si>
  <si>
    <t>Extrato/123194</t>
  </si>
  <si>
    <t>Banco Itaú Unibanco S.A. - Cód. 123194</t>
  </si>
  <si>
    <t>Extrato/123195</t>
  </si>
  <si>
    <t>Banco Itaú Unibanco S.A. - Cód. 123195</t>
  </si>
  <si>
    <t>1577/123271</t>
  </si>
  <si>
    <t>Grupo Olimpo - Cód. 123271</t>
  </si>
  <si>
    <t>Transferência Entre Contas - Ed. Opirus</t>
  </si>
  <si>
    <t>Destino: 269790-Transferência Entre Conta</t>
  </si>
  <si>
    <t>Destino: 269792-Transferência Entre Conta</t>
  </si>
  <si>
    <t>Destino: 269794-Transferência Entre Conta</t>
  </si>
  <si>
    <t>Destino: 269796-Transferência Entre Conta</t>
  </si>
  <si>
    <t>Extrato/123199</t>
  </si>
  <si>
    <t>Mercantil Do Brasil - Cód. 123199</t>
  </si>
  <si>
    <t>Extrato/123200</t>
  </si>
  <si>
    <t>Mercantil Do Brasil - Cód. 123200</t>
  </si>
  <si>
    <t>Extrato/123201</t>
  </si>
  <si>
    <t>Banco Santander  - Cód. 123201</t>
  </si>
  <si>
    <t>Retorno: Par. 192385(04/12) - 18431/AND - Mensalidades</t>
  </si>
  <si>
    <t>Retorno: Par. 192325(04/12) - 18435/MIG - Mensalidades</t>
  </si>
  <si>
    <t>Retorno: Par. 191947(04/12) - 18550/LAR - Mensalidades</t>
  </si>
  <si>
    <t>Retorno: Par. 192139(04/12) - 18692/CÉS - Mensalidades</t>
  </si>
  <si>
    <t>Retorno: Par. 192349(04/12) - 18546/ENZ - Mensalidades</t>
  </si>
  <si>
    <t>Recebi da Cantina para Complementar Folha Funcionarios</t>
  </si>
  <si>
    <t>ITAÚ [CAN] [020594-7] [CC]</t>
  </si>
  <si>
    <t>Destino: 269820-Recebi da Cantina para Complementar Folha Fu</t>
  </si>
  <si>
    <t>DB20150508</t>
  </si>
  <si>
    <t>Operação Desconto Boletos 2015.05.08</t>
  </si>
  <si>
    <t>Juros20150508/123067</t>
  </si>
  <si>
    <t>Banco Brb - Cód. 123067</t>
  </si>
  <si>
    <t>Extrato/123068</t>
  </si>
  <si>
    <t>Banco Brb - Cód. 123068</t>
  </si>
  <si>
    <t>Extrato/123070</t>
  </si>
  <si>
    <t>Banco Brb - Cód. 123070</t>
  </si>
  <si>
    <t>Extrato/123071</t>
  </si>
  <si>
    <t>Banco Brb - Cód. 123071</t>
  </si>
  <si>
    <t>Extrato/123069</t>
  </si>
  <si>
    <t>Banco Brb - Cód. 123069</t>
  </si>
  <si>
    <t>Ant.Cob/123072</t>
  </si>
  <si>
    <t>Banco Brb - Par. 123072(01-6)</t>
  </si>
  <si>
    <t>Ant.Cob/123073</t>
  </si>
  <si>
    <t>Banco Brb - Par. 123073(02-6)</t>
  </si>
  <si>
    <t>Ant.Cob/123074</t>
  </si>
  <si>
    <t>Banco Brb - Par. 123074(03-6)</t>
  </si>
  <si>
    <t>Ant.Cob/123075</t>
  </si>
  <si>
    <t>Banco Brb - Par. 123075(04-6)</t>
  </si>
  <si>
    <t>Ant.Cob/123076</t>
  </si>
  <si>
    <t>Banco Brb - Par. 123076(05-6)</t>
  </si>
  <si>
    <t>Ant.Cob/123077</t>
  </si>
  <si>
    <t>Banco Brb - Par. 123077(06-6)</t>
  </si>
  <si>
    <t>Ant.Cob/123087</t>
  </si>
  <si>
    <t>Banco Brb - Par. 123087(10-20)</t>
  </si>
  <si>
    <t>Ant.Cob/123097</t>
  </si>
  <si>
    <t>Banco Brb - Par. 123097(20-20)</t>
  </si>
  <si>
    <t>Ant.Cob/123080</t>
  </si>
  <si>
    <t>Banco Brb - Par. 123080(03-20)</t>
  </si>
  <si>
    <t>Ant.Cob/123090</t>
  </si>
  <si>
    <t>Banco Brb - Par. 123090(13-20)</t>
  </si>
  <si>
    <t>Ant.Cob/123081</t>
  </si>
  <si>
    <t>Banco Brb - Par. 123081(04-20)</t>
  </si>
  <si>
    <t>Ant.Cob/123091</t>
  </si>
  <si>
    <t>Banco Brb - Par. 123091(14-20)</t>
  </si>
  <si>
    <t>Ant.Cob/123082</t>
  </si>
  <si>
    <t>Banco Brb - Par. 123082(05-20)</t>
  </si>
  <si>
    <t>Ant.Cob/123092</t>
  </si>
  <si>
    <t>Banco Brb - Par. 123092(15-20)</t>
  </si>
  <si>
    <t>Ant.Cob/123083</t>
  </si>
  <si>
    <t>Banco Brb - Par. 123083(06-20)</t>
  </si>
  <si>
    <t>Ant.Cob/123093</t>
  </si>
  <si>
    <t>Banco Brb - Par. 123093(16-20)</t>
  </si>
  <si>
    <t>Ant.Cob/123084</t>
  </si>
  <si>
    <t>Banco Brb - Par. 123084(07-20)</t>
  </si>
  <si>
    <t>Ant.Cob/123094</t>
  </si>
  <si>
    <t>Banco Brb - Par. 123094(17-20)</t>
  </si>
  <si>
    <t>Ant.Cob/123085</t>
  </si>
  <si>
    <t>Banco Brb - Par. 123085(08-20)</t>
  </si>
  <si>
    <t>Ant.Cob/123095</t>
  </si>
  <si>
    <t>Banco Brb - Par. 123095(18-20)</t>
  </si>
  <si>
    <t>Ant.Cob/123086</t>
  </si>
  <si>
    <t>Banco Brb - Par. 123086(09-20)</t>
  </si>
  <si>
    <t>Ant.Cob/123078</t>
  </si>
  <si>
    <t>Banco Brb - Par. 123078(01-20)</t>
  </si>
  <si>
    <t>Ant.Cob/123088</t>
  </si>
  <si>
    <t>Banco Brb - Par. 123088(11-20)</t>
  </si>
  <si>
    <t>Ant.Cob/123079</t>
  </si>
  <si>
    <t>Banco Brb - Par. 123079(02-20)</t>
  </si>
  <si>
    <t>Ant.Cob/123089</t>
  </si>
  <si>
    <t>Banco Brb - Par. 123089(12-20)</t>
  </si>
  <si>
    <t>Ant.Cob/123096</t>
  </si>
  <si>
    <t>Banco Brb - Par. 123096(19-20)</t>
  </si>
  <si>
    <t>Biblioteca T-03</t>
  </si>
  <si>
    <t>Retorno: Par. 189998(04/12) - 018195/RAF - Mensalidades</t>
  </si>
  <si>
    <t>Retorno: Par. 190013(04/12) - 018202/VEN - Mensalidades</t>
  </si>
  <si>
    <t>Retorno: Par. 190165(04/12) - 019702/GIO - Mensalidades</t>
  </si>
  <si>
    <t>Retorno: Par. 190117(04/12) - 018116/ING - Mensalidades</t>
  </si>
  <si>
    <t>Retorno: Par. 192709(05/12) - 019619/VIT - Mensalidades</t>
  </si>
  <si>
    <t>Retorno: Par. 190089(04/12) - 018221/EDU - Mensalidades</t>
  </si>
  <si>
    <t>Retorno: Par. 192951(05/12) - 018261/LUA - Mensalidades</t>
  </si>
  <si>
    <t>Ant.Cob/123100</t>
  </si>
  <si>
    <t>Banco Brb - Par. 123100(03-19)</t>
  </si>
  <si>
    <t>Ant.Cob/123110</t>
  </si>
  <si>
    <t>Banco Brb - Par. 123110(13-19)</t>
  </si>
  <si>
    <t>Ant.Cob/123101</t>
  </si>
  <si>
    <t>Banco Brb - Par. 123101(04-19)</t>
  </si>
  <si>
    <t>Ant.Cob/123107</t>
  </si>
  <si>
    <t>Banco Brb - Par. 123107(10-19)</t>
  </si>
  <si>
    <t>Ant.Cob/123108</t>
  </si>
  <si>
    <t>Banco Brb - Par. 123108(11-19)</t>
  </si>
  <si>
    <t>Ant.Cob/123098</t>
  </si>
  <si>
    <t>Banco Brb - Par. 123098(01-19)</t>
  </si>
  <si>
    <t>Ant.Cob/123109</t>
  </si>
  <si>
    <t>Banco Brb - Par. 123109(12-19)</t>
  </si>
  <si>
    <t>Ant.Cob/123099</t>
  </si>
  <si>
    <t>Banco Brb - Par. 123099(02-19)</t>
  </si>
  <si>
    <t>Ant.Cob/123111</t>
  </si>
  <si>
    <t>Banco Brb - Par. 123111(14-19)</t>
  </si>
  <si>
    <t>Ant.Cob/123102</t>
  </si>
  <si>
    <t>Banco Brb - Par. 123102(05-19)</t>
  </si>
  <si>
    <t>Ant.Cob/123112</t>
  </si>
  <si>
    <t>Banco Brb - Par. 123112(15-19)</t>
  </si>
  <si>
    <t>Ant.Cob/123103</t>
  </si>
  <si>
    <t>Banco Brb - Par. 123103(06-19)</t>
  </si>
  <si>
    <t>Ant.Cob/123113</t>
  </si>
  <si>
    <t>Banco Brb - Par. 123113(16-19)</t>
  </si>
  <si>
    <t>Ant.Cob/123104</t>
  </si>
  <si>
    <t>Banco Brb - Par. 123104(07-19)</t>
  </si>
  <si>
    <t>Ant.Cob/123114</t>
  </si>
  <si>
    <t>Banco Brb - Par. 123114(17-19)</t>
  </si>
  <si>
    <t>Ant.Cob/123105</t>
  </si>
  <si>
    <t>Banco Brb - Par. 123105(08-19)</t>
  </si>
  <si>
    <t>Ant.Cob/123115</t>
  </si>
  <si>
    <t>Banco Brb - Par. 123115(18-19)</t>
  </si>
  <si>
    <t>Ant.Cob/123106</t>
  </si>
  <si>
    <t>Banco Brb - Par. 123106(09-19)</t>
  </si>
  <si>
    <t>Ant.Cob/123116</t>
  </si>
  <si>
    <t>Banco Brb - Par. 123116(19-19)</t>
  </si>
  <si>
    <t>Destino: 269267-Transferência Entre Conta</t>
  </si>
  <si>
    <t>Extrato/128446</t>
  </si>
  <si>
    <t>Banco Brb - Par. 128446(09-12)</t>
  </si>
  <si>
    <t>Extrato/128528</t>
  </si>
  <si>
    <t>Banco Brb - Cód. 128528</t>
  </si>
  <si>
    <t>442245/123260</t>
  </si>
  <si>
    <t>Posto De Combustível - Cód. 123260</t>
  </si>
  <si>
    <t>Recibo/123247</t>
  </si>
  <si>
    <t>A Cristalina Piscinas Limpeza E Tratamen - Cód. 123247</t>
  </si>
  <si>
    <t>CA.Manutenção  Piscinas / Jardinagem (DESPESA)</t>
  </si>
  <si>
    <t>Recibo/123248</t>
  </si>
  <si>
    <t>A Cristalina Piscinas Limpeza E Tratamen - Cód. 123248</t>
  </si>
  <si>
    <t>T-3.Manutenção  Piscinas / Jardinagem</t>
  </si>
  <si>
    <t>Recibo/123249</t>
  </si>
  <si>
    <t>A Cristalina Piscinas Limpeza E Tratamen - Cód. 123249</t>
  </si>
  <si>
    <t xml:space="preserve">Marista.Manutenção  Piscinas / Jardinagem </t>
  </si>
  <si>
    <t>Fiscais/125107</t>
  </si>
  <si>
    <t>Fiscais De Prova - Cód. 125107</t>
  </si>
  <si>
    <t>Abril/123491</t>
  </si>
  <si>
    <t>Ronnie Carlos Lourenço - Cód. 123491</t>
  </si>
  <si>
    <t>Abril/123494</t>
  </si>
  <si>
    <t>Sirley Lino Marengão - Cód. 123494</t>
  </si>
  <si>
    <t>Abril/123480</t>
  </si>
  <si>
    <t>José Carlos Formoso Lima  - Cód. 123480</t>
  </si>
  <si>
    <t>Abril/123481</t>
  </si>
  <si>
    <t>Marcelo Miguel Martins Pelisson - Cód. 123481</t>
  </si>
  <si>
    <t>Abril/123488</t>
  </si>
  <si>
    <t>Neilon Carlos Santos - Cód. 123488</t>
  </si>
  <si>
    <t>Abril/123499</t>
  </si>
  <si>
    <t>Paulo Eduardo Santos de Faria - Cód. 123499</t>
  </si>
  <si>
    <t>Abril/123490</t>
  </si>
  <si>
    <t>Rômulo José Rodrigues - Cód. 123490</t>
  </si>
  <si>
    <t>Abril/123492</t>
  </si>
  <si>
    <t>Rosselini Criistini Da Silva Albino - Cód. 123492</t>
  </si>
  <si>
    <t>Abril/123493</t>
  </si>
  <si>
    <t>Sidney Tadeu Santiago Costa - Cód. 123493</t>
  </si>
  <si>
    <t>Abril/123495</t>
  </si>
  <si>
    <t>Tasso César Azeredo - Cód. 123495</t>
  </si>
  <si>
    <t>Abril/123497</t>
  </si>
  <si>
    <t>Wesley Pereira Nunes Da Silva - Cód. 123497</t>
  </si>
  <si>
    <t>Abril/123498</t>
  </si>
  <si>
    <t>Willian Juliano Dias Alencar - Cód. 123498</t>
  </si>
  <si>
    <t>Abril/123486</t>
  </si>
  <si>
    <t>Moisés Vinicius Silva Rodrigues Martins  - Cód. 123486</t>
  </si>
  <si>
    <t>Abril/123418</t>
  </si>
  <si>
    <t>Brenner Da Paixao Rodrigues - Cód. 123418</t>
  </si>
  <si>
    <t>Abril/123446</t>
  </si>
  <si>
    <t>Daniel Lemes De Souza  - Cód. 123446</t>
  </si>
  <si>
    <t>Abril/123460</t>
  </si>
  <si>
    <t>Francine Gisele Morelato Ferreira  - Cód. 123460</t>
  </si>
  <si>
    <t>Abril/123462</t>
  </si>
  <si>
    <t>Gabriel De Paula  - Cód. 123462</t>
  </si>
  <si>
    <t>Fiscais/123238</t>
  </si>
  <si>
    <t>Fiscais De Prova - Cód. 123238</t>
  </si>
  <si>
    <t>Abril /123423</t>
  </si>
  <si>
    <t>Cássio Rodrigues Da Silveira - Cód. 123423</t>
  </si>
  <si>
    <t>Abril/123425</t>
  </si>
  <si>
    <t>Cecília Alves De Assis - Cód. 123425</t>
  </si>
  <si>
    <t>Abril/123427</t>
  </si>
  <si>
    <t>César Mendes De Alcântara - Cód. 123427</t>
  </si>
  <si>
    <t>Abril/123438</t>
  </si>
  <si>
    <t>Cleiton Duarte Ferreira - Cód. 123438</t>
  </si>
  <si>
    <t>Abril/123444</t>
  </si>
  <si>
    <t>Consuelo Goncalves Holanda - Cód. 123444</t>
  </si>
  <si>
    <t>Abril/123448</t>
  </si>
  <si>
    <t>Dênia Cristina De Paula Santos - Cód. 123448</t>
  </si>
  <si>
    <t>Abril/123450</t>
  </si>
  <si>
    <t>Divina Severina Batista De Morais  - Cód. 123450</t>
  </si>
  <si>
    <t>Abril/123457</t>
  </si>
  <si>
    <t>Fabrício Pacheco Costa - Cód. 123457</t>
  </si>
  <si>
    <t>Abril/123459</t>
  </si>
  <si>
    <t>Fernando Marinho Ferreira  - Cód. 123459</t>
  </si>
  <si>
    <t>Abril/123461</t>
  </si>
  <si>
    <t>Francisco José  Bertrand Silva Thé  - Cód. 123461</t>
  </si>
  <si>
    <t>Abril/123464</t>
  </si>
  <si>
    <t>Gildo Ribeiro Da Silva Filho - Cód. 123464</t>
  </si>
  <si>
    <t>Abril/123470</t>
  </si>
  <si>
    <t>Gregorio Echeverria de Carvalho - Cód. 123470</t>
  </si>
  <si>
    <t>Abril/123505</t>
  </si>
  <si>
    <t>Hawley Ferreira Furtado - Cód. 123505</t>
  </si>
  <si>
    <t>Abril/123506</t>
  </si>
  <si>
    <t>Henrique Delano De Matos - Cód. 123506</t>
  </si>
  <si>
    <t>Abril/123507</t>
  </si>
  <si>
    <t>Ivan Lazzarini  Mendes - Cód. 123507</t>
  </si>
  <si>
    <t>Abril/123509</t>
  </si>
  <si>
    <t>José Carlos Formoso Lima  - Cód. 123509</t>
  </si>
  <si>
    <t>Abril/123510</t>
  </si>
  <si>
    <t>Júlio César Da Cunha - Cód. 123510</t>
  </si>
  <si>
    <t>Abril/123511</t>
  </si>
  <si>
    <t>Júlio César Lopes Azevedo - Cód. 123511</t>
  </si>
  <si>
    <t>Abril/123294</t>
  </si>
  <si>
    <t>Folha De Pagamento - Cantina - Cód. 123294</t>
  </si>
  <si>
    <t>Abril/123517</t>
  </si>
  <si>
    <t>Luciano Dorkas Fraga - Cód. 123517</t>
  </si>
  <si>
    <t>Abril/123519</t>
  </si>
  <si>
    <t>Lucio Costa Tovar - Cód. 123519</t>
  </si>
  <si>
    <t>Abril/123552</t>
  </si>
  <si>
    <t>Ronnie Carlos Lourenço - Cód. 123552</t>
  </si>
  <si>
    <t>Abril/123561</t>
  </si>
  <si>
    <t>Sirley Lino Marengão - Cód. 123561</t>
  </si>
  <si>
    <t>Abril/123512</t>
  </si>
  <si>
    <t>Lafayette Spósito Goyano Jota - Cód. 123512</t>
  </si>
  <si>
    <t>Abril/123513</t>
  </si>
  <si>
    <t>Leandro Rocha Resende - Cód. 123513</t>
  </si>
  <si>
    <t>Abril/123514</t>
  </si>
  <si>
    <t>Leopoldo Alcântara De Jesus - Cód. 123514</t>
  </si>
  <si>
    <t>Abril/123516</t>
  </si>
  <si>
    <t>Luciana Christina De Oliveira E Silva  - Cód. 123516</t>
  </si>
  <si>
    <t>Abril/123520</t>
  </si>
  <si>
    <t>Luís Carlos Camacho  - Cód. 123520</t>
  </si>
  <si>
    <t>Abril/123521</t>
  </si>
  <si>
    <t>Luiz Henrique Mundim Aguiar  - Cód. 123521</t>
  </si>
  <si>
    <t>Abril/123525</t>
  </si>
  <si>
    <t>Marcello Salviano Mendonça Lopes - Cód. 123525</t>
  </si>
  <si>
    <t>Abril/123529</t>
  </si>
  <si>
    <t>Marcelo Augusto De Lacerda Borges - Cód. 123529</t>
  </si>
  <si>
    <t>Abril/123531</t>
  </si>
  <si>
    <t>Marcelo Miguel Martins Pelisson - Cód. 123531</t>
  </si>
  <si>
    <t>Abril/123536</t>
  </si>
  <si>
    <t>Maria Lúcia Zambon Alves - Cód. 123536</t>
  </si>
  <si>
    <t>Abril/123538</t>
  </si>
  <si>
    <t>Mariana Do Carmo Pacheco  - Cód. 123538</t>
  </si>
  <si>
    <t>Abril/123539</t>
  </si>
  <si>
    <t>Moacir Luciano Moreira Júnior - Cód. 123539</t>
  </si>
  <si>
    <t>Abril/123541</t>
  </si>
  <si>
    <t>Moisés Vinicius Silva Rodrigues Martins  - Cód. 123541</t>
  </si>
  <si>
    <t>Abril/123542</t>
  </si>
  <si>
    <t>Neilon Carlos Santos - Cód. 123542</t>
  </si>
  <si>
    <t>Abril/123544</t>
  </si>
  <si>
    <t>Paulo Eduardo Santos de Faria - Cód. 123544</t>
  </si>
  <si>
    <t>Abril/123545</t>
  </si>
  <si>
    <t>Raul de Sousa Majadas - Cód. 123545</t>
  </si>
  <si>
    <t>Abril/123547</t>
  </si>
  <si>
    <t>Rodrigo de Araujo Silveira - Cód. 123547</t>
  </si>
  <si>
    <t>Abril/123548</t>
  </si>
  <si>
    <t>Rogério Carlos Camargo Matias  - Cód. 123548</t>
  </si>
  <si>
    <t>Abril/123549</t>
  </si>
  <si>
    <t>Rogério Gonçalves - Cód. 123549</t>
  </si>
  <si>
    <t>Abril/123551</t>
  </si>
  <si>
    <t>Rômulo José Rodrigues - Cód. 123551</t>
  </si>
  <si>
    <t>Abril/123553</t>
  </si>
  <si>
    <t>Rosselini Criistini Da Silva Albino - Cód. 123553</t>
  </si>
  <si>
    <t>Abril/123558</t>
  </si>
  <si>
    <t>Sidney Tadeu Santiago Costa - Cód. 123558</t>
  </si>
  <si>
    <t>Abril/123562</t>
  </si>
  <si>
    <t>Tasso César Azeredo - Cód. 123562</t>
  </si>
  <si>
    <t>Abril/123568</t>
  </si>
  <si>
    <t>Umberto Malanga - Cód. 123568</t>
  </si>
  <si>
    <t>Abril/123567</t>
  </si>
  <si>
    <t>Vitor Rodrigues Braga De Souza - Cód. 123567</t>
  </si>
  <si>
    <t>Abril/123570</t>
  </si>
  <si>
    <t>Wellerson Miguel Da Cruz - Cód. 123570</t>
  </si>
  <si>
    <t>Abril/123571</t>
  </si>
  <si>
    <t>Welson Luiz Felipe - Cód. 123571</t>
  </si>
  <si>
    <t>Abril/123572</t>
  </si>
  <si>
    <t>Wesley Pereira Nunes Da Silva - Cód. 123572</t>
  </si>
  <si>
    <t>Abril/123574</t>
  </si>
  <si>
    <t>Willian Juliano Dias Alencar  - Cód. 123574</t>
  </si>
  <si>
    <t>Extrato/124033</t>
  </si>
  <si>
    <t>Caixa Econômica Federal - Cód. 124033</t>
  </si>
  <si>
    <t>DB20150511</t>
  </si>
  <si>
    <t>Operação Desconto Boletos 2015.06.11</t>
  </si>
  <si>
    <t>Juros20150611/123295</t>
  </si>
  <si>
    <t>Banco Brb - Cód. 123295</t>
  </si>
  <si>
    <t>Extrato/123296</t>
  </si>
  <si>
    <t>Banco Brb - Cód. 123296</t>
  </si>
  <si>
    <t>1210520/36177</t>
  </si>
  <si>
    <t>Bic Arrendamento Mercantil S/A - Par. 036177(24/33)</t>
  </si>
  <si>
    <t>1217495/123246</t>
  </si>
  <si>
    <t>Bic Arrendamento Mercantil S/A - Cód. 123246</t>
  </si>
  <si>
    <t>Bernadelli.Aquisição de Veículo</t>
  </si>
  <si>
    <t>Ant.Cob/123300</t>
  </si>
  <si>
    <t>Banco Brb - Par. 123300(04-6)</t>
  </si>
  <si>
    <t>Ant.Cob/123301</t>
  </si>
  <si>
    <t>Banco Brb - Par. 123301(05-6)</t>
  </si>
  <si>
    <t>Ant.Cob/123302</t>
  </si>
  <si>
    <t>Banco Brb - Par. 123302(06-6)</t>
  </si>
  <si>
    <t>Ant.Cob/123297</t>
  </si>
  <si>
    <t>Banco Brb - Par. 123297(01-6)</t>
  </si>
  <si>
    <t>Ant.Cob/123298</t>
  </si>
  <si>
    <t>Banco Brb - Par. 123298(02-6)</t>
  </si>
  <si>
    <t>Ant.Cob/123299</t>
  </si>
  <si>
    <t>Banco Brb - Par. 123299(03-6)</t>
  </si>
  <si>
    <t>Abril/123500</t>
  </si>
  <si>
    <t>Orlandino Gonçalves Neto - Cód. 123500</t>
  </si>
  <si>
    <t>DEPÓSITO 2015-05-11</t>
  </si>
  <si>
    <t>PAGAMENTO DA MENSALIDADE DE ABRIL/2015, DO(A) ALUNO(A) LUIZ FERNANDO DAHER ROMANO FRANÇA_EF</t>
  </si>
  <si>
    <t>Abril/123644</t>
  </si>
  <si>
    <t>Folha De Pagamento - Administrativo Uber - Cód. 123644</t>
  </si>
  <si>
    <t>TFD/110883</t>
  </si>
  <si>
    <t>Terezinha Ferreira Dantas - Par. 110883(05-12)</t>
  </si>
  <si>
    <t>ACT/110859</t>
  </si>
  <si>
    <t>Anaides Claudino Toledo - Par. 110859(05-12)</t>
  </si>
  <si>
    <t>Recibo/123258</t>
  </si>
  <si>
    <t>Matsuflora - Cód. 123258</t>
  </si>
  <si>
    <t>T-27.Manutenção  Piscinas / Jardinagem</t>
  </si>
  <si>
    <t>423081/123259</t>
  </si>
  <si>
    <t>Posto De Combustível - Cód. 123259</t>
  </si>
  <si>
    <t>Rend Aplic Aut Mais</t>
  </si>
  <si>
    <t>090150/123261</t>
  </si>
  <si>
    <t>Ferragista Marista - Cód. 123261</t>
  </si>
  <si>
    <t>Extrato/123308</t>
  </si>
  <si>
    <t>Banco Itaú Unibanco S.A. - Cód. 123308</t>
  </si>
  <si>
    <t>Par.(04-12) 014012/ISADORA REZENDE MENDONÇA - PAGAMENTO CHE</t>
  </si>
  <si>
    <t>[OUTRAS] ESCRITÓRIO COBRANÇA</t>
  </si>
  <si>
    <t>Extrato/123310</t>
  </si>
  <si>
    <t>Caixa Econômica Federal - Cód. 123310</t>
  </si>
  <si>
    <t>Extrato/123311</t>
  </si>
  <si>
    <t>Caixa Econômica Federal - Cód. 123311</t>
  </si>
  <si>
    <t>Extrato/123312</t>
  </si>
  <si>
    <t>Caixa Econômica Federal - Cód. 123312</t>
  </si>
  <si>
    <t>BRADESCO [002429-5] [GYN [CC]</t>
  </si>
  <si>
    <t>Extrato/123810</t>
  </si>
  <si>
    <t>Banco Santander  - Cód. 123810</t>
  </si>
  <si>
    <t>Extrato/123811</t>
  </si>
  <si>
    <t>Banco Santander  - Cód. 123811</t>
  </si>
  <si>
    <t>Extrato/123812</t>
  </si>
  <si>
    <t>Banco Santander  - Cód. 123812</t>
  </si>
  <si>
    <t>Retorno: Par. 190011(04/12) - 018200/GIO - Mensalidades</t>
  </si>
  <si>
    <t>Retorno: Par. 192953(05/12) - 018198/THA - Mensalidades</t>
  </si>
  <si>
    <t>Retorno: Par. 192575(05/12) - 019375/MAR - Mensalidades</t>
  </si>
  <si>
    <t>Retorno: Par. 192887(05/12) - 018181/ANA - Mensalidades</t>
  </si>
  <si>
    <t>Destino: 269780-Transferência Entre Conta</t>
  </si>
  <si>
    <t>Destino: 269782-Transferência Entre Conta</t>
  </si>
  <si>
    <t>Destino: 269784-Transferência Entre Conta</t>
  </si>
  <si>
    <t>Destino: 269786-Transferência Entre Conta</t>
  </si>
  <si>
    <t>Destino: 269788-Transferência Entre Conta</t>
  </si>
  <si>
    <t>Destino: 269798-Transferência Entre Conta</t>
  </si>
  <si>
    <t>Destino: 269800-Transferência Entre Conta</t>
  </si>
  <si>
    <t>Extrato/123321</t>
  </si>
  <si>
    <t>Banco Santander  - Cód. 123321</t>
  </si>
  <si>
    <t>Extrato/123202</t>
  </si>
  <si>
    <t>Banco Santander  - Cód. 123202</t>
  </si>
  <si>
    <t>Extrato/123203</t>
  </si>
  <si>
    <t>Banco Santander  - Cód. 123203</t>
  </si>
  <si>
    <t>Extrato/123204</t>
  </si>
  <si>
    <t>Banco Santander  - Cód. 123204</t>
  </si>
  <si>
    <t>Retorno: Par. 192229(04/12) - 18556/BIA - Mensalidades</t>
  </si>
  <si>
    <t>Destino: 269812-Transferência Entre Conta</t>
  </si>
  <si>
    <t>Destino: 269814-Transferência Entre Conta</t>
  </si>
  <si>
    <t>ECRO/127284</t>
  </si>
  <si>
    <t>Brb - Credito Financiamento - Par. 127284(07-7)</t>
  </si>
  <si>
    <t>Abril/109710</t>
  </si>
  <si>
    <t>Brb - Credito Financiamento - Par. 109710(03-11)</t>
  </si>
  <si>
    <t>PAGAMENTO DA MENSALIDADE DE ABRIL/2015, DO(A) ALUNO(A) ARTHUR MARIANO MARTINS_ESN</t>
  </si>
  <si>
    <t>Abril/123324</t>
  </si>
  <si>
    <t>Araceli Camargo Martins - Cód. 123324</t>
  </si>
  <si>
    <t>Abril/123327</t>
  </si>
  <si>
    <t>Carlos Roberto Lisboa - Cód. 123327</t>
  </si>
  <si>
    <t>Abril/123328</t>
  </si>
  <si>
    <t>Daniel Lemes De Souza  - Cód. 123328</t>
  </si>
  <si>
    <t>Abril/123350</t>
  </si>
  <si>
    <t>Herculano Vasconcelos Filho - Cód. 123350</t>
  </si>
  <si>
    <t>Abril/123356</t>
  </si>
  <si>
    <t>João Paulo Ferreira Fornazier - Cód. 123356</t>
  </si>
  <si>
    <t>Abril/123368</t>
  </si>
  <si>
    <t>Luciano Dorkas Fraga - Cód. 123368</t>
  </si>
  <si>
    <t>Abril/123369</t>
  </si>
  <si>
    <t>Lucio Costa Tovar - Cód. 123369</t>
  </si>
  <si>
    <t>Abril/123391</t>
  </si>
  <si>
    <t>Stefânia Vieira De Melo - Cód. 123391</t>
  </si>
  <si>
    <t>Abril/123393</t>
  </si>
  <si>
    <t>Tatiane Pereira Costa  - Cód. 123393</t>
  </si>
  <si>
    <t>Abril/123322</t>
  </si>
  <si>
    <t>André Luiz Cavalcanti de Albuquerque Rei - Cód. 123322</t>
  </si>
  <si>
    <t>Abril/123323</t>
  </si>
  <si>
    <t>Antônio Renato Donizetti Fernandes - Cód. 123323</t>
  </si>
  <si>
    <t>Abril/123325</t>
  </si>
  <si>
    <t>Argemiro De Pina Amorim - Cód. 123325</t>
  </si>
  <si>
    <t>Abril/123326</t>
  </si>
  <si>
    <t>Brenner Da Paixao Rodrigues - Cód. 123326</t>
  </si>
  <si>
    <t>Abril/123329</t>
  </si>
  <si>
    <t>Danilo Siqueira dos Santos Souza - Cód. 123329</t>
  </si>
  <si>
    <t>Abril/123330</t>
  </si>
  <si>
    <t>Everton De Almeida Menezes - Cód. 123330</t>
  </si>
  <si>
    <t>Abril/123331</t>
  </si>
  <si>
    <t>Fabrício Lucena De Freitas - Cód. 123331</t>
  </si>
  <si>
    <t>Abril/123332</t>
  </si>
  <si>
    <t>Fabrício Pacheco Costa - Cód. 123332</t>
  </si>
  <si>
    <t>Abril/123333</t>
  </si>
  <si>
    <t>Fernando Marinho Ferreira  - Cód. 123333</t>
  </si>
  <si>
    <t>Abril/123335</t>
  </si>
  <si>
    <t>Gerlane Aparecida Paixão Crispim - Cód. 123335</t>
  </si>
  <si>
    <t>Abril/123336</t>
  </si>
  <si>
    <t>Gregório Echeverria de Carvalho - Cód. 123336</t>
  </si>
  <si>
    <t>Extrato/123280</t>
  </si>
  <si>
    <t>Bradesco - Par. 123280(03-3)</t>
  </si>
  <si>
    <t>Extrato/123278</t>
  </si>
  <si>
    <t>Bradesco - Par. 123278(01-3)</t>
  </si>
  <si>
    <t>Extrato/123279</t>
  </si>
  <si>
    <t>Bradesco - Par. 123279(02-3)</t>
  </si>
  <si>
    <t>Abril/123337</t>
  </si>
  <si>
    <t>Hawley Ferreira Furtado - Cód. 123337</t>
  </si>
  <si>
    <t>Abril/123338</t>
  </si>
  <si>
    <t>Henrique Soares Landim  - Cód. 123338</t>
  </si>
  <si>
    <t>Abril/123351</t>
  </si>
  <si>
    <t>Ivan Lazzarini  Mendes - Cód. 123351</t>
  </si>
  <si>
    <t>Abril/123353</t>
  </si>
  <si>
    <t>João Carlos Oliveira Cavalcante  - Cód. 123353</t>
  </si>
  <si>
    <t>Abril /123358</t>
  </si>
  <si>
    <t>José Carlos Formoso Lima  - Cód. 123358</t>
  </si>
  <si>
    <t>Abril/123359</t>
  </si>
  <si>
    <t>Kellen Cardeal  - Cód. 123359</t>
  </si>
  <si>
    <t>Abril/123362</t>
  </si>
  <si>
    <t>Lafayette Spósito Goyano Jota - Cód. 123362</t>
  </si>
  <si>
    <t>Abril/123364</t>
  </si>
  <si>
    <t>Leandro Rocha Resende - Cód. 123364</t>
  </si>
  <si>
    <t>Abril/123365</t>
  </si>
  <si>
    <t>Lucia Maria De Oliveira  - Cód. 123365</t>
  </si>
  <si>
    <t>Abril/123371</t>
  </si>
  <si>
    <t>Luiz Henrique Mundim Aguiar  - Cód. 123371</t>
  </si>
  <si>
    <t>Abril/123375</t>
  </si>
  <si>
    <t>Moacir Luciano Moreira Júnior - Cód. 123375</t>
  </si>
  <si>
    <t>Abril/123376</t>
  </si>
  <si>
    <t>Moisés Vinicius Silva Rodrigues Martins  - Cód. 123376</t>
  </si>
  <si>
    <t>Abril/123379</t>
  </si>
  <si>
    <t>Osvaldo Machado da Silva Neto - Cód. 123379</t>
  </si>
  <si>
    <t>Abril/123381</t>
  </si>
  <si>
    <t>Paulo Eduardo Santos de Faria - Cód. 123381</t>
  </si>
  <si>
    <t>Abril/123383</t>
  </si>
  <si>
    <t>Rogério Gonçalves - Cód. 123383</t>
  </si>
  <si>
    <t>Abril/123384</t>
  </si>
  <si>
    <t>Rômulo José Rodrigues - Cód. 123384</t>
  </si>
  <si>
    <t>Abril/123385</t>
  </si>
  <si>
    <t>Rosselini Criistini Da Silva Albino - Cód. 123385</t>
  </si>
  <si>
    <t>Abril/123386</t>
  </si>
  <si>
    <t>Shayene Fernandes Borges - Cód. 123386</t>
  </si>
  <si>
    <t>Abril/123387</t>
  </si>
  <si>
    <t>Sidney Tadeu Santiago Costa - Cód. 123387</t>
  </si>
  <si>
    <t>Abril/123388</t>
  </si>
  <si>
    <t>Silvio Roberto Dos Santos - Cód. 123388</t>
  </si>
  <si>
    <t>Abril/123392</t>
  </si>
  <si>
    <t>Tainá Teixeira da Mata - Cód. 123392</t>
  </si>
  <si>
    <t>Abril/123394</t>
  </si>
  <si>
    <t>Valcy Correa - Cód. 123394</t>
  </si>
  <si>
    <t>Abril/123395</t>
  </si>
  <si>
    <t>Welson Luiz Felipe  - Cód. 123395</t>
  </si>
  <si>
    <t>Abril/123396</t>
  </si>
  <si>
    <t>Willian Juliano Dias Alencar  - Cód. 123396</t>
  </si>
  <si>
    <t>Abril/123407</t>
  </si>
  <si>
    <t>Alisson Riceto - Cód. 123407</t>
  </si>
  <si>
    <t>Abril /123412</t>
  </si>
  <si>
    <t>André Luiz Alves Villar - Cód. 123412</t>
  </si>
  <si>
    <t>Abril/123416</t>
  </si>
  <si>
    <t>Argemiro De Pina Amorim - Cód. 123416</t>
  </si>
  <si>
    <t>Abril/123420</t>
  </si>
  <si>
    <t>Bruno Fraga Ferreira - Cód. 123420</t>
  </si>
  <si>
    <t>Abril/123421</t>
  </si>
  <si>
    <t>CARLOS ANDRÉ PEREIRA NUNES - Cód. 123421</t>
  </si>
  <si>
    <t>Par.(04/12) 020783/LEANDRO LAMARTINE TRISTÃO - Parcelas</t>
  </si>
  <si>
    <t>Extrato/123283</t>
  </si>
  <si>
    <t>Bradesco - Cód. 123283</t>
  </si>
  <si>
    <t>Extrato/123284</t>
  </si>
  <si>
    <t>Bradesco - Cód. 123284</t>
  </si>
  <si>
    <t>Par.(04-6) 020334/GUSTAVO MARTINS BORGES  - PAGAMENTO CHE</t>
  </si>
  <si>
    <t>Marconi Faria Consignado</t>
  </si>
  <si>
    <t>Par.(03/12) 018055/FELIPE GUEDES DA SILVA - Mensalidades</t>
  </si>
  <si>
    <t>Extrato/123339</t>
  </si>
  <si>
    <t>Banco Do Brasil - Cód. 123339</t>
  </si>
  <si>
    <t>Extrato/123340</t>
  </si>
  <si>
    <t>Banco Do Brasil - Cód. 123340</t>
  </si>
  <si>
    <t>Extrato/123341</t>
  </si>
  <si>
    <t>Banco Do Brasil - Cód. 123341</t>
  </si>
  <si>
    <t>Par.(03/12) 018557/LAURA RODRIGUES E SILVA T - Mensalidades</t>
  </si>
  <si>
    <t>Extrato/123471</t>
  </si>
  <si>
    <t>Banco Brb - Par. 123471(01-5)</t>
  </si>
  <si>
    <t>Extrato/123472</t>
  </si>
  <si>
    <t>Banco Brb - Par. 123472(02-5)</t>
  </si>
  <si>
    <t>Extrato/123473</t>
  </si>
  <si>
    <t>Banco Brb - Par. 123473(03-5)</t>
  </si>
  <si>
    <t>Extrato/123474</t>
  </si>
  <si>
    <t>Banco Brb - Par. 123474(04-5)</t>
  </si>
  <si>
    <t>Extrato/123475</t>
  </si>
  <si>
    <t>Banco Brb - Par. 123475(05-5)</t>
  </si>
  <si>
    <t>Abril/123355</t>
  </si>
  <si>
    <t>Anna Christina Guimaraes Nalini  - Cód. 123355</t>
  </si>
  <si>
    <t>Abril/123363</t>
  </si>
  <si>
    <t>Brenner Da Paixao Rodrigues - Cód. 123363</t>
  </si>
  <si>
    <t>Abril/123366</t>
  </si>
  <si>
    <t>Bruno Fraga Ferreira - Cód. 123366</t>
  </si>
  <si>
    <t>Abril/123428</t>
  </si>
  <si>
    <t>Carlos Rodolfo Vergara Modehouse - Cód. 123428</t>
  </si>
  <si>
    <t>Abril/123380</t>
  </si>
  <si>
    <t>Daniel Lemes De Souza  - Cód. 123380</t>
  </si>
  <si>
    <t>Abril/123399</t>
  </si>
  <si>
    <t>Francine Gisele Morelato Ferreira  - Cód. 123399</t>
  </si>
  <si>
    <t>Abril/123402</t>
  </si>
  <si>
    <t>Gildo Ribeiro Da Silva Filho - Cód. 123402</t>
  </si>
  <si>
    <t>Abril/123403</t>
  </si>
  <si>
    <t>Gustavo Batista Da Cruz Alves Dos Santos - Cód. 123403</t>
  </si>
  <si>
    <t>Abril/123413</t>
  </si>
  <si>
    <t>Jose Anthony Novar Faria - Cód. 123413</t>
  </si>
  <si>
    <t>Abril/123415</t>
  </si>
  <si>
    <t>Júlio César Da Cunha - Cód. 123415</t>
  </si>
  <si>
    <t>Abril/123443</t>
  </si>
  <si>
    <t>Luciano Dorkas Fraga - Cód. 123443</t>
  </si>
  <si>
    <t>Abril/123445</t>
  </si>
  <si>
    <t>Lucio Costa Tovar - Cód. 123445</t>
  </si>
  <si>
    <t>Abril/123465</t>
  </si>
  <si>
    <t>Rodrigo De Oliveira Barsi - Cód. 123465</t>
  </si>
  <si>
    <t>Abril/123467</t>
  </si>
  <si>
    <t>Stefânia Vieira De Melo - Cód. 123467</t>
  </si>
  <si>
    <t>MO/103016</t>
  </si>
  <si>
    <t>Marcelo Oliveira - Cód. 103016</t>
  </si>
  <si>
    <t>MAFR/111005</t>
  </si>
  <si>
    <t>Marco Antônio Ferreira Rios - Cód. 111005</t>
  </si>
  <si>
    <t>HN/115641</t>
  </si>
  <si>
    <t>Henrique Nogueira - Fornecedores - Cód. 115641</t>
  </si>
  <si>
    <t>Brb Sol 3322/118019</t>
  </si>
  <si>
    <t>Rodrigo Bernadelli Dos Santos - Cód. 118019</t>
  </si>
  <si>
    <t>ZWB/119853</t>
  </si>
  <si>
    <t>Zelice Wanderley Barbosa - Cód. 119853</t>
  </si>
  <si>
    <t>Exitus/122366</t>
  </si>
  <si>
    <t>Olimpo Uberlândia - Cód. 122366</t>
  </si>
  <si>
    <t>Recibo/123266</t>
  </si>
  <si>
    <t>Jr Paixão - Cód. 123266</t>
  </si>
  <si>
    <t>Uber.Honorários</t>
  </si>
  <si>
    <t>Recibo/109893</t>
  </si>
  <si>
    <t>Jr Paixão - Par. 109893(05-12)</t>
  </si>
  <si>
    <t>Recibo/109881</t>
  </si>
  <si>
    <t>Jr Paixão - Par. 109881(05-12)</t>
  </si>
  <si>
    <t>Abril/123424</t>
  </si>
  <si>
    <t>Ádino José Cardoso - Cód. 123424</t>
  </si>
  <si>
    <t>Abril/123352</t>
  </si>
  <si>
    <t>Alisson Riceto - Cód. 123352</t>
  </si>
  <si>
    <t>Abril/123463</t>
  </si>
  <si>
    <t>Moacir Luciano Moreira Júnior - Cód. 123463</t>
  </si>
  <si>
    <t>Abril/123357</t>
  </si>
  <si>
    <t>Antônio Renato Donizetti Fernandes - Cód. 123357</t>
  </si>
  <si>
    <t>Abril/123360</t>
  </si>
  <si>
    <t>Argemiro De Pina Amorim - Cód. 123360</t>
  </si>
  <si>
    <t>Abril/123367</t>
  </si>
  <si>
    <t>Camilla Felipe De Sousa  - Cód. 123367</t>
  </si>
  <si>
    <t>Abril/123426</t>
  </si>
  <si>
    <t>Carlos Antonio De Araujo Mamede - Cód. 123426</t>
  </si>
  <si>
    <t>Abril/123370</t>
  </si>
  <si>
    <t>Carlos Eduardo Alves De Sousa  - Cód. 123370</t>
  </si>
  <si>
    <t>Abril/123373</t>
  </si>
  <si>
    <t>Cássio Rodrigues Da Silveira - Cód. 123373</t>
  </si>
  <si>
    <t>Abril/123377</t>
  </si>
  <si>
    <t>Cecília Alves De Assis - Cód. 123377</t>
  </si>
  <si>
    <t>Abril/123378</t>
  </si>
  <si>
    <t>César Mendes De Alcântara - Cód. 123378</t>
  </si>
  <si>
    <t>Abril/123430</t>
  </si>
  <si>
    <t>Cleiton Duarte Ferreira - Cód. 123430</t>
  </si>
  <si>
    <t>Abril/123382</t>
  </si>
  <si>
    <t>Dênia Cristina De Paula Santos - Cód. 123382</t>
  </si>
  <si>
    <t>Abril/123389</t>
  </si>
  <si>
    <t>Divina Severina Batista De Morais  - Cód. 123389</t>
  </si>
  <si>
    <t>Abril/123397</t>
  </si>
  <si>
    <t>Fabrício Pacheco Costa - Cód. 123397</t>
  </si>
  <si>
    <t>Abril/123398</t>
  </si>
  <si>
    <t>Fernando Marinho Ferreira  - Cód. 123398</t>
  </si>
  <si>
    <t>Abril/123401</t>
  </si>
  <si>
    <t>Francisco José  Bertrand Silva Thé  - Cód. 123401</t>
  </si>
  <si>
    <t>Abril/123404</t>
  </si>
  <si>
    <t>Gregório Echeverria de Carvalho - Cód. 123404</t>
  </si>
  <si>
    <t>Abril/123408</t>
  </si>
  <si>
    <t>Helder Gaioso Pinto  - Cód. 123408</t>
  </si>
  <si>
    <t>Abril/123410</t>
  </si>
  <si>
    <t>Henrique Delano De Matos - Cód. 123410</t>
  </si>
  <si>
    <t>Abril/123411</t>
  </si>
  <si>
    <t>Ivan Lazzarini  Mendes - Cód. 123411</t>
  </si>
  <si>
    <t>Abril/123414</t>
  </si>
  <si>
    <t>Juliano Rodrigues Miranda  - Cód. 123414</t>
  </si>
  <si>
    <t>Abril/123417</t>
  </si>
  <si>
    <t>Kellen Cardeal  - Cód. 123417</t>
  </si>
  <si>
    <t>Abril/123419</t>
  </si>
  <si>
    <t>Lafayette Spósito Goyano Jota - Cód. 123419</t>
  </si>
  <si>
    <t>Abril/123436</t>
  </si>
  <si>
    <t>Leandro Rocha Resende - Cód. 123436</t>
  </si>
  <si>
    <t>Abril/123439</t>
  </si>
  <si>
    <t>Liege Fernandes - Cód. 123439</t>
  </si>
  <si>
    <t>Abril/123422</t>
  </si>
  <si>
    <t>Lucia Maria De Oliveira  - Cód. 123422</t>
  </si>
  <si>
    <t>Abril/123447</t>
  </si>
  <si>
    <t>Luiz Henrique Mundim Aguiar  - Cód. 123447</t>
  </si>
  <si>
    <t>Abril/123451</t>
  </si>
  <si>
    <t>Marco Aurelio Correa de Araujo - Cód. 123451</t>
  </si>
  <si>
    <t>Abril/123456</t>
  </si>
  <si>
    <t>Maria Lúcia Zambon Alves - Cód. 123456</t>
  </si>
  <si>
    <t>Abril/123458</t>
  </si>
  <si>
    <t>Mario Jonas da Silva Santos - Cód. 123458</t>
  </si>
  <si>
    <t>Abril/123466</t>
  </si>
  <si>
    <t>Rogério Carlos Camargo Matias  - Cód. 123466</t>
  </si>
  <si>
    <t>MV/123222</t>
  </si>
  <si>
    <t>Max Vieira  - Cód. 123222</t>
  </si>
  <si>
    <t>LK/110056</t>
  </si>
  <si>
    <t>Lilian Karaguilla / Lécio Moraes - Par. 110056(05-12)</t>
  </si>
  <si>
    <t>Par.(03/12) 019796/MARIA EDUARDA DE OLIVEIRA - Mensalidades</t>
  </si>
  <si>
    <t>Abril/123468</t>
  </si>
  <si>
    <t>Synara Maria dos Santos Chagas - Cód. 123468</t>
  </si>
  <si>
    <t>Abril/123469</t>
  </si>
  <si>
    <t>Vitor Rodrigues Braga De Souza - Cód. 123469</t>
  </si>
  <si>
    <t>Ant.Cob/123479</t>
  </si>
  <si>
    <t>Banco Brb - Cód. 123479</t>
  </si>
  <si>
    <t>Abril/123449</t>
  </si>
  <si>
    <t>Marcelo Cardoso Pedrosa - Cód. 123449</t>
  </si>
  <si>
    <t>Extrato/128468</t>
  </si>
  <si>
    <t>Banco Brb - Par. 128468(05-6)</t>
  </si>
  <si>
    <t>Extrato/128529</t>
  </si>
  <si>
    <t>Banco Brb - Cód. 128529</t>
  </si>
  <si>
    <t>Abril /121393</t>
  </si>
  <si>
    <t>Folha De Pagamento - Sol Nascente  - Cód. 121393</t>
  </si>
  <si>
    <t>Abril /123501</t>
  </si>
  <si>
    <t>Folha De Pagamento - Sol Nascente  - Cód. 123501</t>
  </si>
  <si>
    <t>Abril/121403</t>
  </si>
  <si>
    <t>Luana Pires Barbosa - Cód. 121403</t>
  </si>
  <si>
    <t>Abril/121406</t>
  </si>
  <si>
    <t>Henrique Silva - Cód. 121406</t>
  </si>
  <si>
    <t>Abril/121409</t>
  </si>
  <si>
    <t>Deusiana Pereira Da Silva  - Cód. 121409</t>
  </si>
  <si>
    <t>Abril/121415</t>
  </si>
  <si>
    <t>Patricia Elias Monteiro  - Cód. 121415</t>
  </si>
  <si>
    <t>Abril /123502</t>
  </si>
  <si>
    <t>Lucas Dias Da Silva - Cód. 123502</t>
  </si>
  <si>
    <t>Abril/123496</t>
  </si>
  <si>
    <t>Tatiane Pereira Costa  - Cód. 123496</t>
  </si>
  <si>
    <t>EVMM/116500</t>
  </si>
  <si>
    <t>Elvira Vieira M. Melo - Par. 116500(02-9)</t>
  </si>
  <si>
    <t>Abril/123390</t>
  </si>
  <si>
    <t>Eduardo De Assis Iasbeck - Cód. 123390</t>
  </si>
  <si>
    <t>Abril/123441</t>
  </si>
  <si>
    <t>Luciana Christina De Oliveira E Silva  - Cód. 123441</t>
  </si>
  <si>
    <t>Abril/123482</t>
  </si>
  <si>
    <t>Leopoldo Alcântara De Jesus - Cód. 123482</t>
  </si>
  <si>
    <t>Abril/123489</t>
  </si>
  <si>
    <t>Rodrigo de Araujo Silveira - Cód. 123489</t>
  </si>
  <si>
    <t>Abril/122911</t>
  </si>
  <si>
    <t>Edilson Pimenta - Cód. 122911</t>
  </si>
  <si>
    <t>Abril/123286</t>
  </si>
  <si>
    <t>Edilson Mendes De Sousa  - Cód. 123286</t>
  </si>
  <si>
    <t>Abril/123453</t>
  </si>
  <si>
    <t>Eduardo De Assis Iasbeck - Cód. 123453</t>
  </si>
  <si>
    <t>Abril/123508</t>
  </si>
  <si>
    <t>João Correa De Carvalho - Cód. 123508</t>
  </si>
  <si>
    <t>Acerto/124925</t>
  </si>
  <si>
    <t>Leomar Augusto Povoa Da Cruz - Cód. 124925</t>
  </si>
  <si>
    <t>Acerto/121421</t>
  </si>
  <si>
    <t>Lidiane Martins Tavares  - Cód. 121421</t>
  </si>
  <si>
    <t>SolNascente.Rescisão de Contrato de Trabalho</t>
  </si>
  <si>
    <t>Abril/121416</t>
  </si>
  <si>
    <t>Alessandra Elias Monteiro  - Cód. 121416</t>
  </si>
  <si>
    <t>Abril/121413</t>
  </si>
  <si>
    <t>Adarci Dias Ribeiro  - Cód. 121413</t>
  </si>
  <si>
    <t>Rescisão/123524</t>
  </si>
  <si>
    <t>Rescisão - Grupo Olimpo - Cód. 123524</t>
  </si>
  <si>
    <t>Retorno: Par. 192866(05/12) - 018272/RIC - Mensalidades</t>
  </si>
  <si>
    <t>Retorno: Par. 192868(05/12) - 018156/JUL - Mensalidades</t>
  </si>
  <si>
    <t>Abril/122931</t>
  </si>
  <si>
    <t>Michelle Gonçalves Almeida - Cód. 122931</t>
  </si>
  <si>
    <t>Abril/123647</t>
  </si>
  <si>
    <t>Folha De Pagamento - Professores Uberlân - Cód. 123647</t>
  </si>
  <si>
    <t>Abril/123646</t>
  </si>
  <si>
    <t>Folha De Pagamento - Professores Uberlân - Cód. 123646</t>
  </si>
  <si>
    <t>Abril/123650</t>
  </si>
  <si>
    <t>Folha De Pagamento - Professores Uberlân - Cód. 123650</t>
  </si>
  <si>
    <t>Abril/123648</t>
  </si>
  <si>
    <t>Henrique Nogueira De Carvalho - Cód. 123648</t>
  </si>
  <si>
    <t>LKLM/116510</t>
  </si>
  <si>
    <t>Lilian Karaguilla / Lécio Moraes - Par. 116510(03-10)</t>
  </si>
  <si>
    <t>RFC/123526</t>
  </si>
  <si>
    <t>Roberto Ferreira / Maria Zirlene  - Cód. 123526</t>
  </si>
  <si>
    <t>GFS/110101</t>
  </si>
  <si>
    <t>Gustavo Franco Schaper / Deborah Do  - Par. 110101(05-12)</t>
  </si>
  <si>
    <t>WAS/110920</t>
  </si>
  <si>
    <t>Waldivino Alves Sobrinho - Par. 110920(05-12)</t>
  </si>
  <si>
    <t>DB20150612</t>
  </si>
  <si>
    <t>Operação Desconto Boletos 2015.06.12</t>
  </si>
  <si>
    <t>Juros20150512/123303</t>
  </si>
  <si>
    <t>Banco Brb - Cód. 123303</t>
  </si>
  <si>
    <t>Extrato/123304</t>
  </si>
  <si>
    <t>Banco Brb - Cód. 123304</t>
  </si>
  <si>
    <t>Ant.Cob/123305</t>
  </si>
  <si>
    <t>Banco Brb - Par. 123305(01-3)</t>
  </si>
  <si>
    <t>Ant.Cob/123306</t>
  </si>
  <si>
    <t>Banco Brb - Par. 123306(02-3)</t>
  </si>
  <si>
    <t>Ant.Cob/123307</t>
  </si>
  <si>
    <t>Banco Brb - Par. 123307(03-3)</t>
  </si>
  <si>
    <t>Par.(12/12) 015285/CAROLINNA BAIOCCHI DE OLI - Mensalidades</t>
  </si>
  <si>
    <t>Extrato/123313</t>
  </si>
  <si>
    <t>Caixa Econômica Federal - Cód. 123313</t>
  </si>
  <si>
    <t>Extrato/123314</t>
  </si>
  <si>
    <t>Caixa Econômica Federal - Cód. 123314</t>
  </si>
  <si>
    <t>Extrato/124016</t>
  </si>
  <si>
    <t>Mercantil Do Brasil - Cód. 124016</t>
  </si>
  <si>
    <t>Rend Aplic Auto Mais</t>
  </si>
  <si>
    <t>Extrato/123316</t>
  </si>
  <si>
    <t>Banco Itaú Unibanco S.A. - Cód. 123316</t>
  </si>
  <si>
    <t>Sacar P/ Pagar Func Sol</t>
  </si>
  <si>
    <t>Destino: 269777-Sacar P/ Pagar Func Sol</t>
  </si>
  <si>
    <t>Retorno: Par. 205127(04/12) - 20106/ANA - Mensalidades</t>
  </si>
  <si>
    <t>Abril/123354</t>
  </si>
  <si>
    <t>João Correa De Carvalho - Cód. 123354</t>
  </si>
  <si>
    <t>Extrato/123440</t>
  </si>
  <si>
    <t>Banco Daycoval S/A  - Cód. 123440</t>
  </si>
  <si>
    <t>Par.(04/6) 020301/MARTINA ASCARI - Parcelas</t>
  </si>
  <si>
    <t>Extrato/123452</t>
  </si>
  <si>
    <t>Mercantil Do Brasil - Cód. 123452</t>
  </si>
  <si>
    <t>DEPÓSITO 2015-05-12</t>
  </si>
  <si>
    <t>PAGAMENTO DA MENSALIDADE DE MARÇO/2015, DO(A) ALUNO(A) GIOVANNA DE OLIVEIRA NAJAR_EF</t>
  </si>
  <si>
    <t>JVL/109361</t>
  </si>
  <si>
    <t>Jaquellyne Vilela E Lima - Cód. 109361</t>
  </si>
  <si>
    <t>Brb Sol 2910/114223</t>
  </si>
  <si>
    <t>Rodrigo Do Petrônio - Cód. 114223</t>
  </si>
  <si>
    <t>Ch Brb Sol 3004/114197</t>
  </si>
  <si>
    <t>Fábio Villa Verde Moreno - Cód. 114197</t>
  </si>
  <si>
    <t>Abril /120575</t>
  </si>
  <si>
    <t>Mauricio Vieira De Melo - Cód. 120575</t>
  </si>
  <si>
    <t>Recibo/121955</t>
  </si>
  <si>
    <t>Educandário Sol Nascente  - Cód. 121955</t>
  </si>
  <si>
    <t>111980/123960</t>
  </si>
  <si>
    <t>Cartório 3º Tabelionato De Notas - Cód. 123960</t>
  </si>
  <si>
    <t>Abril/122932</t>
  </si>
  <si>
    <t>Carolina Chaveiro Da Silva  - Cód. 122932</t>
  </si>
  <si>
    <t>VML/116412</t>
  </si>
  <si>
    <t>Vandré Moura Lopes - Cód. 116412</t>
  </si>
  <si>
    <t>Abril/123290</t>
  </si>
  <si>
    <t>Willian Rodrigues Moreira - Cód. 123290</t>
  </si>
  <si>
    <t>Extrato/123966</t>
  </si>
  <si>
    <t>Caixa Econômica Federal - Cód. 123966</t>
  </si>
  <si>
    <t>Extrato/123726</t>
  </si>
  <si>
    <t>Automaticket Impressos Publicitarios - Cód. 123726</t>
  </si>
  <si>
    <t>CA.Eventos e Festa de Confraternização (DESPESA)</t>
  </si>
  <si>
    <t>Extrato/123727</t>
  </si>
  <si>
    <t>Automaticket Impressos Publicitarios - Cód. 123727</t>
  </si>
  <si>
    <t xml:space="preserve">Aná. Eventos e Festa de Confraternização </t>
  </si>
  <si>
    <t xml:space="preserve">Liberação de Garantia </t>
  </si>
  <si>
    <t xml:space="preserve">Destino: 270939-Liberação de Garantia </t>
  </si>
  <si>
    <t>Par.(04/12) 019774/JOÃO VITOR CARVALHO FILAR - Mensalidades</t>
  </si>
  <si>
    <t>Extrato/123989</t>
  </si>
  <si>
    <t>Mercantil Do Brasil - Cód. 123989</t>
  </si>
  <si>
    <t>Empréstimo Cifra Fomento</t>
  </si>
  <si>
    <t>Destino: 270609-Transferência Entre Conta</t>
  </si>
  <si>
    <t>Extrato/125047</t>
  </si>
  <si>
    <t>Banco Brb - Cód. 125047</t>
  </si>
  <si>
    <t>Abril/123586</t>
  </si>
  <si>
    <t>Carlos Antonio Moreira - Cód. 123586</t>
  </si>
  <si>
    <t>Retorno: Par. 192962(05/12) - 018343/LET - Mensalidades</t>
  </si>
  <si>
    <t>Retorno: Par. 217311(05/12) - 019745/HIZ - (BOLETO DUPLICADO</t>
  </si>
  <si>
    <t>Abril/123645</t>
  </si>
  <si>
    <t>Folha De Pagamento - Professores Uberlân - Cód. 123645</t>
  </si>
  <si>
    <t>Abril/123649</t>
  </si>
  <si>
    <t>Folha De Pagamento - Professores Uberlân - Cód. 123649</t>
  </si>
  <si>
    <t>Despesa/123528</t>
  </si>
  <si>
    <t>Marcelo De Moraes Melo - Cód. 123528</t>
  </si>
  <si>
    <t>Abril/122933</t>
  </si>
  <si>
    <t>Liege Fernandes - Cód. 122933</t>
  </si>
  <si>
    <t>CA.Aulas extras (CUSTO)</t>
  </si>
  <si>
    <t>Abril/122917</t>
  </si>
  <si>
    <t>Marcelo Silva - Cód. 122917</t>
  </si>
  <si>
    <t>Abril/122909</t>
  </si>
  <si>
    <t>Marcelo Silva - Cód. 122909</t>
  </si>
  <si>
    <t>Abril/122915</t>
  </si>
  <si>
    <t>Diego Bernadelli Santos - Cód. 122915</t>
  </si>
  <si>
    <t>Abril/122922</t>
  </si>
  <si>
    <t>Fabiano Aquila Fernandes  - Cód. 122922</t>
  </si>
  <si>
    <t>Abril/122912</t>
  </si>
  <si>
    <t>João Correa De Carvalho - Cód. 122912</t>
  </si>
  <si>
    <t>Abril/122906</t>
  </si>
  <si>
    <t>Lethicia Jamille Machado Amorim - Cód. 122906</t>
  </si>
  <si>
    <t>Abril/122923</t>
  </si>
  <si>
    <t>Cinara Itagiba Nunes Lopes Leite - Cód. 122923</t>
  </si>
  <si>
    <t>Abril/122902</t>
  </si>
  <si>
    <t>José Mendes De Souza - Cód. 122902</t>
  </si>
  <si>
    <t>Abril/122934</t>
  </si>
  <si>
    <t>Juliana Helena Alves (Teatro) - Cód. 122934</t>
  </si>
  <si>
    <t>Abril/122913</t>
  </si>
  <si>
    <t>Vicente Aparecido da Silva - Cód. 122913</t>
  </si>
  <si>
    <t>Brb 3642/123515</t>
  </si>
  <si>
    <t>Rogério Carlos Camargo Matias  - Cód. 123515</t>
  </si>
  <si>
    <t>Abril/122920</t>
  </si>
  <si>
    <t>Eliane Sueli Pereira - Cód. 122920</t>
  </si>
  <si>
    <t>Abril/123540</t>
  </si>
  <si>
    <t>Murillo Antonio Rodrigues Pires - Cód. 123540</t>
  </si>
  <si>
    <t>Abril/123546</t>
  </si>
  <si>
    <t>Raphael Siviero Meira Santos - Cód. 123546</t>
  </si>
  <si>
    <t>Abril/122919</t>
  </si>
  <si>
    <t>José Calíope de Freitas Junior - Cód. 122919</t>
  </si>
  <si>
    <t>Abril/122930</t>
  </si>
  <si>
    <t>Thiago Higor - Cód. 122930</t>
  </si>
  <si>
    <t>Abril/123556</t>
  </si>
  <si>
    <t>SHEYLA GONÇALVES DIAS - Cód. 123556</t>
  </si>
  <si>
    <t>Abril/123565</t>
  </si>
  <si>
    <t>Eduardo Alves Marques  - Cód. 123565</t>
  </si>
  <si>
    <t>Abril/123566</t>
  </si>
  <si>
    <t>Jean Carlos Almeida de Camargo - Cód. 123566</t>
  </si>
  <si>
    <t>Abril/123569</t>
  </si>
  <si>
    <t>Celio David Feliciano - Cód. 123569</t>
  </si>
  <si>
    <t>Abril/123588</t>
  </si>
  <si>
    <t>Carlos Antonio Moreira - Cód. 123588</t>
  </si>
  <si>
    <t>SolNascente.Honorários</t>
  </si>
  <si>
    <t>Abril/123589</t>
  </si>
  <si>
    <t>Jean Marquez Fernandes - Cód. 123589</t>
  </si>
  <si>
    <t>EMP/108478</t>
  </si>
  <si>
    <t>Enio Marcos Pereira Santos - Par. 108478(05-12)</t>
  </si>
  <si>
    <t>MZFC/21323</t>
  </si>
  <si>
    <t>Maria Zilmar Cruvinel Fernandes  - Par. 021323(37/41)</t>
  </si>
  <si>
    <t>SCS/110871</t>
  </si>
  <si>
    <t>Shesley Carneiro Da Silva - Par. 110871(05-12)</t>
  </si>
  <si>
    <t>SRP/110620</t>
  </si>
  <si>
    <t>Silvanio Rodrigues Peres - Par. 110620(05-12)</t>
  </si>
  <si>
    <t>Extrato/123813</t>
  </si>
  <si>
    <t>Bradesco - Cód. 123813</t>
  </si>
  <si>
    <t>Extrato/123814</t>
  </si>
  <si>
    <t>Bradesco - Cód. 123814</t>
  </si>
  <si>
    <t>Abril/124034</t>
  </si>
  <si>
    <t>Patricia Santos Guimaraes  - Cód. 124034</t>
  </si>
  <si>
    <t>Abril/121408</t>
  </si>
  <si>
    <t>Amanda Cristina Ferreira - Cód. 121408</t>
  </si>
  <si>
    <t>Abril/121402</t>
  </si>
  <si>
    <t>Simone Moraes Oliveira Borges - Cód. 121402</t>
  </si>
  <si>
    <t>Extrato/124037</t>
  </si>
  <si>
    <t>Banco Brb - Cód. 124037</t>
  </si>
  <si>
    <t>Entrada Maurício Vieira de Melo</t>
  </si>
  <si>
    <t>Retorno: Par. 192607(05/12) - 19734/JÉS - Mensalidades</t>
  </si>
  <si>
    <t>Ch Pre Brb Sol 3493- Olimpo Uberlândia</t>
  </si>
  <si>
    <t>Deposito Ch Bloqueado</t>
  </si>
  <si>
    <t>Brb Sol 3632/128608</t>
  </si>
  <si>
    <t>Banco Brb - Cód. 128608</t>
  </si>
  <si>
    <t>3776/1/119188</t>
  </si>
  <si>
    <t>Tm Higienização Ltda - Cód. 119188</t>
  </si>
  <si>
    <t>Ant.Cob/123429</t>
  </si>
  <si>
    <t>Banco Brb - Cód. 123429</t>
  </si>
  <si>
    <t>Ant.Cob/123431</t>
  </si>
  <si>
    <t>Banco Brb - Par. 123431(01-4)</t>
  </si>
  <si>
    <t>Ant.Cob/123432</t>
  </si>
  <si>
    <t>Banco Brb - Par. 123432(02-4)</t>
  </si>
  <si>
    <t>Ant.Cob/123433</t>
  </si>
  <si>
    <t>Banco Brb - Par. 123433(03-4)</t>
  </si>
  <si>
    <t>Ant.Cob/123434</t>
  </si>
  <si>
    <t>Banco Brb - Par. 123434(04-4)</t>
  </si>
  <si>
    <t>Destino: 270037-Transferência Entre Conta</t>
  </si>
  <si>
    <t>Destino: 270039-Transferência Entre Conta</t>
  </si>
  <si>
    <t>Transferência Entre /123442</t>
  </si>
  <si>
    <t>Banco Daycoval S/A  - Cód. 123442</t>
  </si>
  <si>
    <t>Extrato/123454</t>
  </si>
  <si>
    <t>Mercantil Do Brasil - Cód. 123454</t>
  </si>
  <si>
    <t>Extrato/123455</t>
  </si>
  <si>
    <t>Mercantil Do Brasil - Cód. 123455</t>
  </si>
  <si>
    <t>Brb 2983/128640</t>
  </si>
  <si>
    <t>Banco Brb - Cód. 128640</t>
  </si>
  <si>
    <t>Brb Sol 3606/128641</t>
  </si>
  <si>
    <t>Banco Brb - Cód. 128641</t>
  </si>
  <si>
    <t>Brb 2917/128642</t>
  </si>
  <si>
    <t>Banco Brb - Cód. 128642</t>
  </si>
  <si>
    <t>Brb Sol 3636/128643</t>
  </si>
  <si>
    <t>Banco Brb - Cód. 128643</t>
  </si>
  <si>
    <t>Brb Sol 3638/128645</t>
  </si>
  <si>
    <t>Banco Brb - Cód. 128645</t>
  </si>
  <si>
    <t>Brb Sol 3654/128647</t>
  </si>
  <si>
    <t>Banco Brb - Cód. 128647</t>
  </si>
  <si>
    <t>306/123550</t>
  </si>
  <si>
    <t>3º Tabelionato De Notas  - Cód. 123550</t>
  </si>
  <si>
    <t>Despesa/123554</t>
  </si>
  <si>
    <t>Olimpo Belo Horizonte - Cód. 123554</t>
  </si>
  <si>
    <t>BH. Despesas Diversas</t>
  </si>
  <si>
    <t>Destino: 271221-Transferência Entre Conta</t>
  </si>
  <si>
    <t>41072/123557</t>
  </si>
  <si>
    <t>T-9 Eletronica E Informatica - Cód. 123557</t>
  </si>
  <si>
    <t>Destino: 271223-Transferência Entre Conta</t>
  </si>
  <si>
    <t>Destino: 271225-Transferência Entre Conta</t>
  </si>
  <si>
    <t>Destino: 271227-Transferência Entre Conta</t>
  </si>
  <si>
    <t>Destino: 271229-Transferência Entre Conta</t>
  </si>
  <si>
    <t>Destino: 271231-Transferência Entre Conta</t>
  </si>
  <si>
    <t>Destino: 271233-Transferência Entre Conta</t>
  </si>
  <si>
    <t>Empréstimo Marco Antonio Rios</t>
  </si>
  <si>
    <t>Par.(01-3) 019611/NÍCOLAS ALVES MONTEFUSCO - Renegociado</t>
  </si>
  <si>
    <t>Destino: 270222-Transferência Entre Conta</t>
  </si>
  <si>
    <t>Extrato/123342</t>
  </si>
  <si>
    <t>Banco Do Brasil - Cód. 123342</t>
  </si>
  <si>
    <t>Extrato/123343</t>
  </si>
  <si>
    <t>Banco Do Brasil - Cód. 123343</t>
  </si>
  <si>
    <t>Destino: 270224-Transferência Entre Conta</t>
  </si>
  <si>
    <t>Extrato/123344</t>
  </si>
  <si>
    <t>Banco Do Brasil - Cód. 123344</t>
  </si>
  <si>
    <t>Destino: 270226-Transferência Entre Conta</t>
  </si>
  <si>
    <t>Destino: 270228-Transferência Entre Conta</t>
  </si>
  <si>
    <t>Destino: 270230-Transferência Entre Conta</t>
  </si>
  <si>
    <t>Destino: 270232-Transferência Entre Conta</t>
  </si>
  <si>
    <t>Destino: 270234-Transferência Entre Conta</t>
  </si>
  <si>
    <t>Destino: 270236-Transferência Entre Conta</t>
  </si>
  <si>
    <t>Destino: 270260-Transferência Entre Conta</t>
  </si>
  <si>
    <t>Extrato/128709</t>
  </si>
  <si>
    <t>Banco Safra - Cód. 128709</t>
  </si>
  <si>
    <t>Extrato/123483</t>
  </si>
  <si>
    <t>Banco Brb - Par. 123483(01-3)</t>
  </si>
  <si>
    <t>Extrato/123484</t>
  </si>
  <si>
    <t>Banco Brb - Par. 123484(02-3)</t>
  </si>
  <si>
    <t>Extrato/123485</t>
  </si>
  <si>
    <t>Banco Brb - Par. 123485(03-3)</t>
  </si>
  <si>
    <t>1157500002431/123590</t>
  </si>
  <si>
    <t>Caixa Econômica Federal - Cód. 123590</t>
  </si>
  <si>
    <t>Extrato/123656</t>
  </si>
  <si>
    <t>Banco Brb - Cód. 123656</t>
  </si>
  <si>
    <t>Par.(02/10) 020809/ANDRÉ LUCAS SEIXAS MACALÃ - Parcelas</t>
  </si>
  <si>
    <t>Par.(03/10) 020809/ANDRÉ LUCAS SEIXAS MACALÃ - Parcelas</t>
  </si>
  <si>
    <t>Par.(04/10) 020809/ANDRÉ LUCAS SEIXAS MACALÃ - Parcelas</t>
  </si>
  <si>
    <t>Par.(02/10) 020813/DAYANNE SILVA AMARAL - Parcelas</t>
  </si>
  <si>
    <t>Par.(03/10) 020813/DAYANNE SILVA AMARAL - Parcelas</t>
  </si>
  <si>
    <t>Par.(04/10) 020813/DAYANNE SILVA AMARAL - Parcelas</t>
  </si>
  <si>
    <t>Extrato/123968</t>
  </si>
  <si>
    <t>Caixa Econômica Federal - Cód. 123968</t>
  </si>
  <si>
    <t>Extrato/123732</t>
  </si>
  <si>
    <t>Banco Brb - Cód. 123732</t>
  </si>
  <si>
    <t>Par.(08/12) 020257/YASMIN DE MELO BARROS DAM - Parcelas</t>
  </si>
  <si>
    <t>Par.(09/12) 020257/YASMIN DE MELO BARROS DAM - Parcelas</t>
  </si>
  <si>
    <t>Abril/123643</t>
  </si>
  <si>
    <t>Franciele Ramos - Cód. 123643</t>
  </si>
  <si>
    <t>Extrato/123988</t>
  </si>
  <si>
    <t>Mercantil Do Brasil - Cód. 123988</t>
  </si>
  <si>
    <t>Par.(03/10) 020814/CAIRO MENDES MIRANDA SILV - Parcelas</t>
  </si>
  <si>
    <t>Par.(04/10) 020814/CAIRO MENDES MIRANDA SILV - Parcelas</t>
  </si>
  <si>
    <t>Par.(05/10) 020813/DAYANNE SILVA AMARAL - Parcelas</t>
  </si>
  <si>
    <t>Par.(05/10) 020809/ANDRÉ LUCAS SEIXAS MACALÃ - Parcelas</t>
  </si>
  <si>
    <t>Extrato/123782</t>
  </si>
  <si>
    <t>Banco Do Brasil - Cód. 123782</t>
  </si>
  <si>
    <t>Extrato/123783</t>
  </si>
  <si>
    <t>Banco Do Brasil - Cód. 123783</t>
  </si>
  <si>
    <t>Par.(05/10) 020814/CAIRO MENDES MIRANDA SILV - Parcelas</t>
  </si>
  <si>
    <t>Par.(02-6) 009527/LAIS DUARTE DE OLIVEIRA - Renegociado</t>
  </si>
  <si>
    <t>Par.(03-6) 009527/LAIS DUARTE DE OLIVEIRA - Renegociado</t>
  </si>
  <si>
    <t>Par.(04-6) 009527/LAIS DUARTE DE OLIVEIRA - Renegociado</t>
  </si>
  <si>
    <t>Par.(05-6) 009527/LAIS DUARTE DE OLIVEIRA - Renegociado</t>
  </si>
  <si>
    <t>Par.(01-3) 015822/MARIANA SANTOS GUIMARÃES - Renegociado</t>
  </si>
  <si>
    <t>Extrato/123435</t>
  </si>
  <si>
    <t>Banco Brb - Cód. 123435</t>
  </si>
  <si>
    <t>Extrato/123437</t>
  </si>
  <si>
    <t>Banco Brb - Cód. 123437</t>
  </si>
  <si>
    <t xml:space="preserve">Extrato </t>
  </si>
  <si>
    <t>Cheque Devolvido - 2985</t>
  </si>
  <si>
    <t>Cheque Devolvido - 2986</t>
  </si>
  <si>
    <t>Cheque Devolvido - 2897</t>
  </si>
  <si>
    <t>Cheque Devolvido - 2988</t>
  </si>
  <si>
    <t>Cheque Devolvido - 2989</t>
  </si>
  <si>
    <t>Cheque Devolvido - 2990</t>
  </si>
  <si>
    <t>Cheque Devolvido - 2991</t>
  </si>
  <si>
    <t>Cheque Devolvido - 2994</t>
  </si>
  <si>
    <t>Despesa/123527</t>
  </si>
  <si>
    <t>Marcelo De Moraes Melo - Cód. 123527</t>
  </si>
  <si>
    <t>CTF/110658</t>
  </si>
  <si>
    <t>Cleonice Teles Ferreira  - Par. 110658(05-12)</t>
  </si>
  <si>
    <t>RASL/110670</t>
  </si>
  <si>
    <t>Ronnia Abadia De Silva Lopes - Par. 110670(05-12)</t>
  </si>
  <si>
    <t>SNF/123598</t>
  </si>
  <si>
    <t>Sonia Maria de Freitas - Cód. 123598</t>
  </si>
  <si>
    <t>Extrato/123815</t>
  </si>
  <si>
    <t>Bradesco - Cód. 123815</t>
  </si>
  <si>
    <t>Extrato/123816</t>
  </si>
  <si>
    <t>Bradesco - Cód. 123816</t>
  </si>
  <si>
    <t xml:space="preserve">Ch Pre Bra 6276 - Cheque Devolvido </t>
  </si>
  <si>
    <t>Ch Pre Bra 6276 - Cheque Compensado e Devolvido</t>
  </si>
  <si>
    <t>Destino: 270968-Ch Pre Bra 6276 - Cheque Compensado e Devolv</t>
  </si>
  <si>
    <t xml:space="preserve">Remessa Olimpo Brasília </t>
  </si>
  <si>
    <t>Abril/121411</t>
  </si>
  <si>
    <t>Renata Dutra Silva - Cód. 121411</t>
  </si>
  <si>
    <t>Abril/121410</t>
  </si>
  <si>
    <t>Flávio Batista - Cód. 121410</t>
  </si>
  <si>
    <t>Abril/121404</t>
  </si>
  <si>
    <t>Lucimar Rosa Da Silva Oliveira  - Cód. 121404</t>
  </si>
  <si>
    <t>Retorno: Par. 197303(05/12) - 18520/FIL - Mensalidades</t>
  </si>
  <si>
    <t>Cheque BB Liquidado</t>
  </si>
  <si>
    <t>Extrato/123409</t>
  </si>
  <si>
    <t>Bradesco - Cód. 123409</t>
  </si>
  <si>
    <t>07808/123530</t>
  </si>
  <si>
    <t>Wambasther Alves - Cód. 123530</t>
  </si>
  <si>
    <t>Despesa/123534</t>
  </si>
  <si>
    <t>Marcelo De Moraes Melo - Cód. 123534</t>
  </si>
  <si>
    <t>DEPÓSITO 2015-05-14</t>
  </si>
  <si>
    <t>PAGAMENTO DAS MENSALIDADES DE ABRIL/2015, DOS ALUNOS VITÓRIA IZABEL LIMA DE SOUSA PAIVA E YAGO ALENCAR MENDES_ESN</t>
  </si>
  <si>
    <t>2699/01/119491</t>
  </si>
  <si>
    <t>Markos Comunicação Visual Ltda - Cód. 119491</t>
  </si>
  <si>
    <t>Destino: 271235-Transferência Entre Conta</t>
  </si>
  <si>
    <t>Destino: 271237-Transferência Entre Conta</t>
  </si>
  <si>
    <t>Destino: 270216-Transferência Entre Conta</t>
  </si>
  <si>
    <t>Destino: 270218-Transferência Entre Conta</t>
  </si>
  <si>
    <t>Destino: 270220-Transferência Entre Conta</t>
  </si>
  <si>
    <t>Destino: 270262-Transferência Entre Conta</t>
  </si>
  <si>
    <t>Destino: 270264-Transferência Entre Conta</t>
  </si>
  <si>
    <t>transferência Entre Conta</t>
  </si>
  <si>
    <t>Destino: 270873-transferência Entre Conta</t>
  </si>
  <si>
    <t>Par.(04/12) 019676/ANTÔNIO AUGUSTO SOARES FE - Mensalidades</t>
  </si>
  <si>
    <t>PAGAMENTO DA MENSALIDADE DE ABRIL/2015, DO(A) ALUNO(A) LUCAS SABBATINI JANOT PROCOPIO_EF</t>
  </si>
  <si>
    <t>Par.(04-12) 014187/LETICIA ALVES BUENO - PAGAMENTO CHE</t>
  </si>
  <si>
    <t>ER/123591</t>
  </si>
  <si>
    <t>Erica Ribeiro / Lindomar - Cód. 123591</t>
  </si>
  <si>
    <t>ER/123592</t>
  </si>
  <si>
    <t>Erica Ribeiro / Lindomar - Cód. 123592</t>
  </si>
  <si>
    <t>ER/123593</t>
  </si>
  <si>
    <t>Erica Ribeiro / Lindomar - Cód. 123593</t>
  </si>
  <si>
    <t>ER/110932</t>
  </si>
  <si>
    <t>Erica Ribeiro / Lindomar - Par. 110932(05-12)</t>
  </si>
  <si>
    <t>Extrato/123657</t>
  </si>
  <si>
    <t>Banco Brb - Cód. 123657</t>
  </si>
  <si>
    <t>Extrato/123661</t>
  </si>
  <si>
    <t>Banco Brb - Cód. 123661</t>
  </si>
  <si>
    <t>Par.(04-12) 019782/AMANDA APARECIDA DE MORAI - PAGAMENTO CHE</t>
  </si>
  <si>
    <t>Ant.Cob/123671</t>
  </si>
  <si>
    <t>Banco Brb - Par. 123671(10-23)</t>
  </si>
  <si>
    <t>Ant.Cob/123681</t>
  </si>
  <si>
    <t>Banco Brb - Par. 123681(20-23)</t>
  </si>
  <si>
    <t>Ant.Cob/123662</t>
  </si>
  <si>
    <t>Banco Brb - Par. 123662(01-23)</t>
  </si>
  <si>
    <t>Ant.Cob/123672</t>
  </si>
  <si>
    <t>Banco Brb - Par. 123672(11-23)</t>
  </si>
  <si>
    <t>Ant.Cob/123682</t>
  </si>
  <si>
    <t>Banco Brb - Par. 123682(21-23)</t>
  </si>
  <si>
    <t>Ant.Cob/123663</t>
  </si>
  <si>
    <t>Banco Brb - Par. 123663(02-23)</t>
  </si>
  <si>
    <t>Ant.Cob/123673</t>
  </si>
  <si>
    <t>Banco Brb - Par. 123673(12-23)</t>
  </si>
  <si>
    <t>Ant.Cob/123683</t>
  </si>
  <si>
    <t>Banco Brb - Par. 123683(22-23)</t>
  </si>
  <si>
    <t>Ant.Cob/123664</t>
  </si>
  <si>
    <t>Banco Brb - Par. 123664(03-23)</t>
  </si>
  <si>
    <t>Ant.Cob/123674</t>
  </si>
  <si>
    <t>Banco Brb - Par. 123674(13-23)</t>
  </si>
  <si>
    <t>Ant.Cob/123684</t>
  </si>
  <si>
    <t>Banco Brb - Par. 123684(23-23)</t>
  </si>
  <si>
    <t>Ant.Cob/123665</t>
  </si>
  <si>
    <t>Banco Brb - Par. 123665(04-23)</t>
  </si>
  <si>
    <t>Ant.Cob/123675</t>
  </si>
  <si>
    <t>Banco Brb - Par. 123675(14-23)</t>
  </si>
  <si>
    <t>Ant.Cob/123670</t>
  </si>
  <si>
    <t>Banco Brb - Par. 123670(09-23)</t>
  </si>
  <si>
    <t>Ant.Cob/123680</t>
  </si>
  <si>
    <t>Banco Brb - Par. 123680(19-23)</t>
  </si>
  <si>
    <t>Ant.Cob/123666</t>
  </si>
  <si>
    <t>Banco Brb - Par. 123666(05-23)</t>
  </si>
  <si>
    <t>Ant.Cob/123676</t>
  </si>
  <si>
    <t>Banco Brb - Par. 123676(15-23)</t>
  </si>
  <si>
    <t>Ant.Cob/123667</t>
  </si>
  <si>
    <t>Banco Brb - Par. 123667(06-23)</t>
  </si>
  <si>
    <t>Ant.Cob/123677</t>
  </si>
  <si>
    <t>Banco Brb - Par. 123677(16-23)</t>
  </si>
  <si>
    <t>Ant.Cob/123668</t>
  </si>
  <si>
    <t>Banco Brb - Par. 123668(07-23)</t>
  </si>
  <si>
    <t>Ant.Cob/123678</t>
  </si>
  <si>
    <t>Banco Brb - Par. 123678(17-23)</t>
  </si>
  <si>
    <t>Ant.Cob/123669</t>
  </si>
  <si>
    <t>Banco Brb - Par. 123669(08-23)</t>
  </si>
  <si>
    <t>Ant.Cob/123679</t>
  </si>
  <si>
    <t>Banco Brb - Par. 123679(18-23)</t>
  </si>
  <si>
    <t>Extrato/123690</t>
  </si>
  <si>
    <t>Banco Itaú Unibanco S.A. - Cód. 123690</t>
  </si>
  <si>
    <t>Extrato/123691</t>
  </si>
  <si>
    <t>Banco Itaú Unibanco S.A. - Cód. 123691</t>
  </si>
  <si>
    <t>Extrato/123692</t>
  </si>
  <si>
    <t>Banco Itaú Unibanco S.A. - Cód. 123692</t>
  </si>
  <si>
    <t>Extrato/123685</t>
  </si>
  <si>
    <t>Banco Itaú Unibanco S.A. - Cód. 123685</t>
  </si>
  <si>
    <t>Extrato/123688</t>
  </si>
  <si>
    <t>Banco Itaú Unibanco S.A. - Cód. 123688</t>
  </si>
  <si>
    <t>Extrato/123689</t>
  </si>
  <si>
    <t>Banco Itaú Unibanco S.A. - Cód. 123689</t>
  </si>
  <si>
    <t>ESPÉCIE 2015-05-15</t>
  </si>
  <si>
    <t>PARTE PAGAMENTO DAS MENSALIDADES DE FEV A ABRIL/2015, DO(A) ALUNO(A) RAFAEL SILVA FARIA_ESN</t>
  </si>
  <si>
    <t>Ant.Cob/123703</t>
  </si>
  <si>
    <t>Banco Brb - Par. 123703(10-32)</t>
  </si>
  <si>
    <t>Ant.Cob/123713</t>
  </si>
  <si>
    <t>Banco Brb - Par. 123713(20-32)</t>
  </si>
  <si>
    <t>Ant.Cob/123723</t>
  </si>
  <si>
    <t>Banco Brb - Par. 123723(30-32)</t>
  </si>
  <si>
    <t>Ant.Cob/123704</t>
  </si>
  <si>
    <t>Banco Brb - Par. 123704(11-32)</t>
  </si>
  <si>
    <t>Ant.Cob/123714</t>
  </si>
  <si>
    <t>Banco Brb - Par. 123714(21-32)</t>
  </si>
  <si>
    <t>Ant.Cob/123724</t>
  </si>
  <si>
    <t>Banco Brb - Par. 123724(31-32)</t>
  </si>
  <si>
    <t>Ant.Cob/123694</t>
  </si>
  <si>
    <t>Banco Brb - Par. 123694(01-32)</t>
  </si>
  <si>
    <t>Ant.Cob/123695</t>
  </si>
  <si>
    <t>Banco Brb - Par. 123695(02-32)</t>
  </si>
  <si>
    <t>Ant.Cob/123705</t>
  </si>
  <si>
    <t>Banco Brb - Par. 123705(12-32)</t>
  </si>
  <si>
    <t>Ant.Cob/123715</t>
  </si>
  <si>
    <t>Banco Brb - Par. 123715(22-32)</t>
  </si>
  <si>
    <t>Ant.Cob/123725</t>
  </si>
  <si>
    <t>Banco Brb - Par. 123725(32-32)</t>
  </si>
  <si>
    <t>Ant.Cob/123706</t>
  </si>
  <si>
    <t>Banco Brb - Par. 123706(13-32)</t>
  </si>
  <si>
    <t>Ant.Cob/123716</t>
  </si>
  <si>
    <t>Banco Brb - Par. 123716(23-32)</t>
  </si>
  <si>
    <t>Ant.Cob/123696</t>
  </si>
  <si>
    <t>Banco Brb - Par. 123696(03-32)</t>
  </si>
  <si>
    <t>Ant.Cob/123707</t>
  </si>
  <si>
    <t>Banco Brb - Par. 123707(14-32)</t>
  </si>
  <si>
    <t>Ant.Cob/123717</t>
  </si>
  <si>
    <t>Banco Brb - Par. 123717(24-32)</t>
  </si>
  <si>
    <t>Ant.Cob/123697</t>
  </si>
  <si>
    <t>Banco Brb - Par. 123697(04-32)</t>
  </si>
  <si>
    <t>Ant.Cob/123708</t>
  </si>
  <si>
    <t>Banco Brb - Par. 123708(15-32)</t>
  </si>
  <si>
    <t>Ant.Cob/123718</t>
  </si>
  <si>
    <t>Banco Brb - Par. 123718(25-32)</t>
  </si>
  <si>
    <t>Ant.Cob/123698</t>
  </si>
  <si>
    <t>Banco Brb - Par. 123698(05-32)</t>
  </si>
  <si>
    <t>Ant.Cob/123700</t>
  </si>
  <si>
    <t>Banco Brb - Par. 123700(07-32)</t>
  </si>
  <si>
    <t>Ant.Cob/123710</t>
  </si>
  <si>
    <t>Banco Brb - Par. 123710(17-32)</t>
  </si>
  <si>
    <t>Ant.Cob/123720</t>
  </si>
  <si>
    <t>Banco Brb - Par. 123720(27-32)</t>
  </si>
  <si>
    <t>Ant.Cob/123701</t>
  </si>
  <si>
    <t>Banco Brb - Par. 123701(08-32)</t>
  </si>
  <si>
    <t>Ant.Cob/123711</t>
  </si>
  <si>
    <t>Banco Brb - Par. 123711(18-32)</t>
  </si>
  <si>
    <t>Ant.Cob/123721</t>
  </si>
  <si>
    <t>Banco Brb - Par. 123721(28-32)</t>
  </si>
  <si>
    <t>Ant.Cob/123702</t>
  </si>
  <si>
    <t>Banco Brb - Par. 123702(09-32)</t>
  </si>
  <si>
    <t>Ant.Cob/123712</t>
  </si>
  <si>
    <t>Banco Brb - Par. 123712(19-32)</t>
  </si>
  <si>
    <t>Ant.Cob/123722</t>
  </si>
  <si>
    <t>Banco Brb - Par. 123722(29-32)</t>
  </si>
  <si>
    <t>Ant.Cob/123709</t>
  </si>
  <si>
    <t>Banco Brb - Par. 123709(16-32)</t>
  </si>
  <si>
    <t>Ant.Cob/123719</t>
  </si>
  <si>
    <t>Banco Brb - Par. 123719(26-32)</t>
  </si>
  <si>
    <t>Ant.Cob/123699</t>
  </si>
  <si>
    <t>Banco Brb - Par. 123699(06-32)</t>
  </si>
  <si>
    <t>PAGAMENTO DA MENSALIDADE DE FEVEREIRO/2015, DO(A) ALUNO(A) GUSTAVO SANTANA DE MENDONÇA_ESN</t>
  </si>
  <si>
    <t>Extrato/123969</t>
  </si>
  <si>
    <t>Caixa Econômica Federal - Cód. 123969</t>
  </si>
  <si>
    <t>Ant.Cob/123730</t>
  </si>
  <si>
    <t>Banco Brb - Par. 123730(03-4)</t>
  </si>
  <si>
    <t>Ant.Cob/123731</t>
  </si>
  <si>
    <t>Banco Brb - Par. 123731(04-4)</t>
  </si>
  <si>
    <t>Ant.Cob/123728</t>
  </si>
  <si>
    <t>Banco Brb - Par. 123728(01-4)</t>
  </si>
  <si>
    <t>Ant.Cob/123729</t>
  </si>
  <si>
    <t>Banco Brb - Par. 123729(02-4)</t>
  </si>
  <si>
    <t>SRP/110633</t>
  </si>
  <si>
    <t>Silvanio Rodrigues Peres - Par. 110633(05-12)</t>
  </si>
  <si>
    <t>Brb Sol 2841/114774</t>
  </si>
  <si>
    <t>Senise Factoring - Brasilia/Df - Cód. 114774</t>
  </si>
  <si>
    <t>Brb Sol 2851/114784</t>
  </si>
  <si>
    <t>Senise Factoring - Brasilia/Df - Cód. 114784</t>
  </si>
  <si>
    <t>Acerto/115706</t>
  </si>
  <si>
    <t>Marcos Fernandes Sobrinho - Cód. 115706</t>
  </si>
  <si>
    <t>Brb Sol 3083/114999</t>
  </si>
  <si>
    <t>Eudes  - Cód. 114999</t>
  </si>
  <si>
    <t>Brb Sol 3086/114996</t>
  </si>
  <si>
    <t>Eudes  - Cód. 114996</t>
  </si>
  <si>
    <t>Brb Sol 3092/114990</t>
  </si>
  <si>
    <t>Eudes  - Cód. 114990</t>
  </si>
  <si>
    <t>Brb Sol 3431/119659</t>
  </si>
  <si>
    <t>Rogério Purcena Rezende - Cód. 119659</t>
  </si>
  <si>
    <t>IPB/110895</t>
  </si>
  <si>
    <t>Itelino Piau Braga - Par. 110895(05-12)</t>
  </si>
  <si>
    <t>MD/110646</t>
  </si>
  <si>
    <t>Marisvaldo Divino  - Par. 110646(05-12)</t>
  </si>
  <si>
    <t>Biblioteca Unidade Fundamental</t>
  </si>
  <si>
    <t>RFMZ/123600</t>
  </si>
  <si>
    <t>Roberto Ferreira / Maria Zirlene  - Cód. 123600</t>
  </si>
  <si>
    <t>PAGAMENTO DA MENSALIDADE DE ABRIL/2015, DO(A) ALUNO(A) INGRID LUDOVICO_EF</t>
  </si>
  <si>
    <t>Che Pre  Merc Editora 0498</t>
  </si>
  <si>
    <t>Cheque Compensado Merc Editora 0498</t>
  </si>
  <si>
    <t>Ch Pre Merc 0498</t>
  </si>
  <si>
    <t>Crédito Cheque Devolvido</t>
  </si>
  <si>
    <t>PARTE PAGAMENTO DAS MENSALIDADES DE JULHO A DEZ./2014, DO(A) ALUNO(A) NICOLY FRANCO PINHEIRO_ESN</t>
  </si>
  <si>
    <t>Acerto/126934</t>
  </si>
  <si>
    <t>Ádino José Cardoso - Cód. 126934</t>
  </si>
  <si>
    <t>PAGAMENTO DA MENSALIDADE DE ABRIL/2015, DO(A) ALUNO(A) ARTHUR MOURÃO DIAS PIO_ESN</t>
  </si>
  <si>
    <t>Depósito Bancário</t>
  </si>
  <si>
    <t>Extrato Rogerio Purcena</t>
  </si>
  <si>
    <t>Transferência Entre Conta Pgamento boletos</t>
  </si>
  <si>
    <t>Destino: 270613-Transferência Entre Conta Pgamento boletos</t>
  </si>
  <si>
    <t>Extrato/123875</t>
  </si>
  <si>
    <t>Bradesco S/A - Par. 123875(01-2)</t>
  </si>
  <si>
    <t>Extrato/123784</t>
  </si>
  <si>
    <t>Banco Do Brasil - Cód. 123784</t>
  </si>
  <si>
    <t>Extrato/123785</t>
  </si>
  <si>
    <t>Banco Do Brasil - Cód. 123785</t>
  </si>
  <si>
    <t>Destino: 273136-Transferência Entre Conta</t>
  </si>
  <si>
    <t>MERC [UDI] [02.042205-8] [CC]</t>
  </si>
  <si>
    <t>Extrato/123786</t>
  </si>
  <si>
    <t>Banco Do Brasil - Par. 123786(01-9)</t>
  </si>
  <si>
    <t>Extrato/123787</t>
  </si>
  <si>
    <t>Banco Do Brasil - Par. 123787(02-9)</t>
  </si>
  <si>
    <t>Extrato/123788</t>
  </si>
  <si>
    <t>Banco Do Brasil - Par. 123788(03-9)</t>
  </si>
  <si>
    <t>Extrato/123789</t>
  </si>
  <si>
    <t>Banco Do Brasil - Par. 123789(04-9)</t>
  </si>
  <si>
    <t>Extrato/123790</t>
  </si>
  <si>
    <t>Banco Do Brasil - Par. 123790(05-9)</t>
  </si>
  <si>
    <t>Extrato/123791</t>
  </si>
  <si>
    <t>Banco Do Brasil - Par. 123791(06-9)</t>
  </si>
  <si>
    <t>Extrato/123792</t>
  </si>
  <si>
    <t>Banco Do Brasil - Par. 123792(07-9)</t>
  </si>
  <si>
    <t>Extrato/123793</t>
  </si>
  <si>
    <t>Banco Do Brasil - Par. 123793(08-9)</t>
  </si>
  <si>
    <t>Extrato/123794</t>
  </si>
  <si>
    <t>Banco Do Brasil - Par. 123794(09-9)</t>
  </si>
  <si>
    <t>Retorno: Par. 192862(05/12) - 018172/FEL - Mensalidades</t>
  </si>
  <si>
    <t>Retorno: Par. 193076(05/12) - 018076/ARM - Mensalidades</t>
  </si>
  <si>
    <t>Extrato/125057</t>
  </si>
  <si>
    <t>Banco Brb - Cód. 125057</t>
  </si>
  <si>
    <t>Extrato/125058</t>
  </si>
  <si>
    <t>Banco Brb - Cód. 125058</t>
  </si>
  <si>
    <t xml:space="preserve"> Rescisão/123522</t>
  </si>
  <si>
    <t>Rescisão - Grupo Olimpo - Cód. 123522</t>
  </si>
  <si>
    <t>Rescisão/123523</t>
  </si>
  <si>
    <t>Rescisão - Grupo Olimpo - Cód. 123523</t>
  </si>
  <si>
    <t>552/123533</t>
  </si>
  <si>
    <t>Abg Prestação De Serviços Medicos  - Cód. 123533</t>
  </si>
  <si>
    <t>Ant.Cob/125060</t>
  </si>
  <si>
    <t>Banco Brb - Cód. 125060</t>
  </si>
  <si>
    <t>Ant.Cob/125061</t>
  </si>
  <si>
    <t>Banco Brb - Cód. 125061</t>
  </si>
  <si>
    <t>Ant.Cob/125059</t>
  </si>
  <si>
    <t>Banco Brb - Cód. 125059</t>
  </si>
  <si>
    <t>Debito Devolução Ch Depositado-Ch Pre Bra 6276</t>
  </si>
  <si>
    <t>Credito Ch Devolvido</t>
  </si>
  <si>
    <t>Sispag</t>
  </si>
  <si>
    <t>Par.(04-12) 020170/MARILLIA DE FREITAS MACHA - PAGAMENTO CHE</t>
  </si>
  <si>
    <t>Par.(04/12) 019901/ALBERTO XAVIER DE MELLO N - Mensalidades</t>
  </si>
  <si>
    <t>Par.(04/12) 019728/ANA LUIZA MARQUEZ MELLO - Mensalidades</t>
  </si>
  <si>
    <t>Ch Pre Bra 6277 - Cheque Compensado</t>
  </si>
  <si>
    <t>Extrato/123817</t>
  </si>
  <si>
    <t>Bradesco - Cód. 123817</t>
  </si>
  <si>
    <t>Extrato/123818</t>
  </si>
  <si>
    <t>Bradesco - Cód. 123818</t>
  </si>
  <si>
    <t>Ch Pre Bra 6277 - Cheque Devolvido</t>
  </si>
  <si>
    <t>Retorno: Par. 197081(05/12) - 18420/EST - Mensalidades</t>
  </si>
  <si>
    <t>Retorno: Par. 204636(05/12) - 19966/HUG - Mensalidades</t>
  </si>
  <si>
    <t>Transferencia Entre Contas</t>
  </si>
  <si>
    <t>Destino: 274070-Transferencia Entre Contas</t>
  </si>
  <si>
    <t>Par.(01-1) 019919/MARIA GABRIELA MARTINS - 1ª OU 2ª SÉRI</t>
  </si>
  <si>
    <t>Segunda Chamada Fundamental</t>
  </si>
  <si>
    <t>Fiscais/123535</t>
  </si>
  <si>
    <t>Fiscais De Prova - Cód. 123535</t>
  </si>
  <si>
    <t>Abril/128617</t>
  </si>
  <si>
    <t>Carlos Antonio Moreira - Cód. 128617</t>
  </si>
  <si>
    <t>Abril/126935</t>
  </si>
  <si>
    <t>Vicente Aparecido da Silva - Cód. 126935</t>
  </si>
  <si>
    <t>0803/123537</t>
  </si>
  <si>
    <t>Shopping das Baterias - Cód. 123537</t>
  </si>
  <si>
    <t>CA.Despesas com Veículos (DESPESA)</t>
  </si>
  <si>
    <t>Fiscais/123543</t>
  </si>
  <si>
    <t>Fiscais De Prova - Cód. 123543</t>
  </si>
  <si>
    <t>2688/02/119066</t>
  </si>
  <si>
    <t>Markos Comunicação Visual Ltda - Cód. 119066</t>
  </si>
  <si>
    <t>Rend Aplic Aut</t>
  </si>
  <si>
    <t>DEPÓSITO 2015-05-15</t>
  </si>
  <si>
    <t>PAGAMENTO DA MENSALIDADE DE ABRIL/2015, DO(A) ALUNO(A) MARIA EDUARDA COSTA OLIVEIRA_ESN</t>
  </si>
  <si>
    <t>7387/119701</t>
  </si>
  <si>
    <t>Wambasther Alves - Cód. 119701</t>
  </si>
  <si>
    <t>Fiscais/123559</t>
  </si>
  <si>
    <t>Fiscais De Prova - Cód. 123559</t>
  </si>
  <si>
    <t>PAGAMENTO DA MENSALIDADE DE ABRIL/15 DO(A) ALUNO(A) ANA CLARA BRASILEIRO CABRAL_EF</t>
  </si>
  <si>
    <t>Destino: 270238-Transferência Entre Conta</t>
  </si>
  <si>
    <t>Destino: 270240-Transferência Entre Conta</t>
  </si>
  <si>
    <t>Destino: 270242-Transferência Entre Conta</t>
  </si>
  <si>
    <t>Destino: 270244-Transferência Entre Conta</t>
  </si>
  <si>
    <t>Destino: 270246-Transferência Entre Conta</t>
  </si>
  <si>
    <t>Destino: 270248-Transferência Entre Conta</t>
  </si>
  <si>
    <t>Destino: 270250-Transferência Entre Conta</t>
  </si>
  <si>
    <t>Destino: 270252-Transferência Entre Conta</t>
  </si>
  <si>
    <t>Destino: 270254-Transferência Entre Conta</t>
  </si>
  <si>
    <t>Destino: 270256-Transferência Entre Conta</t>
  </si>
  <si>
    <t>Abril/122916</t>
  </si>
  <si>
    <t>Ádino José Cardoso - Cód. 122916</t>
  </si>
  <si>
    <t>Extrato/127350</t>
  </si>
  <si>
    <t>Ministério da Fazenda - Cód. 127350</t>
  </si>
  <si>
    <t>CA.FGTS (DESPESA)</t>
  </si>
  <si>
    <t>16757/123958</t>
  </si>
  <si>
    <t>Semax Segurança Máxima Ltda - Cód. 123958</t>
  </si>
  <si>
    <t>310/119667</t>
  </si>
  <si>
    <t>Impar Terceirização  - Cód. 119667</t>
  </si>
  <si>
    <t>T-27.Despesas Diversas</t>
  </si>
  <si>
    <t>Recibo/123959</t>
  </si>
  <si>
    <t>Marcelo De Moraes Melo - Cód. 123959</t>
  </si>
  <si>
    <t>Extrato/123693</t>
  </si>
  <si>
    <t>Banco Itaú Unibanco S.A. - Cód. 123693</t>
  </si>
  <si>
    <t>MS/116481</t>
  </si>
  <si>
    <t>MARLOS STIVAL - PAÇOCA - Cód. 116481</t>
  </si>
  <si>
    <t>AM/117812</t>
  </si>
  <si>
    <t>Augusto Melo - Cód. 117812</t>
  </si>
  <si>
    <t>AM/117807</t>
  </si>
  <si>
    <t>Augusto Melo - Cód. 117807</t>
  </si>
  <si>
    <t>ZWB/119854</t>
  </si>
  <si>
    <t>Zelice Wanderley Barbosa - Cód. 119854</t>
  </si>
  <si>
    <t>Abril/122918</t>
  </si>
  <si>
    <t>Willian Rodrigues Moreira - Cód. 122918</t>
  </si>
  <si>
    <t>MD/110683</t>
  </si>
  <si>
    <t>Marisvaldo Divino  - Par. 110683(05-12)</t>
  </si>
  <si>
    <t>RVF/114749</t>
  </si>
  <si>
    <t>Renato Vieira Ferro - Par. 114749(04-11)</t>
  </si>
  <si>
    <t>Rescisão/123560</t>
  </si>
  <si>
    <t>Rescisão - Grupo Olimpo - Cód. 123560</t>
  </si>
  <si>
    <t>DB20150518</t>
  </si>
  <si>
    <t>Operação Desconto de Boletos 2015.05.18</t>
  </si>
  <si>
    <t>Juros20150518/123733</t>
  </si>
  <si>
    <t>Banco Brb - Cód. 123733</t>
  </si>
  <si>
    <t>Credito Devolução Ch Sustado</t>
  </si>
  <si>
    <t>Par.(01/10) 020813/DAYANNE SILVA AMARAL - Parcelas</t>
  </si>
  <si>
    <t>Par.(01-1) 018245/JOÃO DE CASTRO BARCELLOS  - 1ª OU 2ª SÉRI</t>
  </si>
  <si>
    <t>Par.(01-1) 018333/MATHEUS FARIA CUNHA - 1ª OU 2ª SÉRI</t>
  </si>
  <si>
    <t>Par.(01-1) 018228/ARTHUR BERBERIAN GONZAGA - 1ª OU 2ª SÉRI</t>
  </si>
  <si>
    <t>Brb Sol  3438/127658</t>
  </si>
  <si>
    <t>Banco Brb - Cód. 127658</t>
  </si>
  <si>
    <t>Extrato/123876</t>
  </si>
  <si>
    <t>Bradesco S/A - Par. 123876(02-2)</t>
  </si>
  <si>
    <t>Par.(05/12) 020815/PEDRO LISBÔA RIBEIRO - Mensalidades</t>
  </si>
  <si>
    <t>Par.(03/10) 020818/ADARIO DANTAS CARNEIRO - Parcelas</t>
  </si>
  <si>
    <t>Par.(01/10) 020809/ANDRÉ LUCAS SEIXAS MACALÃ - Parcelas</t>
  </si>
  <si>
    <t>Par.(03/12) 019560/ARTUR EMILIANO RODRIGUES  - Mensalidades</t>
  </si>
  <si>
    <t xml:space="preserve">Remessa </t>
  </si>
  <si>
    <t>Retorno: Par. 189956(04/12) - 018187/WAL - Mensalidades</t>
  </si>
  <si>
    <t>Retorno: Par. 192657(05/12) - 019596/GAB - Mensalidades</t>
  </si>
  <si>
    <t>Par.(04/12) 018244/HENRIQUE BRUNHAROTTO GARC - Mensalidades</t>
  </si>
  <si>
    <t>Par.(02/12) 019560/ARTUR EMILIANO RODRIGUES  - Mensalidades</t>
  </si>
  <si>
    <t>Operaçao Desconto Boletos 2015.05.18</t>
  </si>
  <si>
    <t>Juros20150518/125062</t>
  </si>
  <si>
    <t>Banco Brb - Cód. 125062</t>
  </si>
  <si>
    <t>Rogério Purcena Sacou P/ Pagar Rescisões</t>
  </si>
  <si>
    <t>Destino: 271613-Rogério Purcena Sacou P/ Pagar Rescisões</t>
  </si>
  <si>
    <t>Despesa/124015</t>
  </si>
  <si>
    <t>Grupo Olimpo - Cód. 124015</t>
  </si>
  <si>
    <t>Cheque Devolvido</t>
  </si>
  <si>
    <t>Ant.Cob</t>
  </si>
  <si>
    <t>Antecipação de Cobrança</t>
  </si>
  <si>
    <t>Extrato/123900</t>
  </si>
  <si>
    <t>Banco Brb - Cód. 123900</t>
  </si>
  <si>
    <t>Extrato/123935</t>
  </si>
  <si>
    <t>Banco Do Brasil - Cód. 123935</t>
  </si>
  <si>
    <t>Ant.Cob/123938</t>
  </si>
  <si>
    <t>Banco Brb - Cód. 123938</t>
  </si>
  <si>
    <t>Devolução Cheque</t>
  </si>
  <si>
    <t>ESPÉCIE 2015-05-18</t>
  </si>
  <si>
    <t>PAGAMENTO DA MENSALIDADE DE ABRIL/15 DO(A) ALUNO(A) GERMANA JOYCE NUNES DE OLIVEIRA_EF</t>
  </si>
  <si>
    <t>Par.(03/12) 018601/FLÁVIO ELMIRO COELHO BARB - Mensalidades</t>
  </si>
  <si>
    <t>Par.(01-12) 018666/GUSTAVO RIBEIRO MESQUITA - PAGAMENTO CHE</t>
  </si>
  <si>
    <t>DEPÓSITO 2015-05-18</t>
  </si>
  <si>
    <t>PAGAMENTO DA MENSALIDADE DE ABRIL/2015, DO(A) ALUNO(A) RODRIGO CINTRA FARIA_ESN</t>
  </si>
  <si>
    <t>PAGAMENTO DAS MENSALIDADES DE MARÇO E ABRIL/15 DO(A) ALUNO(A) MARIANA LUCENA GOMES_ESN</t>
  </si>
  <si>
    <t>314/121420</t>
  </si>
  <si>
    <t>CM Locações de Espaços Publicitarios Ltd - Cód. 121420</t>
  </si>
  <si>
    <t>30339-5/123563</t>
  </si>
  <si>
    <t>Cartório 3º Tabelionato De Notas - Cód. 123563</t>
  </si>
  <si>
    <t>317804/123564</t>
  </si>
  <si>
    <t>Auto Posto Mutirão - Cód. 123564</t>
  </si>
  <si>
    <t>Automaticket Impressos Publicitarios - Cód. 123575</t>
  </si>
  <si>
    <t>Par.(03/12) 018419/VICTOR TAVARES PONTES - Mensalidades</t>
  </si>
  <si>
    <t>Destino: 270875-transferência Entre Conta</t>
  </si>
  <si>
    <t>Destino: 270877-Transferência Entre Conta</t>
  </si>
  <si>
    <t>Destino: 270879-Transferência Entre Conta</t>
  </si>
  <si>
    <t>CV/110580</t>
  </si>
  <si>
    <t>Carlinda Vieira  - Par. 110580(05-12)</t>
  </si>
  <si>
    <t>056311/123829</t>
  </si>
  <si>
    <t>Posto De Combustível - Cód. 123829</t>
  </si>
  <si>
    <t>Par.(03/12) 018166/PEDRO HENRIQUE CARVALHO D - Mensalidades</t>
  </si>
  <si>
    <t>Par.(04/12) 018166/PEDRO HENRIQUE CARVALHO D - Mensalidades</t>
  </si>
  <si>
    <t>846/124358</t>
  </si>
  <si>
    <t>Sayoga Instrumental - Cód. 124358</t>
  </si>
  <si>
    <t>SolNascente.Manutenção Máquinas e Equipamentos</t>
  </si>
  <si>
    <t>Extrato/127347</t>
  </si>
  <si>
    <t>Banco Daycoval S/A  - Cód. 127347</t>
  </si>
  <si>
    <t>PAGAMENTO DA MENSALIDADE DE MARÇO/2015, DO(A) ALUNO(A) LUCAS SABBATINI JANOT PROCOPIO_EF</t>
  </si>
  <si>
    <t>Extrato/126919</t>
  </si>
  <si>
    <t>Banco Do Brasil - Cód. 126919</t>
  </si>
  <si>
    <t>Extrato/126920</t>
  </si>
  <si>
    <t>Banco Do Brasil - Cód. 126920</t>
  </si>
  <si>
    <t>015651/123955</t>
  </si>
  <si>
    <t>Hidraulica Boa Esperança - Cód. 123955</t>
  </si>
  <si>
    <t>T-3.Material de Construção</t>
  </si>
  <si>
    <t>27377/123956</t>
  </si>
  <si>
    <t>Kem Tubos E Conexão Eireli - Cód. 123956</t>
  </si>
  <si>
    <t>4686/123957</t>
  </si>
  <si>
    <t>Hidro Service Peças e Serviços - Cód. 123957</t>
  </si>
  <si>
    <t>Extrato/123660</t>
  </si>
  <si>
    <t>Banco Brb - Cód. 123660</t>
  </si>
  <si>
    <t>Extrato/123659</t>
  </si>
  <si>
    <t>Banco Brb - Cód. 123659</t>
  </si>
  <si>
    <t>Destino: 274029-Transferência Entre Conta</t>
  </si>
  <si>
    <t>Devolução/123962</t>
  </si>
  <si>
    <t>Rescisão - Grupo Olimpo - Cód. 123962</t>
  </si>
  <si>
    <t>10583280/109189</t>
  </si>
  <si>
    <t>Unimed - Par. 109189(04-12)</t>
  </si>
  <si>
    <t>301/123831</t>
  </si>
  <si>
    <t>Cartório 3º Tabelionato De Notas - Cód. 123831</t>
  </si>
  <si>
    <t>Extrato/123971</t>
  </si>
  <si>
    <t>Caixa Econômica Federal - Cód. 123971</t>
  </si>
  <si>
    <t>Abril/127445</t>
  </si>
  <si>
    <t>Carlos Antonio Moreira - Cód. 127445</t>
  </si>
  <si>
    <t>Ch Pre Merc Editora 0498</t>
  </si>
  <si>
    <t>Extrato/123734</t>
  </si>
  <si>
    <t>Banco Itaú Unibanco S.A. - Cód. 123734</t>
  </si>
  <si>
    <t>Extrato/123735</t>
  </si>
  <si>
    <t>Banco Itaú Unibanco S.A. - Cód. 123735</t>
  </si>
  <si>
    <t>Extrato/123736</t>
  </si>
  <si>
    <t>Banco Itaú Unibanco S.A. - Cód. 123736</t>
  </si>
  <si>
    <t>Extrato/123740</t>
  </si>
  <si>
    <t>Banco Brb - Par. 123740(04-6)</t>
  </si>
  <si>
    <t>Extrato/123741</t>
  </si>
  <si>
    <t>Banco Brb - Par. 123741(05-6)</t>
  </si>
  <si>
    <t>Extrato/123742</t>
  </si>
  <si>
    <t>Banco Brb - Par. 123742(06-6)</t>
  </si>
  <si>
    <t>Extrato/123737</t>
  </si>
  <si>
    <t>Banco Brb - Par. 123737(01-6)</t>
  </si>
  <si>
    <t>Extrato/123738</t>
  </si>
  <si>
    <t>Banco Brb - Par. 123738(02-6)</t>
  </si>
  <si>
    <t>Extrato/123739</t>
  </si>
  <si>
    <t>Banco Brb - Par. 123739(03-6)</t>
  </si>
  <si>
    <t>Extrato/123752</t>
  </si>
  <si>
    <t>Banco Brb - Par. 123752(10-36)</t>
  </si>
  <si>
    <t>Extrato/123762</t>
  </si>
  <si>
    <t>Banco Brb - Par. 123762(20-36)</t>
  </si>
  <si>
    <t>Extrato/123772</t>
  </si>
  <si>
    <t>Banco Brb - Par. 123772(30-36)</t>
  </si>
  <si>
    <t>Extrato/123743</t>
  </si>
  <si>
    <t>Banco Brb - Par. 123743(01-36)</t>
  </si>
  <si>
    <t>Extrato/123753</t>
  </si>
  <si>
    <t>Banco Brb - Par. 123753(11-36)</t>
  </si>
  <si>
    <t>Extrato/123763</t>
  </si>
  <si>
    <t>Banco Brb - Par. 123763(21-36)</t>
  </si>
  <si>
    <t>Extrato/123773</t>
  </si>
  <si>
    <t>Banco Brb - Par. 123773(31-36)</t>
  </si>
  <si>
    <t>Extrato/123744</t>
  </si>
  <si>
    <t>Banco Brb - Par. 123744(02-36)</t>
  </si>
  <si>
    <t>Extrato/123754</t>
  </si>
  <si>
    <t>Banco Brb - Par. 123754(12-36)</t>
  </si>
  <si>
    <t>Extrato/123764</t>
  </si>
  <si>
    <t>Banco Brb - Par. 123764(22-36)</t>
  </si>
  <si>
    <t>Extrato/123774</t>
  </si>
  <si>
    <t>Banco Brb - Par. 123774(32-36)</t>
  </si>
  <si>
    <t>Extrato/123745</t>
  </si>
  <si>
    <t>Banco Brb - Par. 123745(03-36)</t>
  </si>
  <si>
    <t>Extrato/123755</t>
  </si>
  <si>
    <t>Banco Brb - Par. 123755(13-36)</t>
  </si>
  <si>
    <t>Extrato/123765</t>
  </si>
  <si>
    <t>Banco Brb - Par. 123765(23-36)</t>
  </si>
  <si>
    <t>Extrato/123775</t>
  </si>
  <si>
    <t>Banco Brb - Par. 123775(33-36)</t>
  </si>
  <si>
    <t>Extrato/123746</t>
  </si>
  <si>
    <t>Banco Brb - Par. 123746(04-36)</t>
  </si>
  <si>
    <t>Extrato/123756</t>
  </si>
  <si>
    <t>Banco Brb - Par. 123756(14-36)</t>
  </si>
  <si>
    <t>Extrato/123766</t>
  </si>
  <si>
    <t>Banco Brb - Par. 123766(24-36)</t>
  </si>
  <si>
    <t>Extrato/123776</t>
  </si>
  <si>
    <t>Banco Brb - Par. 123776(34-36)</t>
  </si>
  <si>
    <t>Extrato/123747</t>
  </si>
  <si>
    <t>Banco Brb - Par. 123747(05-36)</t>
  </si>
  <si>
    <t>Extrato/123757</t>
  </si>
  <si>
    <t>Banco Brb - Par. 123757(15-36)</t>
  </si>
  <si>
    <t>Extrato/123767</t>
  </si>
  <si>
    <t>Banco Brb - Par. 123767(25-36)</t>
  </si>
  <si>
    <t>Extrato/123777</t>
  </si>
  <si>
    <t>Banco Brb - Par. 123777(35-36)</t>
  </si>
  <si>
    <t>Extrato/123748</t>
  </si>
  <si>
    <t>Banco Brb - Par. 123748(06-36)</t>
  </si>
  <si>
    <t>Extrato/123758</t>
  </si>
  <si>
    <t>Banco Brb - Par. 123758(16-36)</t>
  </si>
  <si>
    <t>Extrato/123768</t>
  </si>
  <si>
    <t>Banco Brb - Par. 123768(26-36)</t>
  </si>
  <si>
    <t>Extrato/123750</t>
  </si>
  <si>
    <t>Banco Brb - Par. 123750(08-36)</t>
  </si>
  <si>
    <t>Extrato/123760</t>
  </si>
  <si>
    <t>Banco Brb - Par. 123760(18-36)</t>
  </si>
  <si>
    <t>Extrato/123770</t>
  </si>
  <si>
    <t>Banco Brb - Par. 123770(28-36)</t>
  </si>
  <si>
    <t>Extrato/123751</t>
  </si>
  <si>
    <t>Banco Brb - Par. 123751(09-36)</t>
  </si>
  <si>
    <t>Extrato/123761</t>
  </si>
  <si>
    <t>Banco Brb - Par. 123761(19-36)</t>
  </si>
  <si>
    <t>Extrato/123771</t>
  </si>
  <si>
    <t>Banco Brb - Par. 123771(29-36)</t>
  </si>
  <si>
    <t>Extrato/123778</t>
  </si>
  <si>
    <t>Banco Brb - Par. 123778(36-36)</t>
  </si>
  <si>
    <t>Extrato/123749</t>
  </si>
  <si>
    <t>Banco Brb - Par. 123749(07-36)</t>
  </si>
  <si>
    <t>Extrato/123759</t>
  </si>
  <si>
    <t>Banco Brb - Par. 123759(17-36)</t>
  </si>
  <si>
    <t>Extrato/123769</t>
  </si>
  <si>
    <t>Banco Brb - Par. 123769(27-36)</t>
  </si>
  <si>
    <t>MS/116473</t>
  </si>
  <si>
    <t>MARLOS STIVAL - PAÇOCA - Cód. 116473</t>
  </si>
  <si>
    <t>Despesa/123987</t>
  </si>
  <si>
    <t>Marcelo De Moraes Melo - Cód. 123987</t>
  </si>
  <si>
    <t>Recibo/119655</t>
  </si>
  <si>
    <t>Refortran-Drywall Cadeiras - Cód. 119655</t>
  </si>
  <si>
    <t>Cheque Devolução Cheque</t>
  </si>
  <si>
    <t>Extrato/123780</t>
  </si>
  <si>
    <t>Banco Santander  - Cód. 123780</t>
  </si>
  <si>
    <t>Acerto/126936</t>
  </si>
  <si>
    <t>Willian Rodrigues Moreira - Cód. 126936</t>
  </si>
  <si>
    <t>Acerto/126937</t>
  </si>
  <si>
    <t>Gildo Ribeiro Da Silva Filho - Cód. 126937</t>
  </si>
  <si>
    <t>Destino: 273134-Transferência Entre Conta</t>
  </si>
  <si>
    <t>875/124411</t>
  </si>
  <si>
    <t>Skill Sinalização E Impressão Ltda-ME - Cód. 124411</t>
  </si>
  <si>
    <t>878/124412</t>
  </si>
  <si>
    <t>Skill Sinalização E Impressão Ltda-ME - Cód. 124412</t>
  </si>
  <si>
    <t>LRF/124004</t>
  </si>
  <si>
    <t>Lr Fomento - Cód. 124004</t>
  </si>
  <si>
    <t>Extrato/123800</t>
  </si>
  <si>
    <t>Banco Do Brasil - Par. 123800(06-8)</t>
  </si>
  <si>
    <t>Extrato/123801</t>
  </si>
  <si>
    <t>Banco Do Brasil - Par. 123801(07-8)</t>
  </si>
  <si>
    <t>Extrato/123802</t>
  </si>
  <si>
    <t>Banco Do Brasil - Par. 123802(08-8)</t>
  </si>
  <si>
    <t>Extrato/123795</t>
  </si>
  <si>
    <t>Banco Do Brasil - Par. 123795(01-8)</t>
  </si>
  <si>
    <t>Extrato/123796</t>
  </si>
  <si>
    <t>Banco Do Brasil - Par. 123796(02-8)</t>
  </si>
  <si>
    <t>Extrato/123797</t>
  </si>
  <si>
    <t>Banco Do Brasil - Par. 123797(03-8)</t>
  </si>
  <si>
    <t>Extrato/123798</t>
  </si>
  <si>
    <t>Banco Do Brasil - Par. 123798(04-8)</t>
  </si>
  <si>
    <t>Extrato/123799</t>
  </si>
  <si>
    <t>Banco Do Brasil - Par. 123799(05-8)</t>
  </si>
  <si>
    <t>Retorno: Par. 192630(05/12) - 019776/GIO - Mensalidades</t>
  </si>
  <si>
    <t>Retorno: Par. 192928(05/12) - 018253/HEN - Mensalidades</t>
  </si>
  <si>
    <t>Salário/126938</t>
  </si>
  <si>
    <t>Jean Marquez Fernandes - Cód. 126938</t>
  </si>
  <si>
    <t>Destino: 270757-Transferência Entre Conta</t>
  </si>
  <si>
    <t>Destino: 270759-Transferência Entre Conta</t>
  </si>
  <si>
    <t>Destino: 270761-Transferência Entre Conta</t>
  </si>
  <si>
    <t>Destino: 270763-Transferência Entre Conta</t>
  </si>
  <si>
    <t>Destino: 270776-Transferência Entre Conta</t>
  </si>
  <si>
    <t>Destino: 270778-Transferência Entre Conta</t>
  </si>
  <si>
    <t>Destino: 270780-Transferência Entre Conta</t>
  </si>
  <si>
    <t>Destino: 270782-Transferência Entre Conta</t>
  </si>
  <si>
    <t>Destino: 270784-Transferência Entre Conta</t>
  </si>
  <si>
    <t>Destino: 270786-Transferência Entre Conta</t>
  </si>
  <si>
    <t>Destino: 270788-Transferência Entre Conta</t>
  </si>
  <si>
    <t>Empréstimo Diego Bernadelli</t>
  </si>
  <si>
    <t>Extrato/123819</t>
  </si>
  <si>
    <t>Bradesco - Cód. 123819</t>
  </si>
  <si>
    <t>Depósito em Dinheiro</t>
  </si>
  <si>
    <t>Retorno: Par. 197622(05/12) - 19917/LUÍ - Mensalidades</t>
  </si>
  <si>
    <t>Retorno: Par. 204829(05/12) - 20164/JEO - Mensalidades</t>
  </si>
  <si>
    <t>Extrato/123933</t>
  </si>
  <si>
    <t>Banco Brb - Cód. 123933</t>
  </si>
  <si>
    <t>Empréstimo Roberta Bastos lr</t>
  </si>
  <si>
    <t>Maio/127360</t>
  </si>
  <si>
    <t>Rogério Carlos Camargo Matias  - Cód. 127360</t>
  </si>
  <si>
    <t>Ant.Cob/123940</t>
  </si>
  <si>
    <t>Banco Brb - Cód. 123940</t>
  </si>
  <si>
    <t>Ant.Cob/123939</t>
  </si>
  <si>
    <t>Banco Brb - Cód. 123939</t>
  </si>
  <si>
    <t>044837/123822</t>
  </si>
  <si>
    <t>Posto De Combustível - Cód. 123822</t>
  </si>
  <si>
    <t>053575/123823</t>
  </si>
  <si>
    <t>Grupo Olimpo - Cód. 123823</t>
  </si>
  <si>
    <t>CA.Alimentação (DESPESA)</t>
  </si>
  <si>
    <t>Abril/127446</t>
  </si>
  <si>
    <t>José Calíope de Freitas Junior - Cód. 127446</t>
  </si>
  <si>
    <t>Abril/124462</t>
  </si>
  <si>
    <t>Marcelo Silva - Cód. 124462</t>
  </si>
  <si>
    <t>Abril/128606</t>
  </si>
  <si>
    <t>Everton De Almeida Menezes - Cód. 128606</t>
  </si>
  <si>
    <t>Abril/128609</t>
  </si>
  <si>
    <t>Ronnie Carlos Lourenço - Cód. 128609</t>
  </si>
  <si>
    <t>Abril/128613</t>
  </si>
  <si>
    <t>Maria Lúcia Zambon Alves - Cód. 128613</t>
  </si>
  <si>
    <t>Abril/128620</t>
  </si>
  <si>
    <t>Willian Rodrigues Moreira - Cód. 128620</t>
  </si>
  <si>
    <t>Diego Bernadelli</t>
  </si>
  <si>
    <t xml:space="preserve">Empréstimo Consignado </t>
  </si>
  <si>
    <t>Rescisão/123835</t>
  </si>
  <si>
    <t>Rescisão - Grupo Olimpo - Cód. 123835</t>
  </si>
  <si>
    <t>Rescisão/123836</t>
  </si>
  <si>
    <t>Rescisão - Grupo Olimpo - Cód. 123836</t>
  </si>
  <si>
    <t>Rescisão/123833</t>
  </si>
  <si>
    <t>Rescisão - Grupo Olimpo - Cód. 123833</t>
  </si>
  <si>
    <t>Rescisão/123832</t>
  </si>
  <si>
    <t>Rescisão - Grupo Olimpo - Cód. 123832</t>
  </si>
  <si>
    <t>Devolução/123834</t>
  </si>
  <si>
    <t>Rescisão - Grupo Olimpo - Cód. 123834</t>
  </si>
  <si>
    <t>Extrato/123951</t>
  </si>
  <si>
    <t>Bradesco - Cód. 123951</t>
  </si>
  <si>
    <t>0252416625-0/110503</t>
  </si>
  <si>
    <t>Gvt  - Par. 110503(05-12)</t>
  </si>
  <si>
    <t>Par.(03/12) 018349/ROBERTA TEODORO GOMES GRE - Mensalidades</t>
  </si>
  <si>
    <t>Par.(04/12) 018349/ROBERTA TEODORO GOMES GRE - Mensalidades</t>
  </si>
  <si>
    <t>0250839501-0/109743</t>
  </si>
  <si>
    <t>Gvt  - Cód. 109743</t>
  </si>
  <si>
    <t>0251027857-0/123952</t>
  </si>
  <si>
    <t>Gvt  - Cód. 123952</t>
  </si>
  <si>
    <t>865531979/123953</t>
  </si>
  <si>
    <t>Claro - Cód. 123953</t>
  </si>
  <si>
    <t>Despesa/123954</t>
  </si>
  <si>
    <t>Marcelo De Moraes Melo - Cód. 123954</t>
  </si>
  <si>
    <t>DEPÓSITO 2015-05-19</t>
  </si>
  <si>
    <t>PAGAMENTO DA MENSALIDADE DE ABRIL/2015, DO(A) ALUNO(A) LUCCA GABRIEL MICHELON_ANÁPOLIS</t>
  </si>
  <si>
    <t>0160190-3/110375</t>
  </si>
  <si>
    <t>Saneago - Par. 110375(03-11)</t>
  </si>
  <si>
    <t>375/042015/119709</t>
  </si>
  <si>
    <t>Santa Marta Distribuidora De Drogas - Cód. 119709</t>
  </si>
  <si>
    <t>CA.Medicamentos (DESPESA)</t>
  </si>
  <si>
    <t>Extrato/123972</t>
  </si>
  <si>
    <t>Caixa Econômica Federal - Cód. 123972</t>
  </si>
  <si>
    <t>Extrato/123973</t>
  </si>
  <si>
    <t>Caixa Econômica Federal - Cód. 123973</t>
  </si>
  <si>
    <t>Extrato/124019</t>
  </si>
  <si>
    <t>Banco Do Brasil - Cód. 124019</t>
  </si>
  <si>
    <t>Extrato/123991</t>
  </si>
  <si>
    <t>Mercantil Do Brasil - Cód. 123991</t>
  </si>
  <si>
    <t>Extrato/123781</t>
  </si>
  <si>
    <t>Banco Santander  - Cód. 123781</t>
  </si>
  <si>
    <t>Retorno: Par. 193071(05/12) - 018130/GAB - Mensalidades</t>
  </si>
  <si>
    <t>Destino: 270752-Transferência Entre Conta</t>
  </si>
  <si>
    <t>Destino: 270755-Transferência Entre Conta</t>
  </si>
  <si>
    <t>Empréstimo Thalita Alves Silva</t>
  </si>
  <si>
    <t>Destino: 270972-Transferência Entre Conta</t>
  </si>
  <si>
    <t>Destino: 270974-Transferência Entre Conta</t>
  </si>
  <si>
    <t>RVF/110944</t>
  </si>
  <si>
    <t>Renato Vieira Ferro - Par. 110944(05-12)</t>
  </si>
  <si>
    <t>Extrato/124017</t>
  </si>
  <si>
    <t>Bradesco S/A - Cód. 124017</t>
  </si>
  <si>
    <t>Extrato/124018</t>
  </si>
  <si>
    <t>Bradesco S/A - Cód. 124018</t>
  </si>
  <si>
    <t>Retorno: Par. 204698(04/12) - 20323/FER - Mensalidades</t>
  </si>
  <si>
    <t>JM/107881</t>
  </si>
  <si>
    <t>Jarbas Melo - Cód. 107881</t>
  </si>
  <si>
    <t>Despesa/110565</t>
  </si>
  <si>
    <t>Olimpo Uberlândia - Cód. 110565</t>
  </si>
  <si>
    <t>MAFR/123582</t>
  </si>
  <si>
    <t>Marco Antônio Ferreira Rios - Cód. 123582</t>
  </si>
  <si>
    <t>Ant.Cob/123901</t>
  </si>
  <si>
    <t>Banco Brb - Par. 123901(01-4)</t>
  </si>
  <si>
    <t>Ant.Cob/123902</t>
  </si>
  <si>
    <t>Banco Brb - Par. 123902(02-4)</t>
  </si>
  <si>
    <t>Ant.Cob/123903</t>
  </si>
  <si>
    <t>Banco Brb - Par. 123903(03-4)</t>
  </si>
  <si>
    <t>Ant.Cob/123904</t>
  </si>
  <si>
    <t>Banco Brb - Par. 123904(04-4)</t>
  </si>
  <si>
    <t>Extrato/123936</t>
  </si>
  <si>
    <t>Banco Do Brasil - Cód. 123936</t>
  </si>
  <si>
    <t>Extrato/123937</t>
  </si>
  <si>
    <t>Banco Do Brasil - Cód. 123937</t>
  </si>
  <si>
    <t>Recompra GF</t>
  </si>
  <si>
    <t xml:space="preserve">CA.Recompra de Boletos </t>
  </si>
  <si>
    <t>CMSB/124874</t>
  </si>
  <si>
    <t>Claudivina M. S. Batista - Cód. 124874</t>
  </si>
  <si>
    <t>Maio/127362</t>
  </si>
  <si>
    <t>Allan Sávio - Cód. 127362</t>
  </si>
  <si>
    <t>Maio/127361</t>
  </si>
  <si>
    <t>Jean Marquez Fernandes - Cód. 127361</t>
  </si>
  <si>
    <t>Ant.Cob/123941</t>
  </si>
  <si>
    <t>Banco Brb - Par. 123941(01-4)</t>
  </si>
  <si>
    <t>Ant.Cob/123942</t>
  </si>
  <si>
    <t>Banco Brb - Par. 123942(02-4)</t>
  </si>
  <si>
    <t>Ant.Cob/123943</t>
  </si>
  <si>
    <t>Banco Brb - Par. 123943(03-4)</t>
  </si>
  <si>
    <t>Ant.Cob/123944</t>
  </si>
  <si>
    <t>Banco Brb - Par. 123944(04-4)</t>
  </si>
  <si>
    <t>026375014/21860</t>
  </si>
  <si>
    <t>Banco Volkswagen - Par. 021860(36/36)</t>
  </si>
  <si>
    <t>Extrato/123947</t>
  </si>
  <si>
    <t>Banco Itaú Unibanco S.A. - Cód. 123947</t>
  </si>
  <si>
    <t>Extrato/123948</t>
  </si>
  <si>
    <t>Banco Itaú Unibanco S.A. - Cód. 123948</t>
  </si>
  <si>
    <t>10583289/118063</t>
  </si>
  <si>
    <t>Unimed - Cód. 118063</t>
  </si>
  <si>
    <t>T-27.Plano de saúde</t>
  </si>
  <si>
    <t>10583279/109201</t>
  </si>
  <si>
    <t>Unimed - Par. 109201(04-12)</t>
  </si>
  <si>
    <t>10583283/109176</t>
  </si>
  <si>
    <t>Unimed - Par. 109176(04-12)</t>
  </si>
  <si>
    <t>Despesa/123830</t>
  </si>
  <si>
    <t>Rodrigo Bernadelli Dos Santos - Cód. 123830</t>
  </si>
  <si>
    <t>835071246/122236</t>
  </si>
  <si>
    <t>Bradesco Auto Seguros - Cód. 122236</t>
  </si>
  <si>
    <t>CA.Seguro - veículo (DESPESA)</t>
  </si>
  <si>
    <t>4104/110715</t>
  </si>
  <si>
    <t>Sfornalle Panificadora - Par. 110715(05-12)</t>
  </si>
  <si>
    <t>11137976/110436</t>
  </si>
  <si>
    <t>Celg - Par. 110436(05-12)</t>
  </si>
  <si>
    <t>525/121224</t>
  </si>
  <si>
    <t>Apn Networks - Cód. 121224</t>
  </si>
  <si>
    <t>1510647-0/111403</t>
  </si>
  <si>
    <t>Saneago - Par. 111403(03-11)</t>
  </si>
  <si>
    <t>50029-1/111604</t>
  </si>
  <si>
    <t>Saneago - Par. 111604(04-12)</t>
  </si>
  <si>
    <t>PAGAMENTO DA MENSALIDADE DE FEVEREIRO/2015, DO(A) ALUNO(A) EDUARDA SOUZA RODRIGUES_ESN</t>
  </si>
  <si>
    <t>FVV/127733</t>
  </si>
  <si>
    <t>Fábio Villa Verde Moreno - Cód. 127733</t>
  </si>
  <si>
    <t>FVV/127734</t>
  </si>
  <si>
    <t>Fábio Villa Verde Moreno - Cód. 127734</t>
  </si>
  <si>
    <t>015711/123961</t>
  </si>
  <si>
    <t>Hidraulica Boa Esperança - Cód. 123961</t>
  </si>
  <si>
    <t>001359297/109688</t>
  </si>
  <si>
    <t>Celg - Par. 109688(04-12)</t>
  </si>
  <si>
    <t>10002343710/109676</t>
  </si>
  <si>
    <t>Celg - Par. 109676(04-12)</t>
  </si>
  <si>
    <t>16883240/110396</t>
  </si>
  <si>
    <t>Celg - Par. 110396(04-12)</t>
  </si>
  <si>
    <t>045105/123964</t>
  </si>
  <si>
    <t>Posto De Combustível - Cód. 123964</t>
  </si>
  <si>
    <t>360/122926</t>
  </si>
  <si>
    <t>LC Manutenção E Montagem - Cód. 122926</t>
  </si>
  <si>
    <t>Par.(04/12) 018337/PEDRO DE SIQUEIRA FALEIRO - Mensalidades</t>
  </si>
  <si>
    <t>03/2015/123837</t>
  </si>
  <si>
    <t>Marcelo De Moraes Melo - Cód. 123837</t>
  </si>
  <si>
    <t>Fgts/123840</t>
  </si>
  <si>
    <t>Fgts - Par. 123840(03-24)</t>
  </si>
  <si>
    <t>Fgts/123841</t>
  </si>
  <si>
    <t>Fgts - Par. 123841(04-24)</t>
  </si>
  <si>
    <t>Fgts/123842</t>
  </si>
  <si>
    <t>Fgts - Par. 123842(05-24)</t>
  </si>
  <si>
    <t>Fgts/123843</t>
  </si>
  <si>
    <t>Fgts - Par. 123843(06-24)</t>
  </si>
  <si>
    <t>Fgts/123844</t>
  </si>
  <si>
    <t>Fgts - Par. 123844(07-24)</t>
  </si>
  <si>
    <t>Fgts/123845</t>
  </si>
  <si>
    <t>Fgts - Par. 123845(08-24)</t>
  </si>
  <si>
    <t>Fgts/123846</t>
  </si>
  <si>
    <t>Fgts - Par. 123846(09-24)</t>
  </si>
  <si>
    <t>Fgts/123838</t>
  </si>
  <si>
    <t>Fgts - Par. 123838(01-24)</t>
  </si>
  <si>
    <t>Fgts/123839</t>
  </si>
  <si>
    <t>Fgts - Par. 123839(02-24)</t>
  </si>
  <si>
    <t>Fgts/123850</t>
  </si>
  <si>
    <t>Fgts - Par. 123850(13-24)</t>
  </si>
  <si>
    <t>Fgts/123851</t>
  </si>
  <si>
    <t>Fgts - Par. 123851(14-24)</t>
  </si>
  <si>
    <t>Fgts/123852</t>
  </si>
  <si>
    <t>Fgts - Par. 123852(15-24)</t>
  </si>
  <si>
    <t>Fgts/123853</t>
  </si>
  <si>
    <t>Fgts - Par. 123853(16-24)</t>
  </si>
  <si>
    <t>Fgts/123854</t>
  </si>
  <si>
    <t>Fgts - Par. 123854(17-24)</t>
  </si>
  <si>
    <t>Fgts/123855</t>
  </si>
  <si>
    <t>Fgts - Par. 123855(18-24)</t>
  </si>
  <si>
    <t>Fgts/123856</t>
  </si>
  <si>
    <t>Fgts - Par. 123856(19-24)</t>
  </si>
  <si>
    <t>Fgts/123847</t>
  </si>
  <si>
    <t>Fgts - Par. 123847(10-24)</t>
  </si>
  <si>
    <t>Fgts/123848</t>
  </si>
  <si>
    <t>Fgts - Par. 123848(11-24)</t>
  </si>
  <si>
    <t>Fgts/123849</t>
  </si>
  <si>
    <t>Fgts - Par. 123849(12-24)</t>
  </si>
  <si>
    <t>Fgts/123860</t>
  </si>
  <si>
    <t>Fgts - Par. 123860(23-24)</t>
  </si>
  <si>
    <t>Fgts/123861</t>
  </si>
  <si>
    <t>Fgts - Par. 123861(24-24)</t>
  </si>
  <si>
    <t>Fgts/123857</t>
  </si>
  <si>
    <t>Fgts - Par. 123857(20-24)</t>
  </si>
  <si>
    <t>Fgts/123858</t>
  </si>
  <si>
    <t>Fgts - Par. 123858(21-24)</t>
  </si>
  <si>
    <t>Fgts/123859</t>
  </si>
  <si>
    <t>Fgts - Par. 123859(22-24)</t>
  </si>
  <si>
    <t>Extrato/123974</t>
  </si>
  <si>
    <t>Caixa Econômica Federal - Cód. 123974</t>
  </si>
  <si>
    <t>Despesa/123990</t>
  </si>
  <si>
    <t>Marcelo De Moraes Melo - Cód. 123990</t>
  </si>
  <si>
    <t>GB/110755</t>
  </si>
  <si>
    <t>Geni Bernadelli - Par. 110755(05-12)</t>
  </si>
  <si>
    <t>AA/110743</t>
  </si>
  <si>
    <t>Aline Alkimim - Fornecedor - Par. 110743(05-12)</t>
  </si>
  <si>
    <t>Abril/123999</t>
  </si>
  <si>
    <t>Vera Lucia Rodrigues Franca - Cód. 123999</t>
  </si>
  <si>
    <t>VL/110731</t>
  </si>
  <si>
    <t>Vera Lucia / Renato Vieira - Par. 110731(05-12)</t>
  </si>
  <si>
    <t>Extrato/124031</t>
  </si>
  <si>
    <t>Bradesco S/A - Par. 124031(06-7)</t>
  </si>
  <si>
    <t>Extrato/124032</t>
  </si>
  <si>
    <t>Bradesco S/A - Par. 124032(07-7)</t>
  </si>
  <si>
    <t>Retorno: Par. 192622(05/12) - 019762/VAL - Mensalidades</t>
  </si>
  <si>
    <t>Retorno: Par. 193099(05/12) - 018254/LAU - Mensalidades</t>
  </si>
  <si>
    <t>Extrato/128719</t>
  </si>
  <si>
    <t>Banco Safra - Cód. 128719</t>
  </si>
  <si>
    <t>Extrato/123877</t>
  </si>
  <si>
    <t>Banco Santander  - Par. 123877(01-1)</t>
  </si>
  <si>
    <t>Fgts/123862</t>
  </si>
  <si>
    <t>Fgts - Par. 123862(01-13)</t>
  </si>
  <si>
    <t>Aná. FGTS</t>
  </si>
  <si>
    <t>Fgts/123863</t>
  </si>
  <si>
    <t>Fgts - Par. 123863(02-13)</t>
  </si>
  <si>
    <t>Fgts/123871</t>
  </si>
  <si>
    <t>Fgts - Par. 123871(10-13)</t>
  </si>
  <si>
    <t>Fgts/123872</t>
  </si>
  <si>
    <t>Fgts - Par. 123872(11-13)</t>
  </si>
  <si>
    <t>Fgts/123873</t>
  </si>
  <si>
    <t>Fgts - Par. 123873(12-13)</t>
  </si>
  <si>
    <t>Fgts/123864</t>
  </si>
  <si>
    <t>Fgts - Par. 123864(03-13)</t>
  </si>
  <si>
    <t>Fgts/123865</t>
  </si>
  <si>
    <t>Fgts - Par. 123865(04-13)</t>
  </si>
  <si>
    <t>Fgts/123866</t>
  </si>
  <si>
    <t>Fgts - Par. 123866(05-13)</t>
  </si>
  <si>
    <t>Fgts/123874</t>
  </si>
  <si>
    <t>Fgts - Par. 123874(13-13)</t>
  </si>
  <si>
    <t>Fgts/123870</t>
  </si>
  <si>
    <t>Fgts - Par. 123870(09-13)</t>
  </si>
  <si>
    <t>Fgts/123867</t>
  </si>
  <si>
    <t>Fgts - Par. 123867(06-13)</t>
  </si>
  <si>
    <t>Fgts/123868</t>
  </si>
  <si>
    <t>Fgts - Par. 123868(07-13)</t>
  </si>
  <si>
    <t>Fgts/123869</t>
  </si>
  <si>
    <t>Fgts - Par. 123869(08-13)</t>
  </si>
  <si>
    <t>Destino: 270765-Transferência Entre Conta</t>
  </si>
  <si>
    <t>Extrato/123905</t>
  </si>
  <si>
    <t>Banco Brb - Par. 123905(01-28)</t>
  </si>
  <si>
    <t>Destino: 270767-Transferência Entre Conta</t>
  </si>
  <si>
    <t>Destino: 270769-Transferência Entre Conta</t>
  </si>
  <si>
    <t>Destino: 270771-Transferência Entre Conta</t>
  </si>
  <si>
    <t>Diversos Boletos</t>
  </si>
  <si>
    <t>Destino: 270773-Diversos Boletos</t>
  </si>
  <si>
    <t>Abril/121407</t>
  </si>
  <si>
    <t>Jessyca Karla Campos - Cód. 121407</t>
  </si>
  <si>
    <t>Retorno: Par. 204719(05/12) - 18541/JOÃ - Mensalidades</t>
  </si>
  <si>
    <t>Extrato/123914</t>
  </si>
  <si>
    <t>Banco Brb - Par. 123914(10-28)</t>
  </si>
  <si>
    <t>Extrato/123924</t>
  </si>
  <si>
    <t>Banco Brb - Par. 123924(20-28)</t>
  </si>
  <si>
    <t>Extrato/123915</t>
  </si>
  <si>
    <t>Banco Brb - Par. 123915(11-28)</t>
  </si>
  <si>
    <t>Extrato/123925</t>
  </si>
  <si>
    <t>Banco Brb - Par. 123925(21-28)</t>
  </si>
  <si>
    <t>Extrato/123910</t>
  </si>
  <si>
    <t>Banco Brb - Par. 123910(06-28)</t>
  </si>
  <si>
    <t>Extrato/123920</t>
  </si>
  <si>
    <t>Banco Brb - Par. 123920(16-28)</t>
  </si>
  <si>
    <t>Extrato/123930</t>
  </si>
  <si>
    <t>Banco Brb - Par. 123930(26-28)</t>
  </si>
  <si>
    <t>Extrato/123911</t>
  </si>
  <si>
    <t>Banco Brb - Par. 123911(07-28)</t>
  </si>
  <si>
    <t>Extrato/123921</t>
  </si>
  <si>
    <t>Banco Brb - Par. 123921(17-28)</t>
  </si>
  <si>
    <t>Extrato/123931</t>
  </si>
  <si>
    <t>Banco Brb - Par. 123931(27-28)</t>
  </si>
  <si>
    <t>Extrato/123912</t>
  </si>
  <si>
    <t>Banco Brb - Par. 123912(08-28)</t>
  </si>
  <si>
    <t>Extrato/123922</t>
  </si>
  <si>
    <t>Banco Brb - Par. 123922(18-28)</t>
  </si>
  <si>
    <t>Extrato/123932</t>
  </si>
  <si>
    <t>Banco Brb - Par. 123932(28-28)</t>
  </si>
  <si>
    <t>Extrato/123906</t>
  </si>
  <si>
    <t>Banco Brb - Par. 123906(02-28)</t>
  </si>
  <si>
    <t>Extrato/123916</t>
  </si>
  <si>
    <t>Banco Brb - Par. 123916(12-28)</t>
  </si>
  <si>
    <t>Extrato/123926</t>
  </si>
  <si>
    <t>Banco Brb - Par. 123926(22-28)</t>
  </si>
  <si>
    <t>Extrato/123907</t>
  </si>
  <si>
    <t>Banco Brb - Par. 123907(03-28)</t>
  </si>
  <si>
    <t>Extrato/123917</t>
  </si>
  <si>
    <t>Banco Brb - Par. 123917(13-28)</t>
  </si>
  <si>
    <t>Extrato/123927</t>
  </si>
  <si>
    <t>Banco Brb - Par. 123927(23-28)</t>
  </si>
  <si>
    <t>Extrato/123908</t>
  </si>
  <si>
    <t>Banco Brb - Par. 123908(04-28)</t>
  </si>
  <si>
    <t>Extrato/123918</t>
  </si>
  <si>
    <t>Banco Brb - Par. 123918(14-28)</t>
  </si>
  <si>
    <t>Extrato/123928</t>
  </si>
  <si>
    <t>Banco Brb - Par. 123928(24-28)</t>
  </si>
  <si>
    <t>Extrato/123909</t>
  </si>
  <si>
    <t>Banco Brb - Par. 123909(05-28)</t>
  </si>
  <si>
    <t>Extrato/123919</t>
  </si>
  <si>
    <t>Banco Brb - Par. 123919(15-28)</t>
  </si>
  <si>
    <t>Extrato/123929</t>
  </si>
  <si>
    <t>Banco Brb - Par. 123929(25-28)</t>
  </si>
  <si>
    <t>Extrato/123913</t>
  </si>
  <si>
    <t>Banco Brb - Par. 123913(09-28)</t>
  </si>
  <si>
    <t>Extrato/123923</t>
  </si>
  <si>
    <t>Banco Brb - Par. 123923(19-28)</t>
  </si>
  <si>
    <t>Brb Sol 1488/73240</t>
  </si>
  <si>
    <t>Prefeitura Municipal De Goiânia  - Cód. 073240</t>
  </si>
  <si>
    <t>MRZ/110523</t>
  </si>
  <si>
    <t>Marcelo Romero Zacarias - Cód. 110523</t>
  </si>
  <si>
    <t>Ant.Cob/123934</t>
  </si>
  <si>
    <t>Banco Brb - Cód. 123934</t>
  </si>
  <si>
    <t>Ant.Cob/123945</t>
  </si>
  <si>
    <t>Banco Brb - Cód. 123945</t>
  </si>
  <si>
    <t>Ant.Cob/123946</t>
  </si>
  <si>
    <t>Banco Brb - Cód. 123946</t>
  </si>
  <si>
    <t>Recibo/123821</t>
  </si>
  <si>
    <t>Estacionamento Bandeirante  - Cód. 123821</t>
  </si>
  <si>
    <t>Extrato/123949</t>
  </si>
  <si>
    <t>Banco Itaú Unibanco S.A. - Cód. 123949</t>
  </si>
  <si>
    <t>Par.(02/12) 018333/MATHEUS FARIA CUNHA - Mensalidades</t>
  </si>
  <si>
    <t>Par.(03/12) 018333/MATHEUS FARIA CUNHA - Mensalidades</t>
  </si>
  <si>
    <t>DEPÓSITO 2015-05-21</t>
  </si>
  <si>
    <t>PAGAMENTO DA MENSALIDADE DE MARÇO/2015, DO(A) ALUNO(A) LUIZA FERRO MARQUES MORAES_EMI</t>
  </si>
  <si>
    <t>FVV/127735</t>
  </si>
  <si>
    <t>Fábio Villa Verde Moreno - Cód. 127735</t>
  </si>
  <si>
    <t>Par.(04/12) 018666/GUSTAVO RIBEIRO MESQUITA - Mensalidades</t>
  </si>
  <si>
    <t>Par.(03/12) 020499/JOÃO VICTOR PORTELLINHA D - Mensalidades</t>
  </si>
  <si>
    <t>Par.(04/12) 020499/JOÃO VICTOR PORTELLINHA D - Mensalidades</t>
  </si>
  <si>
    <t>Par.(01-1) 019894/AMANDA MALHEIROS - 1ª OU 2ª SÉRI</t>
  </si>
  <si>
    <t>Par.(01-1) 019610/ANA CLAUDIA SILVA - 1ª OU 2ª SÉRI</t>
  </si>
  <si>
    <t>Par.(01-1) 019570/FERNANDA ALCÂNTARA DA COS - 1ª OU 2ª SÉRI</t>
  </si>
  <si>
    <t>Par.(01-1) 018199/GUSTAVO PEIXOTO DE OLIVEI - 1ª OU 2ª SÉRI</t>
  </si>
  <si>
    <t>Par.(01-1) 020099/JULIA GARCIA GOUVEIA - 1ª OU 2ª SÉRI</t>
  </si>
  <si>
    <t>Par.(01-1) 019361/JÚLIA SIQUEIRA RODRIGUES - 1ª OU 2ª SÉRI</t>
  </si>
  <si>
    <t>Par.(01-1) 018276/JULIANA SOUTO DE OLIVEIRA - 1ª OU 2ª SÉRI</t>
  </si>
  <si>
    <t>Par.(01-1) 018350/MATHEUS ROCHA CESILIO - 1ª OU 2ª SÉRI</t>
  </si>
  <si>
    <t>Rescisão/123992</t>
  </si>
  <si>
    <t>Rescisão - Grupo Olimpo - Cód. 123992</t>
  </si>
  <si>
    <t>Recibo/123993</t>
  </si>
  <si>
    <t>Grupo Olimpo - Cód. 123993</t>
  </si>
  <si>
    <t>Recibo/123994</t>
  </si>
  <si>
    <t>Grupo Olimpo - Cód. 123994</t>
  </si>
  <si>
    <t>651/123995</t>
  </si>
  <si>
    <t>Informe Federal Assessoria Propr. Intele - Cód. 123995</t>
  </si>
  <si>
    <t>Fiscais/123996</t>
  </si>
  <si>
    <t>Fiscais De Prova - Cód. 123996</t>
  </si>
  <si>
    <t>Biblioteca Fundamental</t>
  </si>
  <si>
    <t>Fiscais/123997</t>
  </si>
  <si>
    <t>Fiscais De Prova - Cód. 123997</t>
  </si>
  <si>
    <t>Fiscais/123998</t>
  </si>
  <si>
    <t>Fiscais De Prova - Cód. 123998</t>
  </si>
  <si>
    <t>Extrato/124030</t>
  </si>
  <si>
    <t>Bradesco S/A - Par. 124030(05-7)</t>
  </si>
  <si>
    <t>Extrato/124026</t>
  </si>
  <si>
    <t>Bradesco S/A - Par. 124026(01-7)</t>
  </si>
  <si>
    <t>Extrato/124027</t>
  </si>
  <si>
    <t>Bradesco S/A - Par. 124027(02-7)</t>
  </si>
  <si>
    <t>Extrato/124028</t>
  </si>
  <si>
    <t>Bradesco S/A - Par. 124028(03-7)</t>
  </si>
  <si>
    <t>Extrato/124029</t>
  </si>
  <si>
    <t>Bradesco S/A - Par. 124029(04-7)</t>
  </si>
  <si>
    <t>Rescisão/124000</t>
  </si>
  <si>
    <t>Rescisão - Grupo Olimpo - Cód. 124000</t>
  </si>
  <si>
    <t>Par.(04-12) 020590/RICARDO BANDEIRA DE CARVA - PAGAMENTO CHE</t>
  </si>
  <si>
    <t>ESPÉCIE 2015-05-22</t>
  </si>
  <si>
    <t>PARTE PAGAMENTO DA RENEGOCIAÇÃO, DO ALUNO JOSÉ FLÁVIO DE OLIVEIRA NETO_EMI</t>
  </si>
  <si>
    <t>PAGAMENTO DA MENSALIDADE DE ABRIL/2015, DO(A) ALUNO(A) GUILHERME YURI SOUZA UTIDA_ESN</t>
  </si>
  <si>
    <t xml:space="preserve">Aolicação auto mais </t>
  </si>
  <si>
    <t>Extrato/124035</t>
  </si>
  <si>
    <t>Banco Itaú Unibanco S.A. - Par. 124035(01-2)</t>
  </si>
  <si>
    <t>Extrato/124036</t>
  </si>
  <si>
    <t>Banco Itaú Unibanco S.A. - Par. 124036(02-2)</t>
  </si>
  <si>
    <t xml:space="preserve">Depósito em Cheque </t>
  </si>
  <si>
    <t>Retorno: Par. 197216(05/12) - 18475/VIC - Mensalidades</t>
  </si>
  <si>
    <t>Extrato/125064</t>
  </si>
  <si>
    <t>Banco Brb - Cód. 125064</t>
  </si>
  <si>
    <t>Ant.Cob/125065</t>
  </si>
  <si>
    <t>Banco Brb - Cód. 125065</t>
  </si>
  <si>
    <t>Juros20150522/124041</t>
  </si>
  <si>
    <t>Banco Brb - Cód. 124041</t>
  </si>
  <si>
    <t>DB20150522</t>
  </si>
  <si>
    <t>Operação Desconto Boletos 2015.05.22</t>
  </si>
  <si>
    <t>Extrato/124051</t>
  </si>
  <si>
    <t>Banco Brb - Par. 124051(10-14)</t>
  </si>
  <si>
    <t>Extrato/124042</t>
  </si>
  <si>
    <t>Banco Brb - Par. 124042(01-14)</t>
  </si>
  <si>
    <t>Extrato/124052</t>
  </si>
  <si>
    <t>Banco Brb - Par. 124052(11-14)</t>
  </si>
  <si>
    <t>Extrato/124043</t>
  </si>
  <si>
    <t>Banco Brb - Par. 124043(02-14)</t>
  </si>
  <si>
    <t>Extrato/124053</t>
  </si>
  <si>
    <t>Banco Brb - Par. 124053(12-14)</t>
  </si>
  <si>
    <t>Extrato/124044</t>
  </si>
  <si>
    <t>Banco Brb - Par. 124044(03-14)</t>
  </si>
  <si>
    <t>Extrato/124054</t>
  </si>
  <si>
    <t>Banco Brb - Par. 124054(13-14)</t>
  </si>
  <si>
    <t>Extrato/124045</t>
  </si>
  <si>
    <t>Banco Brb - Par. 124045(04-14)</t>
  </si>
  <si>
    <t>Extrato/124055</t>
  </si>
  <si>
    <t>Banco Brb - Par. 124055(14-14)</t>
  </si>
  <si>
    <t>Extrato/124046</t>
  </si>
  <si>
    <t>Banco Brb - Par. 124046(05-14)</t>
  </si>
  <si>
    <t>Extrato/124047</t>
  </si>
  <si>
    <t>Banco Brb - Par. 124047(06-14)</t>
  </si>
  <si>
    <t>Extrato/124048</t>
  </si>
  <si>
    <t>Banco Brb - Par. 124048(07-14)</t>
  </si>
  <si>
    <t>Extrato/124050</t>
  </si>
  <si>
    <t>Banco Brb - Par. 124050(09-14)</t>
  </si>
  <si>
    <t>Extrato/124049</t>
  </si>
  <si>
    <t>Banco Brb - Par. 124049(08-14)</t>
  </si>
  <si>
    <t>Extrato/124056</t>
  </si>
  <si>
    <t>Banco Brb - Cód. 124056</t>
  </si>
  <si>
    <t>Extrato/124066</t>
  </si>
  <si>
    <t>Banco Brb - Par. 124066(10-18)</t>
  </si>
  <si>
    <t>Extrato/124057</t>
  </si>
  <si>
    <t>Banco Brb - Par. 124057(01-18)</t>
  </si>
  <si>
    <t>Extrato/124067</t>
  </si>
  <si>
    <t>Banco Brb - Par. 124067(11-18)</t>
  </si>
  <si>
    <t>Extrato/124058</t>
  </si>
  <si>
    <t>Banco Brb - Par. 124058(02-18)</t>
  </si>
  <si>
    <t>Extrato/124068</t>
  </si>
  <si>
    <t>Banco Brb - Par. 124068(12-18)</t>
  </si>
  <si>
    <t>Extrato/124060</t>
  </si>
  <si>
    <t>Banco Brb - Par. 124060(04-18)</t>
  </si>
  <si>
    <t>Extrato/124070</t>
  </si>
  <si>
    <t>Banco Brb - Par. 124070(14-18)</t>
  </si>
  <si>
    <t>Extrato/124061</t>
  </si>
  <si>
    <t>Banco Brb - Par. 124061(05-18)</t>
  </si>
  <si>
    <t>Extrato/124071</t>
  </si>
  <si>
    <t>Banco Brb - Par. 124071(15-18)</t>
  </si>
  <si>
    <t>Extrato/124062</t>
  </si>
  <si>
    <t>Banco Brb - Par. 124062(06-18)</t>
  </si>
  <si>
    <t>Extrato/124072</t>
  </si>
  <si>
    <t>Banco Brb - Par. 124072(16-18)</t>
  </si>
  <si>
    <t>Extrato/124063</t>
  </si>
  <si>
    <t>Banco Brb - Par. 124063(07-18)</t>
  </si>
  <si>
    <t>Extrato/124073</t>
  </si>
  <si>
    <t>Banco Brb - Par. 124073(17-18)</t>
  </si>
  <si>
    <t>Extrato/124064</t>
  </si>
  <si>
    <t>Banco Brb - Par. 124064(08-18)</t>
  </si>
  <si>
    <t>Extrato/124074</t>
  </si>
  <si>
    <t>Banco Brb - Par. 124074(18-18)</t>
  </si>
  <si>
    <t>Extrato/124059</t>
  </si>
  <si>
    <t>Banco Brb - Par. 124059(03-18)</t>
  </si>
  <si>
    <t>Extrato/124069</t>
  </si>
  <si>
    <t>Banco Brb - Par. 124069(13-18)</t>
  </si>
  <si>
    <t>Extrato/124065</t>
  </si>
  <si>
    <t>Banco Brb - Par. 124065(09-18)</t>
  </si>
  <si>
    <t>PAGAMENTO DAS MENSALIDADES DE MARÇO E ABRIL/2015, DO(A) ALUNO(A) BEATRIZ DA SILVA RESENDE_ESN</t>
  </si>
  <si>
    <t>Extrato/124075</t>
  </si>
  <si>
    <t>Banco Brb - Cód. 124075</t>
  </si>
  <si>
    <t>Ch Pre Brb Sol 3000- Fabio Villa Verde</t>
  </si>
  <si>
    <t>Ch Pre Brb Sol 3022- Fabio Villa Verde</t>
  </si>
  <si>
    <t>Ch Pre Brb Sol 3448- Mauricio Vieira</t>
  </si>
  <si>
    <t>Ch Pre Brb Sol 3693- Luciano Prudente De Barros</t>
  </si>
  <si>
    <t>Extrato/124085</t>
  </si>
  <si>
    <t>Banco Brb - Par. 124085(10-12)</t>
  </si>
  <si>
    <t>Extrato/124076</t>
  </si>
  <si>
    <t>Banco Brb - Par. 124076(01-12)</t>
  </si>
  <si>
    <t>Extrato/124086</t>
  </si>
  <si>
    <t>Banco Brb - Par. 124086(11-12)</t>
  </si>
  <si>
    <t>Extrato/124080</t>
  </si>
  <si>
    <t>Banco Brb - Par. 124080(05-12)</t>
  </si>
  <si>
    <t>Extrato/124081</t>
  </si>
  <si>
    <t>Banco Brb - Par. 124081(06-12)</t>
  </si>
  <si>
    <t>Extrato/124082</t>
  </si>
  <si>
    <t>Banco Brb - Par. 124082(07-12)</t>
  </si>
  <si>
    <t>Extrato/124083</t>
  </si>
  <si>
    <t>Banco Brb - Par. 124083(08-12)</t>
  </si>
  <si>
    <t>Extrato/124084</t>
  </si>
  <si>
    <t>Banco Brb - Par. 124084(09-12)</t>
  </si>
  <si>
    <t>Extrato/124077</t>
  </si>
  <si>
    <t>Banco Brb - Par. 124077(02-12)</t>
  </si>
  <si>
    <t>Extrato/124087</t>
  </si>
  <si>
    <t>Banco Brb - Par. 124087(12-12)</t>
  </si>
  <si>
    <t>Extrato/124078</t>
  </si>
  <si>
    <t>Banco Brb - Par. 124078(03-12)</t>
  </si>
  <si>
    <t>Extrato/124079</t>
  </si>
  <si>
    <t>Banco Brb - Par. 124079(04-12)</t>
  </si>
  <si>
    <t>Par.(04/12) 018317/EDUARDO OLIMPIO NASCIMENT - Mensalidades</t>
  </si>
  <si>
    <t>Extrato/124097</t>
  </si>
  <si>
    <t>Banco Brb - Par. 124097(10-14)</t>
  </si>
  <si>
    <t>Extrato/124088</t>
  </si>
  <si>
    <t>Banco Brb - Par. 124088(01-14)</t>
  </si>
  <si>
    <t>Extrato/124098</t>
  </si>
  <si>
    <t>Banco Brb - Par. 124098(11-14)</t>
  </si>
  <si>
    <t>Extrato/124089</t>
  </si>
  <si>
    <t>Banco Brb - Par. 124089(02-14)</t>
  </si>
  <si>
    <t>Extrato/124100</t>
  </si>
  <si>
    <t>Banco Brb - Par. 124100(13-14)</t>
  </si>
  <si>
    <t>Extrato/124090</t>
  </si>
  <si>
    <t>Banco Brb - Par. 124090(03-14)</t>
  </si>
  <si>
    <t>Extrato/124101</t>
  </si>
  <si>
    <t>Banco Brb - Par. 124101(14-14)</t>
  </si>
  <si>
    <t>Extrato/124091</t>
  </si>
  <si>
    <t>Banco Brb - Par. 124091(04-14)</t>
  </si>
  <si>
    <t>Extrato/124092</t>
  </si>
  <si>
    <t>Banco Brb - Par. 124092(05-14)</t>
  </si>
  <si>
    <t>Extrato/124093</t>
  </si>
  <si>
    <t>Banco Brb - Par. 124093(06-14)</t>
  </si>
  <si>
    <t>Extrato/124094</t>
  </si>
  <si>
    <t>Banco Brb - Par. 124094(07-14)</t>
  </si>
  <si>
    <t>Extrato/124099</t>
  </si>
  <si>
    <t>Banco Brb - Par. 124099(12-14)</t>
  </si>
  <si>
    <t>Extrato/124095</t>
  </si>
  <si>
    <t>Banco Brb - Par. 124095(08-14)</t>
  </si>
  <si>
    <t>Extrato/124096</t>
  </si>
  <si>
    <t>Banco Brb - Par. 124096(09-14)</t>
  </si>
  <si>
    <t>Extrato/124110</t>
  </si>
  <si>
    <t>Banco Brb - Par. 124110(09-14)</t>
  </si>
  <si>
    <t>Extrato/124111</t>
  </si>
  <si>
    <t>Banco Brb - Par. 124111(10-14)</t>
  </si>
  <si>
    <t>Extrato/124102</t>
  </si>
  <si>
    <t>Banco Brb - Par. 124102(01-14)</t>
  </si>
  <si>
    <t>Extrato/124112</t>
  </si>
  <si>
    <t>Banco Brb - Par. 124112(11-14)</t>
  </si>
  <si>
    <t>Extrato/124103</t>
  </si>
  <si>
    <t>Banco Brb - Par. 124103(02-14)</t>
  </si>
  <si>
    <t>Extrato/124113</t>
  </si>
  <si>
    <t>Banco Brb - Par. 124113(12-14)</t>
  </si>
  <si>
    <t>Extrato/124104</t>
  </si>
  <si>
    <t>Banco Brb - Par. 124104(03-14)</t>
  </si>
  <si>
    <t>Extrato/124114</t>
  </si>
  <si>
    <t>Banco Brb - Par. 124114(13-14)</t>
  </si>
  <si>
    <t>Extrato/124105</t>
  </si>
  <si>
    <t>Banco Brb - Par. 124105(04-14)</t>
  </si>
  <si>
    <t>Extrato/124115</t>
  </si>
  <si>
    <t>Banco Brb - Par. 124115(14-14)</t>
  </si>
  <si>
    <t>Extrato/124106</t>
  </si>
  <si>
    <t>Banco Brb - Par. 124106(05-14)</t>
  </si>
  <si>
    <t>Extrato/124107</t>
  </si>
  <si>
    <t>Banco Brb - Par. 124107(06-14)</t>
  </si>
  <si>
    <t>Extrato/124108</t>
  </si>
  <si>
    <t>Banco Brb - Par. 124108(07-14)</t>
  </si>
  <si>
    <t>Extrato/124109</t>
  </si>
  <si>
    <t>Banco Brb - Par. 124109(08-14)</t>
  </si>
  <si>
    <t>Extrato/124125</t>
  </si>
  <si>
    <t>Banco Brb - Par. 124125(10-29)</t>
  </si>
  <si>
    <t>Extrato/124135</t>
  </si>
  <si>
    <t>Banco Brb - Par. 124135(20-29)</t>
  </si>
  <si>
    <t>Extrato/124116</t>
  </si>
  <si>
    <t>Banco Brb - Par. 124116(01-29)</t>
  </si>
  <si>
    <t>Extrato/124126</t>
  </si>
  <si>
    <t>Banco Brb - Par. 124126(11-29)</t>
  </si>
  <si>
    <t>Extrato/124136</t>
  </si>
  <si>
    <t>Banco Brb - Par. 124136(21-29)</t>
  </si>
  <si>
    <t>Extrato/124117</t>
  </si>
  <si>
    <t>Banco Brb - Par. 124117(02-29)</t>
  </si>
  <si>
    <t>Extrato/124127</t>
  </si>
  <si>
    <t>Banco Brb - Par. 124127(12-29)</t>
  </si>
  <si>
    <t>Extrato/124120</t>
  </si>
  <si>
    <t>Banco Brb - Par. 124120(05-29)</t>
  </si>
  <si>
    <t>Extrato/124137</t>
  </si>
  <si>
    <t>Banco Brb - Par. 124137(22-29)</t>
  </si>
  <si>
    <t>Extrato/124118</t>
  </si>
  <si>
    <t>Banco Brb - Par. 124118(03-29)</t>
  </si>
  <si>
    <t>Extrato/124128</t>
  </si>
  <si>
    <t>Banco Brb - Par. 124128(13-29)</t>
  </si>
  <si>
    <t>Extrato/124138</t>
  </si>
  <si>
    <t>Banco Brb - Par. 124138(23-29)</t>
  </si>
  <si>
    <t>Extrato/124119</t>
  </si>
  <si>
    <t>Banco Brb - Par. 124119(04-29)</t>
  </si>
  <si>
    <t>Extrato/124129</t>
  </si>
  <si>
    <t>Banco Brb - Par. 124129(14-29)</t>
  </si>
  <si>
    <t>Extrato/124139</t>
  </si>
  <si>
    <t>Banco Brb - Par. 124139(24-29)</t>
  </si>
  <si>
    <t>Extrato/124130</t>
  </si>
  <si>
    <t>Banco Brb - Par. 124130(15-29)</t>
  </si>
  <si>
    <t>Extrato/124140</t>
  </si>
  <si>
    <t>Banco Brb - Par. 124140(25-29)</t>
  </si>
  <si>
    <t>Extrato/124121</t>
  </si>
  <si>
    <t>Banco Brb - Par. 124121(06-29)</t>
  </si>
  <si>
    <t>Extrato/124131</t>
  </si>
  <si>
    <t>Banco Brb - Par. 124131(16-29)</t>
  </si>
  <si>
    <t>Extrato/124141</t>
  </si>
  <si>
    <t>Banco Brb - Par. 124141(26-29)</t>
  </si>
  <si>
    <t>Extrato/124122</t>
  </si>
  <si>
    <t>Banco Brb - Par. 124122(07-29)</t>
  </si>
  <si>
    <t>Extrato/124132</t>
  </si>
  <si>
    <t>Banco Brb - Par. 124132(17-29)</t>
  </si>
  <si>
    <t>Extrato/124142</t>
  </si>
  <si>
    <t>Banco Brb - Par. 124142(27-29)</t>
  </si>
  <si>
    <t>Extrato/124123</t>
  </si>
  <si>
    <t>Banco Brb - Par. 124123(08-29)</t>
  </si>
  <si>
    <t>Extrato/124133</t>
  </si>
  <si>
    <t>Banco Brb - Par. 124133(18-29)</t>
  </si>
  <si>
    <t>Extrato/124143</t>
  </si>
  <si>
    <t>Banco Brb - Par. 124143(28-29)</t>
  </si>
  <si>
    <t>Extrato/124124</t>
  </si>
  <si>
    <t>Banco Brb - Par. 124124(09-29)</t>
  </si>
  <si>
    <t>Extrato/124134</t>
  </si>
  <si>
    <t>Banco Brb - Par. 124134(19-29)</t>
  </si>
  <si>
    <t>Extrato/124144</t>
  </si>
  <si>
    <t>Banco Brb - Par. 124144(29-29)</t>
  </si>
  <si>
    <t>Extrato/124145</t>
  </si>
  <si>
    <t>Banco Brb - Cód. 124145</t>
  </si>
  <si>
    <t>Extrato/124146</t>
  </si>
  <si>
    <t>Banco Brb - Cód. 124146</t>
  </si>
  <si>
    <t>Extrato/124147</t>
  </si>
  <si>
    <t>Banco Brb - Cód. 124147</t>
  </si>
  <si>
    <t>Extrato/124148</t>
  </si>
  <si>
    <t>Banco Brb - Cód. 124148</t>
  </si>
  <si>
    <t>Extrato/124150</t>
  </si>
  <si>
    <t>Banco Brb - Cód. 124150</t>
  </si>
  <si>
    <t>Extrato/124151</t>
  </si>
  <si>
    <t>Banco Brb - Cód. 124151</t>
  </si>
  <si>
    <t>Extrato/124149</t>
  </si>
  <si>
    <t>Banco Brb - Cód. 124149</t>
  </si>
  <si>
    <t>Extrato/124161</t>
  </si>
  <si>
    <t>Banco Brb - Par. 124161(10-11)</t>
  </si>
  <si>
    <t>Extrato/124152</t>
  </si>
  <si>
    <t>Banco Brb - Par. 124152(01-11)</t>
  </si>
  <si>
    <t>Extrato/124160</t>
  </si>
  <si>
    <t>Banco Brb - Par. 124160(09-11)</t>
  </si>
  <si>
    <t>Extrato/124162</t>
  </si>
  <si>
    <t>Banco Brb - Par. 124162(11-11)</t>
  </si>
  <si>
    <t>Extrato/124153</t>
  </si>
  <si>
    <t>Banco Brb - Par. 124153(02-11)</t>
  </si>
  <si>
    <t>Extrato/124154</t>
  </si>
  <si>
    <t>Banco Brb - Par. 124154(03-11)</t>
  </si>
  <si>
    <t>Extrato/124155</t>
  </si>
  <si>
    <t>Banco Brb - Par. 124155(04-11)</t>
  </si>
  <si>
    <t>Extrato/124156</t>
  </si>
  <si>
    <t>Banco Brb - Par. 124156(05-11)</t>
  </si>
  <si>
    <t>Extrato/124157</t>
  </si>
  <si>
    <t>Banco Brb - Par. 124157(06-11)</t>
  </si>
  <si>
    <t>Extrato/124158</t>
  </si>
  <si>
    <t>Banco Brb - Par. 124158(07-11)</t>
  </si>
  <si>
    <t>Extrato/124159</t>
  </si>
  <si>
    <t>Banco Brb - Par. 124159(08-11)</t>
  </si>
  <si>
    <t>Extrato/124163</t>
  </si>
  <si>
    <t>Banco Brb - Cód. 124163</t>
  </si>
  <si>
    <t>Extrato/124164</t>
  </si>
  <si>
    <t>Banco Brb - Cód. 124164</t>
  </si>
  <si>
    <t>Extrato/124165</t>
  </si>
  <si>
    <t>Banco Brb - Cód. 124165</t>
  </si>
  <si>
    <t>Extrato/124170</t>
  </si>
  <si>
    <t>Banco Brb - Par. 124170(05-8)</t>
  </si>
  <si>
    <t>Extrato/124171</t>
  </si>
  <si>
    <t>Banco Brb - Par. 124171(06-8)</t>
  </si>
  <si>
    <t>Extrato/124172</t>
  </si>
  <si>
    <t>Banco Brb - Par. 124172(07-8)</t>
  </si>
  <si>
    <t>Extrato/124173</t>
  </si>
  <si>
    <t>Banco Brb - Par. 124173(08-8)</t>
  </si>
  <si>
    <t>Extrato/124166</t>
  </si>
  <si>
    <t>Banco Brb - Par. 124166(01-8)</t>
  </si>
  <si>
    <t>Extrato/124167</t>
  </si>
  <si>
    <t>Banco Brb - Par. 124167(02-8)</t>
  </si>
  <si>
    <t>Extrato/124168</t>
  </si>
  <si>
    <t>Banco Brb - Par. 124168(03-8)</t>
  </si>
  <si>
    <t>Extrato/124169</t>
  </si>
  <si>
    <t>Banco Brb - Par. 124169(04-8)</t>
  </si>
  <si>
    <t>Extrato/124174</t>
  </si>
  <si>
    <t>Banco Brb - Cód. 124174</t>
  </si>
  <si>
    <t>Extrato/124175</t>
  </si>
  <si>
    <t>Banco Brb - Cód. 124175</t>
  </si>
  <si>
    <t>Extrato/124176</t>
  </si>
  <si>
    <t>Banco Brb - Cód. 124176</t>
  </si>
  <si>
    <t>Extrato/124177</t>
  </si>
  <si>
    <t>Banco Brb - Cód. 124177</t>
  </si>
  <si>
    <t>Extrato/124180</t>
  </si>
  <si>
    <t>Banco Brb - Par. 124180(03-4)</t>
  </si>
  <si>
    <t>Extrato/124181</t>
  </si>
  <si>
    <t>Banco Brb - Par. 124181(04-4)</t>
  </si>
  <si>
    <t>Extrato/124178</t>
  </si>
  <si>
    <t>Banco Brb - Par. 124178(01-4)</t>
  </si>
  <si>
    <t>Extrato/124179</t>
  </si>
  <si>
    <t>Banco Brb - Par. 124179(02-4)</t>
  </si>
  <si>
    <t>Extrato/124182</t>
  </si>
  <si>
    <t>Banco Brb - Cód. 124182</t>
  </si>
  <si>
    <t>Extrato/124183</t>
  </si>
  <si>
    <t>Banco Brb - Par. 124183(01-4)</t>
  </si>
  <si>
    <t>Extrato/124184</t>
  </si>
  <si>
    <t>Banco Brb - Par. 124184(02-4)</t>
  </si>
  <si>
    <t>Extrato/124185</t>
  </si>
  <si>
    <t>Banco Brb - Par. 124185(03-4)</t>
  </si>
  <si>
    <t>Extrato/124186</t>
  </si>
  <si>
    <t>Banco Brb - Par. 124186(04-4)</t>
  </si>
  <si>
    <t>Extrato/124187</t>
  </si>
  <si>
    <t>Banco Brb - Cód. 124187</t>
  </si>
  <si>
    <t>Ant.Cob/124188</t>
  </si>
  <si>
    <t>Banco Brb - Cód. 124188</t>
  </si>
  <si>
    <t>LRF/124001</t>
  </si>
  <si>
    <t>Lr Fomento - Cód. 124001</t>
  </si>
  <si>
    <t>PAGAMENTO DAS MENSALIDADES DE MARÇO E ABRIL/2015, DO(A) ALUNO(A) MARCOS VINÍCIUS REIS PACHECO_ESN</t>
  </si>
  <si>
    <t>PAGAMENTO DAS MENSALIDADES DE FEV., MARÇO E ABRIL/2015, DO(A) ALUNO(A) MARCUS FELIPE BEZERRA MACEDO_EM</t>
  </si>
  <si>
    <t>Contrato Emprétimo</t>
  </si>
  <si>
    <t>Extrato/124533</t>
  </si>
  <si>
    <t>Mercantil Do Brasil - Cód. 124533</t>
  </si>
  <si>
    <t>Extrato/124534</t>
  </si>
  <si>
    <t>Mercantil Do Brasil - Cód. 124534</t>
  </si>
  <si>
    <t>PAGAMENTO DA MENSALIDADE DE ABRIL/2015, DO(A) ALUNO(A) ISADORA DA SILVA CALDEIRA_EF</t>
  </si>
  <si>
    <t>Destino: 270882-Transferência Entre Conta</t>
  </si>
  <si>
    <t>Destino: 270884-Transferência Entre Conta</t>
  </si>
  <si>
    <t>Destino: 270886-Transferência Entre Conta</t>
  </si>
  <si>
    <t>Destino: 270888-Transferência Entre Conta</t>
  </si>
  <si>
    <t>Destino: 270890-Transferência Entre Conta</t>
  </si>
  <si>
    <t>Destino: 270892-Transferência Entre Conta</t>
  </si>
  <si>
    <t>Destino: 270894-Transferência Entre Conta</t>
  </si>
  <si>
    <t>Destino: 270896-Transferência Entre Conta</t>
  </si>
  <si>
    <t>Destino: 270898-Transferência Entre Conta</t>
  </si>
  <si>
    <t>MERC [MAR] [01.011490-1] [CC]</t>
  </si>
  <si>
    <t>Destino: 270900-Transferência Entre Conta</t>
  </si>
  <si>
    <t>Recibo/124354</t>
  </si>
  <si>
    <t>Marcelo De Moraes Melo - Cód. 124354</t>
  </si>
  <si>
    <t>MMMB/110774</t>
  </si>
  <si>
    <t>Marilia Maria De Moura Barros - Par. 110774(05-12)</t>
  </si>
  <si>
    <t>Rescisão/124274</t>
  </si>
  <si>
    <t>Rescisão - Grupo Olimpo - Cód. 124274</t>
  </si>
  <si>
    <t>Uber.Rescisão de Contrato Educacional</t>
  </si>
  <si>
    <t>Rescisão/124275</t>
  </si>
  <si>
    <t>Rescisão - Grupo Olimpo - Cód. 124275</t>
  </si>
  <si>
    <t>Acerto/124612</t>
  </si>
  <si>
    <t>Fabio Geraldo Araujo  - Cód. 124612</t>
  </si>
  <si>
    <t>REMESSA GF FOMENTO</t>
  </si>
  <si>
    <t>JCDS/110808</t>
  </si>
  <si>
    <t>José Carlos Da Silva  - Par. 110808(05-12)</t>
  </si>
  <si>
    <t>RVF/111863</t>
  </si>
  <si>
    <t>Renato Vieira Ferro - Par. 111863(05-12)</t>
  </si>
  <si>
    <t>Extrato/126924</t>
  </si>
  <si>
    <t>Bradesco - Cód. 126924</t>
  </si>
  <si>
    <t>Extrato/127354</t>
  </si>
  <si>
    <t>Banco Itaú Unibanco S.A. - Cód. 127354</t>
  </si>
  <si>
    <t>444-4/4/110981</t>
  </si>
  <si>
    <t>Liderar Climatização - Cód. 110981</t>
  </si>
  <si>
    <t>17981/124269</t>
  </si>
  <si>
    <t>Rodrigo Bernadelli Dos Santos - Cód. 124269</t>
  </si>
  <si>
    <t>21446/119573</t>
  </si>
  <si>
    <t>Mixx Comercio De Materiais Eletricos - Cód. 119573</t>
  </si>
  <si>
    <t>3783/1/119195</t>
  </si>
  <si>
    <t>Tm Higienização Ltda - Cód. 119195</t>
  </si>
  <si>
    <t>Sr° Marcelo Passou em Dh Credito Dele</t>
  </si>
  <si>
    <t xml:space="preserve">Transferência Entre Conta </t>
  </si>
  <si>
    <t xml:space="preserve">Destino: 271417-Transferência Entre Conta </t>
  </si>
  <si>
    <t>SRP/111470</t>
  </si>
  <si>
    <t>Silvanio Rodrigues Peres - Par. 111470(05-12)</t>
  </si>
  <si>
    <t>DEPÓSITO 2015-05-25</t>
  </si>
  <si>
    <t>PAGAMENTO DA MENSALIDADE DE ABRIL/2015, DO(A) ALUNO(A) LUÍS FERNANDO FERREIRA DE SOUSA_ESN</t>
  </si>
  <si>
    <t>PAGAMENTO DA MENSALIDADE DE MARÇO/2015, DO(A) ALUNO(A) GUSTAVO MAIA XAVIER_ESN</t>
  </si>
  <si>
    <t>Destino: 271425-Transferência Entre Conta</t>
  </si>
  <si>
    <t>Destino: 271427-Transferência Entre Conta</t>
  </si>
  <si>
    <t>Retorno: Par. 192731(05/12) - 019533/RAI - Mensalidades</t>
  </si>
  <si>
    <t>Retorno: Par. 192562(05/12) - 019342/DOU - Mensalidades</t>
  </si>
  <si>
    <t>Retorno: Par. 192568(05/12) - 019358/PED - Mensalidades</t>
  </si>
  <si>
    <t>Retorno: Par. 192614(05/12) - 019745/HIZ - Mensalidades</t>
  </si>
  <si>
    <t>Retorno: Par. 192889(05/12) - 018228/ART - Mensalidades</t>
  </si>
  <si>
    <t>Deposito em Dinheiro</t>
  </si>
  <si>
    <t>Destino: 271618-Transferência Entre Conta</t>
  </si>
  <si>
    <t>Destino: 271621-Transferência Entre Conta</t>
  </si>
  <si>
    <t xml:space="preserve">SANTANDER 130005389 </t>
  </si>
  <si>
    <t>Destino: 271623-Transferência Entre Conta</t>
  </si>
  <si>
    <t>SANTANDER UBERLÂNDIA</t>
  </si>
  <si>
    <t>Destino: 271626-Transferência Entre Conta</t>
  </si>
  <si>
    <t>SANT 3743 13003351-1</t>
  </si>
  <si>
    <t>Destino: 271628-Transferência Entre Conta</t>
  </si>
  <si>
    <t>Destino: 271630-Transferência Entre Conta</t>
  </si>
  <si>
    <t>Destino: 271632-Transferência Entre Conta</t>
  </si>
  <si>
    <t>SANT CASA ANTONIETA</t>
  </si>
  <si>
    <t>Destino: 271635-Transferência Entre Conta</t>
  </si>
  <si>
    <t>Par.(04/12) 018382/ISABELA ARAÚJO ROSA - Mensalidades</t>
  </si>
  <si>
    <t>RENEGOCIAÇÃO DAS MENSALIDADES DE MARÇO E ABRIL/15 DO(A) ALUNO(A) ÁLVARO FRANÇA_EM</t>
  </si>
  <si>
    <t>RENEGOCIAÇÃO DAS MENSALIDADES DE MARÇO E ABRIL/15 DO(A) ALUNO(A) VICTOR FRANÇA_EF</t>
  </si>
  <si>
    <t>Retorno: Par. 197204(05/12) - 18457/KÁT - Mensalidades</t>
  </si>
  <si>
    <t>Retorno: Par. 197465(05/12) - 19922/LUC - Mensalidades</t>
  </si>
  <si>
    <t>Retorno: Par. 197285(05/12) - 19892/BRU - Mensalidades</t>
  </si>
  <si>
    <t>Retorno: Par. 197466(06/12) - 19922/LUC - Mensalidades</t>
  </si>
  <si>
    <t>Retorno: Par. 197796(05/12) - 19902/BEA - Mensalidades</t>
  </si>
  <si>
    <t>Retorno: Par. 197048(05/12) - 18558/GAB - Mensalidades</t>
  </si>
  <si>
    <t>Retorno: Par. 197198(05/12) - 18482/DAN - Mensalidades</t>
  </si>
  <si>
    <t>Retorno: Par. 197039(05/12) - 18675/MAR - Mensalidades</t>
  </si>
  <si>
    <t>MO/103031</t>
  </si>
  <si>
    <t>Marcelo Oliveira - Cód. 103031</t>
  </si>
  <si>
    <t>DMDP/116405</t>
  </si>
  <si>
    <t>Dalva Mendes / Dorvano Pedro - Cód. 116405</t>
  </si>
  <si>
    <t>ROSL/119639</t>
  </si>
  <si>
    <t>Ronnicher Orias Silva Lopes - Cód. 119639</t>
  </si>
  <si>
    <t>Abril/121414</t>
  </si>
  <si>
    <t>Weber Lopes da Silva - Cód. 121414</t>
  </si>
  <si>
    <t>MAFR/123584</t>
  </si>
  <si>
    <t>Marco Antônio Ferreira Rios - Cód. 123584</t>
  </si>
  <si>
    <t>Brb Sol 3684/123604</t>
  </si>
  <si>
    <t>Jásper  - Cód. 123604</t>
  </si>
  <si>
    <t>Credito Regularização Cobrança</t>
  </si>
  <si>
    <t>Ant.Cob/125070</t>
  </si>
  <si>
    <t>Banco Brb - Par. 125070(05-6)</t>
  </si>
  <si>
    <t>Ant.Cob/125071</t>
  </si>
  <si>
    <t>Banco Brb - Par. 125071(06-6)</t>
  </si>
  <si>
    <t>Ant.Cob/125066</t>
  </si>
  <si>
    <t>Banco Brb - Par. 125066(01-6)</t>
  </si>
  <si>
    <t>Ant.Cob/125067</t>
  </si>
  <si>
    <t>Banco Brb - Par. 125067(02-6)</t>
  </si>
  <si>
    <t>Ant.Cob/125068</t>
  </si>
  <si>
    <t>Banco Brb - Par. 125068(03-6)</t>
  </si>
  <si>
    <t>Ant.Cob/125069</t>
  </si>
  <si>
    <t>Banco Brb - Par. 125069(04-6)</t>
  </si>
  <si>
    <t>Destino: 274072-Transferencia Entre Contas</t>
  </si>
  <si>
    <t>Par.(04/12) 018403/DIOGO ASSIS NASCIMENTO - Mensalidades</t>
  </si>
  <si>
    <t>Par.(04/12) 019604/GUSTAVO GABRIEL BRAZ MART - Mensalidades</t>
  </si>
  <si>
    <t>Par.(01-4) 016572/VITORIA PEREIRA DA SILVA  - Renegociado</t>
  </si>
  <si>
    <t>Par.(03/12) 018361/LETICIA SALDANHA CAMARGOS - Mensalidades</t>
  </si>
  <si>
    <t>Credito Devolução De Cheque Brb Sol 3000</t>
  </si>
  <si>
    <t>Credito Devolução De Cheque Brb Sol 3022</t>
  </si>
  <si>
    <t>Credito Devolução De Cheque Brb Sol 3448</t>
  </si>
  <si>
    <t>Credito Devolução De Cheque Brb Sol 3451</t>
  </si>
  <si>
    <t>Credito Devolução De Cheque Brb Sol 3693</t>
  </si>
  <si>
    <t>Extrato/125090</t>
  </si>
  <si>
    <t>Banco Brb - Cód. 125090</t>
  </si>
  <si>
    <t>Extrato/125092</t>
  </si>
  <si>
    <t>Banco Brb - Cód. 125092</t>
  </si>
  <si>
    <t>Extrato/125093</t>
  </si>
  <si>
    <t>Banco Brb - Cód. 125093</t>
  </si>
  <si>
    <t>Extrato/125094</t>
  </si>
  <si>
    <t>Banco Brb - Cód. 125094</t>
  </si>
  <si>
    <t>Extrato/125086</t>
  </si>
  <si>
    <t>Banco Brb - Cód. 125086</t>
  </si>
  <si>
    <t>Extrato/125087</t>
  </si>
  <si>
    <t>Banco Brb - Cód. 125087</t>
  </si>
  <si>
    <t>Extrato/125088</t>
  </si>
  <si>
    <t>Banco Brb - Cód. 125088</t>
  </si>
  <si>
    <t>Extrato/125089</t>
  </si>
  <si>
    <t>Banco Brb - Cód. 125089</t>
  </si>
  <si>
    <t>Extrato/125095</t>
  </si>
  <si>
    <t>Banco Brb - Cód. 125095</t>
  </si>
  <si>
    <t>Ant.Cob/125097</t>
  </si>
  <si>
    <t>Banco Brb - Cód. 125097</t>
  </si>
  <si>
    <t>Ant.Cob/125098</t>
  </si>
  <si>
    <t>Banco Brb - Cód. 125098</t>
  </si>
  <si>
    <t>Ant.Cob/125099</t>
  </si>
  <si>
    <t>Banco Brb - Cód. 125099</t>
  </si>
  <si>
    <t>Extrato/125096</t>
  </si>
  <si>
    <t>Banco Brb - Cód. 125096</t>
  </si>
  <si>
    <t>Extrato/126910</t>
  </si>
  <si>
    <t>Caixa Econômica Federal - Cód. 126910</t>
  </si>
  <si>
    <t>Extrato/126911</t>
  </si>
  <si>
    <t>Caixa Econômica Federal - Cód. 126911</t>
  </si>
  <si>
    <t>Extrato/124522</t>
  </si>
  <si>
    <t>Banco Santander  - Cód. 124522</t>
  </si>
  <si>
    <t>Extrato/124523</t>
  </si>
  <si>
    <t>Banco Santander  - Cód. 124523</t>
  </si>
  <si>
    <t>Par.(01-1) 018375/MARCELA LARA ALBUQUERQUE  - 1ª OU 2ª SÉRI</t>
  </si>
  <si>
    <t>Destino: 273977-Transferência Entre Conta</t>
  </si>
  <si>
    <t>Destino: 273979-Transferência Entre Conta</t>
  </si>
  <si>
    <t>Destino: 273981-Transferência Entre Conta</t>
  </si>
  <si>
    <t>Par.(01-1) 018241/TOMAS BRAGA MATTOS - 1ª OU 2ª SÉRI</t>
  </si>
  <si>
    <t>Destino: 273983-Operação Titulo Descontado</t>
  </si>
  <si>
    <t>Par.(01-1) 019742/LUCAS MACIEL ALVES DE LIM - 1ª OU 2ª SÉRI</t>
  </si>
  <si>
    <t>14074/126802</t>
  </si>
  <si>
    <t>Mercantil Do Brasil - Par. 126802(01-84)</t>
  </si>
  <si>
    <t>14073/126718</t>
  </si>
  <si>
    <t>Mercantil Do Brasil - Par. 126718(01-84)</t>
  </si>
  <si>
    <t>14075/126634</t>
  </si>
  <si>
    <t>Mercantil Do Brasil - Par. 126634(01-84)</t>
  </si>
  <si>
    <t>14072/125542</t>
  </si>
  <si>
    <t>Mercantil Do Brasil - Par. 125542(01-84)</t>
  </si>
  <si>
    <t>14071/126382</t>
  </si>
  <si>
    <t>Mercantil Do Brasil - Par. 126382(01-84)</t>
  </si>
  <si>
    <t>14076/125290</t>
  </si>
  <si>
    <t>Mercantil Do Brasil - Par. 125290(01-84)</t>
  </si>
  <si>
    <t>14087/126214</t>
  </si>
  <si>
    <t>Mercantil Do Brasil - Par. 126214(01-84)</t>
  </si>
  <si>
    <t>14082/125710</t>
  </si>
  <si>
    <t>Mercantil Do Brasil - Par. 125710(01-84)</t>
  </si>
  <si>
    <t>14086/125626</t>
  </si>
  <si>
    <t>Mercantil Do Brasil - Par. 125626(01-84)</t>
  </si>
  <si>
    <t>14089/126130</t>
  </si>
  <si>
    <t>Mercantil Do Brasil - Par. 126130(01-84)</t>
  </si>
  <si>
    <t>14083/126046</t>
  </si>
  <si>
    <t>Mercantil Do Brasil - Par. 126046(01-84)</t>
  </si>
  <si>
    <t>14084/125458</t>
  </si>
  <si>
    <t>Mercantil Do Brasil - Par. 125458(01-84)</t>
  </si>
  <si>
    <t>14077/126550</t>
  </si>
  <si>
    <t>Mercantil Do Brasil - Par. 126550(01-84)</t>
  </si>
  <si>
    <t>14079/126466</t>
  </si>
  <si>
    <t>Mercantil Do Brasil - Par. 126466(01-84)</t>
  </si>
  <si>
    <t>14081/125962</t>
  </si>
  <si>
    <t>Mercantil Do Brasil - Par. 125962(01-84)</t>
  </si>
  <si>
    <t>14088/125374</t>
  </si>
  <si>
    <t>Mercantil Do Brasil - Par. 125374(01-84)</t>
  </si>
  <si>
    <t>14078/125878</t>
  </si>
  <si>
    <t>Mercantil Do Brasil - Par. 125878(01-84)</t>
  </si>
  <si>
    <t>14085/126298</t>
  </si>
  <si>
    <t>Mercantil Do Brasil - Par. 126298(01-84)</t>
  </si>
  <si>
    <t>14080/125794</t>
  </si>
  <si>
    <t>Mercantil Do Brasil - Par. 125794(01-84)</t>
  </si>
  <si>
    <t>14070/125206</t>
  </si>
  <si>
    <t>Mercantil Do Brasil - Par. 125206(01-84)</t>
  </si>
  <si>
    <t>0032560526/58220</t>
  </si>
  <si>
    <t>Banco Volkswagen - Par. 058220(11-33)</t>
  </si>
  <si>
    <t>Remessa GF Fomento</t>
  </si>
  <si>
    <t>Extrato/126917</t>
  </si>
  <si>
    <t>Banco Do Brasil - Cód. 126917</t>
  </si>
  <si>
    <t>Extrato/126918</t>
  </si>
  <si>
    <t>Banco Do Brasil - Cód. 126918</t>
  </si>
  <si>
    <t>3476-1/122149</t>
  </si>
  <si>
    <t>Sr Impressoras E Copiadoras Ltda Me - Cód. 122149</t>
  </si>
  <si>
    <t>3477-1/122151</t>
  </si>
  <si>
    <t>Sr Impressoras E Copiadoras Ltda Me - Cód. 122151</t>
  </si>
  <si>
    <t>Acerto/124538</t>
  </si>
  <si>
    <t>Ney Marcondes Portilho De Oliveira - Cód. 124538</t>
  </si>
  <si>
    <t>Extrato/126925</t>
  </si>
  <si>
    <t>Bradesco - Cód. 126925</t>
  </si>
  <si>
    <t>Extrato/126926</t>
  </si>
  <si>
    <t>Bradesco - Cód. 126926</t>
  </si>
  <si>
    <t>Extrato/126927</t>
  </si>
  <si>
    <t>Bradesco - Cód. 126927</t>
  </si>
  <si>
    <t>Extrato/126928</t>
  </si>
  <si>
    <t>Bradesco - Cód. 126928</t>
  </si>
  <si>
    <t>SRP/111448</t>
  </si>
  <si>
    <t>Silvanio Rodrigues Peres - Par. 111448(05-12)</t>
  </si>
  <si>
    <t>SRP/111483</t>
  </si>
  <si>
    <t>Silvanio Rodrigues Peres - Par. 111483(05-12)</t>
  </si>
  <si>
    <t>EMPS/111924</t>
  </si>
  <si>
    <t>Enio Marcos Pereira Santos - Par. 111924(05-12)</t>
  </si>
  <si>
    <t>JRAC/111495</t>
  </si>
  <si>
    <t>José Roberto de Almeida Camargo - Par. 111495(05-12)</t>
  </si>
  <si>
    <t>22-8/117834</t>
  </si>
  <si>
    <t>Skill Sinalização E Impressão Ltda-ME - Cód. 117834</t>
  </si>
  <si>
    <t>0961/123348</t>
  </si>
  <si>
    <t>Skill Sinalização E Impressão Ltda-ME - Cód. 123348</t>
  </si>
  <si>
    <t>Aná.Material Didático</t>
  </si>
  <si>
    <t>Extrato/127352</t>
  </si>
  <si>
    <t>Banco Itaú Unibanco S.A. - Cód. 127352</t>
  </si>
  <si>
    <t>Extrato/127353</t>
  </si>
  <si>
    <t>Banco Itaú Unibanco S.A. - Cód. 127353</t>
  </si>
  <si>
    <t>3434-1/124252</t>
  </si>
  <si>
    <t>Sr Impressoras E Copiadoras Ltda Me - Cód. 124252</t>
  </si>
  <si>
    <t>SolNascente.Tecnologia da Informação</t>
  </si>
  <si>
    <t>686/121227</t>
  </si>
  <si>
    <t>Sd Viagens Turismo Ltda Me - Cód. 121227</t>
  </si>
  <si>
    <t>23266/119567</t>
  </si>
  <si>
    <t>CASA DA LIMPEZA - Cód. 119567</t>
  </si>
  <si>
    <t>23265/119196</t>
  </si>
  <si>
    <t>CASA DA LIMPEZA - Cód. 119196</t>
  </si>
  <si>
    <t>1243/119194</t>
  </si>
  <si>
    <t>ABSECL - Senna Embalagens - Cód. 119194</t>
  </si>
  <si>
    <t>6093/119752</t>
  </si>
  <si>
    <t>Termosul Ar Condicionado E Refrigeração - Cód. 119752</t>
  </si>
  <si>
    <t>Transferência/124270</t>
  </si>
  <si>
    <t>Marcelo De Moraes Melo - Cód. 124270</t>
  </si>
  <si>
    <t>045523/124271</t>
  </si>
  <si>
    <t>Posto De Combustível - Cód. 124271</t>
  </si>
  <si>
    <t>3478-1/122150</t>
  </si>
  <si>
    <t>Sr Impressoras E Copiadoras Ltda Me - Cód. 122150</t>
  </si>
  <si>
    <t>3475-1/122148</t>
  </si>
  <si>
    <t>Sr Impressoras E Copiadoras Ltda Me - Cód. 122148</t>
  </si>
  <si>
    <t>000.182/122925</t>
  </si>
  <si>
    <t>CB Const E Ferrag Eireli - ME - Cód. 122925</t>
  </si>
  <si>
    <t>673588/122924</t>
  </si>
  <si>
    <t>Tecnoseg Tecnologia Em Serviços Ltda - Cód. 122924</t>
  </si>
  <si>
    <t>Aná.Despesa Diversa</t>
  </si>
  <si>
    <t>Peri.20/02 a 20/03/124273</t>
  </si>
  <si>
    <t>Corretores De Provas - Cód. 124273</t>
  </si>
  <si>
    <t>Destino: 271429-Transferência Entre Conta</t>
  </si>
  <si>
    <t>Destino: 271431-Transferência Entre Conta</t>
  </si>
  <si>
    <t>Destino: 271433-Transferência Entre Conta</t>
  </si>
  <si>
    <t>Destino: 271435-Transferência Entre Conta</t>
  </si>
  <si>
    <t>Destino: 271437-Transferência Entre Conta</t>
  </si>
  <si>
    <t>Destino: 271439-Transferência Entre Conta</t>
  </si>
  <si>
    <t>Estorno Deb. Empréstimo</t>
  </si>
  <si>
    <t>Extrato/125177</t>
  </si>
  <si>
    <t>Mercantil Do Brasil - Cód. 125177</t>
  </si>
  <si>
    <t>Extrato/125178</t>
  </si>
  <si>
    <t>Mercantil Do Brasil - Cód. 125178</t>
  </si>
  <si>
    <t>Extrato/125179</t>
  </si>
  <si>
    <t>Mercantil Do Brasil - Cód. 125179</t>
  </si>
  <si>
    <t>Extrato/125180</t>
  </si>
  <si>
    <t>Mercantil Do Brasil - Cód. 125180</t>
  </si>
  <si>
    <t>Extrato/125181</t>
  </si>
  <si>
    <t>Mercantil Do Brasil - Cód. 125181</t>
  </si>
  <si>
    <t>Extrato/125182</t>
  </si>
  <si>
    <t>Mercantil Do Brasil - Cód. 125182</t>
  </si>
  <si>
    <t>Retorno: Par. 192811(05/12) - 018199/GUS - Mensalidades</t>
  </si>
  <si>
    <t>Retorno: Par. 192914(05/12) - 018108/VAN - Mensalidades</t>
  </si>
  <si>
    <t>Retorno: Par. 192706(05/12) - 019587/BRU - Mensalidades</t>
  </si>
  <si>
    <t>Transferência/124256</t>
  </si>
  <si>
    <t>Automaticket Impressos Publicitarios - Cód. 124256</t>
  </si>
  <si>
    <t>175/123573</t>
  </si>
  <si>
    <t>Locaweb  - Cód. 123573</t>
  </si>
  <si>
    <t>Par.(11/12) 018171/EDUARDA SOUZA SALLY - Mensalidades</t>
  </si>
  <si>
    <t xml:space="preserve">FACT: LR FOMENTO </t>
  </si>
  <si>
    <t>6796/122239</t>
  </si>
  <si>
    <t>Life Manutenção M e Ltda - Cód. 122239</t>
  </si>
  <si>
    <t>Par.(11/12) 020810/MARIA PAULA PERILLO FERRE - Parcelas</t>
  </si>
  <si>
    <t>6797/122238</t>
  </si>
  <si>
    <t>Life Manutenção M e Ltda - Cód. 122238</t>
  </si>
  <si>
    <t>Par.(12/12) 020749/ALANA PUERTAS DE MATOS  - Parcelas</t>
  </si>
  <si>
    <t>Par.(11/12) 020257/YASMIN DE MELO BARROS DAM - Parcelas</t>
  </si>
  <si>
    <t>Par.(12/12) 020257/YASMIN DE MELO BARROS DAM - Parcelas</t>
  </si>
  <si>
    <t>Par.(10/10) 020802/BÁRBARA SEIXAS MENGAI - Parcelas</t>
  </si>
  <si>
    <t>Par.(09/10) 020802/BÁRBARA SEIXAS MENGAI - Parcelas</t>
  </si>
  <si>
    <t>Par.(10/10) 020796/ISADORA CUNHA MANATA - Parcelas</t>
  </si>
  <si>
    <t>Par.(09/10) 020796/ISADORA CUNHA MANATA - Parcelas</t>
  </si>
  <si>
    <t>Par.(10/10) 020687/GABRIELA REZENDE SPINI - Parcelas</t>
  </si>
  <si>
    <t>Par.(11/12) 020747/GABRIEL ALVES MEIRELLES - Parcelas</t>
  </si>
  <si>
    <t>Par.(12/12) 020747/GABRIEL ALVES MEIRELLES - Parcelas</t>
  </si>
  <si>
    <t>Par.(12/12) 018311/VITORIA TEIXEIRA MUSTAPHA - Mensalidades</t>
  </si>
  <si>
    <t>Par.(08/12) 020208/VITORIA CHAGAS BENEVIDES - Parcelas</t>
  </si>
  <si>
    <t>Par.(09/12) 020208/VITORIA CHAGAS BENEVIDES - Parcelas</t>
  </si>
  <si>
    <t>Par.(03-3) 015822/MARIANA SANTOS GUIMARÃES - Renegociado</t>
  </si>
  <si>
    <t>Par.(02-3) 015822/MARIANA SANTOS GUIMARÃES - Renegociado</t>
  </si>
  <si>
    <t>Par.(11/12) 018584/ISABELLA CONRADO DE ALMEI - Mensalidades</t>
  </si>
  <si>
    <t>Par.(12/12) 018584/ISABELLA CONRADO DE ALMEI - Mensalidades</t>
  </si>
  <si>
    <t>Par.(07/12) 020366/KELLEN KATHERINE ROCHA SA - Parcelas</t>
  </si>
  <si>
    <t>Par.(10/12) 020366/KELLEN KATHERINE ROCHA SA - Parcelas</t>
  </si>
  <si>
    <t>Par.(08/12) 020366/KELLEN KATHERINE ROCHA SA - Parcelas</t>
  </si>
  <si>
    <t>Par.(09/12) 020366/KELLEN KATHERINE ROCHA SA - Parcelas</t>
  </si>
  <si>
    <t>Par.(11/12) 020366/KELLEN KATHERINE ROCHA SA - Parcelas</t>
  </si>
  <si>
    <t>Par.(12/12) 020366/KELLEN KATHERINE ROCHA SA - Parcelas</t>
  </si>
  <si>
    <t>Par.(12/12) 018658/ANTONIO CÉZAR BATISTA FIL - Mensalidades</t>
  </si>
  <si>
    <t>Par.(12/12) 018336/PEDRO POTENCIANO DE CARVA - Mensalidades</t>
  </si>
  <si>
    <t>Par.(12/12) 018335/VICTOR MELO GIFFONI DE AL - Mensalidades</t>
  </si>
  <si>
    <t>Par.(07/12) 020103/LEONARDO BERNARDES DA SIL - Parcelas</t>
  </si>
  <si>
    <t>Par.(12/12) 019703/JÚLIA CAROLINE COIMBRA CO - Mensalidades</t>
  </si>
  <si>
    <t>Par.(08/12) 020103/LEONARDO BERNARDES DA SIL - Parcelas</t>
  </si>
  <si>
    <t>Par.(09/10) 020818/ADARIO DANTAS CARNEIRO - Parcelas</t>
  </si>
  <si>
    <t>Retorno: Par. 196691(05/12) - 19838/THY - Mensalidades</t>
  </si>
  <si>
    <t>Retorno: Par. 197237(05/12) - 18500/MAR - Mensalidades</t>
  </si>
  <si>
    <t>Retorno: Par. 204681(05/12) - 18476/CAR - Mensalidades</t>
  </si>
  <si>
    <t>Ant.Cob/125072</t>
  </si>
  <si>
    <t>Banco Brb - Par. 125072(01-6)</t>
  </si>
  <si>
    <t>Ant.Cob/125073</t>
  </si>
  <si>
    <t>Banco Brb - Par. 125073(02-6)</t>
  </si>
  <si>
    <t>Ant.Cob/125074</t>
  </si>
  <si>
    <t>Banco Brb - Par. 125074(03-6)</t>
  </si>
  <si>
    <t>Ant.Cob/125075</t>
  </si>
  <si>
    <t>Banco Brb - Par. 125075(04-6)</t>
  </si>
  <si>
    <t>Ant.Cob/125076</t>
  </si>
  <si>
    <t>Banco Brb - Par. 125076(05-6)</t>
  </si>
  <si>
    <t>Ant.Cob/125077</t>
  </si>
  <si>
    <t>Banco Brb - Par. 125077(06-6)</t>
  </si>
  <si>
    <t>Par.(06/10) 020807/NEIDE ALVES ALMEIDA ALVAR - Parcelas</t>
  </si>
  <si>
    <t>Par.(05/10) 020807/NEIDE ALVES ALMEIDA ALVAR - Parcelas</t>
  </si>
  <si>
    <t>Ch Pre Unicred 5458 Maira Costa</t>
  </si>
  <si>
    <t>Ch Pre Unicre 149 Maira Costa</t>
  </si>
  <si>
    <t>Par.(07/10) 020814/CAIRO MENDES MIRANDA SILV - Parcelas</t>
  </si>
  <si>
    <t>Operação de Credito Ch Pre Brb Sol 3711</t>
  </si>
  <si>
    <t>Par.(07/10) 020809/ANDRÉ LUCAS SEIXAS MACALÃ - Parcelas</t>
  </si>
  <si>
    <t xml:space="preserve">Operação de Credito Ch Pre Brb Sol 3710 </t>
  </si>
  <si>
    <t>Par.(07/10) 020813/DAYANNE SILVA AMARAL - Parcelas</t>
  </si>
  <si>
    <t>Par.(10/12) 020799/JOANA D´ARC OLIVEIRA DAMA - Parcelas</t>
  </si>
  <si>
    <t>Recibo/122363</t>
  </si>
  <si>
    <t>Olimpo Uberlândia - Cód. 122363</t>
  </si>
  <si>
    <t>Par.(11/12) 020798/MARCOS ADRIANO SILVA FILH - Parcelas</t>
  </si>
  <si>
    <t>Par.(09/10) 020797/RODOLFO OLIVEIRA ABREU - Parcelas</t>
  </si>
  <si>
    <t>Par.(09/10) 020775/GIOVANA VIEIRA NUNES - Parcelas</t>
  </si>
  <si>
    <t>Par.(09/10) 020738/HILLARY STEFANNY NEIAS RI - Parcelas</t>
  </si>
  <si>
    <t>Par.(10/10) 020814/CAIRO MENDES MIRANDA SILV - Parcelas</t>
  </si>
  <si>
    <t>Par.(10/10) 020813/DAYANNE SILVA AMARAL - Parcelas</t>
  </si>
  <si>
    <t>Par.(03-10) 020545/GABRIEL DE PAULA BARROS B - PAGAMENTO CHE</t>
  </si>
  <si>
    <t>Par.(05-12) 018643/GABRIEL DE PAULA BARROS B - PAGAMENTO CHE</t>
  </si>
  <si>
    <t>Par.(10/10) 020809/ANDRÉ LUCAS SEIXAS MACALÃ - Parcelas</t>
  </si>
  <si>
    <t>2635/58505</t>
  </si>
  <si>
    <t>Gentleman Serviços - Par. 058505(10-12)</t>
  </si>
  <si>
    <t>Par.(09/10) 020814/CAIRO MENDES MIRANDA SILV - Parcelas</t>
  </si>
  <si>
    <t>Par.(12/12) 020799/JOANA D´ARC OLIVEIRA DAMA - Parcelas</t>
  </si>
  <si>
    <t>Par.(10/10) 020790/JEORTON FILGUEIRA SILVA - Parcelas</t>
  </si>
  <si>
    <t>Par.(10/10) 020789/JEORTON FILGUEIRA SILVA - Parcelas</t>
  </si>
  <si>
    <t>Par.(12/12) 020791/SARAH EVELYN SILVA FERNAN - Parcelas</t>
  </si>
  <si>
    <t>Par.(10/10) 020786/ANA CLARA PEREIRA MENDES - Parcelas</t>
  </si>
  <si>
    <t>69729/124189</t>
  </si>
  <si>
    <t>Rhtron Informática Ltda - Cód. 124189</t>
  </si>
  <si>
    <t>Extrato/126912</t>
  </si>
  <si>
    <t>Caixa Econômica Federal - Cód. 126912</t>
  </si>
  <si>
    <t>Extrato/125100</t>
  </si>
  <si>
    <t>Banco Brb - Cód. 125100</t>
  </si>
  <si>
    <t>Extrato/125101</t>
  </si>
  <si>
    <t>Banco Brb - Cód. 125101</t>
  </si>
  <si>
    <t>Extrato/125102</t>
  </si>
  <si>
    <t>Banco Brb - Cód. 125102</t>
  </si>
  <si>
    <t>Ant.Cob/125103</t>
  </si>
  <si>
    <t>Banco Brb - Cód. 125103</t>
  </si>
  <si>
    <t>Ch Brb Sol 3000/114182</t>
  </si>
  <si>
    <t>Fábio Villa Verde Moreno - Cód. 114182</t>
  </si>
  <si>
    <t>Ch Brb Sol 3022/114194</t>
  </si>
  <si>
    <t>Fábio Villa Verde Moreno - Cód. 114194</t>
  </si>
  <si>
    <t>MVDM/119846</t>
  </si>
  <si>
    <t>Maurício Vieira De Melo - Cód. 119846</t>
  </si>
  <si>
    <t>Par.(12/12) 020417/LUCCAS CARDOSO DE ALMEIDA - Parcelas</t>
  </si>
  <si>
    <t>Par.(12/12) 020735/CAIO BAHMAD BOTOSSO VELOS - Parcelas</t>
  </si>
  <si>
    <t>Par.(12/12) 020485/FRANK LUIZ PEREIRA CARNES - Parcelas</t>
  </si>
  <si>
    <t>Par.(12/12) 020484/NATHALIA LORRAYNE FERNAND - Parcelas</t>
  </si>
  <si>
    <t>Par.(09/10) 020813/DAYANNE SILVA AMARAL - Parcelas</t>
  </si>
  <si>
    <t>Par.(09/10) 020809/ANDRÉ LUCAS SEIXAS MACALÃ - Parcelas</t>
  </si>
  <si>
    <t>Par.(10/10) 020818/ADARIO DANTAS CARNEIRO - Parcelas</t>
  </si>
  <si>
    <t>Par.(12/12) 020810/MARIA PAULA PERILLO FERRE - Parcelas</t>
  </si>
  <si>
    <t>Par.(08/10) 020813/DAYANNE SILVA AMARAL - Parcelas</t>
  </si>
  <si>
    <t>Par.(08/10) 020809/ANDRÉ LUCAS SEIXAS MACALÃ - Parcelas</t>
  </si>
  <si>
    <t>Par.(08/10) 020814/CAIRO MENDES MIRANDA SILV - Parcelas</t>
  </si>
  <si>
    <t>Par.(11/12) 020799/JOANA D´ARC OLIVEIRA DAMA - Parcelas</t>
  </si>
  <si>
    <t>Par.(12/12) 020798/MARCOS ADRIANO SILVA FILH - Parcelas</t>
  </si>
  <si>
    <t>Par.(12/12) 020185/PATRÍCIA ROCHA MARQUES - Parcelas</t>
  </si>
  <si>
    <t>Par.(10/10) 020797/RODOLFO OLIVEIRA ABREU - Parcelas</t>
  </si>
  <si>
    <t>Par.(12/12) 018699/GABRIEL AUGUSTO WANDEKOKE - Mensalidades</t>
  </si>
  <si>
    <t>Par.(10/10) 020581/MURYLLO HENRIQUE FERREIRA - Parcelas</t>
  </si>
  <si>
    <t>Par.(12/12) 018260/RAQUEL RAMOS VILLA VERDE - Mensalidades</t>
  </si>
  <si>
    <t>Par.(12/12) 018401/ANTONIO PEDRO SERVULO MOL - Mensalidades</t>
  </si>
  <si>
    <t>Par.(10/10) 020738/HILLARY STEFANNY NEIAS RI - Parcelas</t>
  </si>
  <si>
    <t>Par.(12/12) 019896/MATHEUS DE SOUSA KRIUNAS - Mensalidades</t>
  </si>
  <si>
    <t>Par.(10/10) 020716/RENAN FERNANDES VASCONCEL - Parcelas</t>
  </si>
  <si>
    <t>Par.(10/10) 020757/AMANDA VIANA BASTOS CURAD - Parcelas</t>
  </si>
  <si>
    <t>Par.(10/10) 020765/RENATA PESSOA CHEIN JORGE - Parcelas</t>
  </si>
  <si>
    <t>Par.(10/10) 020702/MARILIA LEMES SANTOS  - Parcelas</t>
  </si>
  <si>
    <t>Par.(11/12) 020485/FRANK LUIZ PEREIRA CARNES - Parcelas</t>
  </si>
  <si>
    <t>Extrato/124524</t>
  </si>
  <si>
    <t>Banco Santander  - Cód. 124524</t>
  </si>
  <si>
    <t>Extrato/124525</t>
  </si>
  <si>
    <t>Banco Santander  - Cód. 124525</t>
  </si>
  <si>
    <t>Par.(11/12) 018311/VITORIA TEIXEIRA MUSTAPHA - Mensalidades</t>
  </si>
  <si>
    <t>Par.(10/10) 020690/VICTORIIA PEREIRA PEDREIR - Parcelas</t>
  </si>
  <si>
    <t>Par.(10/10) 020634/SÉRGIO TÚLIO ARAÚJO LIMA - Parcelas</t>
  </si>
  <si>
    <t>Par.(10/10) 020631/MATEUS ELIAS LOURENÇO VAS - Parcelas</t>
  </si>
  <si>
    <t>Par.(10/10) 020630/MATEUS ELIAS LOURENÇO VAS - Parcelas</t>
  </si>
  <si>
    <t>Par.(10/10) 020699/ESTHER ELOISA MAGALHAES D - Parcelas</t>
  </si>
  <si>
    <t>Par.(10/10) 020715/JULIA LOGRADO GOMES - Parcelas</t>
  </si>
  <si>
    <t>Par.(10/10) 020734/KARINE MONTEIRO FERREIRA - Parcelas</t>
  </si>
  <si>
    <t>Par.(11/12) 020735/CAIO BAHMAD BOTOSSO VELOS - Parcelas</t>
  </si>
  <si>
    <t>Par.(10/10) 020741/SAYRA MAGDALA PEREIRA DE  - Parcelas</t>
  </si>
  <si>
    <t>Par.(10/10) 020700/LARYSSA MOURA DIAS - Parcelas</t>
  </si>
  <si>
    <t>Par.(10/10) 020705/DÉBORAH OLIVEIRA BARROS A - Parcelas</t>
  </si>
  <si>
    <t>Par.(11/12) 020417/LUCCAS CARDOSO DE ALMEIDA - Parcelas</t>
  </si>
  <si>
    <t>Par.(12/12) 020229/RODRIGO FERREIRA BELLO - Parcelas</t>
  </si>
  <si>
    <t>Par.(12/12) 020767/DIOGO VELASCO VALADAO - Parcelas</t>
  </si>
  <si>
    <t>Par.(10/10) 020775/GIOVANA VIEIRA NUNES - Parcelas</t>
  </si>
  <si>
    <t>Par.(12/12) 020773/DANIEL DELISIEUX DINIZ FE - Parcelas</t>
  </si>
  <si>
    <t>Par.(10/10) 020778/NATALIA FUJIOKA MATSUOKA - Parcelas</t>
  </si>
  <si>
    <t>Par.(12/12) 020777/EDIENY SOARES DE CARVALHO - Parcelas</t>
  </si>
  <si>
    <t>Par.(09/10) 020786/ANA CLARA PEREIRA MENDES - Parcelas</t>
  </si>
  <si>
    <t>Par.(11/12) 020791/SARAH EVELYN SILVA FERNAN - Parcelas</t>
  </si>
  <si>
    <t>Par.(09/10) 020789/JEORTON FILGUEIRA SILVA - Parcelas</t>
  </si>
  <si>
    <t>Par.(09/10) 020790/JEORTON FILGUEIRA SILVA - Parcelas</t>
  </si>
  <si>
    <t>2659/58518</t>
  </si>
  <si>
    <t>Gentleman Serviços - Par. 058518(10-12)</t>
  </si>
  <si>
    <t>0986/58532</t>
  </si>
  <si>
    <t>Gentleman Serviços - Par. 058532(11-12)</t>
  </si>
  <si>
    <t>2276/58492</t>
  </si>
  <si>
    <t>Gentleman Serviços - Par. 058492(11-12)</t>
  </si>
  <si>
    <t>CAMARO/124265</t>
  </si>
  <si>
    <t>Banco Itaú Financiamentos - Cód. 124265</t>
  </si>
  <si>
    <t>0247292-9/111348</t>
  </si>
  <si>
    <t>Saneago - Par. 111348(04-11)</t>
  </si>
  <si>
    <t>118130084/122235</t>
  </si>
  <si>
    <t>Claro - Cód. 122235</t>
  </si>
  <si>
    <t>2037635-9/111590</t>
  </si>
  <si>
    <t>Saneago - Par. 111590(04-12)</t>
  </si>
  <si>
    <t>413/124250</t>
  </si>
  <si>
    <t>Ata Manutenção De Piscinas Ltda - Cód. 124250</t>
  </si>
  <si>
    <t>Extrato/126930</t>
  </si>
  <si>
    <t>Bradesco - Cód. 126930</t>
  </si>
  <si>
    <t>Extrato/126929</t>
  </si>
  <si>
    <t>Bradesco - Cód. 126929</t>
  </si>
  <si>
    <t>ALFG/111912</t>
  </si>
  <si>
    <t>André Luiz Ferreira Gomes  - Par. 111912(05-12)</t>
  </si>
  <si>
    <t>Rend Pago Aplic</t>
  </si>
  <si>
    <t>Destino: 271423-Transferência Entre Conta</t>
  </si>
  <si>
    <t>Recibo/124537</t>
  </si>
  <si>
    <t>Antonio de Souza Castro - Cód. 124537</t>
  </si>
  <si>
    <t>Destino: 271441-Transferência Entre Conta</t>
  </si>
  <si>
    <t>Destino: 271443-Transferência Entre Conta</t>
  </si>
  <si>
    <t>Recibo/124293</t>
  </si>
  <si>
    <t>Olimpo Belo Horizonte - Cód. 124293</t>
  </si>
  <si>
    <t>Extrato/125183</t>
  </si>
  <si>
    <t>Mercantil Do Brasil - Cód. 125183</t>
  </si>
  <si>
    <t>Ret. Par. 195001(05/12) - 018571/ISABELA QUEIROZ LOBO - Mensalidades</t>
  </si>
  <si>
    <t>Ret. Par. 195156(05/12) - 018592/FRANCISCO ALVES DA SILVA NE - Mensalidades</t>
  </si>
  <si>
    <t>Retorno: Par. 192615(05/12) - 019747/PAU - Mensalidades</t>
  </si>
  <si>
    <t>Retorno: Par. 192587(05/12) - 019669/ALU - Mensalidades</t>
  </si>
  <si>
    <t>Retorno: Par. 198789(06/12) - 019560/ART - Mensalidades</t>
  </si>
  <si>
    <t>Retorno: Par. 192840(05/12) - 018169/JOÃ - Mensalidades</t>
  </si>
  <si>
    <t>Retorno: Par. 192790(05/12) - 019816/ELO - Mensalidades</t>
  </si>
  <si>
    <t>Retorno: Par. 193101(05/12) - 019706/EDU - Mensalidades</t>
  </si>
  <si>
    <t>Retorno: Par. 192623(05/12) - 019761/SAM - Mensalidades</t>
  </si>
  <si>
    <t>Retorno: Par. 192849(05/12) - 018356/ELE - Mensalidades</t>
  </si>
  <si>
    <t>Empréstimo LR Roberta Ch Itau Luis Cristiano 3289</t>
  </si>
  <si>
    <t>Destino: 271594-Transferência Entre Conta</t>
  </si>
  <si>
    <t>Destino: 271596-Transferência Entre Conta</t>
  </si>
  <si>
    <t>DEPÓSITO 2015-05-27</t>
  </si>
  <si>
    <t>ESTORNO DE DEPÓSITO RESCISÃO E O CHEQUE FOI DEVOLVIDO DO(A) ALUNO(A) PABLO PIERRE SANTANA SOUSA_ANÁPOLIS</t>
  </si>
  <si>
    <t>Extato</t>
  </si>
  <si>
    <t>Ant.Cob/125080</t>
  </si>
  <si>
    <t>Banco Brb - Par. 125080(03-8)</t>
  </si>
  <si>
    <t>Ant.Cob/125081</t>
  </si>
  <si>
    <t>Banco Brb - Par. 125081(04-8)</t>
  </si>
  <si>
    <t>Ant.Cob/125082</t>
  </si>
  <si>
    <t>Banco Brb - Par. 125082(05-8)</t>
  </si>
  <si>
    <t>Ant.Cob/125083</t>
  </si>
  <si>
    <t>Banco Brb - Par. 125083(06-8)</t>
  </si>
  <si>
    <t>Ant.Cob/125084</t>
  </si>
  <si>
    <t>Banco Brb - Par. 125084(07-8)</t>
  </si>
  <si>
    <t>Ant.Cob/125085</t>
  </si>
  <si>
    <t>Banco Brb - Par. 125085(08-8)</t>
  </si>
  <si>
    <t>Ant.Cob/125078</t>
  </si>
  <si>
    <t>Banco Brb - Par. 125078(01-8)</t>
  </si>
  <si>
    <t>Ant.Cob/125079</t>
  </si>
  <si>
    <t>Banco Brb - Par. 125079(02-8)</t>
  </si>
  <si>
    <t>Extrato/124797</t>
  </si>
  <si>
    <t>Banco Itaú Unibanco S.A. - Cód. 124797</t>
  </si>
  <si>
    <t>Destino: 274074-Transferencia Entre Contas</t>
  </si>
  <si>
    <t>Ch Pre Brb Sol 3689</t>
  </si>
  <si>
    <t>Ch Pre Brb Sol 3690</t>
  </si>
  <si>
    <t>Ch Pre Brb Sol 3692</t>
  </si>
  <si>
    <t>Ch Pre Brb Sol 3694</t>
  </si>
  <si>
    <t>Par.(12/12) 013624/LUCAS SANDRINI COSTA - Mensalidades</t>
  </si>
  <si>
    <t>008498/110454</t>
  </si>
  <si>
    <t>Sed Soft Assessoria Em Informática - Par. 110454(04-12)</t>
  </si>
  <si>
    <t>SolNascente.Software</t>
  </si>
  <si>
    <t>8410/110789</t>
  </si>
  <si>
    <t>Sed Soft Assessoria Em Informática - Par. 110789(03-11)</t>
  </si>
  <si>
    <t>008597/110478</t>
  </si>
  <si>
    <t>Sed Soft Assessoria Em Informática - Par. 110478(04-12)</t>
  </si>
  <si>
    <t>008609/110466</t>
  </si>
  <si>
    <t>Sed Soft Assessoria Em Informática - Par. 110466(04-12)</t>
  </si>
  <si>
    <t>Extrato/126913</t>
  </si>
  <si>
    <t>Caixa Econômica Federal - Cód. 126913</t>
  </si>
  <si>
    <t>Par.(02/12) 019751/LEONARDO SANDRINI COSTA - Mensalidades</t>
  </si>
  <si>
    <t>HN/115630</t>
  </si>
  <si>
    <t>Henrique Nogueira - Fornecedores - Cód. 115630</t>
  </si>
  <si>
    <t>Claudio Melo/119459</t>
  </si>
  <si>
    <t>Augusto Melo - Cód. 119459</t>
  </si>
  <si>
    <t>LPDB/124013</t>
  </si>
  <si>
    <t>Luciano Prudente De Barros - Cód. 124013</t>
  </si>
  <si>
    <t>Ant.Cob/125104</t>
  </si>
  <si>
    <t>Banco Brb - Cód. 125104</t>
  </si>
  <si>
    <t>Extrato/125105</t>
  </si>
  <si>
    <t>Banco Brb - Cód. 125105</t>
  </si>
  <si>
    <t>Par.(05-6) 020334/GUSTAVO MARTINS BORGES  - PAGAMENTO CHE</t>
  </si>
  <si>
    <t>Empréstimo Senis</t>
  </si>
  <si>
    <t>Vale/124264</t>
  </si>
  <si>
    <t>Neri Manoel Mendes - Cód. 124264</t>
  </si>
  <si>
    <t>Extrato/127346</t>
  </si>
  <si>
    <t>Bradesco - Cód. 127346</t>
  </si>
  <si>
    <t>Extrato/128710</t>
  </si>
  <si>
    <t>Banco Safra - Cód. 128710</t>
  </si>
  <si>
    <t>Extrato/128711</t>
  </si>
  <si>
    <t>Banco Safra - Cód. 128711</t>
  </si>
  <si>
    <t>Destino: 274006-Transferência Entre Conta</t>
  </si>
  <si>
    <t>Deposito Dinheiro</t>
  </si>
  <si>
    <t>091329/124372</t>
  </si>
  <si>
    <t>Ferragista Marista - Cód. 124372</t>
  </si>
  <si>
    <t>Operação Capital de Giro</t>
  </si>
  <si>
    <t>HN/124350</t>
  </si>
  <si>
    <t>Henrique Nogueira - Fornecedores - Cód. 124350</t>
  </si>
  <si>
    <t>Estorno De Pagamento Life</t>
  </si>
  <si>
    <t>Fiscais/124392</t>
  </si>
  <si>
    <t>Fiscais De Prova - Cód. 124392</t>
  </si>
  <si>
    <t>Destino: 273007-Transferência Entre Conta</t>
  </si>
  <si>
    <t>MERC [EDI] [OPERAÇÕES]</t>
  </si>
  <si>
    <t>Extrato/125157</t>
  </si>
  <si>
    <t>Mercantil Do Brasil - Cód. 125157</t>
  </si>
  <si>
    <t>0250867771-0/110542</t>
  </si>
  <si>
    <t>Gvt  - Par. 110542(05-12)</t>
  </si>
  <si>
    <t>045756/124399</t>
  </si>
  <si>
    <t>Posto De Combustível - Cód. 124399</t>
  </si>
  <si>
    <t>540986/124400</t>
  </si>
  <si>
    <t>Posto De Combustível - Cód. 124400</t>
  </si>
  <si>
    <t>069174/124401</t>
  </si>
  <si>
    <t>Posto De Combustível - Cód. 124401</t>
  </si>
  <si>
    <t>238114/124402</t>
  </si>
  <si>
    <t>Posto De Combustível - Cód. 124402</t>
  </si>
  <si>
    <t>094736/124404</t>
  </si>
  <si>
    <t>Grupo Olimpo - Cód. 124404</t>
  </si>
  <si>
    <t>Extrato/125184</t>
  </si>
  <si>
    <t>Mercantil Do Brasil - Cód. 125184</t>
  </si>
  <si>
    <t>Extrato/125185</t>
  </si>
  <si>
    <t>Mercantil Do Brasil - Cód. 125185</t>
  </si>
  <si>
    <t>Ant.Cob/124540</t>
  </si>
  <si>
    <t>Banco Brb - Par. 124540(02-17)</t>
  </si>
  <si>
    <t>Ant.Cob/124548</t>
  </si>
  <si>
    <t>Banco Brb - Par. 124548(10-17)</t>
  </si>
  <si>
    <t>Ant.Cob/124539</t>
  </si>
  <si>
    <t>Banco Brb - Par. 124539(01-17)</t>
  </si>
  <si>
    <t>Ant.Cob/124549</t>
  </si>
  <si>
    <t>Banco Brb - Par. 124549(11-17)</t>
  </si>
  <si>
    <t>Ant.Cob/124550</t>
  </si>
  <si>
    <t>Banco Brb - Par. 124550(12-17)</t>
  </si>
  <si>
    <t>Ant.Cob/124541</t>
  </si>
  <si>
    <t>Banco Brb - Par. 124541(03-17)</t>
  </si>
  <si>
    <t>Ant.Cob/124551</t>
  </si>
  <si>
    <t>Banco Brb - Par. 124551(13-17)</t>
  </si>
  <si>
    <t>Ant.Cob/124542</t>
  </si>
  <si>
    <t>Banco Brb - Par. 124542(04-17)</t>
  </si>
  <si>
    <t>Ant.Cob/124552</t>
  </si>
  <si>
    <t>Banco Brb - Par. 124552(14-17)</t>
  </si>
  <si>
    <t>Ant.Cob/124543</t>
  </si>
  <si>
    <t>Banco Brb - Par. 124543(05-17)</t>
  </si>
  <si>
    <t>Ant.Cob/124553</t>
  </si>
  <si>
    <t>Banco Brb - Par. 124553(15-17)</t>
  </si>
  <si>
    <t>Ant.Cob/124544</t>
  </si>
  <si>
    <t>Banco Brb - Par. 124544(06-17)</t>
  </si>
  <si>
    <t>Ant.Cob/124554</t>
  </si>
  <si>
    <t>Banco Brb - Par. 124554(16-17)</t>
  </si>
  <si>
    <t>Ant.Cob/124545</t>
  </si>
  <si>
    <t>Banco Brb - Par. 124545(07-17)</t>
  </si>
  <si>
    <t>Ant.Cob/124555</t>
  </si>
  <si>
    <t>Banco Brb - Par. 124555(17-17)</t>
  </si>
  <si>
    <t>Ant.Cob/124546</t>
  </si>
  <si>
    <t>Banco Brb - Par. 124546(08-17)</t>
  </si>
  <si>
    <t>Ant.Cob/124547</t>
  </si>
  <si>
    <t>Banco Brb - Par. 124547(09-17)</t>
  </si>
  <si>
    <t>Retorno: Par. 192580(05/12) - 019671/CAR - Mensalidades</t>
  </si>
  <si>
    <t>Retorno: Par. 192646(05/12) - 019817/GAB - Mensalidades</t>
  </si>
  <si>
    <t>Retorno: Par. 192576(05/12) - 019377/GUS - Mensalidades</t>
  </si>
  <si>
    <t>Retorno: Par. 192648(05/12) - 019819/IUR - Mensalidades</t>
  </si>
  <si>
    <t>Retorno: Par. 192583(05/12) - 019391/VIT - Mensalidades</t>
  </si>
  <si>
    <t>Retorno: Par. 192830(05/12) - 018051/DIO - Mensalidades</t>
  </si>
  <si>
    <t>Retorno: Par. 193051(05/12) - 018120/GRA - Mensalidades</t>
  </si>
  <si>
    <t>Retorno: Par. 192832(05/12) - 018293/ART - Mensalidades</t>
  </si>
  <si>
    <t>Retorno: Par. 192658(05/12) - 019623/FEL - Mensalidades</t>
  </si>
  <si>
    <t>Retorno: Par. 192807(05/12) - 018190/IGO - Mensalidades</t>
  </si>
  <si>
    <t>Retorno: Par. 193080(05/12) - 018379/JOÃ - Mensalidades</t>
  </si>
  <si>
    <t>Retorno: Par. 193074(05/12) - 018133/LUI - Mensalidades</t>
  </si>
  <si>
    <t>Retorno: Par. 193012(05/12) - 018218/MAT - Mensalidades</t>
  </si>
  <si>
    <t>Retorno: Par. 192933(05/12) - 018374/MAR - Mensalidades</t>
  </si>
  <si>
    <t>Senise / Zilmar</t>
  </si>
  <si>
    <t>Destino: 271577-Transferência Entre Conta</t>
  </si>
  <si>
    <t>Destino: 271580-Transferência Entre Conta</t>
  </si>
  <si>
    <t>SANTANDER MARCELO</t>
  </si>
  <si>
    <t>Destino: 271582-Transferência Entre Conta</t>
  </si>
  <si>
    <t>Destino: 271586-Transferência Entre Conta</t>
  </si>
  <si>
    <t>Destino: 271588-Transferência Entre Conta</t>
  </si>
  <si>
    <t>Destino: 271590-Transferência Entre Conta</t>
  </si>
  <si>
    <t>Destino: 271592-Transferência Entre Conta</t>
  </si>
  <si>
    <t>33475/109651</t>
  </si>
  <si>
    <t>Mc Locaçoes E Serviços Tecprint - Par. 109651(04-11)</t>
  </si>
  <si>
    <t>00220919745952/124433</t>
  </si>
  <si>
    <t>Embratel - Cód. 124433</t>
  </si>
  <si>
    <t>ITAÚ [BER] [031427-7] [CC]</t>
  </si>
  <si>
    <t>Destino: 271644-Transferência Entre Conta</t>
  </si>
  <si>
    <t>Retorno: Par. 197300(05/12) - 18449/MUR - Mensalidades</t>
  </si>
  <si>
    <t>Retorno: Par. 197772(05/12) - 19883/EDU - Mensalidades</t>
  </si>
  <si>
    <t>Retorno: Par. 197054(05/12) - 18580/LUC - Mensalidades</t>
  </si>
  <si>
    <t>Retorno: Par. 197297(05/12) - 18518/TIA - Mensalidades</t>
  </si>
  <si>
    <t>Retorno: Par. 205190(06/12) - 19695/AMA - Mensalidades</t>
  </si>
  <si>
    <t>Retorno: Par. 192602(05/12) - 19695/AMA - Mensalidades</t>
  </si>
  <si>
    <t>Retorno: Par. 192787(05/12) - 19685/VIT - Mensalidades</t>
  </si>
  <si>
    <t>Extrato/124798</t>
  </si>
  <si>
    <t>Banco Itaú Unibanco S.A. - Cód. 124798</t>
  </si>
  <si>
    <t>Par.(04/10) 020807/NEIDE ALVES ALMEIDA ALVAR - Parcelas</t>
  </si>
  <si>
    <t>Destino: 271683-Transferência Entre Conta</t>
  </si>
  <si>
    <t>Credito Ch Devolvido 3689</t>
  </si>
  <si>
    <t>Credito Ch Devolvido 3690</t>
  </si>
  <si>
    <t>Credito Ch Devolvido 3692</t>
  </si>
  <si>
    <t>Credito Ch Devolvido  3694</t>
  </si>
  <si>
    <t>RM/107874</t>
  </si>
  <si>
    <t>Ricardo Melo - Cód. 107874</t>
  </si>
  <si>
    <t>Brb Sol 3073/115028</t>
  </si>
  <si>
    <t>Olimpo Uberlândia - Cód. 115028</t>
  </si>
  <si>
    <t>Ant.Cob/124470</t>
  </si>
  <si>
    <t>Banco Brb - Par. 124470(04-5)</t>
  </si>
  <si>
    <t>Ant.Cob/124471</t>
  </si>
  <si>
    <t>Banco Brb - Par. 124471(05-5)</t>
  </si>
  <si>
    <t>Ant.Cob/124467</t>
  </si>
  <si>
    <t>Banco Brb - Par. 124467(01-5)</t>
  </si>
  <si>
    <t>Ant.Cob/124468</t>
  </si>
  <si>
    <t>Banco Brb - Par. 124468(02-5)</t>
  </si>
  <si>
    <t>Ant.Cob/124469</t>
  </si>
  <si>
    <t>Banco Brb - Par. 124469(03-5)</t>
  </si>
  <si>
    <t>Ret. Par. 200319(05/12) - 018406/LAURA AUGUSTA CARVALHO - Mensalidades</t>
  </si>
  <si>
    <t>Ret. Par. 194952(05/12) - 018681/CARLOS GOMES DE CARVALHO JÚ - Mensalidades</t>
  </si>
  <si>
    <t>Ret. Par. 195068(05/12) - 018491/GIULIO BENEDITO GROSSI MICH - Mensalidades</t>
  </si>
  <si>
    <t>Extrato/126914</t>
  </si>
  <si>
    <t>Caixa Econômica Federal - Cód. 126914</t>
  </si>
  <si>
    <t>7535/120156</t>
  </si>
  <si>
    <t>Wambasther Alves - Cód. 120156</t>
  </si>
  <si>
    <t>Extrato/124526</t>
  </si>
  <si>
    <t>Banco Santander  - Cód. 124526</t>
  </si>
  <si>
    <t>Extrato/124527</t>
  </si>
  <si>
    <t>Banco Santander  - Cód. 124527</t>
  </si>
  <si>
    <t>Extrato/124528</t>
  </si>
  <si>
    <t>Banco Santander  - Cód. 124528</t>
  </si>
  <si>
    <t>Extrato/124529</t>
  </si>
  <si>
    <t>Banco Santander  - Cód. 124529</t>
  </si>
  <si>
    <t>SRP/111898</t>
  </si>
  <si>
    <t>Silvanio Rodrigues Peres - Par. 111898(05-12)</t>
  </si>
  <si>
    <t>FA/111538</t>
  </si>
  <si>
    <t>Fábio Amarante - Par. 111538(05-12)</t>
  </si>
  <si>
    <t>Extrato/128712</t>
  </si>
  <si>
    <t>Banco Safra - Cód. 128712</t>
  </si>
  <si>
    <t>2207/124309</t>
  </si>
  <si>
    <t>Morais Souza C V L E Public - Cód. 124309</t>
  </si>
  <si>
    <t>Despesa/124353</t>
  </si>
  <si>
    <t>Marcelo De Moraes Melo - Cód. 124353</t>
  </si>
  <si>
    <t>Par.(02-6) 020334/GUSTAVO MARTINS BORGES  - PAGAMENTO CHE</t>
  </si>
  <si>
    <t>Par.(03-6) 020334/GUSTAVO MARTINS BORGES  - PAGAMENTO CHE</t>
  </si>
  <si>
    <t>Fiscais/124355</t>
  </si>
  <si>
    <t>Fiscais De Prova - Cód. 124355</t>
  </si>
  <si>
    <t>Fiscais/124356</t>
  </si>
  <si>
    <t>Fiscais De Prova - Cód. 124356</t>
  </si>
  <si>
    <t>0340/119190</t>
  </si>
  <si>
    <t>MasTec Telecom Segurança Ltda - Cód. 119190</t>
  </si>
  <si>
    <t>Recibo/124357</t>
  </si>
  <si>
    <t>Corretores De Provas - Cód. 124357</t>
  </si>
  <si>
    <t>DEPÓSITO 2015-05-28</t>
  </si>
  <si>
    <t>PARTE PAGAMENTO DAS MENSALIDADES DE DEZ/2014, MARÇO E ABRIL/2015, DO(A) ALUNO(A) PEDRO HENRIQUE NUNES DE ARAÚJO_ANÁPOLIS</t>
  </si>
  <si>
    <t>Extrato/126921</t>
  </si>
  <si>
    <t>Banco Do Brasil - Cód. 126921</t>
  </si>
  <si>
    <t>Extrato/126922</t>
  </si>
  <si>
    <t>Banco Do Brasil - Cód. 126922</t>
  </si>
  <si>
    <t>ESPÉCIE 2015-05-29</t>
  </si>
  <si>
    <t>PAGAMENTO DA MENSALIDADE DE ABRIL/2015, DO(A) ALUNO(A) LUIZ EDUARDO SANTANA COSTA_EF</t>
  </si>
  <si>
    <t>497729/124373</t>
  </si>
  <si>
    <t>Posto De Combustível - Cód. 124373</t>
  </si>
  <si>
    <t>114165/124374</t>
  </si>
  <si>
    <t>Posto De Combustível - Cód. 124374</t>
  </si>
  <si>
    <t>PARTE PAGAMENTO DAS MENSALIDADES DE MARÇO E ABRIL/2015, DO(A) ALUNO(A) JOÃO VÍTOR RIBEIRO MACÊDO_EF</t>
  </si>
  <si>
    <t>Extrato/126931</t>
  </si>
  <si>
    <t>Bradesco - Cód. 126931</t>
  </si>
  <si>
    <t>Extrato/126932</t>
  </si>
  <si>
    <t>Bradesco - Cód. 126932</t>
  </si>
  <si>
    <t>Rescisão/124438</t>
  </si>
  <si>
    <t>Rescisão - Grupo Olimpo - Cód. 124438</t>
  </si>
  <si>
    <t>Rescisão/124340</t>
  </si>
  <si>
    <t>Rescisão - Grupo Olimpo - Cód. 124340</t>
  </si>
  <si>
    <t>Rescisão/124348</t>
  </si>
  <si>
    <t>Rescisão - Grupo Olimpo - Cód. 124348</t>
  </si>
  <si>
    <t>Rescisão/124349</t>
  </si>
  <si>
    <t>Rescisão - Grupo Olimpo - Cód. 124349</t>
  </si>
  <si>
    <t>Rescisão/124339</t>
  </si>
  <si>
    <t>Rescisão - Grupo Olimpo - Cód. 124339</t>
  </si>
  <si>
    <t>Par.(12/12) 015607/INGRID ROSA DE SOUSA - Mensalidades</t>
  </si>
  <si>
    <t>Rescisão/124346</t>
  </si>
  <si>
    <t>Rescisão - Grupo Olimpo - Cód. 124346</t>
  </si>
  <si>
    <t>Rescisão/124343</t>
  </si>
  <si>
    <t>Rescisão - Grupo Olimpo - Cód. 124343</t>
  </si>
  <si>
    <t>Rescisão/124342</t>
  </si>
  <si>
    <t>Rescisão - Grupo Olimpo - Cód. 124342</t>
  </si>
  <si>
    <t>Rescisão/124347</t>
  </si>
  <si>
    <t>Rescisão - Grupo Olimpo - Cód. 124347</t>
  </si>
  <si>
    <t>RMJM/111886</t>
  </si>
  <si>
    <t>Renata Magalhães / Jesuita M Melo - Par. 111886(05-12)</t>
  </si>
  <si>
    <t>Extrato/126933</t>
  </si>
  <si>
    <t>Banco Do Brasil - Cód. 126933</t>
  </si>
  <si>
    <t>1031/03-03/114137</t>
  </si>
  <si>
    <t>Viana E Xavier - Cód. 114137</t>
  </si>
  <si>
    <t>T-27. Imobilizado</t>
  </si>
  <si>
    <t>413/109637</t>
  </si>
  <si>
    <t>Ata Manutenção De Piscinas Ltda - Par. 109637(04-12)</t>
  </si>
  <si>
    <t>413/109635</t>
  </si>
  <si>
    <t>Ata Manutenção De Piscinas Ltda - Par. 109635(02-12)</t>
  </si>
  <si>
    <t>091450/124375</t>
  </si>
  <si>
    <t>Ferragista Marista - Cód. 124375</t>
  </si>
  <si>
    <t>4308/124376</t>
  </si>
  <si>
    <t>Gps - Guia Da Previdencia Social - Cód. 124376</t>
  </si>
  <si>
    <t>1011/124377</t>
  </si>
  <si>
    <t>Ministério da Fazenda - Cód. 124377</t>
  </si>
  <si>
    <t>3841/124378</t>
  </si>
  <si>
    <t>Ministério da Fazenda - Cód. 124378</t>
  </si>
  <si>
    <t>4750/124379</t>
  </si>
  <si>
    <t>Ministério da Fazenda - Cód. 124379</t>
  </si>
  <si>
    <t>4743/124380</t>
  </si>
  <si>
    <t>Ministério da Fazenda - Cód. 124380</t>
  </si>
  <si>
    <t>4720/124381</t>
  </si>
  <si>
    <t>Ministério da Fazenda - Cód. 124381</t>
  </si>
  <si>
    <t>4308/124382</t>
  </si>
  <si>
    <t>Gps - Guia Da Previdencia Social - Cód. 124382</t>
  </si>
  <si>
    <t>3887/124383</t>
  </si>
  <si>
    <t>Ministério da Fazenda - Cód. 124383</t>
  </si>
  <si>
    <t>Marista.Darf</t>
  </si>
  <si>
    <t>3870/124384</t>
  </si>
  <si>
    <t>Ministério da Fazenda - Cód. 124384</t>
  </si>
  <si>
    <t>3796/124385</t>
  </si>
  <si>
    <t>Ministério da Fazenda - Cód. 124385</t>
  </si>
  <si>
    <t>3841/124386</t>
  </si>
  <si>
    <t>Ministério da Fazenda - Cód. 124386</t>
  </si>
  <si>
    <t>3835/124387</t>
  </si>
  <si>
    <t>Ministério da Fazenda - Cód. 124387</t>
  </si>
  <si>
    <t>4720/124389</t>
  </si>
  <si>
    <t>Ministério da Fazenda - Cód. 124389</t>
  </si>
  <si>
    <t>4737/124390</t>
  </si>
  <si>
    <t>Ministério da Fazenda - Cód. 124390</t>
  </si>
  <si>
    <t>4743/124391</t>
  </si>
  <si>
    <t>Ministério da Fazenda - Cód. 124391</t>
  </si>
  <si>
    <t>99-11999-15/001/124393</t>
  </si>
  <si>
    <t>Rodrigo Bernadelli Dos Santos - Cód. 124393</t>
  </si>
  <si>
    <t>16454009/124394</t>
  </si>
  <si>
    <t>Mercantil Do Brasil - Cód. 124394</t>
  </si>
  <si>
    <t>16620398/124395</t>
  </si>
  <si>
    <t>Mercantil Do Brasil - Cód. 124395</t>
  </si>
  <si>
    <t>Despesa/124397</t>
  </si>
  <si>
    <t>Rodrigo Bernadelli Dos Santos - Cód. 124397</t>
  </si>
  <si>
    <t>Extrato/125158</t>
  </si>
  <si>
    <t>Mercantil Do Brasil - Par. 125158(01-3)</t>
  </si>
  <si>
    <t>Extrato/125159</t>
  </si>
  <si>
    <t>Mercantil Do Brasil - Par. 125159(02-3)</t>
  </si>
  <si>
    <t>Extrato/125160</t>
  </si>
  <si>
    <t>Mercantil Do Brasil - Par. 125160(03-3)</t>
  </si>
  <si>
    <t>Extrato/125161</t>
  </si>
  <si>
    <t>Mercantil Do Brasil - Cód. 125161</t>
  </si>
  <si>
    <t>953/119661</t>
  </si>
  <si>
    <t>Mira Goiania Outdoor Ltda - Cód. 119661</t>
  </si>
  <si>
    <t>CA.Publicidade (DESPESA)</t>
  </si>
  <si>
    <t>Extrato/125162</t>
  </si>
  <si>
    <t>Mercantil Do Brasil - Cód. 125162</t>
  </si>
  <si>
    <t>Extrato/125163</t>
  </si>
  <si>
    <t>Mercantil Do Brasil - Cód. 125163</t>
  </si>
  <si>
    <t>Biblioteca Unidade T-03</t>
  </si>
  <si>
    <t>Extrato/125164</t>
  </si>
  <si>
    <t>Mercantil Do Brasil - Cód. 125164</t>
  </si>
  <si>
    <t>Extrato/125165</t>
  </si>
  <si>
    <t>Mercantil Do Brasil - Cód. 125165</t>
  </si>
  <si>
    <t>Extrato/125166</t>
  </si>
  <si>
    <t>Mercantil Do Brasil - Cód. 125166</t>
  </si>
  <si>
    <t>Extrato/125167</t>
  </si>
  <si>
    <t>Mercantil Do Brasil - Cód. 125167</t>
  </si>
  <si>
    <t>Extrato/125168</t>
  </si>
  <si>
    <t>Mercantil Do Brasil - Cód. 125168</t>
  </si>
  <si>
    <t>028505/124403</t>
  </si>
  <si>
    <t>Posto De Combustível - Cód. 124403</t>
  </si>
  <si>
    <t>Extrato/125169</t>
  </si>
  <si>
    <t>Mercantil Do Brasil - Cód. 125169</t>
  </si>
  <si>
    <t>Extrato/125170</t>
  </si>
  <si>
    <t>Mercantil Do Brasil - Cód. 125170</t>
  </si>
  <si>
    <t>967/121418</t>
  </si>
  <si>
    <t>Mira Goiania Outdoor Ltda - Cód. 121418</t>
  </si>
  <si>
    <t>PAGAMENTO DA MENSALIDADE DE MARÇO/2015, DO(A) ALUNO(A) JHENNYFER GABRIELA MAGALHÃES DE ALMEIDA_ESN</t>
  </si>
  <si>
    <t>03870/121216</t>
  </si>
  <si>
    <t>Calac Industrial Ltda - Cód. 121216</t>
  </si>
  <si>
    <t>2631/124408</t>
  </si>
  <si>
    <t>Gps - Guia Da Previdencia Social - Cód. 124408</t>
  </si>
  <si>
    <t>BH. Impostos Estaduais</t>
  </si>
  <si>
    <t>Extrato/125186</t>
  </si>
  <si>
    <t>Mercantil Do Brasil - Cód. 125186</t>
  </si>
  <si>
    <t>Extrato/125187</t>
  </si>
  <si>
    <t>Mercantil Do Brasil - Cód. 125187</t>
  </si>
  <si>
    <t>Extrato/125188</t>
  </si>
  <si>
    <t>Mercantil Do Brasil - Cód. 125188</t>
  </si>
  <si>
    <t>Extrato/125189</t>
  </si>
  <si>
    <t>Mercantil Do Brasil - Cód. 125189</t>
  </si>
  <si>
    <t>7/124409</t>
  </si>
  <si>
    <t>Prefeitura Belo Horizonte - Cód. 124409</t>
  </si>
  <si>
    <t>Fgts/124535</t>
  </si>
  <si>
    <t>Fgts - Cód. 124535</t>
  </si>
  <si>
    <t>5952/124410</t>
  </si>
  <si>
    <t>Prefeitura Belo Horizonte - Cód. 124410</t>
  </si>
  <si>
    <t>Extrato/124556</t>
  </si>
  <si>
    <t>Banco Brb - Cód. 124556</t>
  </si>
  <si>
    <t>Retorno: Par. 192618(05/12) - 019750/AMA - Mensalidades</t>
  </si>
  <si>
    <t>Retorno: Par. 192661(05/12) - 019639/ART - Mensalidades</t>
  </si>
  <si>
    <t>Retorno: Par. 192642(05/12) - 019808/MAR - Mensalidades</t>
  </si>
  <si>
    <t>Retorno: Par. 192573(05/12) - 019367/MUR - Mensalidades</t>
  </si>
  <si>
    <t>Retorno: Par. 192584(05/12) - 019392/ISA - Mensalidades</t>
  </si>
  <si>
    <t>Retorno: Par. 192625(05/12) - 019767/MIL - Mensalidades</t>
  </si>
  <si>
    <t>Retorno: Par. 192566(05/12) - 019355/MAR - Mensalidades</t>
  </si>
  <si>
    <t>Retorno: Par. 192628(05/12) - 019773/MAR - Mensalidades</t>
  </si>
  <si>
    <t>Retorno: Par. 192558(05/12) - 019190/MAR - Mensalidades</t>
  </si>
  <si>
    <t>Retorno: Par. 192609(05/12) - 019738/MAT - Mensalidades</t>
  </si>
  <si>
    <t>Retorno: Par. 192589(05/12) - 019673/VIN - Mensalidades</t>
  </si>
  <si>
    <t>Retorno: Par. 193041(05/12) - 018067/GAB - Mensalidades</t>
  </si>
  <si>
    <t>Retorno: Par. 193062(05/12) - 018073/AMA - Mensalidades</t>
  </si>
  <si>
    <t>Retorno: Par. 192662(05/12) - 019655/ISA - Mensalidades</t>
  </si>
  <si>
    <t>Retorno: Par. 192703(05/12) - 019613/LUC - Mensalidades</t>
  </si>
  <si>
    <t>Retorno: Par. 192843(05/12) - 018235/FEL - Mensalidades</t>
  </si>
  <si>
    <t>Retorno: Par. 192764(05/12) - 019638/JUL - Mensalidades</t>
  </si>
  <si>
    <t>Retorno: Par. 193095(05/12) - 018055/FEL - Mensalidades</t>
  </si>
  <si>
    <t>Retorno: Par. 192797(05/12) - 018173/AND - Mensalidades</t>
  </si>
  <si>
    <t>Retorno: Par. 192808(05/12) - 018308/GAB - Mensalidades</t>
  </si>
  <si>
    <t>Retorno: Par. 192718(05/12) - 019654/CRI - Mensalidades</t>
  </si>
  <si>
    <t>Retorno: Par. 192930(05/12) - 018255/LUI - Mensalidades</t>
  </si>
  <si>
    <t>Retorno: Par. 192981(05/12) - 018091/GAB - Mensalidades</t>
  </si>
  <si>
    <t>Retorno: Par. 192991(05/12) - 018276/JUL - Mensalidades</t>
  </si>
  <si>
    <t>Retorno: Par. 193042(05/12) - 018059/ISA - Mensalidades</t>
  </si>
  <si>
    <t>Retorno: Par. 192814(05/12) - 018042/LUÍ - Mensalidades</t>
  </si>
  <si>
    <t>Retorno: Par. 192844(05/12) - 018234/GAB - Mensalidades</t>
  </si>
  <si>
    <t>Retorno: Par. 192954(05/12) - 018189/ISA - Mensalidades</t>
  </si>
  <si>
    <t>Retorno: Par. 192985(05/12) - 018215/ISA - Mensalidades</t>
  </si>
  <si>
    <t>Retorno: Par. 192906(05/12) - 018098/ISA - Mensalidades</t>
  </si>
  <si>
    <t>Retorno: Par. 192967(05/12) - 018204/MAT - Mensalidades</t>
  </si>
  <si>
    <t>Retorno: Par. 192848(05/12) - 018236/MUR - Mensalidades</t>
  </si>
  <si>
    <t>Retorno: Par. 192890(05/12) - 018301/OTÁ - Mensalidades</t>
  </si>
  <si>
    <t>Retorno: Par. 192821(05/12) - 018049/RIC - Mensalidades</t>
  </si>
  <si>
    <t>Ant.Cob/124566</t>
  </si>
  <si>
    <t>Banco Brb - Par. 124566(10-27)</t>
  </si>
  <si>
    <t>Ant.Cob/124576</t>
  </si>
  <si>
    <t>Banco Brb - Par. 124576(20-27)</t>
  </si>
  <si>
    <t>Ant.Cob/124557</t>
  </si>
  <si>
    <t>Banco Brb - Par. 124557(01-27)</t>
  </si>
  <si>
    <t>Ant.Cob/124567</t>
  </si>
  <si>
    <t>Banco Brb - Par. 124567(11-27)</t>
  </si>
  <si>
    <t>Ant.Cob/124560</t>
  </si>
  <si>
    <t>Banco Brb - Par. 124560(04-27)</t>
  </si>
  <si>
    <t>Ant.Cob/124570</t>
  </si>
  <si>
    <t>Banco Brb - Par. 124570(14-27)</t>
  </si>
  <si>
    <t>Ant.Cob/124580</t>
  </si>
  <si>
    <t>Banco Brb - Par. 124580(24-27)</t>
  </si>
  <si>
    <t>Ant.Cob/124561</t>
  </si>
  <si>
    <t>Banco Brb - Par. 124561(05-27)</t>
  </si>
  <si>
    <t>Ant.Cob/124571</t>
  </si>
  <si>
    <t>Banco Brb - Par. 124571(15-27)</t>
  </si>
  <si>
    <t>Ant.Cob/124581</t>
  </si>
  <si>
    <t>Banco Brb - Par. 124581(25-27)</t>
  </si>
  <si>
    <t>Ant.Cob/124562</t>
  </si>
  <si>
    <t>Banco Brb - Par. 124562(06-27)</t>
  </si>
  <si>
    <t>Ant.Cob/124577</t>
  </si>
  <si>
    <t>Banco Brb - Par. 124577(21-27)</t>
  </si>
  <si>
    <t>Ant.Cob/124558</t>
  </si>
  <si>
    <t>Banco Brb - Par. 124558(02-27)</t>
  </si>
  <si>
    <t>Ant.Cob/124568</t>
  </si>
  <si>
    <t>Banco Brb - Par. 124568(12-27)</t>
  </si>
  <si>
    <t>Ant.Cob/124578</t>
  </si>
  <si>
    <t>Banco Brb - Par. 124578(22-27)</t>
  </si>
  <si>
    <t>Ant.Cob/124559</t>
  </si>
  <si>
    <t>Banco Brb - Par. 124559(03-27)</t>
  </si>
  <si>
    <t>Ant.Cob/124569</t>
  </si>
  <si>
    <t>Banco Brb - Par. 124569(13-27)</t>
  </si>
  <si>
    <t>Ant.Cob/124579</t>
  </si>
  <si>
    <t>Banco Brb - Par. 124579(23-27)</t>
  </si>
  <si>
    <t>Ant.Cob/124572</t>
  </si>
  <si>
    <t>Banco Brb - Par. 124572(16-27)</t>
  </si>
  <si>
    <t>Ant.Cob/124582</t>
  </si>
  <si>
    <t>Banco Brb - Par. 124582(26-27)</t>
  </si>
  <si>
    <t>Ant.Cob/124563</t>
  </si>
  <si>
    <t>Banco Brb - Par. 124563(07-27)</t>
  </si>
  <si>
    <t>Ant.Cob/124573</t>
  </si>
  <si>
    <t>Banco Brb - Par. 124573(17-27)</t>
  </si>
  <si>
    <t>Ant.Cob/124583</t>
  </si>
  <si>
    <t>Banco Brb - Par. 124583(27-27)</t>
  </si>
  <si>
    <t>Ant.Cob/124564</t>
  </si>
  <si>
    <t>Banco Brb - Par. 124564(08-27)</t>
  </si>
  <si>
    <t>Ant.Cob/124574</t>
  </si>
  <si>
    <t>Banco Brb - Par. 124574(18-27)</t>
  </si>
  <si>
    <t>Ant.Cob/124565</t>
  </si>
  <si>
    <t>Banco Brb - Par. 124565(09-27)</t>
  </si>
  <si>
    <t>Ant.Cob/124575</t>
  </si>
  <si>
    <t>Banco Brb - Par. 124575(19-27)</t>
  </si>
  <si>
    <t>Ant.Cob/124584</t>
  </si>
  <si>
    <t>Banco Brb - Par. 124584(01-9)</t>
  </si>
  <si>
    <t>Ant.Cob/124585</t>
  </si>
  <si>
    <t>Banco Brb - Par. 124585(02-9)</t>
  </si>
  <si>
    <t>Ant.Cob/124586</t>
  </si>
  <si>
    <t>Banco Brb - Par. 124586(03-9)</t>
  </si>
  <si>
    <t>Ant.Cob/124587</t>
  </si>
  <si>
    <t>Banco Brb - Par. 124587(04-9)</t>
  </si>
  <si>
    <t>Ant.Cob/124588</t>
  </si>
  <si>
    <t>Banco Brb - Par. 124588(05-9)</t>
  </si>
  <si>
    <t>Ant.Cob/124589</t>
  </si>
  <si>
    <t>Banco Brb - Par. 124589(06-9)</t>
  </si>
  <si>
    <t>Ant.Cob/124590</t>
  </si>
  <si>
    <t>Banco Brb - Par. 124590(07-9)</t>
  </si>
  <si>
    <t>Ant.Cob/124591</t>
  </si>
  <si>
    <t>Banco Brb - Par. 124591(08-9)</t>
  </si>
  <si>
    <t>Ant.Cob/124592</t>
  </si>
  <si>
    <t>Banco Brb - Par. 124592(09-9)</t>
  </si>
  <si>
    <t>Ant.Cob/124602</t>
  </si>
  <si>
    <t>Banco Brb - Par. 124602(10-19)</t>
  </si>
  <si>
    <t>Ant.Cob/124603</t>
  </si>
  <si>
    <t>Banco Brb - Par. 124603(11-19)</t>
  </si>
  <si>
    <t>Ant.Cob/124593</t>
  </si>
  <si>
    <t>Banco Brb - Par. 124593(01-19)</t>
  </si>
  <si>
    <t>Ant.Cob/124604</t>
  </si>
  <si>
    <t>Banco Brb - Par. 124604(12-19)</t>
  </si>
  <si>
    <t>Ant.Cob/124594</t>
  </si>
  <si>
    <t>Banco Brb - Par. 124594(02-19)</t>
  </si>
  <si>
    <t>Ant.Cob/124605</t>
  </si>
  <si>
    <t>Banco Brb - Par. 124605(13-19)</t>
  </si>
  <si>
    <t>Ant.Cob/124595</t>
  </si>
  <si>
    <t>Banco Brb - Par. 124595(03-19)</t>
  </si>
  <si>
    <t>Ant.Cob/124606</t>
  </si>
  <si>
    <t>Banco Brb - Par. 124606(14-19)</t>
  </si>
  <si>
    <t>Ant.Cob/124596</t>
  </si>
  <si>
    <t>Banco Brb - Par. 124596(04-19)</t>
  </si>
  <si>
    <t>Ant.Cob/124597</t>
  </si>
  <si>
    <t>Banco Brb - Par. 124597(05-19)</t>
  </si>
  <si>
    <t>Ant.Cob/124600</t>
  </si>
  <si>
    <t>Banco Brb - Par. 124600(08-19)</t>
  </si>
  <si>
    <t>Ant.Cob/124610</t>
  </si>
  <si>
    <t>Banco Brb - Par. 124610(18-19)</t>
  </si>
  <si>
    <t>Ant.Cob/124601</t>
  </si>
  <si>
    <t>Banco Brb - Par. 124601(09-19)</t>
  </si>
  <si>
    <t>Ant.Cob/124611</t>
  </si>
  <si>
    <t>Banco Brb - Par. 124611(19-19)</t>
  </si>
  <si>
    <t>Ant.Cob/124607</t>
  </si>
  <si>
    <t>Banco Brb - Par. 124607(15-19)</t>
  </si>
  <si>
    <t>Ant.Cob/124608</t>
  </si>
  <si>
    <t>Banco Brb - Par. 124608(16-19)</t>
  </si>
  <si>
    <t>Ant.Cob/124598</t>
  </si>
  <si>
    <t>Banco Brb - Par. 124598(06-19)</t>
  </si>
  <si>
    <t>Ant.Cob/124609</t>
  </si>
  <si>
    <t>Banco Brb - Par. 124609(17-19)</t>
  </si>
  <si>
    <t>Ant.Cob/124599</t>
  </si>
  <si>
    <t>Banco Brb - Par. 124599(07-19)</t>
  </si>
  <si>
    <t>Destino: 271598-Transferência Entre Conta</t>
  </si>
  <si>
    <t>Destino: 271600-Transferência Entre Conta</t>
  </si>
  <si>
    <t>Destino: 271602-Transferência Entre Conta</t>
  </si>
  <si>
    <t>Destino: 271604-Transferência Entre Conta</t>
  </si>
  <si>
    <t>Destino: 271606-Transferência Entre Conta</t>
  </si>
  <si>
    <t>Destino: 271608-Transferência Entre Conta</t>
  </si>
  <si>
    <t>Destino: 271610-Transferência Entre Conta</t>
  </si>
  <si>
    <t>Rogério Purcena Sacou Para Pagar Corretores E Fiscais</t>
  </si>
  <si>
    <t xml:space="preserve">Destino: 271615-Rogério Purcena Sacou Para Pagar Corretores </t>
  </si>
  <si>
    <t>Par.(04/12) 019553/LEONARDO RODRIGUES DE SOU - Mensalidades</t>
  </si>
  <si>
    <t>Retorno: Par. 197051(05/12) - 18524/PED - Mensalidades</t>
  </si>
  <si>
    <t>Retorno: Par. 197413(05/12) - 19886/AYG - Mensalidades</t>
  </si>
  <si>
    <t>Retorno: Par. 197033(05/12) - 18445/MAR - Mensalidades</t>
  </si>
  <si>
    <t>Retorno: Par. 197183(05/12) - 18593/FER - Mensalidades</t>
  </si>
  <si>
    <t>Retorno: Par. 197093(05/12) - 18493/ROD - Mensalidades</t>
  </si>
  <si>
    <t>Retorno: Par. 197345(05/12) - 18502/REN - Mensalidades</t>
  </si>
  <si>
    <t>Retorno: Par. 197165(05/12) - 18670/VIT - Mensalidades</t>
  </si>
  <si>
    <t>Retorno: Par. 197306(05/12) - 18403/DIO - Mensalidades</t>
  </si>
  <si>
    <t>Retorno: Par. 197336(05/12) - 18604/CID - Mensalidades</t>
  </si>
  <si>
    <t>Retorno: Par. 197318(05/12) - 19763/LUC - Mensalidades</t>
  </si>
  <si>
    <t>Retorno: Par. 197168(05/12) - 18553/GAB - Mensalidades</t>
  </si>
  <si>
    <t>Retorno: Par. 197419(05/12) - 19894/AMA - Mensalidades</t>
  </si>
  <si>
    <t>Retorno: Par. 204630(05/12) - 19781/ANA - Mensalidades</t>
  </si>
  <si>
    <t>Extrato/127363</t>
  </si>
  <si>
    <t>Bic - Banco Industria E Comercio - Cód. 127363</t>
  </si>
  <si>
    <t>LPDB/124010</t>
  </si>
  <si>
    <t>Luciano Prudente De Barros - Cód. 124010</t>
  </si>
  <si>
    <t>E/124285</t>
  </si>
  <si>
    <t>Eudes  - Cód. 124285</t>
  </si>
  <si>
    <t>Ant.Cob/124483</t>
  </si>
  <si>
    <t>Banco Brb - Par. 124483(10-13)</t>
  </si>
  <si>
    <t>Ant.Cob/124480</t>
  </si>
  <si>
    <t>Banco Brb - Par. 124480(07-13)</t>
  </si>
  <si>
    <t>Ant.Cob/124481</t>
  </si>
  <si>
    <t>Banco Brb - Par. 124481(08-13)</t>
  </si>
  <si>
    <t>Ant.Cob/124482</t>
  </si>
  <si>
    <t>Banco Brb - Par. 124482(09-13)</t>
  </si>
  <si>
    <t>Ant.Cob/124474</t>
  </si>
  <si>
    <t>Banco Brb - Par. 124474(01-13)</t>
  </si>
  <si>
    <t>Ant.Cob/124484</t>
  </si>
  <si>
    <t>Banco Brb - Par. 124484(11-13)</t>
  </si>
  <si>
    <t>Ant.Cob/124475</t>
  </si>
  <si>
    <t>Banco Brb - Par. 124475(02-13)</t>
  </si>
  <si>
    <t>Ant.Cob/124485</t>
  </si>
  <si>
    <t>Banco Brb - Par. 124485(12-13)</t>
  </si>
  <si>
    <t>Ant.Cob/124476</t>
  </si>
  <si>
    <t>Banco Brb - Par. 124476(03-13)</t>
  </si>
  <si>
    <t>Ant.Cob/124486</t>
  </si>
  <si>
    <t>Banco Brb - Par. 124486(13-13)</t>
  </si>
  <si>
    <t>Ant.Cob/124477</t>
  </si>
  <si>
    <t>Banco Brb - Par. 124477(04-13)</t>
  </si>
  <si>
    <t>Ant.Cob/124478</t>
  </si>
  <si>
    <t>Banco Brb - Par. 124478(05-13)</t>
  </si>
  <si>
    <t>Ant.Cob/124479</t>
  </si>
  <si>
    <t>Banco Brb - Par. 124479(06-13)</t>
  </si>
  <si>
    <t>Extrato/124487</t>
  </si>
  <si>
    <t>Banco Brb - Cód. 124487</t>
  </si>
  <si>
    <t>Extrato/124488</t>
  </si>
  <si>
    <t>Banco Brb - Cód. 124488</t>
  </si>
  <si>
    <t>Extrato/124489</t>
  </si>
  <si>
    <t>Banco Brb - Cód. 124489</t>
  </si>
  <si>
    <t>Ch Pre Brb Sol 3741- Henrique Nogueira Fornecedor</t>
  </si>
  <si>
    <t>Extrato/124490</t>
  </si>
  <si>
    <t>Banco Brb - Cód. 124490</t>
  </si>
  <si>
    <t>Ret. Par. 195092(05/12) - 018674/EDEGAR RICARDO WACHHOLZ JÚN - Mensalidades</t>
  </si>
  <si>
    <t>Ret. Par. 194977(05/12) - 018503/GABRIEL VENTURA MACHADO AMA - Mensalidades</t>
  </si>
  <si>
    <t>Extrato/126915</t>
  </si>
  <si>
    <t>Caixa Econômica Federal - Cód. 126915</t>
  </si>
  <si>
    <t>Extrato/126916</t>
  </si>
  <si>
    <t>Caixa Econômica Federal - Cód. 126916</t>
  </si>
  <si>
    <t>DEPÓSITO 2015-05-29</t>
  </si>
  <si>
    <t>PAGAMENTO DA MENSALIDADE DE ABRIL/2015, DO(A) ALUNO(A) NATALIA GOMES MOREIRA_ANÁPOLIS</t>
  </si>
  <si>
    <t>Par.(01-1) 019793/AMANDA SOUTO QUEIROZ - 1ª OU 2ª SÉRI</t>
  </si>
  <si>
    <t>Par.(01-1) 018265/BÁRBARA GARCIA DE FREITAS - 1ª OU 2ª SÉRI</t>
  </si>
  <si>
    <t>Par.(01-1) 019841/ANA MARCELA TEODORO TIMO - 1ª OU 2ª SÉRI</t>
  </si>
  <si>
    <t>Par.(01-1) 018476/CAROLINA SOUZA ORRO DE FR - 3ª SÉRIE - FÍ</t>
  </si>
  <si>
    <t>Par.(01-1) 018476/CAROLINA SOUZA ORRO DE FR - 3ª SÉRIE - GE</t>
  </si>
  <si>
    <t>Par.(01-1) 018476/CAROLINA SOUZA ORRO DE FR - 3ª SÉRIE - IN</t>
  </si>
  <si>
    <t>Par.(01-1) 018571/ISABELA QUEIROZ LOBO - 3ª SÉRIE - GE</t>
  </si>
  <si>
    <t>Par.(01-1) 018571/ISABELA QUEIROZ LOBO - 3ª SÉRIE - IN</t>
  </si>
  <si>
    <t>Par.(01-1) 018571/ISABELA QUEIROZ LOBO - 3ª SÉRIE - FÍ</t>
  </si>
  <si>
    <t>Par.(01-1) 018223/JAQUELINE ALVES DA CRUZ - 1ª OU 2ª SÉRI</t>
  </si>
  <si>
    <t>Par.(01-1) 018685/LAYMINE COSTA MENDES - 3ª SÉRIE - GE</t>
  </si>
  <si>
    <t>Par.(01-1) 018685/LAYMINE COSTA MENDES - 3ª SÉRIE - IN</t>
  </si>
  <si>
    <t>Par.(01-1) 018685/LAYMINE COSTA MENDES - 3ª SÉRIE - FÍ</t>
  </si>
  <si>
    <t>Par.(01-1) 019740/MARIA EDUARDA COELHO LEMO - 1ª OU 2ª SÉRI</t>
  </si>
  <si>
    <t>Par.(01-1) 019808/MARIA EDUARDA SILVA MELCH - 1ª OU 2ª SÉRI</t>
  </si>
  <si>
    <t>Par.(01-1) 019624/MAURO OLIVEIRA NETO - 1ª OU 2ª SÉRI</t>
  </si>
  <si>
    <t>Par.(01-1) 018150/VÍTOR GABRIEL DE OLIVEIRA - 1ª OU 2ª SÉRI</t>
  </si>
  <si>
    <t>GJO/111564</t>
  </si>
  <si>
    <t>Getulio Jose Oliveira Nt - Par. 111564(05-12)</t>
  </si>
  <si>
    <t>RFMZ/111552</t>
  </si>
  <si>
    <t>Roberto Ferreira / Maria Zirlene  - Par. 111552(05-12)</t>
  </si>
  <si>
    <t>Extrato/128713</t>
  </si>
  <si>
    <t>Banco Safra - Par. 128713(01-5)</t>
  </si>
  <si>
    <t>Extrato/128714</t>
  </si>
  <si>
    <t>Banco Safra - Par. 128714(02-5)</t>
  </si>
  <si>
    <t>Extrato/128715</t>
  </si>
  <si>
    <t>Banco Safra - Par. 128715(03-5)</t>
  </si>
  <si>
    <t>Extrato/128716</t>
  </si>
  <si>
    <t>Banco Safra - Par. 128716(04-5)</t>
  </si>
  <si>
    <t>Extrato/128717</t>
  </si>
  <si>
    <t>Banco Safra - Par. 128717(05-5)</t>
  </si>
  <si>
    <t>4750/124388</t>
  </si>
  <si>
    <t>Ministério da Fazenda - Cód. 124388</t>
  </si>
  <si>
    <t>8791/124812</t>
  </si>
  <si>
    <t>Leo Maquinas  - Cód. 124812</t>
  </si>
  <si>
    <t>9403/124844</t>
  </si>
  <si>
    <t>Leo Maquinas  - Cód. 124844</t>
  </si>
  <si>
    <t>8790/124845</t>
  </si>
  <si>
    <t>Leo Maquinas  - Cód. 124845</t>
  </si>
  <si>
    <t>318984/124405</t>
  </si>
  <si>
    <t>Posto De Combustível - Cód. 124405</t>
  </si>
  <si>
    <t>319055/124842</t>
  </si>
  <si>
    <t>Posto De Combustível - Cód. 124842</t>
  </si>
  <si>
    <t>2ª via de documentos</t>
  </si>
  <si>
    <t>Aná.Aquisição de móveis</t>
  </si>
  <si>
    <t>Ana.Aquisição de Utensílios</t>
  </si>
  <si>
    <t>Aná.Fiscais de Provas e Simulados</t>
  </si>
  <si>
    <t>Aná.Rescisão de contrato de trabalho</t>
  </si>
  <si>
    <t>Aná.Viagem</t>
  </si>
  <si>
    <t xml:space="preserve">Bernadelli.Aluguel </t>
  </si>
  <si>
    <t>Bernadelli.Passagem Aerea</t>
  </si>
  <si>
    <t>BH. Honórarios</t>
  </si>
  <si>
    <t>BH. Marketing</t>
  </si>
  <si>
    <t>CA.Adiantamento de salário</t>
  </si>
  <si>
    <t>CA.Aluguel (DESPESA)</t>
  </si>
  <si>
    <t>CA.Aquisição de Móveis (ATIVO)</t>
  </si>
  <si>
    <t>CA.Aquisição de uniformes</t>
  </si>
  <si>
    <t xml:space="preserve">Ca.Consultoria </t>
  </si>
  <si>
    <t>CA.Contribuição Sindical (DESPESA)</t>
  </si>
  <si>
    <t>CA.Corretores de provas e simulados (CUSTO)</t>
  </si>
  <si>
    <t>CA.Fiscais de Provas e Simulados (CUSTO)</t>
  </si>
  <si>
    <t>CA.INSS (DESPESA)</t>
  </si>
  <si>
    <t>CA.IPTU (CUSTO)</t>
  </si>
  <si>
    <t>CA.ISS (CUSTO)</t>
  </si>
  <si>
    <t>CA.Patrocínio (DESPESA)</t>
  </si>
  <si>
    <t>CA.Registro de marca (CUSTO)</t>
  </si>
  <si>
    <t>CA.Rescisão de contrato educacional (CUSTO)</t>
  </si>
  <si>
    <t>CA.Restituição deposito indevido cheque</t>
  </si>
  <si>
    <t>CA.Taxas de operação</t>
  </si>
  <si>
    <t>CA.Tecnologia da Informação</t>
  </si>
  <si>
    <t>Cantina.FGTS</t>
  </si>
  <si>
    <t>Carybe.Investimento carybé - Olimpo</t>
  </si>
  <si>
    <t>Marista.Alimentação</t>
  </si>
  <si>
    <t xml:space="preserve">Marista.Aquisição de Móveis </t>
  </si>
  <si>
    <t>Marista.Aquisição de Utensílios</t>
  </si>
  <si>
    <t>Marista.Aquisição Máquinas e Equipamentos</t>
  </si>
  <si>
    <t xml:space="preserve">Marista.Chaveiro </t>
  </si>
  <si>
    <t>Marista.Construções</t>
  </si>
  <si>
    <t>Marista.Cópias e Impressões</t>
  </si>
  <si>
    <t xml:space="preserve">Marista.IPTU </t>
  </si>
  <si>
    <t>Marista.ISS</t>
  </si>
  <si>
    <t>Mensalidade Progressão</t>
  </si>
  <si>
    <t>Opirus.Material Didático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</si>
  <si>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</si>
  <si>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</si>
  <si>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</si>
  <si>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</si>
  <si>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</si>
  <si>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SolNascente.Manutenção Predial</t>
  </si>
  <si>
    <t>SolNascente.Material de construção</t>
  </si>
  <si>
    <t>T-27.Aquisição de Utensílios</t>
  </si>
  <si>
    <t>T-27.Cópias e Impressões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</si>
  <si>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</si>
  <si>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</si>
  <si>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</si>
  <si>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</si>
  <si>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</si>
  <si>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>T-3.Aquisição Máquinas e Equipamentos</t>
  </si>
  <si>
    <t xml:space="preserve">T-3.Chaveiro </t>
  </si>
  <si>
    <t>T-3.Cópias e Impressões</t>
  </si>
  <si>
    <t xml:space="preserve">T-3.IPTU </t>
  </si>
  <si>
    <t>T-3.ISS</t>
  </si>
  <si>
    <t>T-3.Produtos de Papelaria</t>
  </si>
  <si>
    <t>Taxa de registro de boleto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</si>
  <si>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</si>
  <si>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</si>
  <si>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</si>
  <si>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</si>
  <si>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</si>
  <si>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</si>
  <si>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</si>
  <si>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</si>
  <si>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</si>
  <si>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</si>
  <si>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</si>
  <si>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</si>
  <si>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</si>
  <si>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</si>
  <si>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</si>
  <si>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T-27.Contribuição Sindical</t>
  </si>
  <si>
    <t>Aná.Seguros e Proteções</t>
  </si>
  <si>
    <t>Cantina.Manutenção Máquinas e Equipamentos</t>
  </si>
  <si>
    <t>CA.Lavagem do Veículo (DESPESA)</t>
  </si>
  <si>
    <t>Aná. Plano de Saúde</t>
  </si>
  <si>
    <t>Aná.Cráchas</t>
  </si>
  <si>
    <t>Aná.Exames Admissional / demissional</t>
  </si>
  <si>
    <t>Aná.Manutenção Predial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</si>
  <si>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</si>
  <si>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</si>
  <si>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</si>
  <si>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</si>
  <si>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</si>
  <si>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</si>
  <si>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</si>
  <si>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</si>
  <si>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</si>
  <si>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</si>
  <si>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</si>
  <si>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CA.Limpeza e Conservação (DESPESA)</t>
  </si>
  <si>
    <t>CA.Material de Construção (CUSTO OU INVESTIMENTO)</t>
  </si>
  <si>
    <t>CA.Viagem Goiânia-Brasília-Goiânia</t>
  </si>
  <si>
    <t xml:space="preserve">Cantina.13º Salário </t>
  </si>
  <si>
    <t>Cantina.Darf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</si>
  <si>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</si>
  <si>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</si>
  <si>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</si>
  <si>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</si>
  <si>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</si>
  <si>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Marista.Férias </t>
  </si>
  <si>
    <t>Marista.Resgate de Cheque rescisão</t>
  </si>
  <si>
    <t>Opirus.Darf</t>
  </si>
  <si>
    <t xml:space="preserve">Opirus.Impostos 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</si>
  <si>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</si>
  <si>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</si>
  <si>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</si>
  <si>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</si>
  <si>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</si>
  <si>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SolNascente.Plano de Saúde</t>
  </si>
  <si>
    <t>SolNascente.Produtos de Limpeza</t>
  </si>
  <si>
    <t>T-27.Eventos e Festa de Confraternização (DESPESA)</t>
  </si>
  <si>
    <t>T-27.Férias</t>
  </si>
  <si>
    <t>T-27.Marketing</t>
  </si>
  <si>
    <t>T-3.Adiantamento de salário</t>
  </si>
  <si>
    <t>T-3.Alimentação</t>
  </si>
  <si>
    <t xml:space="preserve">T-3.Férias </t>
  </si>
  <si>
    <t xml:space="preserve">T-3.Marketing </t>
  </si>
  <si>
    <t>T-55.Tecnologia da informação</t>
  </si>
  <si>
    <t>Uber.Publicidade</t>
  </si>
  <si>
    <t>COLÉGIO ANÁPOLIS</t>
  </si>
  <si>
    <t xml:space="preserve">BERNADELLI </t>
  </si>
  <si>
    <t>COLÉGIO BH</t>
  </si>
  <si>
    <t>CANTINA</t>
  </si>
  <si>
    <t>MARCELO DE MORAES</t>
  </si>
  <si>
    <t xml:space="preserve">RODRIGO BERNADELLI </t>
  </si>
  <si>
    <t>SOL NASCENTE</t>
  </si>
  <si>
    <t>COLÉGIO OLIMPO UBERLÂNDIA</t>
  </si>
</sst>
</file>

<file path=xl/styles.xml><?xml version="1.0" encoding="utf-8"?>
<styleSheet xmlns="http://schemas.openxmlformats.org/spreadsheetml/2006/main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 &quot;#,##0.00_);[Red]\(&quot;R$ &quot;#,##0.00\)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18" fillId="33" borderId="0" xfId="0" applyFont="1" applyFill="1" applyAlignment="1">
      <alignment horizontal="left"/>
    </xf>
    <xf numFmtId="44" fontId="13" fillId="34" borderId="0" xfId="42" applyFont="1" applyFill="1" applyAlignment="1">
      <alignment horizontal="left"/>
    </xf>
    <xf numFmtId="44" fontId="18" fillId="33" borderId="0" xfId="42" applyFont="1" applyFill="1" applyAlignment="1">
      <alignment horizontal="left"/>
    </xf>
    <xf numFmtId="44" fontId="0" fillId="0" borderId="0" xfId="42" applyFont="1" applyAlignment="1">
      <alignment horizontal="left"/>
    </xf>
    <xf numFmtId="8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/>
    </xf>
    <xf numFmtId="8" fontId="0" fillId="0" borderId="0" xfId="0" applyNumberFormat="1" applyAlignment="1">
      <alignment horizontal="center"/>
    </xf>
    <xf numFmtId="8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44" fontId="0" fillId="0" borderId="0" xfId="0" applyNumberFormat="1"/>
    <xf numFmtId="164" fontId="13" fillId="34" borderId="0" xfId="0" applyNumberFormat="1" applyFont="1" applyFill="1" applyAlignment="1">
      <alignment horizontal="left"/>
    </xf>
    <xf numFmtId="164" fontId="18" fillId="36" borderId="0" xfId="42" applyNumberFormat="1" applyFont="1" applyFill="1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left"/>
    </xf>
    <xf numFmtId="164" fontId="18" fillId="33" borderId="0" xfId="0" applyNumberFormat="1" applyFont="1" applyFill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1"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2.568732754633" createdVersion="3" refreshedVersion="3" minRefreshableVersion="3" recordCount="4986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263041" maxValue="276291"/>
    </cacheField>
    <cacheField name="DOCUMENTO" numFmtId="0">
      <sharedItems containsBlank="1" containsMixedTypes="1" containsNumber="1" containsInteger="1" minValue="123575" maxValue="217900"/>
    </cacheField>
    <cacheField name="DESCRICAO" numFmtId="0">
      <sharedItems containsBlank="1"/>
    </cacheField>
    <cacheField name="ENTRADA" numFmtId="164">
      <sharedItems containsString="0" containsBlank="1" containsNumber="1" minValue="-2443537.4200002179" maxValue="725000"/>
    </cacheField>
    <cacheField name="DATA" numFmtId="0">
      <sharedItems containsNonDate="0" containsDate="1" containsString="0" containsBlank="1" minDate="2015-05-01T00:00:00" maxDate="2015-06-01T00:00:00"/>
    </cacheField>
    <cacheField name="HORA" numFmtId="0">
      <sharedItems containsNonDate="0" containsDate="1" containsString="0" containsBlank="1" minDate="1899-12-30T08:05:51" maxDate="1899-12-30T19:04:00"/>
    </cacheField>
    <cacheField name="SAIDA" numFmtId="164">
      <sharedItems containsString="0" containsBlank="1" containsNumber="1" minValue="0" maxValue="551674.96"/>
    </cacheField>
    <cacheField name="SITUACAO" numFmtId="0">
      <sharedItems containsString="0" containsBlank="1" containsNumber="1" containsInteger="1" minValue="0" maxValue="0"/>
    </cacheField>
    <cacheField name="SALDO" numFmtId="44">
      <sharedItems containsString="0" containsBlank="1" containsNumber="1" minValue="-3429969.630000216" maxValue="-2196923.7000002274"/>
    </cacheField>
    <cacheField name="DT_CANCELADA" numFmtId="0">
      <sharedItems containsNonDate="0" containsString="0" containsBlank="1"/>
    </cacheField>
    <cacheField name="OBSERVACAO" numFmtId="0">
      <sharedItems containsNonDate="0" containsString="0" containsBlank="1"/>
    </cacheField>
    <cacheField name="BOLETO_ID" numFmtId="0">
      <sharedItems containsString="0" containsBlank="1" containsNumber="1" containsInteger="1" minValue="181224" maxValue="217900"/>
    </cacheField>
    <cacheField name="PAGAR_ID" numFmtId="0">
      <sharedItems containsString="0" containsBlank="1" containsNumber="1" containsInteger="1" minValue="21323" maxValue="128719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59"/>
    </cacheField>
    <cacheField name="DT_LANCADO" numFmtId="0">
      <sharedItems containsNonDate="0" containsDate="1" containsString="0" containsBlank="1" minDate="2015-04-23T00:00:00" maxDate="2015-07-07T00:00:00"/>
    </cacheField>
    <cacheField name="DT_ALTERADO" numFmtId="0">
      <sharedItems containsNonDate="0" containsDate="1" containsString="0" containsBlank="1" minDate="2015-05-04T00:00:00" maxDate="2015-07-07T00:00:00"/>
    </cacheField>
    <cacheField name="RETORNO_ID" numFmtId="0">
      <sharedItems containsString="0" containsBlank="1" containsNumber="1" containsInteger="1" minValue="27812" maxValue="29202"/>
    </cacheField>
    <cacheField name="NUMERO_ARQUIVO" numFmtId="0">
      <sharedItems containsString="0" containsBlank="1" containsNumber="1" containsInteger="1" minValue="21" maxValue="20150529"/>
    </cacheField>
    <cacheField name="ANO_LETIVO" numFmtId="0">
      <sharedItems containsString="0" containsBlank="1" containsNumber="1" containsInteger="1" minValue="2010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63041" maxValue="276190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OPERACIONAL"/>
        <s v="FINANCEIRO"/>
        <m/>
        <s v="" u="1"/>
        <e v="#VALUE!" u="1"/>
      </sharedItems>
    </cacheField>
    <cacheField name="InstNome" numFmtId="0">
      <sharedItems containsBlank="1"/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31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27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86">
  <r>
    <m/>
    <m/>
    <s v="1. SALDO ANTERIOR"/>
    <n v="-2443537.4200002179"/>
    <m/>
    <m/>
    <m/>
    <m/>
    <n v="-2443537.4200002179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</r>
  <r>
    <n v="269818"/>
    <s v="Entrada"/>
    <s v="Biblioteca Unidade T-27"/>
    <n v="42"/>
    <d v="2015-05-01T00:00:00"/>
    <d v="1899-12-30T12:48:28"/>
    <n v="0"/>
    <n v="0"/>
    <n v="-2443495.4200002179"/>
    <m/>
    <m/>
    <m/>
    <m/>
    <n v="24"/>
    <s v="Emilly"/>
    <n v="1"/>
    <m/>
    <n v="59"/>
    <d v="2015-05-13T00:00:00"/>
    <d v="2015-05-13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68613"/>
    <s v="Extrato/122867"/>
    <s v="Mercantil Do Brasil - Cód. 122867"/>
    <n v="0"/>
    <d v="2015-05-04T00:00:00"/>
    <d v="1899-12-30T08:40:51"/>
    <n v="5253.13"/>
    <n v="0"/>
    <n v="-2448748.5500002177"/>
    <m/>
    <m/>
    <m/>
    <n v="122867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14"/>
    <s v="Extrato/122868"/>
    <s v="Mercantil Do Brasil - Cód. 122868"/>
    <n v="0"/>
    <d v="2015-05-04T00:00:00"/>
    <d v="1899-12-30T08:40:52"/>
    <n v="621.04999999999995"/>
    <n v="0"/>
    <n v="-2449369.6000002176"/>
    <m/>
    <m/>
    <m/>
    <n v="122868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15"/>
    <s v="Extrato/122869"/>
    <s v="Mercantil Do Brasil - Cód. 122869"/>
    <n v="0"/>
    <d v="2015-05-04T00:00:00"/>
    <d v="1899-12-30T08:40:52"/>
    <n v="1880.42"/>
    <n v="0"/>
    <n v="-2451250.0200002175"/>
    <m/>
    <m/>
    <m/>
    <n v="122869"/>
    <n v="7"/>
    <s v="Anapaula"/>
    <n v="1"/>
    <m/>
    <n v="569"/>
    <d v="2015-05-07T00:00:00"/>
    <d v="2015-05-07T00:00:00"/>
    <m/>
    <m/>
    <n v="2015"/>
    <n v="7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68616"/>
    <s v="Extrato/122870"/>
    <s v="Mercantil Do Brasil - Cód. 122870"/>
    <n v="0"/>
    <d v="2015-05-04T00:00:00"/>
    <d v="1899-12-30T08:40:52"/>
    <n v="139"/>
    <n v="0"/>
    <n v="-2451389.0200002175"/>
    <m/>
    <m/>
    <m/>
    <n v="122870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17"/>
    <s v="Extrato/122871"/>
    <s v="Mercantil Do Brasil - Cód. 122871"/>
    <n v="0"/>
    <d v="2015-05-04T00:00:00"/>
    <d v="1899-12-30T08:40:52"/>
    <n v="15589.7"/>
    <n v="0"/>
    <n v="-2466978.7200002177"/>
    <m/>
    <m/>
    <m/>
    <n v="122871"/>
    <n v="7"/>
    <s v="Anapaula"/>
    <n v="1"/>
    <m/>
    <n v="524"/>
    <d v="2015-05-07T00:00:00"/>
    <d v="2015-05-07T00:00:00"/>
    <m/>
    <m/>
    <n v="2015"/>
    <n v="7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19"/>
    <s v="Transferência Entre Contas"/>
    <s v="Transferência Entre Contas"/>
    <n v="0"/>
    <d v="2015-05-04T00:00:00"/>
    <d v="1899-12-30T08:41:23"/>
    <n v="7228.3"/>
    <n v="0"/>
    <n v="-2474207.0200002175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s v="COLÉGIO OLIMPO LTDA"/>
    <m/>
    <n v="75"/>
    <n v="9"/>
    <s v="Débito em conta"/>
    <m/>
    <m/>
    <m/>
    <n v="0"/>
    <m/>
    <n v="5"/>
    <s v="MERC [GYN] [OPERAÇÕES]"/>
    <m/>
    <m/>
    <m/>
  </r>
  <r>
    <n v="268620"/>
    <s v="Transferência Entre Contas"/>
    <s v="Destino: 268619-Transferência Entre Contas"/>
    <n v="7228.3"/>
    <d v="2015-05-04T00:00:00"/>
    <d v="1899-12-30T08:41:23"/>
    <n v="0"/>
    <n v="0"/>
    <n v="-2466978.7200002177"/>
    <m/>
    <m/>
    <m/>
    <m/>
    <n v="7"/>
    <s v="Anapaula"/>
    <n v="1"/>
    <m/>
    <n v="1449"/>
    <d v="2015-05-07T00:00:00"/>
    <d v="2015-05-07T00:00:00"/>
    <m/>
    <m/>
    <n v="2015"/>
    <n v="7"/>
    <m/>
    <m/>
    <n v="268619"/>
    <m/>
    <s v="Transferência entre contas"/>
    <x v="2"/>
    <s v="COLÉGIO OLIMPO LTDA"/>
    <m/>
    <n v="5"/>
    <n v="9"/>
    <s v="Débito em conta"/>
    <m/>
    <m/>
    <m/>
    <n v="0"/>
    <m/>
    <m/>
    <s v="MERC [GYN] [02.011938-7] [CC]"/>
    <m/>
    <m/>
    <m/>
  </r>
  <r>
    <n v="268621"/>
    <s v="Transferência Entre Contas"/>
    <s v="Transferência Entre Contas"/>
    <n v="0"/>
    <d v="2015-05-04T00:00:00"/>
    <d v="1899-12-30T08:42:38"/>
    <n v="8361.4"/>
    <n v="0"/>
    <n v="-2475340.1200002176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s v="COLÉGIO OLIMPO LTDA"/>
    <m/>
    <n v="75"/>
    <n v="9"/>
    <s v="Débito em conta"/>
    <m/>
    <m/>
    <m/>
    <n v="0"/>
    <m/>
    <n v="5"/>
    <s v="MERC [GYN] [OPERAÇÕES]"/>
    <m/>
    <m/>
    <m/>
  </r>
  <r>
    <n v="268622"/>
    <s v="Transferência Entre Contas"/>
    <s v="Destino: 268621-Transferência Entre Contas"/>
    <n v="8361.4"/>
    <d v="2015-05-04T00:00:00"/>
    <d v="1899-12-30T08:42:38"/>
    <n v="0"/>
    <n v="0"/>
    <n v="-2466978.7200002177"/>
    <m/>
    <m/>
    <m/>
    <m/>
    <n v="7"/>
    <s v="Anapaula"/>
    <n v="1"/>
    <m/>
    <n v="1449"/>
    <d v="2015-05-07T00:00:00"/>
    <d v="2015-05-07T00:00:00"/>
    <m/>
    <m/>
    <n v="2015"/>
    <n v="7"/>
    <m/>
    <m/>
    <n v="268621"/>
    <m/>
    <s v="Transferência entre contas"/>
    <x v="2"/>
    <s v="COLÉGIO OLIMPO LTDA"/>
    <m/>
    <n v="5"/>
    <n v="9"/>
    <s v="Débito em conta"/>
    <m/>
    <m/>
    <m/>
    <n v="0"/>
    <m/>
    <m/>
    <s v="MERC [GYN] [02.011938-7] [CC]"/>
    <m/>
    <m/>
    <m/>
  </r>
  <r>
    <n v="268624"/>
    <n v="215279"/>
    <s v="Par.(02-12) 019703/JÚLIA CAROLINE COIMBRA CO - Renegociado"/>
    <n v="697.56"/>
    <d v="2015-05-04T00:00:00"/>
    <d v="1899-12-30T08:46:08"/>
    <n v="0"/>
    <n v="0"/>
    <n v="-2466281.1600002176"/>
    <m/>
    <m/>
    <n v="215279"/>
    <m/>
    <n v="60"/>
    <s v="Francielly"/>
    <n v="1"/>
    <m/>
    <n v="2"/>
    <d v="2015-05-07T00:00:00"/>
    <d v="2015-05-07T00:00:00"/>
    <m/>
    <m/>
    <n v="2015"/>
    <n v="60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68799"/>
    <n v="214573"/>
    <s v="Par.(04/12) 020776/THALISSON ARAÚJO NUNES - Parcelas"/>
    <n v="1386"/>
    <d v="2015-05-04T00:00:00"/>
    <d v="1899-12-30T08:46:28"/>
    <n v="0"/>
    <n v="0"/>
    <n v="-2464895.1600002176"/>
    <m/>
    <m/>
    <n v="214573"/>
    <m/>
    <n v="8"/>
    <s v="Vinicius"/>
    <n v="1"/>
    <m/>
    <n v="6"/>
    <d v="2015-05-08T00:00:00"/>
    <d v="2015-05-08T00:00:00"/>
    <m/>
    <m/>
    <n v="2015"/>
    <n v="8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267055"/>
    <n v="216494"/>
    <s v="Par.(04-12) 020302/CHRISTOPHER RAFAEL DI LUC - PAGAMENTO CHE"/>
    <n v="425"/>
    <d v="2015-05-04T00:00:00"/>
    <d v="1899-12-30T08:47:07"/>
    <n v="0"/>
    <n v="0"/>
    <n v="-2464470.1600002176"/>
    <m/>
    <m/>
    <n v="216494"/>
    <m/>
    <n v="8"/>
    <s v="Vinicius"/>
    <n v="1"/>
    <m/>
    <n v="1378"/>
    <d v="2015-05-05T00:00:00"/>
    <d v="2015-05-05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68626"/>
    <n v="215388"/>
    <s v="Par.(02-12) 020263/IARA MACHADO DE SOUZA AZE - PAGAMENTO CHE"/>
    <n v="1487.1"/>
    <d v="2015-05-04T00:00:00"/>
    <d v="1899-12-30T08:48:48"/>
    <n v="0"/>
    <n v="0"/>
    <n v="-2462983.0600002175"/>
    <m/>
    <m/>
    <n v="215388"/>
    <m/>
    <n v="60"/>
    <s v="Francielly"/>
    <n v="1"/>
    <m/>
    <n v="1378"/>
    <d v="2015-05-07T00:00:00"/>
    <d v="2015-05-07T00:00:00"/>
    <m/>
    <m/>
    <n v="2015"/>
    <n v="60"/>
    <m/>
    <m/>
    <m/>
    <m/>
    <s v="Pagamento de cheque devolvido"/>
    <x v="1"/>
    <s v="COLÉGIO OLIMPO LTDA"/>
    <m/>
    <n v="52"/>
    <n v="2"/>
    <s v="Cheque"/>
    <m/>
    <n v="0"/>
    <m/>
    <n v="0"/>
    <m/>
    <m/>
    <s v="BRB [SOL] [012052-4] [CC] [COB]"/>
    <m/>
    <m/>
    <m/>
  </r>
  <r>
    <n v="268627"/>
    <s v="Extrato/122873"/>
    <s v="Banco Santander  - Par. 122873(01-4)"/>
    <n v="0"/>
    <d v="2015-05-04T00:00:00"/>
    <d v="1899-12-30T08:53:39"/>
    <n v="112.08"/>
    <n v="0"/>
    <n v="-2463095.1400002176"/>
    <m/>
    <m/>
    <m/>
    <n v="122873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123"/>
    <n v="9"/>
    <s v="Débito em conta"/>
    <m/>
    <n v="0"/>
    <m/>
    <n v="0"/>
    <m/>
    <m/>
    <s v="SANTANDER SOL 3369-0"/>
    <m/>
    <m/>
    <m/>
  </r>
  <r>
    <n v="268628"/>
    <s v="Extrato/122874"/>
    <s v="Banco Santander  - Par. 122874(02-4)"/>
    <n v="0"/>
    <d v="2015-05-04T00:00:00"/>
    <d v="1899-12-30T08:53:39"/>
    <n v="57.48"/>
    <n v="0"/>
    <n v="-2463152.6200002176"/>
    <m/>
    <m/>
    <m/>
    <n v="122874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123"/>
    <n v="9"/>
    <s v="Débito em conta"/>
    <m/>
    <n v="0"/>
    <m/>
    <n v="0"/>
    <m/>
    <m/>
    <s v="SANTANDER SOL 3369-0"/>
    <m/>
    <m/>
    <m/>
  </r>
  <r>
    <n v="268630"/>
    <s v="Extrato/122875"/>
    <s v="Banco Santander  - Par. 122875(03-4)"/>
    <n v="0"/>
    <d v="2015-05-04T00:00:00"/>
    <d v="1899-12-30T08:54:34"/>
    <n v="124.05"/>
    <n v="0"/>
    <n v="-2463276.6700002174"/>
    <m/>
    <m/>
    <m/>
    <n v="122875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7"/>
    <n v="9"/>
    <s v="Débito em conta"/>
    <m/>
    <n v="0"/>
    <m/>
    <n v="0"/>
    <m/>
    <m/>
    <s v="SANT 936-9 GOIANIA"/>
    <m/>
    <m/>
    <m/>
  </r>
  <r>
    <n v="268631"/>
    <s v="Extrato/122876"/>
    <s v="Banco Santander  - Par. 122876(04-4)"/>
    <n v="0"/>
    <d v="2015-05-04T00:00:00"/>
    <d v="1899-12-30T08:54:34"/>
    <n v="74.89"/>
    <n v="0"/>
    <n v="-2463351.5600002175"/>
    <m/>
    <m/>
    <m/>
    <n v="122876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7"/>
    <n v="9"/>
    <s v="Débito em conta"/>
    <m/>
    <n v="0"/>
    <m/>
    <n v="0"/>
    <m/>
    <m/>
    <s v="SANT 936-9 GOIANIA"/>
    <m/>
    <m/>
    <m/>
  </r>
  <r>
    <n v="268634"/>
    <s v="Remessa Olimpo Uberlândia"/>
    <s v="Remessa Olimpo Uberlândia"/>
    <n v="1037"/>
    <d v="2015-05-04T00:00:00"/>
    <d v="1899-12-30T08:55:37"/>
    <n v="0"/>
    <n v="0"/>
    <n v="-2462314.5600002175"/>
    <m/>
    <m/>
    <m/>
    <m/>
    <n v="60"/>
    <s v="Francielly"/>
    <n v="1"/>
    <m/>
    <n v="1528"/>
    <d v="2015-05-07T00:00:00"/>
    <d v="2015-05-07T00:00:00"/>
    <m/>
    <m/>
    <n v="2015"/>
    <n v="60"/>
    <m/>
    <m/>
    <m/>
    <m/>
    <s v="Remessa Olimpo Uberlândia"/>
    <x v="1"/>
    <s v="COLÉGIO OLIMPO LTDA"/>
    <m/>
    <n v="52"/>
    <n v="2"/>
    <s v="Cheque"/>
    <m/>
    <m/>
    <m/>
    <n v="0"/>
    <m/>
    <m/>
    <s v="BRB [SOL] [012052-4] [CC] [COB]"/>
    <m/>
    <m/>
    <m/>
  </r>
  <r>
    <n v="268636"/>
    <s v="Remessa Olimpo Fundamental"/>
    <s v="Remessa Olimp Fundamental"/>
    <n v="2087.17"/>
    <d v="2015-05-04T00:00:00"/>
    <d v="1899-12-30T08:56:23"/>
    <n v="0"/>
    <n v="0"/>
    <n v="-2460227.3900002176"/>
    <m/>
    <m/>
    <m/>
    <m/>
    <n v="60"/>
    <s v="Francielly"/>
    <n v="1"/>
    <m/>
    <n v="1431"/>
    <d v="2015-05-07T00:00:00"/>
    <d v="2015-05-07T00:00:00"/>
    <m/>
    <m/>
    <n v="2015"/>
    <n v="60"/>
    <m/>
    <m/>
    <m/>
    <m/>
    <s v="Remessa Olimpo Fundamental"/>
    <x v="1"/>
    <s v="COLÉGIO OLIMPO LTDA"/>
    <m/>
    <n v="52"/>
    <n v="2"/>
    <s v="Cheque"/>
    <m/>
    <m/>
    <m/>
    <n v="0"/>
    <m/>
    <m/>
    <s v="BRB [SOL] [012052-4] [CC] [COB]"/>
    <m/>
    <m/>
    <m/>
  </r>
  <r>
    <n v="268637"/>
    <s v="Transferência Entre Contas"/>
    <s v="Transferência Entre Contas"/>
    <n v="0"/>
    <d v="2015-05-04T00:00:00"/>
    <d v="1899-12-30T09:00:45"/>
    <n v="55000"/>
    <n v="0"/>
    <n v="-2515227.3900002176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s v="COLÉGIO OLIMPO LTDA"/>
    <m/>
    <n v="69"/>
    <n v="8"/>
    <s v="Transferência Bancária"/>
    <m/>
    <m/>
    <m/>
    <n v="0"/>
    <m/>
    <n v="59"/>
    <s v="DAYCOVAL [GYN] [6964461] [COB]"/>
    <m/>
    <m/>
    <m/>
  </r>
  <r>
    <n v="268638"/>
    <s v="Transferência Entre Contas"/>
    <s v="Destino: 268637-Transferência Entre Contas"/>
    <n v="55000"/>
    <d v="2015-05-04T00:00:00"/>
    <d v="1899-12-30T09:00:45"/>
    <n v="0"/>
    <n v="0"/>
    <n v="-2460227.3900002176"/>
    <m/>
    <m/>
    <m/>
    <m/>
    <n v="7"/>
    <s v="Anapaula"/>
    <n v="1"/>
    <m/>
    <n v="1449"/>
    <d v="2015-05-07T00:00:00"/>
    <d v="2015-05-07T00:00:00"/>
    <m/>
    <m/>
    <n v="2015"/>
    <n v="7"/>
    <m/>
    <m/>
    <n v="268637"/>
    <m/>
    <s v="Transferência entre contas"/>
    <x v="2"/>
    <s v="COLÉGIO OLIMPO LTDA"/>
    <m/>
    <n v="59"/>
    <n v="8"/>
    <s v="Transferência Bancária"/>
    <m/>
    <m/>
    <m/>
    <n v="0"/>
    <m/>
    <m/>
    <s v="DAYCOVAL [GYN] [7112965] [CC]"/>
    <m/>
    <m/>
    <m/>
  </r>
  <r>
    <n v="268639"/>
    <s v="Transferência Entre Contas"/>
    <s v="Transferência Entre Contas"/>
    <n v="0"/>
    <d v="2015-05-04T00:00:00"/>
    <d v="1899-12-30T09:02:11"/>
    <n v="9572.11"/>
    <n v="0"/>
    <n v="-2469799.5000002175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s v="COLÉGIO OLIMPO LTDA"/>
    <m/>
    <n v="69"/>
    <n v="8"/>
    <s v="Transferência Bancária"/>
    <m/>
    <m/>
    <m/>
    <n v="0"/>
    <m/>
    <n v="61"/>
    <s v="DAYCOVAL [GYN] [6964461] [COB]"/>
    <m/>
    <m/>
    <m/>
  </r>
  <r>
    <n v="268642"/>
    <s v="Transferência Entre Contas"/>
    <s v="Destino: 268639-Transferência Entre Contas"/>
    <n v="9572.11"/>
    <d v="2015-05-04T00:00:00"/>
    <d v="1899-12-30T09:02:11"/>
    <n v="0"/>
    <n v="0"/>
    <n v="-2460227.3900002176"/>
    <m/>
    <m/>
    <m/>
    <m/>
    <n v="7"/>
    <s v="Anapaula"/>
    <n v="1"/>
    <m/>
    <n v="1449"/>
    <d v="2015-05-07T00:00:00"/>
    <d v="2015-05-07T00:00:00"/>
    <m/>
    <m/>
    <n v="2015"/>
    <n v="7"/>
    <m/>
    <m/>
    <n v="268639"/>
    <m/>
    <s v="Transferência entre contas"/>
    <x v="2"/>
    <s v="COLÉGIO OLIMPO LTDA"/>
    <m/>
    <n v="61"/>
    <n v="8"/>
    <s v="Transferência Bancária"/>
    <m/>
    <m/>
    <m/>
    <n v="0"/>
    <m/>
    <m/>
    <s v="DAYCOVAL [GYN] [6019333] [CC]"/>
    <m/>
    <m/>
    <m/>
  </r>
  <r>
    <n v="268641"/>
    <s v="Juros 20150504/122881"/>
    <s v="Banco Brb - Cód. 122881"/>
    <n v="0"/>
    <d v="2015-05-04T00:00:00"/>
    <d v="1899-12-30T09:03:25"/>
    <n v="14976.83"/>
    <n v="0"/>
    <n v="-2475204.2200002177"/>
    <m/>
    <m/>
    <m/>
    <n v="122881"/>
    <n v="60"/>
    <s v="Francielly"/>
    <n v="1"/>
    <m/>
    <n v="1459"/>
    <d v="2015-05-07T00:00:00"/>
    <d v="2015-05-07T00:00:00"/>
    <m/>
    <m/>
    <n v="2015"/>
    <n v="60"/>
    <m/>
    <m/>
    <m/>
    <m/>
    <s v="Juros e Despesas Descontos Chs e Boleto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68643"/>
    <s v="DB20150504"/>
    <s v="Operação Desconto Boletos 2015.05.04"/>
    <n v="107990.25"/>
    <d v="2015-05-04T00:00:00"/>
    <d v="1899-12-30T09:05:57"/>
    <n v="0"/>
    <n v="0"/>
    <n v="-2367213.9700002177"/>
    <m/>
    <m/>
    <m/>
    <m/>
    <n v="60"/>
    <s v="Francielly"/>
    <n v="1"/>
    <m/>
    <n v="1505"/>
    <d v="2015-05-07T00:00:00"/>
    <d v="2015-05-07T00:00:00"/>
    <m/>
    <m/>
    <n v="2015"/>
    <n v="60"/>
    <m/>
    <m/>
    <m/>
    <m/>
    <s v="Desconto de boleto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68644"/>
    <s v="Entrada"/>
    <s v="Credito De Cobrança"/>
    <n v="1134.7"/>
    <d v="2015-05-04T00:00:00"/>
    <d v="1899-12-30T09:07:28"/>
    <n v="0"/>
    <n v="0"/>
    <n v="-2366079.2700002175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68645"/>
    <s v="Entrada "/>
    <s v="Credito Cobrança Brb"/>
    <n v="2208.12"/>
    <d v="2015-05-04T00:00:00"/>
    <d v="1899-12-30T09:08:29"/>
    <n v="0"/>
    <n v="0"/>
    <n v="-2363871.1500002174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68646"/>
    <s v="Entrada "/>
    <s v="Credito Cobrança Brb"/>
    <n v="2835.1"/>
    <d v="2015-05-04T00:00:00"/>
    <d v="1899-12-30T09:10:47"/>
    <n v="0"/>
    <n v="0"/>
    <n v="-2361036.0500002173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68648"/>
    <s v="Extrato/122886"/>
    <s v="Banco Daycoval S/A  - Par. 122886(01-7)"/>
    <n v="0"/>
    <d v="2015-05-04T00:00:00"/>
    <d v="1899-12-30T09:19:25"/>
    <n v="2"/>
    <n v="0"/>
    <n v="-2361038.0500002173"/>
    <m/>
    <m/>
    <m/>
    <n v="122886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49"/>
    <s v="Extrato/122887"/>
    <s v="Banco Daycoval S/A  - Par. 122887(02-7)"/>
    <n v="0"/>
    <d v="2015-05-04T00:00:00"/>
    <d v="1899-12-30T09:19:25"/>
    <n v="3.9"/>
    <n v="0"/>
    <n v="-2361041.9500002172"/>
    <m/>
    <m/>
    <m/>
    <n v="122887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0"/>
    <s v="Extrato/122884"/>
    <s v="Banco Daycoval S/A  - Par. 122884(03-4)"/>
    <n v="0"/>
    <d v="2015-05-04T00:00:00"/>
    <d v="1899-12-30T09:19:25"/>
    <n v="0.97"/>
    <n v="0"/>
    <n v="-2361042.9200002174"/>
    <m/>
    <m/>
    <m/>
    <n v="122884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1"/>
    <s v="Extrato/122888"/>
    <s v="Banco Daycoval S/A  - Par. 122888(03-7)"/>
    <n v="0"/>
    <d v="2015-05-04T00:00:00"/>
    <d v="1899-12-30T09:19:25"/>
    <n v="74.400000000000006"/>
    <n v="0"/>
    <n v="-2361117.3200002173"/>
    <m/>
    <m/>
    <m/>
    <n v="122888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3"/>
    <s v="Extrato/122885"/>
    <s v="Banco Daycoval S/A  - Par. 122885(04-4)"/>
    <n v="0"/>
    <d v="2015-05-04T00:00:00"/>
    <d v="1899-12-30T09:19:25"/>
    <n v="0.32"/>
    <n v="0"/>
    <n v="-2361117.6400002171"/>
    <m/>
    <m/>
    <m/>
    <n v="122885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4"/>
    <s v="Extrato/122889"/>
    <s v="Banco Daycoval S/A  - Par. 122889(04-7)"/>
    <n v="0"/>
    <d v="2015-05-04T00:00:00"/>
    <d v="1899-12-30T09:19:25"/>
    <n v="58.46"/>
    <n v="0"/>
    <n v="-2361176.1000002171"/>
    <m/>
    <m/>
    <m/>
    <n v="122889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47"/>
    <s v="739679/122897"/>
    <s v="Banco Daycoval S/A  - Par. 122897(01-1)"/>
    <n v="0"/>
    <d v="2015-05-04T00:00:00"/>
    <d v="1899-12-30T09:19:25"/>
    <n v="54506.03"/>
    <n v="0"/>
    <n v="-2415682.1300002169"/>
    <m/>
    <m/>
    <m/>
    <n v="122897"/>
    <n v="7"/>
    <s v="Anapaula"/>
    <n v="1"/>
    <m/>
    <n v="524"/>
    <d v="2015-05-07T00:00:00"/>
    <d v="2015-05-07T00:00:00"/>
    <m/>
    <m/>
    <n v="2015"/>
    <n v="7"/>
    <m/>
    <m/>
    <m/>
    <m/>
    <s v="CA.Empréstimos Bancários (FINANCIAMENTO)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2"/>
    <s v="Extrato/122896"/>
    <s v="Banco Daycoval S/A  - Par. 122896(04-4)"/>
    <n v="0"/>
    <d v="2015-05-04T00:00:00"/>
    <d v="1899-12-30T09:19:25"/>
    <n v="0.24"/>
    <n v="0"/>
    <n v="-2415682.3700002171"/>
    <m/>
    <m/>
    <m/>
    <n v="122896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9"/>
    <s v="Extrato/122882"/>
    <s v="Banco Daycoval S/A  - Par. 122882(01-4)"/>
    <n v="0"/>
    <d v="2015-05-04T00:00:00"/>
    <d v="1899-12-30T09:20:56"/>
    <n v="9391.73"/>
    <n v="0"/>
    <n v="-2425074.1000002171"/>
    <m/>
    <m/>
    <m/>
    <n v="122882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61"/>
    <s v="Extrato/122883"/>
    <s v="Banco Daycoval S/A  - Par. 122883(02-4)"/>
    <n v="0"/>
    <d v="2015-05-04T00:00:00"/>
    <d v="1899-12-30T09:20:56"/>
    <n v="51.93"/>
    <n v="0"/>
    <n v="-2425126.0300002173"/>
    <m/>
    <m/>
    <m/>
    <n v="122883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58"/>
    <s v="Extrato/122893"/>
    <s v="Banco Daycoval S/A  - Par. 122893(01-4)"/>
    <n v="0"/>
    <d v="2015-05-04T00:00:00"/>
    <d v="1899-12-30T09:20:56"/>
    <n v="5.24"/>
    <n v="0"/>
    <n v="-2425131.2700002175"/>
    <m/>
    <m/>
    <m/>
    <n v="122893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60"/>
    <s v="Extrato/122894"/>
    <s v="Banco Daycoval S/A  - Par. 122894(02-4)"/>
    <n v="0"/>
    <d v="2015-05-04T00:00:00"/>
    <d v="1899-12-30T09:20:56"/>
    <n v="0.21"/>
    <n v="0"/>
    <n v="-2425131.4800002174"/>
    <m/>
    <m/>
    <m/>
    <n v="122894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62"/>
    <s v="Extrato/122895"/>
    <s v="Banco Daycoval S/A  - Par. 122895(03-4)"/>
    <n v="0"/>
    <d v="2015-05-04T00:00:00"/>
    <d v="1899-12-30T09:20:56"/>
    <n v="123"/>
    <n v="0"/>
    <n v="-2425254.4800002174"/>
    <m/>
    <m/>
    <m/>
    <n v="122895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64"/>
    <s v="Extrato/122898"/>
    <s v="Banco Brb - Cód. 122898"/>
    <n v="0"/>
    <d v="2015-05-04T00:00:00"/>
    <d v="1899-12-30T09:24:56"/>
    <n v="15"/>
    <n v="0"/>
    <n v="-2425269.4800002174"/>
    <m/>
    <m/>
    <m/>
    <n v="122898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665"/>
    <s v="Extrato/122899"/>
    <s v="Banco Brb - Cód. 122899"/>
    <n v="0"/>
    <d v="2015-05-04T00:00:00"/>
    <d v="1899-12-30T09:24:56"/>
    <n v="15"/>
    <n v="0"/>
    <n v="-2425284.4800002174"/>
    <m/>
    <m/>
    <m/>
    <n v="122899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670"/>
    <s v="Extrato/122900"/>
    <s v="Banco Brb - Cód. 122900"/>
    <n v="0"/>
    <d v="2015-05-04T00:00:00"/>
    <d v="1899-12-30T09:34:14"/>
    <n v="15"/>
    <n v="0"/>
    <n v="-2425299.4800002174"/>
    <m/>
    <m/>
    <m/>
    <n v="122900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671"/>
    <s v="Extrato/122901"/>
    <s v="Banco Brb - Cód. 122901"/>
    <n v="0"/>
    <d v="2015-05-04T00:00:00"/>
    <d v="1899-12-30T09:34:15"/>
    <n v="15"/>
    <n v="0"/>
    <n v="-2425314.4800002174"/>
    <m/>
    <m/>
    <m/>
    <n v="122901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723"/>
    <s v="Fiscais/123237"/>
    <s v="Fiscais De Prova - Cód. 123237"/>
    <n v="0"/>
    <d v="2015-05-04T00:00:00"/>
    <d v="1899-12-30T09:38:45"/>
    <n v="45"/>
    <n v="0"/>
    <n v="-2425359.4800002174"/>
    <m/>
    <m/>
    <m/>
    <n v="123237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69725"/>
    <s v="DEPÓSITO 2015-05-04"/>
    <s v="PAGAMENTO DAS MENSALIDADES DE FEVEREIRO E MARÇO/2015, DO(A) ALUNO(A) MARIANA ESPER PINHEIRO_EM"/>
    <n v="3709.17"/>
    <d v="2015-05-04T00:00:00"/>
    <d v="1899-12-30T09:39:46"/>
    <n v="0"/>
    <n v="0"/>
    <n v="-2421650.3100002175"/>
    <m/>
    <m/>
    <m/>
    <m/>
    <n v="8"/>
    <s v="Vinicius"/>
    <n v="1"/>
    <m/>
    <n v="1431"/>
    <d v="2015-05-13T00:00:00"/>
    <d v="2015-05-13T00:00:00"/>
    <m/>
    <m/>
    <n v="2015"/>
    <n v="8"/>
    <m/>
    <m/>
    <m/>
    <m/>
    <s v="Remessa Olimpo Fundamental"/>
    <x v="1"/>
    <s v="COLÉGIO OLIMPO LTDA"/>
    <m/>
    <n v="4"/>
    <n v="3"/>
    <s v="Dep. Bancário"/>
    <m/>
    <m/>
    <m/>
    <n v="0"/>
    <m/>
    <m/>
    <s v="BB [022382-4] [GYN] [CC]"/>
    <m/>
    <m/>
    <m/>
  </r>
  <r>
    <n v="268675"/>
    <s v="Extrato/122460"/>
    <s v="Banco Brb - Par. 122460(08-12)"/>
    <n v="0"/>
    <d v="2015-05-04T00:00:00"/>
    <d v="1899-12-30T09:43:34"/>
    <n v="15"/>
    <n v="0"/>
    <n v="-2421665.3100002175"/>
    <m/>
    <m/>
    <m/>
    <n v="122460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676"/>
    <s v="Extrato/122461"/>
    <s v="Banco Brb - Par. 122461(09-12)"/>
    <n v="0"/>
    <d v="2015-05-04T00:00:00"/>
    <d v="1899-12-30T09:43:34"/>
    <n v="15"/>
    <n v="0"/>
    <n v="-2421680.3100002175"/>
    <m/>
    <m/>
    <m/>
    <n v="122461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672"/>
    <s v="Extrato/122457"/>
    <s v="Banco Brb - Par. 122457(05-12)"/>
    <n v="0"/>
    <d v="2015-05-04T00:00:00"/>
    <d v="1899-12-30T09:43:34"/>
    <n v="15"/>
    <n v="0"/>
    <n v="-2421695.3100002175"/>
    <m/>
    <m/>
    <m/>
    <n v="122457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673"/>
    <s v="Extrato/122458"/>
    <s v="Banco Brb - Par. 122458(06-12)"/>
    <n v="0"/>
    <d v="2015-05-04T00:00:00"/>
    <d v="1899-12-30T09:43:34"/>
    <n v="15"/>
    <n v="0"/>
    <n v="-2421710.3100002175"/>
    <m/>
    <m/>
    <m/>
    <n v="122458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674"/>
    <s v="Extrato/122459"/>
    <s v="Banco Brb - Par. 122459(07-12)"/>
    <n v="0"/>
    <d v="2015-05-04T00:00:00"/>
    <d v="1899-12-30T09:43:34"/>
    <n v="15"/>
    <n v="0"/>
    <n v="-2421725.3100002175"/>
    <m/>
    <m/>
    <m/>
    <n v="122459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891"/>
    <s v="Transferência Entre Conta"/>
    <s v="Destino: 263041-Transferência Entre Conta Ch Pre Brb 2706"/>
    <n v="25000"/>
    <d v="2015-05-04T00:00:00"/>
    <d v="1899-12-30T10:16:46"/>
    <n v="0"/>
    <n v="0"/>
    <n v="-2396725.3100002175"/>
    <m/>
    <m/>
    <m/>
    <m/>
    <n v="24"/>
    <s v="Emilly"/>
    <n v="1"/>
    <m/>
    <n v="1449"/>
    <d v="2015-05-11T00:00:00"/>
    <d v="2015-05-11T00:00:00"/>
    <m/>
    <m/>
    <n v="2015"/>
    <n v="24"/>
    <m/>
    <m/>
    <n v="263041"/>
    <m/>
    <s v="Transferência entre contas"/>
    <x v="2"/>
    <s v="COLÉGIO OLIMPO LTDA"/>
    <m/>
    <n v="57"/>
    <n v="2"/>
    <s v="Cheque"/>
    <m/>
    <m/>
    <m/>
    <n v="0"/>
    <m/>
    <m/>
    <s v="FACT: SENIZE "/>
    <m/>
    <m/>
    <m/>
  </r>
  <r>
    <n v="263041"/>
    <s v="Transferência Entre Conta"/>
    <s v="Transferência Entre Conta Ch Pre Brb 2706"/>
    <n v="0"/>
    <d v="2015-05-04T00:00:00"/>
    <d v="1899-12-30T10:16:46"/>
    <n v="25000"/>
    <n v="0"/>
    <n v="-2421725.3100002175"/>
    <m/>
    <m/>
    <m/>
    <m/>
    <n v="24"/>
    <s v="Emilly"/>
    <n v="1"/>
    <m/>
    <n v="1449"/>
    <d v="2015-04-23T00:00:00"/>
    <d v="2015-05-11T00:00:00"/>
    <m/>
    <m/>
    <n v="2015"/>
    <n v="24"/>
    <m/>
    <m/>
    <m/>
    <m/>
    <s v="Transferência entre contas"/>
    <x v="2"/>
    <s v="COLÉGIO OLIMPO LTDA"/>
    <m/>
    <n v="12"/>
    <n v="2"/>
    <s v="Cheque"/>
    <m/>
    <m/>
    <m/>
    <n v="0"/>
    <m/>
    <n v="57"/>
    <s v="BRB [GYN] [011616-0] [CC] [COB]"/>
    <m/>
    <m/>
    <m/>
  </r>
  <r>
    <n v="270281"/>
    <s v="Borderô/123621"/>
    <s v="Banco Brb - Par. 123621(03-3)"/>
    <n v="0"/>
    <d v="2015-05-04T00:00:00"/>
    <d v="1899-12-30T10:41:42"/>
    <n v="13909.26"/>
    <n v="0"/>
    <n v="-2435634.5700002173"/>
    <m/>
    <m/>
    <m/>
    <n v="123621"/>
    <n v="7"/>
    <s v="Anapaula"/>
    <n v="2"/>
    <m/>
    <n v="1459"/>
    <d v="2015-05-19T00:00:00"/>
    <d v="2015-05-19T00:00:00"/>
    <m/>
    <m/>
    <n v="2015"/>
    <n v="7"/>
    <m/>
    <m/>
    <m/>
    <m/>
    <s v="Juros e Despesas Descontos Chs e Boletos"/>
    <x v="2"/>
    <s v="COLÉGIO OLIMPO LTDA"/>
    <m/>
    <n v="116"/>
    <n v="9"/>
    <s v="Débito em conta"/>
    <m/>
    <n v="0"/>
    <m/>
    <n v="0"/>
    <m/>
    <m/>
    <s v="BRB [SOL] [OPERAÇÕES]"/>
    <m/>
    <m/>
    <m/>
  </r>
  <r>
    <n v="270280"/>
    <s v="Borderô/123624"/>
    <s v="Banco Brb - Par. 123624(01-3)"/>
    <n v="0"/>
    <d v="2015-05-04T00:00:00"/>
    <d v="1899-12-30T10:41:42"/>
    <n v="1067.57"/>
    <n v="0"/>
    <n v="-2436702.1400002171"/>
    <m/>
    <m/>
    <m/>
    <n v="123624"/>
    <n v="7"/>
    <s v="Anapaula"/>
    <n v="2"/>
    <m/>
    <n v="1512"/>
    <d v="2015-05-19T00:00:00"/>
    <d v="2015-05-19T00:00:00"/>
    <m/>
    <m/>
    <n v="2015"/>
    <n v="7"/>
    <m/>
    <m/>
    <m/>
    <m/>
    <s v="IOF"/>
    <x v="2"/>
    <s v="COLÉGIO OLIMPO LTDA"/>
    <m/>
    <n v="116"/>
    <n v="9"/>
    <s v="Débito em conta"/>
    <m/>
    <n v="0"/>
    <m/>
    <n v="0"/>
    <m/>
    <m/>
    <s v="BRB [SOL] [OPERAÇÕES]"/>
    <m/>
    <m/>
    <m/>
  </r>
  <r>
    <n v="268750"/>
    <s v="Extrato/122462"/>
    <s v="Banco Brb - Par. 122462(10-12)"/>
    <n v="0"/>
    <d v="2015-05-04T00:00:00"/>
    <d v="1899-12-30T10:45:16"/>
    <n v="15"/>
    <n v="0"/>
    <n v="-2436717.1400002171"/>
    <m/>
    <m/>
    <m/>
    <n v="122462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751"/>
    <s v="Extrato/122463"/>
    <s v="Banco Brb - Par. 122463(11-12)"/>
    <n v="0"/>
    <d v="2015-05-04T00:00:00"/>
    <d v="1899-12-30T10:45:16"/>
    <n v="15"/>
    <n v="0"/>
    <n v="-2436732.1400002171"/>
    <m/>
    <m/>
    <m/>
    <n v="122463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752"/>
    <s v="Extrato/122464"/>
    <s v="Banco Brb - Par. 122464(12-12)"/>
    <n v="0"/>
    <d v="2015-05-04T00:00:00"/>
    <d v="1899-12-30T10:46:31"/>
    <n v="15"/>
    <n v="0"/>
    <n v="-2436747.1400002171"/>
    <m/>
    <m/>
    <m/>
    <n v="122464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753"/>
    <s v="Extrato/122456"/>
    <s v="Banco Brb - Par. 122456(04-12)"/>
    <n v="0"/>
    <d v="2015-05-04T00:00:00"/>
    <d v="1899-12-30T10:46:31"/>
    <n v="15"/>
    <n v="0"/>
    <n v="-2436762.1400002171"/>
    <m/>
    <m/>
    <m/>
    <n v="122456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516"/>
    <s v="Extrato/123171"/>
    <s v="Caixa Econômica Federal - Cód. 123171"/>
    <n v="0"/>
    <d v="2015-05-04T00:00:00"/>
    <d v="1899-12-30T10:52:17"/>
    <n v="9.3000000000000007"/>
    <n v="0"/>
    <n v="-2436771.4400002169"/>
    <m/>
    <m/>
    <m/>
    <n v="12317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17"/>
    <s v="Extrato/123172"/>
    <s v="Caixa Econômica Federal - Cód. 123172"/>
    <n v="0"/>
    <d v="2015-05-04T00:00:00"/>
    <d v="1899-12-30T10:52:17"/>
    <n v="5.9"/>
    <n v="0"/>
    <n v="-2436777.3400002168"/>
    <m/>
    <m/>
    <m/>
    <n v="12317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18"/>
    <s v="Extrato/123173"/>
    <s v="Caixa Econômica Federal - Cód. 123173"/>
    <n v="0"/>
    <d v="2015-05-04T00:00:00"/>
    <d v="1899-12-30T10:52:17"/>
    <n v="2.95"/>
    <n v="0"/>
    <n v="-2436780.290000217"/>
    <m/>
    <m/>
    <m/>
    <n v="12317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19"/>
    <s v="Extrato/123174"/>
    <s v="Caixa Econômica Federal - Cód. 123174"/>
    <n v="0"/>
    <d v="2015-05-04T00:00:00"/>
    <d v="1899-12-30T10:52:17"/>
    <n v="0.65"/>
    <n v="0"/>
    <n v="-2436780.9400002169"/>
    <m/>
    <m/>
    <m/>
    <n v="12317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295"/>
    <s v="Borderô/123640"/>
    <s v="Banco Brb - Par. 123640(06-8)"/>
    <n v="0"/>
    <d v="2015-05-04T00:00:00"/>
    <d v="1899-12-30T10:57:24"/>
    <n v="5247.94"/>
    <n v="0"/>
    <n v="-2442028.8800002169"/>
    <m/>
    <m/>
    <m/>
    <n v="123640"/>
    <n v="7"/>
    <s v="Anapaula"/>
    <n v="1"/>
    <m/>
    <n v="1512"/>
    <d v="2015-05-19T00:00:00"/>
    <d v="2015-05-19T00:00:00"/>
    <m/>
    <m/>
    <n v="2015"/>
    <n v="7"/>
    <m/>
    <m/>
    <m/>
    <m/>
    <s v="IOF"/>
    <x v="2"/>
    <s v="COLÉGIO OLIMPO LTDA"/>
    <m/>
    <n v="77"/>
    <n v="9"/>
    <s v="Débito em conta"/>
    <m/>
    <n v="0"/>
    <m/>
    <n v="0"/>
    <m/>
    <m/>
    <s v="BRB [GYN] [OPERAÇÕES]"/>
    <m/>
    <m/>
    <m/>
  </r>
  <r>
    <n v="270294"/>
    <s v="Borderô/123628"/>
    <s v="Banco Brb - Par. 123628(02-8)"/>
    <n v="0"/>
    <d v="2015-05-04T00:00:00"/>
    <d v="1899-12-30T10:57:24"/>
    <n v="62760.43"/>
    <n v="0"/>
    <n v="-2504789.3100002171"/>
    <m/>
    <m/>
    <m/>
    <n v="123628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2"/>
    <s v="COLÉGIO OLIMPO LTDA"/>
    <m/>
    <n v="77"/>
    <n v="9"/>
    <s v="Débito em conta"/>
    <m/>
    <n v="0"/>
    <m/>
    <n v="0"/>
    <m/>
    <m/>
    <s v="BRB [GYN] [OPERAÇÕES]"/>
    <m/>
    <m/>
    <m/>
  </r>
  <r>
    <n v="267740"/>
    <n v="189800"/>
    <s v="Retorno: Par. 189800(04/12) - 019639/ART - Mensalidades"/>
    <n v="1504.42"/>
    <d v="2015-05-04T00:00:00"/>
    <d v="1899-12-30T11:07:20"/>
    <n v="0"/>
    <n v="0"/>
    <n v="-2503284.8900002171"/>
    <m/>
    <m/>
    <n v="189800"/>
    <m/>
    <n v="1"/>
    <s v="Andre"/>
    <n v="1"/>
    <m/>
    <n v="2"/>
    <d v="2015-05-06T00:00:00"/>
    <d v="2015-05-06T00:00:00"/>
    <n v="27828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9"/>
    <n v="190002"/>
    <s v="Retorno: Par. 190002(04/12) - 018318/ALY - Mensalidades"/>
    <n v="1226"/>
    <d v="2015-05-04T00:00:00"/>
    <d v="1899-12-30T11:07:20"/>
    <n v="0"/>
    <n v="0"/>
    <n v="-2502058.8900002171"/>
    <m/>
    <m/>
    <n v="190002"/>
    <m/>
    <n v="1"/>
    <s v="Andre"/>
    <n v="1"/>
    <m/>
    <n v="2"/>
    <d v="2015-05-06T00:00:00"/>
    <d v="2015-05-06T00:00:00"/>
    <n v="27827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1"/>
    <n v="190065"/>
    <s v="Retorno: Par. 190065(04/12) - 018147/ISA - Mensalidades"/>
    <n v="1504.42"/>
    <d v="2015-05-04T00:00:00"/>
    <d v="1899-12-30T11:07:20"/>
    <n v="0"/>
    <n v="0"/>
    <n v="-2500554.4700002172"/>
    <m/>
    <m/>
    <n v="190065"/>
    <m/>
    <n v="1"/>
    <s v="Andre"/>
    <n v="1"/>
    <m/>
    <n v="2"/>
    <d v="2015-05-06T00:00:00"/>
    <d v="2015-05-06T00:00:00"/>
    <n v="27829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3"/>
    <n v="189898"/>
    <s v="Retorno: Par. 189898(04/12) - 018360/VIC - Mensalidades"/>
    <n v="1504.42"/>
    <d v="2015-05-04T00:00:00"/>
    <d v="1899-12-30T11:07:21"/>
    <n v="0"/>
    <n v="0"/>
    <n v="-2499050.0500002173"/>
    <m/>
    <m/>
    <n v="189898"/>
    <m/>
    <n v="1"/>
    <s v="Andre"/>
    <n v="1"/>
    <m/>
    <n v="2"/>
    <d v="2015-05-06T00:00:00"/>
    <d v="2015-05-06T00:00:00"/>
    <n v="27831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5"/>
    <n v="191295"/>
    <s v="Retorno: Par. 191295(04/12) - 019771/GAB - Mensalidades"/>
    <n v="1473"/>
    <d v="2015-05-04T00:00:00"/>
    <d v="1899-12-30T11:07:21"/>
    <n v="0"/>
    <n v="0"/>
    <n v="-2497577.0500002173"/>
    <m/>
    <m/>
    <n v="191295"/>
    <m/>
    <n v="1"/>
    <s v="Andre"/>
    <n v="1"/>
    <m/>
    <n v="2"/>
    <d v="2015-05-06T00:00:00"/>
    <d v="2015-05-06T00:00:00"/>
    <n v="27833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2"/>
    <n v="190166"/>
    <s v="Retorno: Par. 190166(04/12) - 019707/JUL - Mensalidades"/>
    <n v="1504.42"/>
    <d v="2015-05-04T00:00:00"/>
    <d v="1899-12-30T11:07:21"/>
    <n v="0"/>
    <n v="0"/>
    <n v="-2496072.6300002174"/>
    <m/>
    <m/>
    <n v="190166"/>
    <m/>
    <n v="1"/>
    <s v="Andre"/>
    <n v="1"/>
    <m/>
    <n v="2"/>
    <d v="2015-05-06T00:00:00"/>
    <d v="2015-05-06T00:00:00"/>
    <n v="27830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6"/>
    <n v="191247"/>
    <s v="Retorno: Par. 191247(04/12) - 019740/MAR - Mensalidades"/>
    <n v="1504.42"/>
    <d v="2015-05-04T00:00:00"/>
    <d v="1899-12-30T11:07:21"/>
    <n v="0"/>
    <n v="0"/>
    <n v="-2494568.2100002174"/>
    <m/>
    <m/>
    <n v="191247"/>
    <m/>
    <n v="1"/>
    <s v="Andre"/>
    <n v="1"/>
    <m/>
    <n v="2"/>
    <d v="2015-05-06T00:00:00"/>
    <d v="2015-05-06T00:00:00"/>
    <n v="27834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4"/>
    <n v="194399"/>
    <s v="Retorno: Par. 194399(04/12) - 019853/CAI - Mensalidades"/>
    <n v="1504.42"/>
    <d v="2015-05-04T00:00:00"/>
    <d v="1899-12-30T11:07:21"/>
    <n v="0"/>
    <n v="0"/>
    <n v="-2493063.7900002175"/>
    <m/>
    <m/>
    <n v="194399"/>
    <m/>
    <n v="1"/>
    <s v="Andre"/>
    <n v="1"/>
    <m/>
    <n v="2"/>
    <d v="2015-05-06T00:00:00"/>
    <d v="2015-05-06T00:00:00"/>
    <n v="27832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762"/>
    <s v="Fiscais/123267"/>
    <s v="Fiscais De Prova - Cód. 123267"/>
    <n v="0"/>
    <d v="2015-05-04T00:00:00"/>
    <d v="1899-12-30T11:07:33"/>
    <n v="1260"/>
    <n v="0"/>
    <n v="-2494323.7900002175"/>
    <m/>
    <m/>
    <m/>
    <n v="123267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69923"/>
    <s v="Extrato/123315"/>
    <s v="Banco Daycoval S/A  - Cód. 123315"/>
    <n v="0"/>
    <d v="2015-05-04T00:00:00"/>
    <d v="1899-12-30T11:12:26"/>
    <n v="58.46"/>
    <n v="0"/>
    <n v="-2494382.2500002175"/>
    <m/>
    <m/>
    <m/>
    <n v="123315"/>
    <n v="24"/>
    <s v="Emilly"/>
    <n v="1"/>
    <m/>
    <n v="1511"/>
    <d v="2015-05-14T00:00:00"/>
    <d v="2015-05-14T00:00:00"/>
    <m/>
    <m/>
    <n v="2015"/>
    <n v="24"/>
    <m/>
    <m/>
    <m/>
    <m/>
    <s v="Tarifas de manutenção de conta"/>
    <x v="2"/>
    <s v="COLÉGIO OLIMPO LTDA"/>
    <m/>
    <n v="69"/>
    <n v="9"/>
    <s v="Débito em conta"/>
    <m/>
    <n v="0"/>
    <m/>
    <n v="0"/>
    <m/>
    <m/>
    <s v="DAYCOVAL [GYN] [6964461] [COB]"/>
    <m/>
    <m/>
    <m/>
  </r>
  <r>
    <n v="270651"/>
    <s v="Extrato/123803"/>
    <s v="Banco Santander  - Cód. 123803"/>
    <n v="0"/>
    <d v="2015-05-04T00:00:00"/>
    <d v="1899-12-30T11:16:15"/>
    <n v="12.68"/>
    <n v="0"/>
    <n v="-2494394.9300002176"/>
    <m/>
    <m/>
    <m/>
    <n v="123803"/>
    <n v="7"/>
    <s v="Anapaula"/>
    <n v="1"/>
    <m/>
    <n v="1512"/>
    <d v="2015-05-21T00:00:00"/>
    <d v="2015-05-21T00:00:00"/>
    <m/>
    <m/>
    <n v="2015"/>
    <n v="7"/>
    <m/>
    <m/>
    <m/>
    <m/>
    <s v="IOF"/>
    <x v="2"/>
    <s v="COLÉGIO OLIMPO LTDA"/>
    <m/>
    <n v="122"/>
    <n v="9"/>
    <s v="Débito em conta"/>
    <m/>
    <n v="0"/>
    <m/>
    <n v="0"/>
    <m/>
    <m/>
    <s v="SANTANDER SOL 3381-0"/>
    <m/>
    <m/>
    <m/>
  </r>
  <r>
    <n v="270652"/>
    <s v="Extrato/123804"/>
    <s v="Banco Santander  - Cód. 123804"/>
    <n v="0"/>
    <d v="2015-05-04T00:00:00"/>
    <d v="1899-12-30T11:16:15"/>
    <n v="5.65"/>
    <n v="0"/>
    <n v="-2494400.5800002175"/>
    <m/>
    <m/>
    <m/>
    <n v="123804"/>
    <n v="7"/>
    <s v="Anapaula"/>
    <n v="1"/>
    <m/>
    <n v="1512"/>
    <d v="2015-05-21T00:00:00"/>
    <d v="2015-05-21T00:00:00"/>
    <m/>
    <m/>
    <n v="2015"/>
    <n v="7"/>
    <m/>
    <m/>
    <m/>
    <m/>
    <s v="IOF"/>
    <x v="2"/>
    <s v="COLÉGIO OLIMPO LTDA"/>
    <m/>
    <n v="122"/>
    <n v="9"/>
    <s v="Débito em conta"/>
    <m/>
    <n v="0"/>
    <m/>
    <n v="0"/>
    <m/>
    <m/>
    <s v="SANTANDER SOL 3381-0"/>
    <m/>
    <m/>
    <m/>
  </r>
  <r>
    <n v="270653"/>
    <s v="Extrato/123805"/>
    <s v="Banco Santander  - Cód. 123805"/>
    <n v="0"/>
    <d v="2015-05-04T00:00:00"/>
    <d v="1899-12-30T11:16:15"/>
    <n v="968.81"/>
    <n v="0"/>
    <n v="-2495369.3900002176"/>
    <m/>
    <m/>
    <m/>
    <n v="123805"/>
    <n v="7"/>
    <s v="Anapaula"/>
    <n v="1"/>
    <m/>
    <n v="1448"/>
    <d v="2015-05-21T00:00:00"/>
    <d v="2015-05-21T00:00:00"/>
    <m/>
    <m/>
    <n v="2015"/>
    <n v="7"/>
    <m/>
    <m/>
    <m/>
    <m/>
    <s v="Juros de cheque especial"/>
    <x v="2"/>
    <s v="COLÉGIO OLIMPO LTDA"/>
    <m/>
    <n v="122"/>
    <n v="9"/>
    <s v="Débito em conta"/>
    <m/>
    <n v="0"/>
    <m/>
    <n v="0"/>
    <m/>
    <m/>
    <s v="SANTANDER SOL 3381-0"/>
    <m/>
    <m/>
    <m/>
  </r>
  <r>
    <n v="270654"/>
    <s v="Extrato/123806"/>
    <s v="Banco Santander  - Cód. 123806"/>
    <n v="0"/>
    <d v="2015-05-04T00:00:00"/>
    <d v="1899-12-30T11:16:15"/>
    <n v="368.3"/>
    <n v="0"/>
    <n v="-2495737.6900002174"/>
    <m/>
    <m/>
    <m/>
    <n v="123806"/>
    <n v="7"/>
    <s v="Anapaula"/>
    <n v="1"/>
    <m/>
    <n v="1448"/>
    <d v="2015-05-21T00:00:00"/>
    <d v="2015-05-21T00:00:00"/>
    <m/>
    <m/>
    <n v="2015"/>
    <n v="7"/>
    <m/>
    <m/>
    <m/>
    <m/>
    <s v="Juros de cheque especial"/>
    <x v="2"/>
    <s v="COLÉGIO OLIMPO LTDA"/>
    <m/>
    <n v="122"/>
    <n v="9"/>
    <s v="Débito em conta"/>
    <m/>
    <n v="0"/>
    <m/>
    <n v="0"/>
    <m/>
    <m/>
    <s v="SANTANDER SOL 3381-0"/>
    <m/>
    <m/>
    <m/>
  </r>
  <r>
    <n v="270655"/>
    <s v="Extrato/123807"/>
    <s v="Banco Santander  - Cód. 123807"/>
    <n v="0"/>
    <d v="2015-05-04T00:00:00"/>
    <d v="1899-12-30T11:16:15"/>
    <n v="28.47"/>
    <n v="0"/>
    <n v="-2495766.1600002176"/>
    <m/>
    <m/>
    <m/>
    <n v="123807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s v="COLÉGIO OLIMPO LTDA"/>
    <m/>
    <n v="122"/>
    <n v="9"/>
    <s v="Débito em conta"/>
    <m/>
    <n v="0"/>
    <m/>
    <n v="0"/>
    <m/>
    <m/>
    <s v="SANTANDER SOL 3381-0"/>
    <m/>
    <m/>
    <m/>
  </r>
  <r>
    <n v="270656"/>
    <s v="Extrato/123808"/>
    <s v="Banco Santander  - Cód. 123808"/>
    <n v="0"/>
    <d v="2015-05-04T00:00:00"/>
    <d v="1899-12-30T11:16:15"/>
    <n v="227.24"/>
    <n v="0"/>
    <n v="-2495993.4000002178"/>
    <m/>
    <m/>
    <m/>
    <n v="123808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s v="COLÉGIO OLIMPO LTDA"/>
    <m/>
    <n v="122"/>
    <n v="9"/>
    <s v="Débito em conta"/>
    <m/>
    <n v="0"/>
    <m/>
    <n v="0"/>
    <m/>
    <m/>
    <s v="SANTANDER SOL 3381-0"/>
    <m/>
    <m/>
    <m/>
  </r>
  <r>
    <n v="269937"/>
    <s v="Extrato/123319"/>
    <s v="Mercantil Do Brasil - Cód. 123319"/>
    <n v="0"/>
    <d v="2015-05-04T00:00:00"/>
    <d v="1899-12-30T11:24:40"/>
    <n v="56883.98"/>
    <n v="0"/>
    <n v="-2552877.3800002178"/>
    <m/>
    <m/>
    <m/>
    <n v="123319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69938"/>
    <s v="Extrato/123320"/>
    <s v="Mercantil Do Brasil - Cód. 123320"/>
    <n v="0"/>
    <d v="2015-05-04T00:00:00"/>
    <d v="1899-12-30T11:25:20"/>
    <n v="1203.98"/>
    <n v="0"/>
    <n v="-2554081.3600002178"/>
    <m/>
    <m/>
    <m/>
    <n v="123320"/>
    <n v="24"/>
    <s v="Emilly"/>
    <n v="1"/>
    <m/>
    <n v="1512"/>
    <d v="2015-05-14T00:00:00"/>
    <d v="2015-05-14T00:00:00"/>
    <m/>
    <m/>
    <n v="2015"/>
    <n v="24"/>
    <m/>
    <m/>
    <m/>
    <m/>
    <s v="IOF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69612"/>
    <n v="204810"/>
    <s v="Retorno: Par. 204810(04/12) - 20177/YAS - Mensalidades"/>
    <n v="1724"/>
    <d v="2015-05-04T00:00:00"/>
    <d v="1899-12-30T12:00:00"/>
    <n v="0"/>
    <n v="0"/>
    <n v="-2552357.3600002178"/>
    <m/>
    <m/>
    <n v="204810"/>
    <m/>
    <n v="1"/>
    <s v="Andre"/>
    <n v="1"/>
    <m/>
    <n v="2"/>
    <d v="2015-05-12T00:00:00"/>
    <d v="2015-05-12T00:00:00"/>
    <n v="2842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3"/>
    <n v="205121"/>
    <s v="Retorno: Par. 205121(04/12) - 20072/ANT - Mensalidades"/>
    <n v="1473"/>
    <d v="2015-05-04T00:00:00"/>
    <d v="1899-12-30T12:00:00"/>
    <n v="0"/>
    <n v="0"/>
    <n v="-2550884.3600002178"/>
    <m/>
    <m/>
    <n v="205121"/>
    <m/>
    <n v="1"/>
    <s v="Andre"/>
    <n v="1"/>
    <m/>
    <n v="2"/>
    <d v="2015-05-12T00:00:00"/>
    <d v="2015-05-12T00:00:00"/>
    <n v="2842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4"/>
    <n v="204641"/>
    <s v="Retorno: Par. 204641(04/12) - 20189/MEL - Mensalidades"/>
    <n v="1724"/>
    <d v="2015-05-04T00:00:00"/>
    <d v="1899-12-30T12:00:00"/>
    <n v="0"/>
    <n v="0"/>
    <n v="-2549160.3600002178"/>
    <m/>
    <m/>
    <n v="204641"/>
    <m/>
    <n v="1"/>
    <s v="Andre"/>
    <n v="1"/>
    <m/>
    <n v="2"/>
    <d v="2015-05-12T00:00:00"/>
    <d v="2015-05-12T00:00:00"/>
    <n v="2839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9"/>
    <n v="204822"/>
    <s v="Retorno: Par. 204822(04/12) - 20094/ÁVI - Mensalidades"/>
    <n v="1724"/>
    <d v="2015-05-04T00:00:00"/>
    <d v="1899-12-30T12:00:00"/>
    <n v="0"/>
    <n v="0"/>
    <n v="-2547436.3600002178"/>
    <m/>
    <m/>
    <n v="204822"/>
    <m/>
    <n v="1"/>
    <s v="Andre"/>
    <n v="1"/>
    <m/>
    <n v="2"/>
    <d v="2015-05-12T00:00:00"/>
    <d v="2015-05-12T00:00:00"/>
    <n v="2841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9"/>
    <n v="205103"/>
    <s v="Retorno: Par. 205103(04/12) - 20129/MAR - Mensalidades"/>
    <n v="1473"/>
    <d v="2015-05-04T00:00:00"/>
    <d v="1899-12-30T12:00:00"/>
    <n v="0"/>
    <n v="0"/>
    <n v="-2545963.3600002178"/>
    <m/>
    <m/>
    <n v="205103"/>
    <m/>
    <n v="1"/>
    <s v="Andre"/>
    <n v="1"/>
    <m/>
    <n v="2"/>
    <d v="2015-05-12T00:00:00"/>
    <d v="2015-05-12T00:00:00"/>
    <n v="2840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0"/>
    <n v="205033"/>
    <s v="Retorno: Par. 205033(04/12) - 20099/JUL - Mensalidades"/>
    <n v="1473"/>
    <d v="2015-05-04T00:00:00"/>
    <d v="1899-12-30T12:00:00"/>
    <n v="0"/>
    <n v="0"/>
    <n v="-2544490.3600002178"/>
    <m/>
    <m/>
    <n v="205033"/>
    <m/>
    <n v="1"/>
    <s v="Andre"/>
    <n v="1"/>
    <m/>
    <n v="2"/>
    <d v="2015-05-12T00:00:00"/>
    <d v="2015-05-12T00:00:00"/>
    <n v="2842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2"/>
    <n v="205115"/>
    <s v="Retorno: Par. 205115(04/12) - 20126/JOR - Mensalidades"/>
    <n v="1473"/>
    <d v="2015-05-04T00:00:00"/>
    <d v="1899-12-30T12:00:00"/>
    <n v="0"/>
    <n v="0"/>
    <n v="-2543017.3600002178"/>
    <m/>
    <m/>
    <n v="205115"/>
    <m/>
    <n v="1"/>
    <s v="Andre"/>
    <n v="1"/>
    <m/>
    <n v="2"/>
    <d v="2015-05-12T00:00:00"/>
    <d v="2015-05-12T00:00:00"/>
    <n v="2840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7"/>
    <n v="205055"/>
    <s v="Retorno: Par. 205055(04/12) - 20139/FER - Mensalidades"/>
    <n v="1473"/>
    <d v="2015-05-04T00:00:00"/>
    <d v="1899-12-30T12:00:00"/>
    <n v="0"/>
    <n v="0"/>
    <n v="-2541544.3600002178"/>
    <m/>
    <m/>
    <n v="205055"/>
    <m/>
    <n v="1"/>
    <s v="Andre"/>
    <n v="1"/>
    <m/>
    <n v="2"/>
    <d v="2015-05-12T00:00:00"/>
    <d v="2015-05-12T00:00:00"/>
    <n v="2840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6"/>
    <n v="205085"/>
    <s v="Retorno: Par. 205085(04/12) - 20110/LAU - Mensalidades"/>
    <n v="1473"/>
    <d v="2015-05-04T00:00:00"/>
    <d v="1899-12-30T12:00:00"/>
    <n v="0"/>
    <n v="0"/>
    <n v="-2540071.3600002178"/>
    <m/>
    <m/>
    <n v="205085"/>
    <m/>
    <n v="1"/>
    <s v="Andre"/>
    <n v="1"/>
    <m/>
    <n v="2"/>
    <d v="2015-05-12T00:00:00"/>
    <d v="2015-05-12T00:00:00"/>
    <n v="2839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1"/>
    <n v="205185"/>
    <s v="Retorno: Par. 205185(04/12) - 19961/MIC - Mensalidades"/>
    <n v="1473"/>
    <d v="2015-05-04T00:00:00"/>
    <d v="1899-12-30T12:00:00"/>
    <n v="0"/>
    <n v="0"/>
    <n v="-2538598.3600002178"/>
    <m/>
    <m/>
    <n v="205185"/>
    <m/>
    <n v="1"/>
    <s v="Andre"/>
    <n v="1"/>
    <m/>
    <n v="2"/>
    <d v="2015-05-12T00:00:00"/>
    <d v="2015-05-12T00:00:00"/>
    <n v="2840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2"/>
    <n v="204736"/>
    <s v="Retorno: Par. 204736(04/12) - 19872/LUI - Mensalidades"/>
    <n v="1724"/>
    <d v="2015-05-04T00:00:00"/>
    <d v="1899-12-30T12:00:00"/>
    <n v="0"/>
    <n v="0"/>
    <n v="-2536874.3600002178"/>
    <m/>
    <m/>
    <n v="204736"/>
    <m/>
    <n v="1"/>
    <s v="Andre"/>
    <n v="1"/>
    <m/>
    <n v="2"/>
    <d v="2015-05-12T00:00:00"/>
    <d v="2015-05-12T00:00:00"/>
    <n v="2841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5"/>
    <n v="205166"/>
    <s v="Retorno: Par. 205166(04/12) - 19899/SAU - Mensalidades"/>
    <n v="1473"/>
    <d v="2015-05-04T00:00:00"/>
    <d v="1899-12-30T12:00:00"/>
    <n v="0"/>
    <n v="0"/>
    <n v="-2535401.3600002178"/>
    <m/>
    <m/>
    <n v="205166"/>
    <m/>
    <n v="1"/>
    <s v="Andre"/>
    <n v="1"/>
    <m/>
    <n v="2"/>
    <d v="2015-05-12T00:00:00"/>
    <d v="2015-05-12T00:00:00"/>
    <n v="2841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6"/>
    <n v="204647"/>
    <s v="Retorno: Par. 204647(04/12) - 19991/ARI - Mensalidades"/>
    <n v="1724"/>
    <d v="2015-05-04T00:00:00"/>
    <d v="1899-12-30T12:00:00"/>
    <n v="0"/>
    <n v="0"/>
    <n v="-2533677.3600002178"/>
    <m/>
    <m/>
    <n v="204647"/>
    <m/>
    <n v="1"/>
    <s v="Andre"/>
    <n v="1"/>
    <m/>
    <n v="2"/>
    <d v="2015-05-12T00:00:00"/>
    <d v="2015-05-12T00:00:00"/>
    <n v="2840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4"/>
    <n v="205067"/>
    <s v="Retorno: Par. 205067(04/12) - 19968/MAR - Mensalidades"/>
    <n v="1473"/>
    <d v="2015-05-04T00:00:00"/>
    <d v="1899-12-30T12:00:00"/>
    <n v="0"/>
    <n v="0"/>
    <n v="-2532204.3600002178"/>
    <m/>
    <m/>
    <n v="205067"/>
    <m/>
    <n v="1"/>
    <s v="Andre"/>
    <n v="1"/>
    <m/>
    <n v="2"/>
    <d v="2015-05-12T00:00:00"/>
    <d v="2015-05-12T00:00:00"/>
    <n v="2841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7"/>
    <n v="205109"/>
    <s v="Retorno: Par. 205109(04/12) - 20104/MAR - Mensalidades"/>
    <n v="1473"/>
    <d v="2015-05-04T00:00:00"/>
    <d v="1899-12-30T12:00:00"/>
    <n v="0"/>
    <n v="0"/>
    <n v="-2530731.3600002178"/>
    <m/>
    <m/>
    <n v="205109"/>
    <m/>
    <n v="1"/>
    <s v="Andre"/>
    <n v="1"/>
    <m/>
    <n v="2"/>
    <d v="2015-05-12T00:00:00"/>
    <d v="2015-05-12T00:00:00"/>
    <n v="2841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3"/>
    <n v="205049"/>
    <s v="Retorno: Par. 205049(04/12) - 20178/RIC - Mensalidades"/>
    <n v="1473"/>
    <d v="2015-05-04T00:00:00"/>
    <d v="1899-12-30T12:00:00"/>
    <n v="0"/>
    <n v="0"/>
    <n v="-2529258.3600002178"/>
    <m/>
    <m/>
    <n v="205049"/>
    <m/>
    <n v="1"/>
    <s v="Andre"/>
    <n v="1"/>
    <m/>
    <n v="2"/>
    <d v="2015-05-12T00:00:00"/>
    <d v="2015-05-12T00:00:00"/>
    <n v="2841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4"/>
    <n v="191230"/>
    <s v="Retorno: Par. 191230(04/12) - 19695/AMA - Mensalidades"/>
    <n v="1473"/>
    <d v="2015-05-04T00:00:00"/>
    <d v="1899-12-30T12:00:00"/>
    <n v="0"/>
    <n v="0"/>
    <n v="-2527785.3600002178"/>
    <m/>
    <m/>
    <n v="191230"/>
    <m/>
    <n v="1"/>
    <s v="Andre"/>
    <n v="1"/>
    <m/>
    <n v="2"/>
    <d v="2015-05-12T00:00:00"/>
    <d v="2015-05-12T00:00:00"/>
    <n v="2840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1"/>
    <n v="191860"/>
    <s v="Retorno: Par. 191860(04/12) - 18678/ALD - Mensalidades"/>
    <n v="1724"/>
    <d v="2015-05-04T00:00:00"/>
    <d v="1899-12-30T12:00:00"/>
    <n v="0"/>
    <n v="0"/>
    <n v="-2526061.3600002178"/>
    <m/>
    <m/>
    <n v="191860"/>
    <m/>
    <n v="1"/>
    <s v="Andre"/>
    <n v="1"/>
    <m/>
    <n v="2"/>
    <d v="2015-05-12T00:00:00"/>
    <d v="2015-05-12T00:00:00"/>
    <n v="2842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4"/>
    <n v="192190"/>
    <s v="Retorno: Par. 192190(04/12) - 18591/STE - Mensalidades"/>
    <n v="1724"/>
    <d v="2015-05-04T00:00:00"/>
    <d v="1899-12-30T12:00:00"/>
    <n v="0"/>
    <n v="0"/>
    <n v="-2524337.3600002178"/>
    <m/>
    <m/>
    <n v="192190"/>
    <m/>
    <n v="1"/>
    <s v="Andre"/>
    <n v="1"/>
    <m/>
    <n v="2"/>
    <d v="2015-05-12T00:00:00"/>
    <d v="2015-05-12T00:00:00"/>
    <n v="2842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8"/>
    <n v="192061"/>
    <s v="Retorno: Par. 192061(04/12) - 18555/GAB - Mensalidades"/>
    <n v="1724"/>
    <d v="2015-05-04T00:00:00"/>
    <d v="1899-12-30T12:00:00"/>
    <n v="0"/>
    <n v="0"/>
    <n v="-2522613.3600002178"/>
    <m/>
    <m/>
    <n v="192061"/>
    <m/>
    <n v="1"/>
    <s v="Andre"/>
    <n v="1"/>
    <m/>
    <n v="2"/>
    <d v="2015-05-12T00:00:00"/>
    <d v="2015-05-12T00:00:00"/>
    <n v="2840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5"/>
    <n v="191223"/>
    <s v="Retorno: Par. 191223(04/12) - 19682/EDU - Mensalidades"/>
    <n v="1473"/>
    <d v="2015-05-04T00:00:00"/>
    <d v="1899-12-30T12:00:00"/>
    <n v="0"/>
    <n v="0"/>
    <n v="-2521140.3600002178"/>
    <m/>
    <m/>
    <n v="191223"/>
    <m/>
    <n v="1"/>
    <s v="Andre"/>
    <n v="1"/>
    <m/>
    <n v="2"/>
    <d v="2015-05-12T00:00:00"/>
    <d v="2015-05-12T00:00:00"/>
    <n v="2839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5"/>
    <n v="191233"/>
    <s v="Retorno: Par. 191233(04/12) - 19731/VIT - Mensalidades"/>
    <n v="1473"/>
    <d v="2015-05-04T00:00:00"/>
    <d v="1899-12-30T12:00:00"/>
    <n v="0"/>
    <n v="0"/>
    <n v="-2519667.3600002178"/>
    <m/>
    <m/>
    <n v="191233"/>
    <m/>
    <n v="1"/>
    <s v="Andre"/>
    <n v="1"/>
    <m/>
    <n v="2"/>
    <d v="2015-05-12T00:00:00"/>
    <d v="2015-05-12T00:00:00"/>
    <n v="2840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8"/>
    <n v="191653"/>
    <s v="Retorno: Par. 191653(04/12) - 19681/TÚL - Mensalidades"/>
    <n v="1724"/>
    <d v="2015-05-04T00:00:00"/>
    <d v="1899-12-30T12:00:00"/>
    <n v="0"/>
    <n v="0"/>
    <n v="-2517943.3600002178"/>
    <m/>
    <m/>
    <n v="191653"/>
    <m/>
    <n v="1"/>
    <s v="Andre"/>
    <n v="1"/>
    <m/>
    <n v="2"/>
    <d v="2015-05-12T00:00:00"/>
    <d v="2015-05-12T00:00:00"/>
    <n v="2839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1"/>
    <n v="192463"/>
    <s v="Retorno: Par. 192463(04/12) - 18539/HEN - Mensalidades"/>
    <n v="1724"/>
    <d v="2015-05-04T00:00:00"/>
    <d v="1899-12-30T12:00:00"/>
    <n v="0"/>
    <n v="0"/>
    <n v="-2516219.3600002178"/>
    <m/>
    <m/>
    <n v="192463"/>
    <m/>
    <n v="1"/>
    <s v="Andre"/>
    <n v="1"/>
    <m/>
    <n v="2"/>
    <d v="2015-05-12T00:00:00"/>
    <d v="2015-05-12T00:00:00"/>
    <n v="2841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3"/>
    <n v="192073"/>
    <s v="Retorno: Par. 192073(04/12) - 18541/JOÃ - Mensalidades"/>
    <n v="1724"/>
    <d v="2015-05-04T00:00:00"/>
    <d v="1899-12-30T12:00:00"/>
    <n v="0"/>
    <n v="0"/>
    <n v="-2514495.3600002178"/>
    <m/>
    <m/>
    <n v="192073"/>
    <m/>
    <n v="1"/>
    <s v="Andre"/>
    <n v="1"/>
    <m/>
    <n v="2"/>
    <d v="2015-05-12T00:00:00"/>
    <d v="2015-05-12T00:00:00"/>
    <n v="2839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3"/>
    <n v="192514"/>
    <s v="Retorno: Par. 192514(04/12) - 19724/LUI - Mensalidades"/>
    <n v="1724"/>
    <d v="2015-05-04T00:00:00"/>
    <d v="1899-12-30T12:00:00"/>
    <n v="0"/>
    <n v="0"/>
    <n v="-2512771.3600002178"/>
    <m/>
    <m/>
    <n v="192514"/>
    <m/>
    <n v="1"/>
    <s v="Andre"/>
    <n v="1"/>
    <m/>
    <n v="2"/>
    <d v="2015-05-12T00:00:00"/>
    <d v="2015-05-12T00:00:00"/>
    <n v="2840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5"/>
    <n v="191234"/>
    <s v="Retorno: Par. 191234(04/12) - 19733/GIU - Mensalidades"/>
    <n v="1473"/>
    <d v="2015-05-04T00:00:00"/>
    <d v="1899-12-30T12:00:00"/>
    <n v="0"/>
    <n v="0"/>
    <n v="-2511298.3600002178"/>
    <m/>
    <m/>
    <n v="191234"/>
    <m/>
    <n v="1"/>
    <s v="Andre"/>
    <n v="1"/>
    <m/>
    <n v="2"/>
    <d v="2015-05-12T00:00:00"/>
    <d v="2015-05-12T00:00:00"/>
    <n v="2842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9"/>
    <n v="192427"/>
    <s v="Retorno: Par. 192427(04/12) - 18586/BRU - Mensalidades"/>
    <n v="1724"/>
    <d v="2015-05-04T00:00:00"/>
    <d v="1899-12-30T12:00:00"/>
    <n v="0"/>
    <n v="0"/>
    <n v="-2509574.3600002178"/>
    <m/>
    <m/>
    <n v="192427"/>
    <m/>
    <n v="1"/>
    <s v="Andre"/>
    <n v="1"/>
    <m/>
    <n v="2"/>
    <d v="2015-05-12T00:00:00"/>
    <d v="2015-05-12T00:00:00"/>
    <n v="2839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6"/>
    <n v="192508"/>
    <s v="Retorno: Par. 192508(04/12) - 19709/ANA - Mensalidades"/>
    <n v="1724"/>
    <d v="2015-05-04T00:00:00"/>
    <d v="1899-12-30T12:00:00"/>
    <n v="0"/>
    <n v="0"/>
    <n v="-2507850.3600002178"/>
    <m/>
    <m/>
    <n v="192508"/>
    <m/>
    <n v="1"/>
    <s v="Andre"/>
    <n v="1"/>
    <m/>
    <n v="2"/>
    <d v="2015-05-12T00:00:00"/>
    <d v="2015-05-12T00:00:00"/>
    <n v="2841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7"/>
    <n v="191818"/>
    <s v="Retorno: Par. 191818(04/12) - 18496/BER - Mensalidades"/>
    <n v="1724"/>
    <d v="2015-05-04T00:00:00"/>
    <d v="1899-12-30T12:00:00"/>
    <n v="0"/>
    <n v="0"/>
    <n v="-2506126.3600002178"/>
    <m/>
    <m/>
    <n v="191818"/>
    <m/>
    <n v="1"/>
    <s v="Andre"/>
    <n v="1"/>
    <m/>
    <n v="2"/>
    <d v="2015-05-12T00:00:00"/>
    <d v="2015-05-12T00:00:00"/>
    <n v="2839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0"/>
    <n v="192409"/>
    <s v="Retorno: Par. 192409(04/12) - 18547/TÁL - Mensalidades"/>
    <n v="1724"/>
    <d v="2015-05-04T00:00:00"/>
    <d v="1899-12-30T12:00:00"/>
    <n v="0"/>
    <n v="0"/>
    <n v="-2504402.3600002178"/>
    <m/>
    <m/>
    <n v="192409"/>
    <m/>
    <n v="1"/>
    <s v="Andre"/>
    <n v="1"/>
    <m/>
    <n v="2"/>
    <d v="2015-05-12T00:00:00"/>
    <d v="2015-05-12T00:00:00"/>
    <n v="2840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0"/>
    <n v="191229"/>
    <s v="Retorno: Par. 191229(04/12) - 19693/LET - Mensalidades"/>
    <n v="1473"/>
    <d v="2015-05-04T00:00:00"/>
    <d v="1899-12-30T12:00:00"/>
    <n v="0"/>
    <n v="0"/>
    <n v="-2502929.3600002178"/>
    <m/>
    <m/>
    <n v="191229"/>
    <m/>
    <n v="1"/>
    <s v="Andre"/>
    <n v="1"/>
    <m/>
    <n v="2"/>
    <d v="2015-05-12T00:00:00"/>
    <d v="2015-05-12T00:00:00"/>
    <n v="2841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8"/>
    <n v="192259"/>
    <s v="Retorno: Par. 192259(04/12) - 18605/MAT - Mensalidades"/>
    <n v="1724"/>
    <d v="2015-05-04T00:00:00"/>
    <d v="1899-12-30T12:00:00"/>
    <n v="0"/>
    <n v="0"/>
    <n v="-2501205.3600002178"/>
    <m/>
    <m/>
    <n v="192259"/>
    <m/>
    <n v="1"/>
    <s v="Andre"/>
    <n v="1"/>
    <m/>
    <n v="2"/>
    <d v="2015-05-12T00:00:00"/>
    <d v="2015-05-12T00:00:00"/>
    <n v="2841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01"/>
    <n v="197030"/>
    <s v="Retorno: Par. 197030(05/12) - 18644/VIN - Mensalidades"/>
    <n v="1724"/>
    <d v="2015-05-04T00:00:00"/>
    <d v="1899-12-30T12:00:00"/>
    <n v="0"/>
    <n v="0"/>
    <n v="-2499481.3600002178"/>
    <m/>
    <m/>
    <n v="197030"/>
    <m/>
    <n v="1"/>
    <s v="Andre"/>
    <n v="1"/>
    <m/>
    <n v="2"/>
    <d v="2015-05-12T00:00:00"/>
    <d v="2015-05-12T00:00:00"/>
    <n v="28483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6034"/>
    <s v="Fluxo de Caixa "/>
    <s v="Fluxo de Caixa "/>
    <n v="14976.83"/>
    <d v="2015-05-04T00:00:00"/>
    <d v="1899-12-30T12:43:02"/>
    <n v="0"/>
    <n v="0"/>
    <n v="-2484504.5300002177"/>
    <m/>
    <m/>
    <m/>
    <m/>
    <n v="7"/>
    <s v="Anapaula"/>
    <n v="2"/>
    <m/>
    <n v="1471"/>
    <d v="2015-07-03T00:00:00"/>
    <d v="2015-07-03T00:00:00"/>
    <m/>
    <m/>
    <n v="2015"/>
    <n v="7"/>
    <m/>
    <m/>
    <m/>
    <m/>
    <s v="Transferência entre contas"/>
    <x v="2"/>
    <s v="COLÉGIO OLIMPO LTDA"/>
    <m/>
    <n v="116"/>
    <n v="8"/>
    <s v="Transferência Bancária"/>
    <m/>
    <m/>
    <m/>
    <n v="0"/>
    <m/>
    <m/>
    <s v="BRB [SOL] [OPERAÇÕES]"/>
    <m/>
    <m/>
    <m/>
  </r>
  <r>
    <n v="267989"/>
    <s v="Remessa Olimpo Fundamental"/>
    <s v="Remessa Olimpo Fundamental"/>
    <n v="1213.0999999999999"/>
    <d v="2015-05-04T00:00:00"/>
    <d v="1899-12-30T12:43:10"/>
    <n v="0"/>
    <n v="0"/>
    <n v="-2483291.4300002176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68038"/>
    <s v="Extrato/122417"/>
    <s v="Bic - Banco Industria E Comercio - Cód. 122417"/>
    <n v="0"/>
    <d v="2015-05-04T00:00:00"/>
    <d v="1899-12-30T13:47:25"/>
    <n v="62.56"/>
    <n v="0"/>
    <n v="-2483353.9900002177"/>
    <m/>
    <m/>
    <m/>
    <n v="122417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8039"/>
    <s v="Extrato"/>
    <s v="Consignado Cláudio Corcino "/>
    <n v="1088"/>
    <d v="2015-05-04T00:00:00"/>
    <d v="1899-12-30T13:50:57"/>
    <n v="0"/>
    <n v="0"/>
    <n v="-2482265.9900002177"/>
    <m/>
    <m/>
    <m/>
    <m/>
    <n v="7"/>
    <s v="Anapaula"/>
    <n v="1"/>
    <m/>
    <n v="95"/>
    <d v="2015-05-06T00:00:00"/>
    <d v="2015-05-06T00:00:00"/>
    <m/>
    <m/>
    <n v="2015"/>
    <n v="7"/>
    <m/>
    <m/>
    <m/>
    <m/>
    <s v="Recebimento Diversos"/>
    <x v="1"/>
    <s v="COLÉGIO OLIMPO LTDA"/>
    <m/>
    <n v="4"/>
    <n v="12"/>
    <s v="Crédito em conta"/>
    <m/>
    <m/>
    <m/>
    <n v="0"/>
    <m/>
    <m/>
    <s v="BB [022382-4] [GYN] [CC]"/>
    <m/>
    <m/>
    <m/>
  </r>
  <r>
    <n v="268040"/>
    <s v="Extrato"/>
    <s v="Recebimento de Alunos "/>
    <n v="1842.25"/>
    <d v="2015-05-04T00:00:00"/>
    <d v="1899-12-30T13:52:01"/>
    <n v="0"/>
    <n v="0"/>
    <n v="-2480423.7400002177"/>
    <m/>
    <m/>
    <m/>
    <m/>
    <n v="7"/>
    <s v="Anapaula"/>
    <n v="1"/>
    <m/>
    <n v="1630"/>
    <d v="2015-05-06T00:00:00"/>
    <d v="2015-05-06T00:00:00"/>
    <m/>
    <m/>
    <n v="2015"/>
    <n v="7"/>
    <m/>
    <m/>
    <m/>
    <m/>
    <s v="Recebimento de Alunos"/>
    <x v="1"/>
    <s v="COLÉGIO OLIMPO LTDA"/>
    <m/>
    <n v="4"/>
    <n v="12"/>
    <s v="Crédito em conta"/>
    <m/>
    <m/>
    <m/>
    <n v="0"/>
    <m/>
    <m/>
    <s v="BB [022382-4] [GYN] [CC]"/>
    <m/>
    <m/>
    <m/>
  </r>
  <r>
    <n v="273870"/>
    <s v="Abril/109721"/>
    <s v="Brb - Credito Financiamento - Par. 109721(03-11)"/>
    <n v="0"/>
    <d v="2015-05-04T00:00:00"/>
    <d v="1899-12-30T13:57:42"/>
    <n v="56765.8"/>
    <n v="0"/>
    <n v="-2537189.5400002175"/>
    <m/>
    <m/>
    <m/>
    <n v="109721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3871"/>
    <s v="ECRO/127276"/>
    <s v="Brb - Credito Financiamento - Par. 127276(16-16)"/>
    <n v="0"/>
    <d v="2015-05-04T00:00:00"/>
    <d v="1899-12-30T13:57:42"/>
    <n v="57937.83"/>
    <n v="0"/>
    <n v="-2595127.3700002176"/>
    <m/>
    <m/>
    <m/>
    <n v="127276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077"/>
    <s v="Extrato/122420"/>
    <s v="Banco Brb - Cód. 122420"/>
    <n v="0"/>
    <d v="2015-05-04T00:00:00"/>
    <d v="1899-12-30T14:28:46"/>
    <n v="0.55000000000000004"/>
    <n v="0"/>
    <n v="-2595127.9200002174"/>
    <m/>
    <m/>
    <m/>
    <n v="122420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74"/>
    <n v="9"/>
    <s v="Débito em conta"/>
    <m/>
    <n v="0"/>
    <m/>
    <n v="0"/>
    <m/>
    <m/>
    <s v="BRB [ANA] [011594-4] [CC] [COB]"/>
    <m/>
    <m/>
    <m/>
  </r>
  <r>
    <n v="268078"/>
    <s v="Extrato/122421"/>
    <s v="Banco Brb - Cód. 122421"/>
    <n v="0"/>
    <d v="2015-05-04T00:00:00"/>
    <d v="1899-12-30T14:28:46"/>
    <n v="3.69"/>
    <n v="0"/>
    <n v="-2595131.6100002173"/>
    <m/>
    <m/>
    <m/>
    <n v="122421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74"/>
    <n v="9"/>
    <s v="Débito em conta"/>
    <m/>
    <n v="0"/>
    <m/>
    <n v="0"/>
    <m/>
    <m/>
    <s v="BRB [ANA] [011594-4] [CC] [COB]"/>
    <m/>
    <m/>
    <m/>
  </r>
  <r>
    <n v="268079"/>
    <s v="Extrato/122422"/>
    <s v="Banco Brb - Cód. 122422"/>
    <n v="0"/>
    <d v="2015-05-04T00:00:00"/>
    <d v="1899-12-30T14:28:46"/>
    <n v="26.12"/>
    <n v="0"/>
    <n v="-2595157.7300002174"/>
    <m/>
    <m/>
    <m/>
    <n v="122422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74"/>
    <n v="9"/>
    <s v="Débito em conta"/>
    <m/>
    <n v="0"/>
    <m/>
    <n v="0"/>
    <m/>
    <m/>
    <s v="BRB [ANA] [011594-4] [CC] [COB]"/>
    <m/>
    <m/>
    <m/>
  </r>
  <r>
    <n v="268081"/>
    <s v="Entrada"/>
    <s v="Recebimento De Alunos"/>
    <n v="1145.8"/>
    <d v="2015-05-04T00:00:00"/>
    <d v="1899-12-30T14:30:49"/>
    <n v="0"/>
    <n v="0"/>
    <n v="-2594011.9300002176"/>
    <m/>
    <m/>
    <m/>
    <m/>
    <n v="60"/>
    <s v="Francielly"/>
    <n v="1"/>
    <m/>
    <n v="1630"/>
    <d v="2015-05-06T00:00:00"/>
    <d v="2015-05-06T00:00:00"/>
    <m/>
    <m/>
    <n v="2015"/>
    <n v="60"/>
    <m/>
    <m/>
    <m/>
    <m/>
    <s v="Recebimento de Alunos"/>
    <x v="1"/>
    <s v="COLÉGIO OLIMPO LTDA"/>
    <m/>
    <n v="74"/>
    <n v="8"/>
    <s v="Transferência Bancária"/>
    <m/>
    <m/>
    <m/>
    <n v="0"/>
    <m/>
    <m/>
    <s v="BRB [ANA] [011594-4] [CC] [COB]"/>
    <m/>
    <m/>
    <m/>
  </r>
  <r>
    <n v="268087"/>
    <s v="Despesa/122428"/>
    <s v="Mauricio Vieira De Melo - Cód. 122428"/>
    <n v="0"/>
    <d v="2015-05-04T00:00:00"/>
    <d v="1899-12-30T14:59:05"/>
    <n v="150"/>
    <n v="0"/>
    <n v="-2594161.9300002176"/>
    <m/>
    <m/>
    <m/>
    <n v="122428"/>
    <n v="25"/>
    <s v="Marcela"/>
    <n v="1"/>
    <m/>
    <n v="537"/>
    <d v="2015-05-06T00:00:00"/>
    <d v="2015-05-06T00:00:00"/>
    <m/>
    <m/>
    <n v="2015"/>
    <n v="25"/>
    <m/>
    <m/>
    <m/>
    <m/>
    <s v="CA.Despesas Diversas (DESPESA)"/>
    <x v="1"/>
    <s v="COLÉGIO OLIMPO LTDA"/>
    <m/>
    <n v="56"/>
    <n v="1"/>
    <s v="Dinheiro"/>
    <m/>
    <n v="0"/>
    <m/>
    <n v="0"/>
    <m/>
    <m/>
    <s v="CAIXA TESOURARIA"/>
    <m/>
    <m/>
    <m/>
  </r>
  <r>
    <n v="268089"/>
    <s v="Crédito Desconto Cheque "/>
    <s v="Crédito Desconto Cheque "/>
    <n v="0"/>
    <d v="2015-05-04T00:00:00"/>
    <d v="1899-12-30T15:05:38"/>
    <n v="2806.75"/>
    <n v="0"/>
    <n v="-2596968.6800002176"/>
    <m/>
    <m/>
    <m/>
    <m/>
    <n v="7"/>
    <s v="Anapaula"/>
    <n v="1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77"/>
    <n v="9"/>
    <s v="Débito em conta"/>
    <m/>
    <m/>
    <m/>
    <n v="0"/>
    <m/>
    <n v="12"/>
    <s v="BRB [GYN] [OPERAÇÕES]"/>
    <m/>
    <m/>
    <m/>
  </r>
  <r>
    <n v="268090"/>
    <s v="Crédito Desconto Cheque "/>
    <s v="Destino: 268089-Crédito Desconto Cheque "/>
    <n v="2806.75"/>
    <d v="2015-05-04T00:00:00"/>
    <d v="1899-12-30T15:05:38"/>
    <n v="0"/>
    <n v="0"/>
    <n v="-2594161.9300002176"/>
    <m/>
    <m/>
    <m/>
    <m/>
    <n v="7"/>
    <s v="Anapaula"/>
    <n v="1"/>
    <m/>
    <n v="1449"/>
    <d v="2015-05-06T00:00:00"/>
    <d v="2015-05-06T00:00:00"/>
    <m/>
    <m/>
    <n v="2015"/>
    <n v="7"/>
    <m/>
    <m/>
    <n v="268089"/>
    <m/>
    <s v="Transferência entre contas"/>
    <x v="2"/>
    <s v="COLÉGIO OLIMPO LTDA"/>
    <m/>
    <n v="12"/>
    <n v="9"/>
    <s v="Débito em conta"/>
    <m/>
    <m/>
    <m/>
    <n v="0"/>
    <m/>
    <m/>
    <s v="BRB [GYN] [011616-0] [CC] [COB]"/>
    <m/>
    <m/>
    <m/>
  </r>
  <r>
    <n v="268091"/>
    <s v="Brb 2046/83448"/>
    <s v="Impetus Consultoria - Cód. 083448"/>
    <n v="0"/>
    <d v="2015-05-04T00:00:00"/>
    <d v="1899-12-30T15:07:54"/>
    <n v="28155"/>
    <n v="0"/>
    <n v="-2622316.9300002176"/>
    <m/>
    <m/>
    <m/>
    <n v="83448"/>
    <n v="7"/>
    <s v="Anapaula"/>
    <n v="1"/>
    <m/>
    <n v="534"/>
    <d v="2015-05-06T00:00:00"/>
    <d v="2015-05-06T00:00:00"/>
    <m/>
    <m/>
    <n v="2015"/>
    <n v="7"/>
    <m/>
    <m/>
    <m/>
    <m/>
    <s v="CA.Honorários (DESPESA)"/>
    <x v="1"/>
    <s v="COLÉGIO OLIMPO LTDA"/>
    <m/>
    <n v="12"/>
    <n v="2"/>
    <s v="Cheque"/>
    <m/>
    <n v="0"/>
    <m/>
    <n v="0"/>
    <m/>
    <m/>
    <s v="BRB [GYN] [011616-0] [CC] [COB]"/>
    <m/>
    <m/>
    <m/>
  </r>
  <r>
    <n v="268092"/>
    <s v="Desconto/111026"/>
    <s v="Senise Factoring - Brasilia/Df - Cód. 111026"/>
    <n v="0"/>
    <d v="2015-05-04T00:00:00"/>
    <d v="1899-12-30T15:08:15"/>
    <n v="100000"/>
    <n v="0"/>
    <n v="-2722316.9300002176"/>
    <m/>
    <m/>
    <m/>
    <n v="111026"/>
    <n v="7"/>
    <s v="Anapaula"/>
    <n v="1"/>
    <m/>
    <n v="544"/>
    <d v="2015-05-06T00:00:00"/>
    <d v="2015-05-06T00:00:00"/>
    <m/>
    <m/>
    <n v="2015"/>
    <n v="7"/>
    <m/>
    <m/>
    <m/>
    <m/>
    <s v="CA.Desconto de cheque (FINANCIMENTO)"/>
    <x v="1"/>
    <s v="COLÉGIO OLIMPO LTDA"/>
    <m/>
    <n v="12"/>
    <n v="2"/>
    <s v="Cheque"/>
    <m/>
    <n v="0"/>
    <m/>
    <n v="0"/>
    <m/>
    <m/>
    <s v="BRB [GYN] [011616-0] [CC] [COB]"/>
    <m/>
    <m/>
    <m/>
  </r>
  <r>
    <n v="268093"/>
    <s v="Rescisão /121946"/>
    <s v="Rescisão - Grupo Olimpo - Cód. 121946"/>
    <n v="0"/>
    <d v="2015-05-04T00:00:00"/>
    <d v="1899-12-30T15:08:32"/>
    <n v="546"/>
    <n v="0"/>
    <n v="-2722862.9300002176"/>
    <m/>
    <m/>
    <m/>
    <n v="121946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4"/>
    <s v=" Rescisão /121942"/>
    <s v="Rescisão - Grupo Olimpo - Cód. 121942"/>
    <n v="0"/>
    <d v="2015-05-04T00:00:00"/>
    <d v="1899-12-30T15:08:55"/>
    <n v="1000"/>
    <n v="0"/>
    <n v="-2723862.9300002176"/>
    <m/>
    <m/>
    <m/>
    <n v="121942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5"/>
    <s v=" Rescisão /121941"/>
    <s v="Rescisão - Grupo Olimpo - Cód. 121941"/>
    <n v="0"/>
    <d v="2015-05-04T00:00:00"/>
    <d v="1899-12-30T15:09:13"/>
    <n v="1029.98"/>
    <n v="0"/>
    <n v="-2724892.9100002176"/>
    <m/>
    <m/>
    <m/>
    <n v="121941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6"/>
    <s v=" Rescisão /121943"/>
    <s v="Rescisão - Grupo Olimpo - Cód. 121943"/>
    <n v="0"/>
    <d v="2015-05-04T00:00:00"/>
    <d v="1899-12-30T15:11:14"/>
    <n v="1316.7"/>
    <n v="0"/>
    <n v="-2726209.6100002178"/>
    <m/>
    <m/>
    <m/>
    <n v="121943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7"/>
    <s v="Rescisão /121944"/>
    <s v="Rescisão - Grupo Olimpo - Cód. 121944"/>
    <n v="0"/>
    <d v="2015-05-04T00:00:00"/>
    <d v="1899-12-30T15:11:26"/>
    <n v="1300"/>
    <n v="0"/>
    <n v="-2727509.6100002178"/>
    <m/>
    <m/>
    <m/>
    <n v="121944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8"/>
    <s v="Rescisão /121945"/>
    <s v="Rescisão - Grupo Olimpo - Cód. 121945"/>
    <n v="0"/>
    <d v="2015-05-04T00:00:00"/>
    <d v="1899-12-30T15:11:51"/>
    <n v="1386"/>
    <n v="0"/>
    <n v="-2728895.6100002178"/>
    <m/>
    <m/>
    <m/>
    <n v="121945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9"/>
    <s v=" Rescisão /121940"/>
    <s v="Rescisão - Grupo Olimpo - Cód. 121940"/>
    <n v="0"/>
    <d v="2015-05-04T00:00:00"/>
    <d v="1899-12-30T15:12:04"/>
    <n v="838.41"/>
    <n v="0"/>
    <n v="-2729734.0200002179"/>
    <m/>
    <m/>
    <m/>
    <n v="121940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101"/>
    <s v="Extrato/122430"/>
    <s v="Banco Brb - Cód. 122430"/>
    <n v="0"/>
    <d v="2015-05-04T00:00:00"/>
    <d v="1899-12-30T15:18:56"/>
    <n v="23.36"/>
    <n v="0"/>
    <n v="-2729757.3800002178"/>
    <m/>
    <m/>
    <m/>
    <n v="1224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1"/>
    <s v="Extrato/122440"/>
    <s v="Banco Brb - Cód. 122440"/>
    <n v="0"/>
    <d v="2015-05-04T00:00:00"/>
    <d v="1899-12-30T15:18:56"/>
    <n v="15"/>
    <n v="0"/>
    <n v="-2729772.3800002178"/>
    <m/>
    <m/>
    <m/>
    <n v="1224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2"/>
    <s v="Extrato/122431"/>
    <s v="Banco Brb - Cód. 122431"/>
    <n v="0"/>
    <d v="2015-05-04T00:00:00"/>
    <d v="1899-12-30T15:18:56"/>
    <n v="6.58"/>
    <n v="0"/>
    <n v="-2729778.9600002179"/>
    <m/>
    <m/>
    <m/>
    <n v="12243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2"/>
    <s v="Extrato/122441"/>
    <s v="Banco Brb - Cód. 122441"/>
    <n v="0"/>
    <d v="2015-05-04T00:00:00"/>
    <d v="1899-12-30T15:18:56"/>
    <n v="15"/>
    <n v="0"/>
    <n v="-2729793.9600002179"/>
    <m/>
    <m/>
    <m/>
    <n v="1224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3"/>
    <s v="Extrato/122432"/>
    <s v="Banco Brb - Cód. 122432"/>
    <n v="0"/>
    <d v="2015-05-04T00:00:00"/>
    <d v="1899-12-30T15:18:56"/>
    <n v="39.1"/>
    <n v="0"/>
    <n v="-2729833.060000218"/>
    <m/>
    <m/>
    <m/>
    <n v="1224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3"/>
    <s v="Extrato/122442"/>
    <s v="Banco Brb - Cód. 122442"/>
    <n v="0"/>
    <d v="2015-05-04T00:00:00"/>
    <d v="1899-12-30T15:18:56"/>
    <n v="15"/>
    <n v="0"/>
    <n v="-2729848.060000218"/>
    <m/>
    <m/>
    <m/>
    <n v="1224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4"/>
    <s v="Extrato/122433"/>
    <s v="Banco Brb - Cód. 122433"/>
    <n v="0"/>
    <d v="2015-05-04T00:00:00"/>
    <d v="1899-12-30T15:18:56"/>
    <n v="38.5"/>
    <n v="0"/>
    <n v="-2729886.560000218"/>
    <m/>
    <m/>
    <m/>
    <n v="12243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5"/>
    <s v="Extrato/122434"/>
    <s v="Banco Brb - Cód. 122434"/>
    <n v="0"/>
    <d v="2015-05-04T00:00:00"/>
    <d v="1899-12-30T15:18:56"/>
    <n v="15"/>
    <n v="0"/>
    <n v="-2729901.560000218"/>
    <m/>
    <m/>
    <m/>
    <n v="12243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6"/>
    <s v="Extrato/122435"/>
    <s v="Banco Brb - Cód. 122435"/>
    <n v="0"/>
    <d v="2015-05-04T00:00:00"/>
    <d v="1899-12-30T15:18:56"/>
    <n v="15"/>
    <n v="0"/>
    <n v="-2729916.560000218"/>
    <m/>
    <m/>
    <m/>
    <n v="1224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7"/>
    <s v="Extrato/122436"/>
    <s v="Banco Brb - Cód. 122436"/>
    <n v="0"/>
    <d v="2015-05-04T00:00:00"/>
    <d v="1899-12-30T15:18:56"/>
    <n v="15"/>
    <n v="0"/>
    <n v="-2729931.560000218"/>
    <m/>
    <m/>
    <m/>
    <n v="1224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8"/>
    <s v="Extrato/122437"/>
    <s v="Banco Brb - Cód. 122437"/>
    <n v="0"/>
    <d v="2015-05-04T00:00:00"/>
    <d v="1899-12-30T15:18:56"/>
    <n v="15"/>
    <n v="0"/>
    <n v="-2729946.560000218"/>
    <m/>
    <m/>
    <m/>
    <n v="1224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9"/>
    <s v="Extrato/122438"/>
    <s v="Banco Brb - Cód. 122438"/>
    <n v="0"/>
    <d v="2015-05-04T00:00:00"/>
    <d v="1899-12-30T15:18:56"/>
    <n v="15"/>
    <n v="0"/>
    <n v="-2729961.560000218"/>
    <m/>
    <m/>
    <m/>
    <n v="12243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0"/>
    <s v="Extrato/122429"/>
    <s v="Banco Brb - Cód. 122429"/>
    <n v="0"/>
    <d v="2015-05-04T00:00:00"/>
    <d v="1899-12-30T15:18:56"/>
    <n v="2.64"/>
    <n v="0"/>
    <n v="-2729964.2000002181"/>
    <m/>
    <m/>
    <m/>
    <n v="1224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0"/>
    <s v="Extrato/122439"/>
    <s v="Banco Brb - Cód. 122439"/>
    <n v="0"/>
    <d v="2015-05-04T00:00:00"/>
    <d v="1899-12-30T15:18:56"/>
    <n v="15"/>
    <n v="0"/>
    <n v="-2729979.2000002181"/>
    <m/>
    <m/>
    <m/>
    <n v="12243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1"/>
    <s v="Extrato/122450"/>
    <s v="Banco Brb - Cód. 122450"/>
    <n v="0"/>
    <d v="2015-05-04T00:00:00"/>
    <d v="1899-12-30T15:18:57"/>
    <n v="6.93"/>
    <n v="0"/>
    <n v="-2729986.1300002183"/>
    <m/>
    <m/>
    <m/>
    <n v="1224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2"/>
    <s v="Extrato/122451"/>
    <s v="Banco Brb - Cód. 122451"/>
    <n v="0"/>
    <d v="2015-05-04T00:00:00"/>
    <d v="1899-12-30T15:18:57"/>
    <n v="7.26"/>
    <n v="0"/>
    <n v="-2729993.3900002181"/>
    <m/>
    <m/>
    <m/>
    <n v="1224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3"/>
    <s v="Extrato/122452"/>
    <s v="Banco Brb - Cód. 122452"/>
    <n v="0"/>
    <d v="2015-05-04T00:00:00"/>
    <d v="1899-12-30T15:18:57"/>
    <n v="16.53"/>
    <n v="0"/>
    <n v="-2730009.9200002179"/>
    <m/>
    <m/>
    <m/>
    <n v="1224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4"/>
    <s v="Extrato/122443"/>
    <s v="Banco Brb - Cód. 122443"/>
    <n v="0"/>
    <d v="2015-05-04T00:00:00"/>
    <d v="1899-12-30T15:18:57"/>
    <n v="15"/>
    <n v="0"/>
    <n v="-2730024.9200002179"/>
    <m/>
    <m/>
    <m/>
    <n v="12244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5"/>
    <s v="Extrato/122444"/>
    <s v="Banco Brb - Cód. 122444"/>
    <n v="0"/>
    <d v="2015-05-04T00:00:00"/>
    <d v="1899-12-30T15:18:57"/>
    <n v="15"/>
    <n v="0"/>
    <n v="-2730039.9200002179"/>
    <m/>
    <m/>
    <m/>
    <n v="12244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6"/>
    <s v="Extrato/122445"/>
    <s v="Banco Brb - Cód. 122445"/>
    <n v="0"/>
    <d v="2015-05-04T00:00:00"/>
    <d v="1899-12-30T15:18:57"/>
    <n v="15"/>
    <n v="0"/>
    <n v="-2730054.9200002179"/>
    <m/>
    <m/>
    <m/>
    <n v="12244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4"/>
    <s v="Extrato/122465"/>
    <s v="Banco Brb - Cód. 122465"/>
    <n v="0"/>
    <d v="2015-05-04T00:00:00"/>
    <d v="1899-12-30T15:18:57"/>
    <n v="7.14"/>
    <n v="0"/>
    <n v="-2730062.060000218"/>
    <m/>
    <m/>
    <m/>
    <n v="12246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7"/>
    <s v="Extrato/122446"/>
    <s v="Banco Brb - Cód. 122446"/>
    <n v="0"/>
    <d v="2015-05-04T00:00:00"/>
    <d v="1899-12-30T15:18:57"/>
    <n v="15"/>
    <n v="0"/>
    <n v="-2730077.060000218"/>
    <m/>
    <m/>
    <m/>
    <n v="12244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5"/>
    <s v="Extrato/122466"/>
    <s v="Banco Brb - Cód. 122466"/>
    <n v="0"/>
    <d v="2015-05-04T00:00:00"/>
    <d v="1899-12-30T15:18:57"/>
    <n v="20.23"/>
    <n v="0"/>
    <n v="-2730097.290000218"/>
    <m/>
    <m/>
    <m/>
    <n v="12246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8"/>
    <s v="Extrato/122447"/>
    <s v="Banco Brb - Cód. 122447"/>
    <n v="0"/>
    <d v="2015-05-04T00:00:00"/>
    <d v="1899-12-30T15:18:57"/>
    <n v="15"/>
    <n v="0"/>
    <n v="-2730112.290000218"/>
    <m/>
    <m/>
    <m/>
    <n v="1224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6"/>
    <s v="Extrato/122467"/>
    <s v="Banco Brb - Cód. 122467"/>
    <n v="0"/>
    <d v="2015-05-04T00:00:00"/>
    <d v="1899-12-30T15:18:57"/>
    <n v="15.04"/>
    <n v="0"/>
    <n v="-2730127.330000218"/>
    <m/>
    <m/>
    <m/>
    <n v="12246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9"/>
    <s v="Extrato/122448"/>
    <s v="Banco Brb - Cód. 122448"/>
    <n v="0"/>
    <d v="2015-05-04T00:00:00"/>
    <d v="1899-12-30T15:18:57"/>
    <n v="110"/>
    <n v="0"/>
    <n v="-2730237.330000218"/>
    <m/>
    <m/>
    <m/>
    <n v="12244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7"/>
    <s v="Extrato/122468"/>
    <s v="Banco Brb - Cód. 122468"/>
    <n v="0"/>
    <d v="2015-05-04T00:00:00"/>
    <d v="1899-12-30T15:18:57"/>
    <n v="7.73"/>
    <n v="0"/>
    <n v="-2730245.060000218"/>
    <m/>
    <m/>
    <m/>
    <n v="12246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0"/>
    <s v="Extrato/122449"/>
    <s v="Banco Brb - Cód. 122449"/>
    <n v="0"/>
    <d v="2015-05-04T00:00:00"/>
    <d v="1899-12-30T15:18:57"/>
    <n v="6.6"/>
    <n v="0"/>
    <n v="-2730251.6600002181"/>
    <m/>
    <m/>
    <m/>
    <n v="12244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8"/>
    <s v="Extrato/122469"/>
    <s v="Banco Brb - Cód. 122469"/>
    <n v="0"/>
    <d v="2015-05-04T00:00:00"/>
    <d v="1899-12-30T15:18:57"/>
    <n v="6.56"/>
    <n v="0"/>
    <n v="-2730258.2200002181"/>
    <m/>
    <m/>
    <m/>
    <n v="12246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9"/>
    <s v="Extrato/122470"/>
    <s v="Banco Brb - Cód. 122470"/>
    <n v="0"/>
    <d v="2015-05-04T00:00:00"/>
    <d v="1899-12-30T15:18:58"/>
    <n v="6.11"/>
    <n v="0"/>
    <n v="-2730264.330000218"/>
    <m/>
    <m/>
    <m/>
    <n v="12247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0"/>
    <s v="Extrato/122471"/>
    <s v="Banco Brb - Cód. 122471"/>
    <n v="0"/>
    <d v="2015-05-04T00:00:00"/>
    <d v="1899-12-30T15:18:58"/>
    <n v="15"/>
    <n v="0"/>
    <n v="-2730279.330000218"/>
    <m/>
    <m/>
    <m/>
    <n v="12247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8"/>
    <s v="Extrato/122602"/>
    <s v="Banco Brb - Par. 122602(31-48)"/>
    <n v="0"/>
    <d v="2015-05-04T00:00:00"/>
    <d v="1899-12-30T15:24:34"/>
    <n v="15"/>
    <n v="0"/>
    <n v="-2730294.330000218"/>
    <m/>
    <m/>
    <m/>
    <n v="12260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9"/>
    <s v="Extrato/122612"/>
    <s v="Banco Brb - Par. 122612(41-48)"/>
    <n v="0"/>
    <d v="2015-05-04T00:00:00"/>
    <d v="1899-12-30T15:24:34"/>
    <n v="15"/>
    <n v="0"/>
    <n v="-2730309.330000218"/>
    <m/>
    <m/>
    <m/>
    <n v="1226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5"/>
    <s v="Extrato/122572"/>
    <s v="Banco Brb - Par. 122572(01-48)"/>
    <n v="0"/>
    <d v="2015-05-04T00:00:00"/>
    <d v="1899-12-30T15:24:34"/>
    <n v="15"/>
    <n v="0"/>
    <n v="-2730324.330000218"/>
    <m/>
    <m/>
    <m/>
    <n v="12257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6"/>
    <s v="Extrato/122582"/>
    <s v="Banco Brb - Par. 122582(11-48)"/>
    <n v="0"/>
    <d v="2015-05-04T00:00:00"/>
    <d v="1899-12-30T15:24:34"/>
    <n v="15"/>
    <n v="0"/>
    <n v="-2730339.330000218"/>
    <m/>
    <m/>
    <m/>
    <n v="12258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7"/>
    <s v="Extrato/122592"/>
    <s v="Banco Brb - Par. 122592(21-48)"/>
    <n v="0"/>
    <d v="2015-05-04T00:00:00"/>
    <d v="1899-12-30T15:24:34"/>
    <n v="15"/>
    <n v="0"/>
    <n v="-2730354.330000218"/>
    <m/>
    <m/>
    <m/>
    <n v="12259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3"/>
    <s v="Extrato/122603"/>
    <s v="Banco Brb - Par. 122603(32-48)"/>
    <n v="0"/>
    <d v="2015-05-04T00:00:00"/>
    <d v="1899-12-30T15:24:34"/>
    <n v="15"/>
    <n v="0"/>
    <n v="-2730369.330000218"/>
    <m/>
    <m/>
    <m/>
    <n v="12260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4"/>
    <s v="Extrato/122613"/>
    <s v="Banco Brb - Par. 122613(42-48)"/>
    <n v="0"/>
    <d v="2015-05-04T00:00:00"/>
    <d v="1899-12-30T15:24:34"/>
    <n v="15"/>
    <n v="0"/>
    <n v="-2730384.330000218"/>
    <m/>
    <m/>
    <m/>
    <n v="1226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0"/>
    <s v="Extrato/122573"/>
    <s v="Banco Brb - Par. 122573(02-48)"/>
    <n v="0"/>
    <d v="2015-05-04T00:00:00"/>
    <d v="1899-12-30T15:24:34"/>
    <n v="15"/>
    <n v="0"/>
    <n v="-2730399.330000218"/>
    <m/>
    <m/>
    <m/>
    <n v="12257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1"/>
    <s v="Extrato/122583"/>
    <s v="Banco Brb - Par. 122583(12-48)"/>
    <n v="0"/>
    <d v="2015-05-04T00:00:00"/>
    <d v="1899-12-30T15:24:34"/>
    <n v="15"/>
    <n v="0"/>
    <n v="-2730414.330000218"/>
    <m/>
    <m/>
    <m/>
    <n v="12258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2"/>
    <s v="Extrato/122593"/>
    <s v="Banco Brb - Par. 122593(22-48)"/>
    <n v="0"/>
    <d v="2015-05-04T00:00:00"/>
    <d v="1899-12-30T15:24:34"/>
    <n v="15"/>
    <n v="0"/>
    <n v="-2730429.330000218"/>
    <m/>
    <m/>
    <m/>
    <n v="12259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8"/>
    <s v="Extrato/122604"/>
    <s v="Banco Brb - Par. 122604(33-48)"/>
    <n v="0"/>
    <d v="2015-05-04T00:00:00"/>
    <d v="1899-12-30T15:24:35"/>
    <n v="15"/>
    <n v="0"/>
    <n v="-2730444.330000218"/>
    <m/>
    <m/>
    <m/>
    <n v="12260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9"/>
    <s v="Extrato/122614"/>
    <s v="Banco Brb - Par. 122614(43-48)"/>
    <n v="0"/>
    <d v="2015-05-04T00:00:00"/>
    <d v="1899-12-30T15:24:35"/>
    <n v="15"/>
    <n v="0"/>
    <n v="-2730459.330000218"/>
    <m/>
    <m/>
    <m/>
    <n v="1226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5"/>
    <s v="Extrato/122574"/>
    <s v="Banco Brb - Par. 122574(03-48)"/>
    <n v="0"/>
    <d v="2015-05-04T00:00:00"/>
    <d v="1899-12-30T15:24:35"/>
    <n v="15"/>
    <n v="0"/>
    <n v="-2730474.330000218"/>
    <m/>
    <m/>
    <m/>
    <n v="12257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6"/>
    <s v="Extrato/122584"/>
    <s v="Banco Brb - Par. 122584(13-48)"/>
    <n v="0"/>
    <d v="2015-05-04T00:00:00"/>
    <d v="1899-12-30T15:24:35"/>
    <n v="15"/>
    <n v="0"/>
    <n v="-2730489.330000218"/>
    <m/>
    <m/>
    <m/>
    <n v="12258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7"/>
    <s v="Extrato/122594"/>
    <s v="Banco Brb - Par. 122594(23-48)"/>
    <n v="0"/>
    <d v="2015-05-04T00:00:00"/>
    <d v="1899-12-30T15:24:35"/>
    <n v="15"/>
    <n v="0"/>
    <n v="-2730504.330000218"/>
    <m/>
    <m/>
    <m/>
    <n v="12259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3"/>
    <s v="Extrato/122605"/>
    <s v="Banco Brb - Par. 122605(34-48)"/>
    <n v="0"/>
    <d v="2015-05-04T00:00:00"/>
    <d v="1899-12-30T15:24:35"/>
    <n v="15"/>
    <n v="0"/>
    <n v="-2730519.330000218"/>
    <m/>
    <m/>
    <m/>
    <n v="12260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4"/>
    <s v="Extrato/122615"/>
    <s v="Banco Brb - Par. 122615(44-48)"/>
    <n v="0"/>
    <d v="2015-05-04T00:00:00"/>
    <d v="1899-12-30T15:24:35"/>
    <n v="15"/>
    <n v="0"/>
    <n v="-2730534.330000218"/>
    <m/>
    <m/>
    <m/>
    <n v="1226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0"/>
    <s v="Extrato/122575"/>
    <s v="Banco Brb - Par. 122575(04-48)"/>
    <n v="0"/>
    <d v="2015-05-04T00:00:00"/>
    <d v="1899-12-30T15:24:35"/>
    <n v="15"/>
    <n v="0"/>
    <n v="-2730549.330000218"/>
    <m/>
    <m/>
    <m/>
    <n v="12257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1"/>
    <s v="Extrato/122585"/>
    <s v="Banco Brb - Par. 122585(14-48)"/>
    <n v="0"/>
    <d v="2015-05-04T00:00:00"/>
    <d v="1899-12-30T15:24:35"/>
    <n v="15"/>
    <n v="0"/>
    <n v="-2730564.330000218"/>
    <m/>
    <m/>
    <m/>
    <n v="12258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2"/>
    <s v="Extrato/122595"/>
    <s v="Banco Brb - Par. 122595(24-48)"/>
    <n v="0"/>
    <d v="2015-05-04T00:00:00"/>
    <d v="1899-12-30T15:24:35"/>
    <n v="15"/>
    <n v="0"/>
    <n v="-2730579.330000218"/>
    <m/>
    <m/>
    <m/>
    <n v="12259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5"/>
    <s v="Extrato/122576"/>
    <s v="Banco Brb - Par. 122576(05-48)"/>
    <n v="0"/>
    <d v="2015-05-04T00:00:00"/>
    <d v="1899-12-30T15:24:35"/>
    <n v="15"/>
    <n v="0"/>
    <n v="-2730594.330000218"/>
    <m/>
    <m/>
    <m/>
    <n v="12257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6"/>
    <s v="Extrato/122586"/>
    <s v="Banco Brb - Par. 122586(15-48)"/>
    <n v="0"/>
    <d v="2015-05-04T00:00:00"/>
    <d v="1899-12-30T15:24:35"/>
    <n v="15"/>
    <n v="0"/>
    <n v="-2730609.330000218"/>
    <m/>
    <m/>
    <m/>
    <n v="12258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8"/>
    <s v="Extrato/122606"/>
    <s v="Banco Brb - Par. 122606(35-48)"/>
    <n v="0"/>
    <d v="2015-05-04T00:00:00"/>
    <d v="1899-12-30T15:24:36"/>
    <n v="15"/>
    <n v="0"/>
    <n v="-2730624.330000218"/>
    <m/>
    <m/>
    <m/>
    <n v="12260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7"/>
    <s v="Extrato/122596"/>
    <s v="Banco Brb - Par. 122596(25-48)"/>
    <n v="0"/>
    <d v="2015-05-04T00:00:00"/>
    <d v="1899-12-30T15:24:36"/>
    <n v="15"/>
    <n v="0"/>
    <n v="-2730639.330000218"/>
    <m/>
    <m/>
    <m/>
    <n v="12259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9"/>
    <s v="Extrato/122616"/>
    <s v="Banco Brb - Par. 122616(45-48)"/>
    <n v="0"/>
    <d v="2015-05-04T00:00:00"/>
    <d v="1899-12-30T15:24:38"/>
    <n v="15"/>
    <n v="0"/>
    <n v="-2730654.330000218"/>
    <m/>
    <m/>
    <m/>
    <n v="12261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3"/>
    <s v="Extrato/122607"/>
    <s v="Banco Brb - Par. 122607(36-48)"/>
    <n v="0"/>
    <d v="2015-05-04T00:00:00"/>
    <d v="1899-12-30T15:24:42"/>
    <n v="15"/>
    <n v="0"/>
    <n v="-2730669.330000218"/>
    <m/>
    <m/>
    <m/>
    <n v="12260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4"/>
    <s v="Extrato/122617"/>
    <s v="Banco Brb - Par. 122617(46-48)"/>
    <n v="0"/>
    <d v="2015-05-04T00:00:00"/>
    <d v="1899-12-30T15:24:42"/>
    <n v="15"/>
    <n v="0"/>
    <n v="-2730684.330000218"/>
    <m/>
    <m/>
    <m/>
    <n v="12261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0"/>
    <s v="Extrato/122577"/>
    <s v="Banco Brb - Par. 122577(06-48)"/>
    <n v="0"/>
    <d v="2015-05-04T00:00:00"/>
    <d v="1899-12-30T15:24:42"/>
    <n v="15"/>
    <n v="0"/>
    <n v="-2730699.330000218"/>
    <m/>
    <m/>
    <m/>
    <n v="12257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1"/>
    <s v="Extrato/122587"/>
    <s v="Banco Brb - Par. 122587(16-48)"/>
    <n v="0"/>
    <d v="2015-05-04T00:00:00"/>
    <d v="1899-12-30T15:24:42"/>
    <n v="15"/>
    <n v="0"/>
    <n v="-2730714.330000218"/>
    <m/>
    <m/>
    <m/>
    <n v="12258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2"/>
    <s v="Extrato/122597"/>
    <s v="Banco Brb - Par. 122597(26-48)"/>
    <n v="0"/>
    <d v="2015-05-04T00:00:00"/>
    <d v="1899-12-30T15:24:42"/>
    <n v="15"/>
    <n v="0"/>
    <n v="-2730729.330000218"/>
    <m/>
    <m/>
    <m/>
    <n v="12259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5"/>
    <s v="Extrato/122578"/>
    <s v="Banco Brb - Par. 122578(07-48)"/>
    <n v="0"/>
    <d v="2015-05-04T00:00:00"/>
    <d v="1899-12-30T15:24:42"/>
    <n v="15"/>
    <n v="0"/>
    <n v="-2730744.330000218"/>
    <m/>
    <m/>
    <m/>
    <n v="12257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6"/>
    <s v="Extrato/122588"/>
    <s v="Banco Brb - Par. 122588(17-48)"/>
    <n v="0"/>
    <d v="2015-05-04T00:00:00"/>
    <d v="1899-12-30T15:24:42"/>
    <n v="15"/>
    <n v="0"/>
    <n v="-2730759.330000218"/>
    <m/>
    <m/>
    <m/>
    <n v="12258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7"/>
    <s v="Extrato/122600"/>
    <s v="Banco Brb - Par. 122600(29-48)"/>
    <n v="0"/>
    <d v="2015-05-04T00:00:00"/>
    <d v="1899-12-30T15:24:43"/>
    <n v="15"/>
    <n v="0"/>
    <n v="-2730774.330000218"/>
    <m/>
    <m/>
    <m/>
    <n v="12260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8"/>
    <s v="Extrato/122610"/>
    <s v="Banco Brb - Par. 122610(39-48)"/>
    <n v="0"/>
    <d v="2015-05-04T00:00:00"/>
    <d v="1899-12-30T15:24:43"/>
    <n v="15"/>
    <n v="0"/>
    <n v="-2730789.330000218"/>
    <m/>
    <m/>
    <m/>
    <n v="12261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5"/>
    <s v="Extrato/122580"/>
    <s v="Banco Brb - Par. 122580(09-48)"/>
    <n v="0"/>
    <d v="2015-05-04T00:00:00"/>
    <d v="1899-12-30T15:24:43"/>
    <n v="15"/>
    <n v="0"/>
    <n v="-2730804.330000218"/>
    <m/>
    <m/>
    <m/>
    <n v="12258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6"/>
    <s v="Extrato/122590"/>
    <s v="Banco Brb - Par. 122590(19-48)"/>
    <n v="0"/>
    <d v="2015-05-04T00:00:00"/>
    <d v="1899-12-30T15:24:43"/>
    <n v="15"/>
    <n v="0"/>
    <n v="-2730819.330000218"/>
    <m/>
    <m/>
    <m/>
    <n v="12259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8"/>
    <s v="Extrato/122608"/>
    <s v="Banco Brb - Par. 122608(37-48)"/>
    <n v="0"/>
    <d v="2015-05-04T00:00:00"/>
    <d v="1899-12-30T15:24:43"/>
    <n v="15"/>
    <n v="0"/>
    <n v="-2730834.330000218"/>
    <m/>
    <m/>
    <m/>
    <n v="1226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9"/>
    <s v="Extrato/122618"/>
    <s v="Banco Brb - Par. 122618(47-48)"/>
    <n v="0"/>
    <d v="2015-05-04T00:00:00"/>
    <d v="1899-12-30T15:24:43"/>
    <n v="15"/>
    <n v="0"/>
    <n v="-2730849.330000218"/>
    <m/>
    <m/>
    <m/>
    <n v="12261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7"/>
    <s v="Extrato/122598"/>
    <s v="Banco Brb - Par. 122598(27-48)"/>
    <n v="0"/>
    <d v="2015-05-04T00:00:00"/>
    <d v="1899-12-30T15:24:43"/>
    <n v="15"/>
    <n v="0"/>
    <n v="-2730864.330000218"/>
    <m/>
    <m/>
    <m/>
    <n v="12259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3"/>
    <s v="Extrato/122609"/>
    <s v="Banco Brb - Par. 122609(38-48)"/>
    <n v="0"/>
    <d v="2015-05-04T00:00:00"/>
    <d v="1899-12-30T15:24:43"/>
    <n v="15"/>
    <n v="0"/>
    <n v="-2730879.330000218"/>
    <m/>
    <m/>
    <m/>
    <n v="12260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4"/>
    <s v="Extrato/122619"/>
    <s v="Banco Brb - Par. 122619(48-48)"/>
    <n v="0"/>
    <d v="2015-05-04T00:00:00"/>
    <d v="1899-12-30T15:24:43"/>
    <n v="15"/>
    <n v="0"/>
    <n v="-2730894.330000218"/>
    <m/>
    <m/>
    <m/>
    <n v="12261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0"/>
    <s v="Extrato/122579"/>
    <s v="Banco Brb - Par. 122579(08-48)"/>
    <n v="0"/>
    <d v="2015-05-04T00:00:00"/>
    <d v="1899-12-30T15:24:43"/>
    <n v="15"/>
    <n v="0"/>
    <n v="-2730909.330000218"/>
    <m/>
    <m/>
    <m/>
    <n v="12257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1"/>
    <s v="Extrato/122589"/>
    <s v="Banco Brb - Par. 122589(18-48)"/>
    <n v="0"/>
    <d v="2015-05-04T00:00:00"/>
    <d v="1899-12-30T15:24:43"/>
    <n v="15"/>
    <n v="0"/>
    <n v="-2730924.330000218"/>
    <m/>
    <m/>
    <m/>
    <n v="12258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2"/>
    <s v="Extrato/122599"/>
    <s v="Banco Brb - Par. 122599(28-48)"/>
    <n v="0"/>
    <d v="2015-05-04T00:00:00"/>
    <d v="1899-12-30T15:24:43"/>
    <n v="15"/>
    <n v="0"/>
    <n v="-2730939.330000218"/>
    <m/>
    <m/>
    <m/>
    <n v="12259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80"/>
    <s v="Ant. Cob/122571"/>
    <s v="Banco Brb - Par. 122571(100-1)"/>
    <n v="0"/>
    <d v="2015-05-04T00:00:00"/>
    <d v="1899-12-30T15:32:49"/>
    <n v="147.30000000000001"/>
    <n v="0"/>
    <n v="-2731086.6300002178"/>
    <m/>
    <m/>
    <m/>
    <n v="12257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79"/>
    <s v="Ant. Cob/122481"/>
    <s v="Banco Brb - Par. 122481(10-10)"/>
    <n v="0"/>
    <d v="2015-05-04T00:00:00"/>
    <d v="1899-12-30T15:32:49"/>
    <n v="1473"/>
    <n v="0"/>
    <n v="-2732559.6300002178"/>
    <m/>
    <m/>
    <m/>
    <n v="12248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3"/>
    <s v="Ant. Cob/122501"/>
    <s v="Banco Brb - Par. 122501(30-10)"/>
    <n v="0"/>
    <d v="2015-05-04T00:00:00"/>
    <d v="1899-12-30T15:32:50"/>
    <n v="1473"/>
    <n v="0"/>
    <n v="-2734032.6300002178"/>
    <m/>
    <m/>
    <m/>
    <n v="12250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4"/>
    <s v="Ant. Cob/122511"/>
    <s v="Banco Brb - Par. 122511(40-10)"/>
    <n v="0"/>
    <d v="2015-05-04T00:00:00"/>
    <d v="1899-12-30T15:32:50"/>
    <n v="1473"/>
    <n v="0"/>
    <n v="-2735505.6300002178"/>
    <m/>
    <m/>
    <m/>
    <n v="12251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5"/>
    <s v="Ant. Cob/122521"/>
    <s v="Banco Brb - Par. 122521(50-10)"/>
    <n v="0"/>
    <d v="2015-05-04T00:00:00"/>
    <d v="1899-12-30T15:32:50"/>
    <n v="1473"/>
    <n v="0"/>
    <n v="-2736978.6300002178"/>
    <m/>
    <m/>
    <m/>
    <n v="12252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6"/>
    <s v="Ant. Cob/122551"/>
    <s v="Banco Brb - Par. 122551(80-10)"/>
    <n v="0"/>
    <d v="2015-05-04T00:00:00"/>
    <d v="1899-12-30T15:32:50"/>
    <n v="73.650000000000006"/>
    <n v="0"/>
    <n v="-2737052.2800002177"/>
    <m/>
    <m/>
    <m/>
    <n v="12255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7"/>
    <s v="Ant. Cob/122561"/>
    <s v="Banco Brb - Par. 122561(90-10)"/>
    <n v="0"/>
    <d v="2015-05-04T00:00:00"/>
    <d v="1899-12-30T15:32:50"/>
    <n v="1051"/>
    <n v="0"/>
    <n v="-2738103.2800002177"/>
    <m/>
    <m/>
    <m/>
    <n v="12256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2"/>
    <s v="Ant. Cob/122491"/>
    <s v="Banco Brb - Par. 122491(20-10)"/>
    <n v="0"/>
    <d v="2015-05-04T00:00:00"/>
    <d v="1899-12-30T15:32:50"/>
    <n v="1473"/>
    <n v="0"/>
    <n v="-2739576.2800002177"/>
    <m/>
    <m/>
    <m/>
    <n v="12249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8"/>
    <s v="Ant. Cob/122472"/>
    <s v="Banco Brb - Par. 122472(01-10)"/>
    <n v="0"/>
    <d v="2015-05-04T00:00:00"/>
    <d v="1899-12-30T15:32:50"/>
    <n v="1473"/>
    <n v="0"/>
    <n v="-2741049.2800002177"/>
    <m/>
    <m/>
    <m/>
    <n v="12247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0"/>
    <s v="Ant. Cob/122482"/>
    <s v="Banco Brb - Par. 122482(11-10)"/>
    <n v="0"/>
    <d v="2015-05-04T00:00:00"/>
    <d v="1899-12-30T15:32:50"/>
    <n v="1473"/>
    <n v="0"/>
    <n v="-2742522.2800002177"/>
    <m/>
    <m/>
    <m/>
    <n v="12248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9"/>
    <s v="Extrato/122453"/>
    <s v="Banco Brb - Par. 122453(01-12)"/>
    <n v="0"/>
    <d v="2015-05-04T00:00:00"/>
    <d v="1899-12-30T15:32:50"/>
    <n v="12.6"/>
    <n v="0"/>
    <n v="-2742534.8800002178"/>
    <m/>
    <m/>
    <m/>
    <n v="122453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3"/>
    <s v="Ant. Cob/122502"/>
    <s v="Banco Brb - Par. 122502(31-10)"/>
    <n v="0"/>
    <d v="2015-05-04T00:00:00"/>
    <d v="1899-12-30T15:32:51"/>
    <n v="1473"/>
    <n v="0"/>
    <n v="-2744007.8800002178"/>
    <m/>
    <m/>
    <m/>
    <n v="12250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2"/>
    <s v="Ant. Cob/122492"/>
    <s v="Banco Brb - Par. 122492(21-10)"/>
    <n v="0"/>
    <d v="2015-05-04T00:00:00"/>
    <d v="1899-12-30T15:32:51"/>
    <n v="1473"/>
    <n v="0"/>
    <n v="-2745480.8800002178"/>
    <m/>
    <m/>
    <m/>
    <n v="12249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4"/>
    <s v="Ant. Cob/122512"/>
    <s v="Banco Brb - Par. 122512(41-10)"/>
    <n v="0"/>
    <d v="2015-05-04T00:00:00"/>
    <d v="1899-12-30T15:32:52"/>
    <n v="1473"/>
    <n v="0"/>
    <n v="-2746953.8800002178"/>
    <m/>
    <m/>
    <m/>
    <n v="12251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5"/>
    <s v="Ant. Cob/122522"/>
    <s v="Banco Brb - Par. 122522(51-10)"/>
    <n v="0"/>
    <d v="2015-05-04T00:00:00"/>
    <d v="1899-12-30T15:32:53"/>
    <n v="1473"/>
    <n v="0"/>
    <n v="-2748426.8800002178"/>
    <m/>
    <m/>
    <m/>
    <n v="12252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7"/>
    <s v="Ant. Cob/122562"/>
    <s v="Banco Brb - Par. 122562(91-10)"/>
    <n v="0"/>
    <d v="2015-05-04T00:00:00"/>
    <d v="1899-12-30T15:32:53"/>
    <n v="998.45"/>
    <n v="0"/>
    <n v="-2749425.330000218"/>
    <m/>
    <m/>
    <m/>
    <n v="12256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3"/>
    <s v="Ant. Cob/122503"/>
    <s v="Banco Brb - Par. 122503(32-10)"/>
    <n v="0"/>
    <d v="2015-05-04T00:00:00"/>
    <d v="1899-12-30T15:32:53"/>
    <n v="1473"/>
    <n v="0"/>
    <n v="-2750898.330000218"/>
    <m/>
    <m/>
    <m/>
    <n v="12250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8"/>
    <s v="Ant. Cob/122473"/>
    <s v="Banco Brb - Par. 122473(02-10)"/>
    <n v="0"/>
    <d v="2015-05-04T00:00:00"/>
    <d v="1899-12-30T15:32:53"/>
    <n v="1473"/>
    <n v="0"/>
    <n v="-2752371.330000218"/>
    <m/>
    <m/>
    <m/>
    <n v="12247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0"/>
    <s v="Ant. Cob/122483"/>
    <s v="Banco Brb - Par. 122483(12-10)"/>
    <n v="0"/>
    <d v="2015-05-04T00:00:00"/>
    <d v="1899-12-30T15:32:53"/>
    <n v="1473"/>
    <n v="0"/>
    <n v="-2753844.330000218"/>
    <m/>
    <m/>
    <m/>
    <n v="12248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2"/>
    <s v="Ant. Cob/122493"/>
    <s v="Banco Brb - Par. 122493(22-10)"/>
    <n v="0"/>
    <d v="2015-05-04T00:00:00"/>
    <d v="1899-12-30T15:32:53"/>
    <n v="1473"/>
    <n v="0"/>
    <n v="-2755317.330000218"/>
    <m/>
    <m/>
    <m/>
    <n v="12249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9"/>
    <s v="Extrato/122454"/>
    <s v="Banco Brb - Par. 122454(02-12)"/>
    <n v="0"/>
    <d v="2015-05-04T00:00:00"/>
    <d v="1899-12-30T15:32:53"/>
    <n v="299.89999999999998"/>
    <n v="0"/>
    <n v="-2755617.2300002179"/>
    <m/>
    <m/>
    <m/>
    <n v="122454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4"/>
    <s v="Ant. Cob/122513"/>
    <s v="Banco Brb - Par. 122513(42-10)"/>
    <n v="0"/>
    <d v="2015-05-04T00:00:00"/>
    <d v="1899-12-30T15:32:54"/>
    <n v="1473"/>
    <n v="0"/>
    <n v="-2757090.2300002179"/>
    <m/>
    <m/>
    <m/>
    <n v="12251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5"/>
    <s v="Ant. Cob/122523"/>
    <s v="Banco Brb - Par. 122523(52-10)"/>
    <n v="0"/>
    <d v="2015-05-04T00:00:00"/>
    <d v="1899-12-30T15:32:54"/>
    <n v="1473"/>
    <n v="0"/>
    <n v="-2758563.2300002179"/>
    <m/>
    <m/>
    <m/>
    <n v="12252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6"/>
    <s v="Ant. Cob/122543"/>
    <s v="Banco Brb - Par. 122543(72-10)"/>
    <n v="0"/>
    <d v="2015-05-04T00:00:00"/>
    <d v="1899-12-30T15:32:54"/>
    <n v="1473"/>
    <n v="0"/>
    <n v="-2760036.2300002179"/>
    <m/>
    <m/>
    <m/>
    <n v="12254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7"/>
    <s v="Ant. Cob/122553"/>
    <s v="Banco Brb - Par. 122553(82-10)"/>
    <n v="0"/>
    <d v="2015-05-04T00:00:00"/>
    <d v="1899-12-30T15:32:54"/>
    <n v="1399.35"/>
    <n v="0"/>
    <n v="-2761435.580000218"/>
    <m/>
    <m/>
    <m/>
    <n v="12255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8"/>
    <s v="Ant. Cob/122563"/>
    <s v="Banco Brb - Par. 122563(92-10)"/>
    <n v="0"/>
    <d v="2015-05-04T00:00:00"/>
    <d v="1899-12-30T15:32:54"/>
    <n v="998.45"/>
    <n v="0"/>
    <n v="-2762434.0300002182"/>
    <m/>
    <m/>
    <m/>
    <n v="12256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3"/>
    <s v="Ant. Cob/122504"/>
    <s v="Banco Brb - Par. 122504(33-10)"/>
    <n v="0"/>
    <d v="2015-05-04T00:00:00"/>
    <d v="1899-12-30T15:32:54"/>
    <n v="1473"/>
    <n v="0"/>
    <n v="-2763907.0300002182"/>
    <m/>
    <m/>
    <m/>
    <n v="12250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9"/>
    <s v="Ant. Cob/122474"/>
    <s v="Banco Brb - Par. 122474(03-10)"/>
    <n v="0"/>
    <d v="2015-05-04T00:00:00"/>
    <d v="1899-12-30T15:32:54"/>
    <n v="1473"/>
    <n v="0"/>
    <n v="-2765380.0300002182"/>
    <m/>
    <m/>
    <m/>
    <n v="12247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1"/>
    <s v="Ant. Cob/122484"/>
    <s v="Banco Brb - Par. 122484(13-10)"/>
    <n v="0"/>
    <d v="2015-05-04T00:00:00"/>
    <d v="1899-12-30T15:32:54"/>
    <n v="1473"/>
    <n v="0"/>
    <n v="-2766853.0300002182"/>
    <m/>
    <m/>
    <m/>
    <n v="12248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2"/>
    <s v="Ant. Cob/122494"/>
    <s v="Banco Brb - Par. 122494(23-10)"/>
    <n v="0"/>
    <d v="2015-05-04T00:00:00"/>
    <d v="1899-12-30T15:32:54"/>
    <n v="1473"/>
    <n v="0"/>
    <n v="-2768326.0300002182"/>
    <m/>
    <m/>
    <m/>
    <n v="12249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0"/>
    <s v="Extrato/122455"/>
    <s v="Banco Brb - Par. 122455(03-12)"/>
    <n v="0"/>
    <d v="2015-05-04T00:00:00"/>
    <d v="1899-12-30T15:32:54"/>
    <n v="2212.5"/>
    <n v="0"/>
    <n v="-2770538.5300002182"/>
    <m/>
    <m/>
    <m/>
    <n v="122455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4"/>
    <s v="Ant. Cob/122514"/>
    <s v="Banco Brb - Par. 122514(43-10)"/>
    <n v="0"/>
    <d v="2015-05-04T00:00:00"/>
    <d v="1899-12-30T15:32:55"/>
    <n v="1473"/>
    <n v="0"/>
    <n v="-2772011.5300002182"/>
    <m/>
    <m/>
    <m/>
    <n v="12251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5"/>
    <s v="Ant. Cob/122524"/>
    <s v="Banco Brb - Par. 122524(53-10)"/>
    <n v="0"/>
    <d v="2015-05-04T00:00:00"/>
    <d v="1899-12-30T15:32:55"/>
    <n v="1473"/>
    <n v="0"/>
    <n v="-2773484.5300002182"/>
    <m/>
    <m/>
    <m/>
    <n v="12252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6"/>
    <s v="Ant. Cob/122544"/>
    <s v="Banco Brb - Par. 122544(73-10)"/>
    <n v="0"/>
    <d v="2015-05-04T00:00:00"/>
    <d v="1899-12-30T15:32:55"/>
    <n v="274"/>
    <n v="0"/>
    <n v="-2773758.5300002182"/>
    <m/>
    <m/>
    <m/>
    <n v="12254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8"/>
    <s v="Ant. Cob/122564"/>
    <s v="Banco Brb - Par. 122564(93-10)"/>
    <n v="0"/>
    <d v="2015-05-04T00:00:00"/>
    <d v="1899-12-30T15:32:55"/>
    <n v="998.45"/>
    <n v="0"/>
    <n v="-2774756.9800002184"/>
    <m/>
    <m/>
    <m/>
    <n v="12256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3"/>
    <s v="Ant. Cob/122505"/>
    <s v="Banco Brb - Par. 122505(34-10)"/>
    <n v="0"/>
    <d v="2015-05-04T00:00:00"/>
    <d v="1899-12-30T15:32:55"/>
    <n v="1473"/>
    <n v="0"/>
    <n v="-2776229.9800002184"/>
    <m/>
    <m/>
    <m/>
    <n v="12250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9"/>
    <s v="Ant. Cob/122475"/>
    <s v="Banco Brb - Par. 122475(04-10)"/>
    <n v="0"/>
    <d v="2015-05-04T00:00:00"/>
    <d v="1899-12-30T15:32:55"/>
    <n v="1473"/>
    <n v="0"/>
    <n v="-2777702.9800002184"/>
    <m/>
    <m/>
    <m/>
    <n v="12247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1"/>
    <s v="Ant. Cob/122485"/>
    <s v="Banco Brb - Par. 122485(14-10)"/>
    <n v="0"/>
    <d v="2015-05-04T00:00:00"/>
    <d v="1899-12-30T15:32:55"/>
    <n v="1473"/>
    <n v="0"/>
    <n v="-2779175.9800002184"/>
    <m/>
    <m/>
    <m/>
    <n v="12248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2"/>
    <s v="Ant. Cob/122495"/>
    <s v="Banco Brb - Par. 122495(24-10)"/>
    <n v="0"/>
    <d v="2015-05-04T00:00:00"/>
    <d v="1899-12-30T15:32:55"/>
    <n v="1473"/>
    <n v="0"/>
    <n v="-2780648.9800002184"/>
    <m/>
    <m/>
    <m/>
    <n v="12249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4"/>
    <s v="Ant. Cob/122515"/>
    <s v="Banco Brb - Par. 122515(44-10)"/>
    <n v="0"/>
    <d v="2015-05-04T00:00:00"/>
    <d v="1899-12-30T15:32:56"/>
    <n v="1473"/>
    <n v="0"/>
    <n v="-2782121.9800002184"/>
    <m/>
    <m/>
    <m/>
    <n v="12251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5"/>
    <s v="Ant. Cob/122525"/>
    <s v="Banco Brb - Par. 122525(54-10)"/>
    <n v="0"/>
    <d v="2015-05-04T00:00:00"/>
    <d v="1899-12-30T15:32:56"/>
    <n v="1473"/>
    <n v="0"/>
    <n v="-2783594.9800002184"/>
    <m/>
    <m/>
    <m/>
    <n v="12252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6"/>
    <s v="Ant. Cob/122545"/>
    <s v="Banco Brb - Par. 122545(74-10)"/>
    <n v="0"/>
    <d v="2015-05-04T00:00:00"/>
    <d v="1899-12-30T15:32:56"/>
    <n v="73.650000000000006"/>
    <n v="0"/>
    <n v="-2783668.6300002183"/>
    <m/>
    <m/>
    <m/>
    <n v="12254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7"/>
    <s v="Ant. Cob/122555"/>
    <s v="Banco Brb - Par. 122555(84-10)"/>
    <n v="0"/>
    <d v="2015-05-04T00:00:00"/>
    <d v="1899-12-30T15:32:56"/>
    <n v="73.650000000000006"/>
    <n v="0"/>
    <n v="-2783742.2800002182"/>
    <m/>
    <m/>
    <m/>
    <n v="12255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8"/>
    <s v="Ant. Cob/122565"/>
    <s v="Banco Brb - Par. 122565(94-10)"/>
    <n v="0"/>
    <d v="2015-05-04T00:00:00"/>
    <d v="1899-12-30T15:32:56"/>
    <n v="1051"/>
    <n v="0"/>
    <n v="-2784793.2800002182"/>
    <m/>
    <m/>
    <m/>
    <n v="12256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3"/>
    <s v="Ant. Cob/122506"/>
    <s v="Banco Brb - Par. 122506(35-10)"/>
    <n v="0"/>
    <d v="2015-05-04T00:00:00"/>
    <d v="1899-12-30T15:32:57"/>
    <n v="1473"/>
    <n v="0"/>
    <n v="-2786266.2800002182"/>
    <m/>
    <m/>
    <m/>
    <n v="12250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4"/>
    <s v="Ant. Cob/122516"/>
    <s v="Banco Brb - Par. 122516(45-10)"/>
    <n v="0"/>
    <d v="2015-05-04T00:00:00"/>
    <d v="1899-12-30T15:32:57"/>
    <n v="1473"/>
    <n v="0"/>
    <n v="-2787739.2800002182"/>
    <m/>
    <m/>
    <m/>
    <n v="12251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5"/>
    <s v="Ant. Cob/122526"/>
    <s v="Banco Brb - Par. 122526(55-10)"/>
    <n v="0"/>
    <d v="2015-05-04T00:00:00"/>
    <d v="1899-12-30T15:32:57"/>
    <n v="1473"/>
    <n v="0"/>
    <n v="-2789212.2800002182"/>
    <m/>
    <m/>
    <m/>
    <n v="12252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9"/>
    <s v="Ant. Cob/122476"/>
    <s v="Banco Brb - Par. 122476(05-10)"/>
    <n v="0"/>
    <d v="2015-05-04T00:00:00"/>
    <d v="1899-12-30T15:32:57"/>
    <n v="1473"/>
    <n v="0"/>
    <n v="-2790685.2800002182"/>
    <m/>
    <m/>
    <m/>
    <n v="12247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1"/>
    <s v="Ant. Cob/122486"/>
    <s v="Banco Brb - Par. 122486(15-10)"/>
    <n v="0"/>
    <d v="2015-05-04T00:00:00"/>
    <d v="1899-12-30T15:32:57"/>
    <n v="1473"/>
    <n v="0"/>
    <n v="-2792158.2800002182"/>
    <m/>
    <m/>
    <m/>
    <n v="12248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2"/>
    <s v="Ant. Cob/122496"/>
    <s v="Banco Brb - Par. 122496(25-10)"/>
    <n v="0"/>
    <d v="2015-05-04T00:00:00"/>
    <d v="1899-12-30T15:32:57"/>
    <n v="1473"/>
    <n v="0"/>
    <n v="-2793631.2800002182"/>
    <m/>
    <m/>
    <m/>
    <n v="12249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6"/>
    <s v="Ant. Cob/122546"/>
    <s v="Banco Brb - Par. 122546(75-10)"/>
    <n v="0"/>
    <d v="2015-05-04T00:00:00"/>
    <d v="1899-12-30T15:32:58"/>
    <n v="1051"/>
    <n v="0"/>
    <n v="-2794682.2800002182"/>
    <m/>
    <m/>
    <m/>
    <n v="12254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7"/>
    <s v="Ant. Cob/122556"/>
    <s v="Banco Brb - Par. 122556(85-10)"/>
    <n v="0"/>
    <d v="2015-05-04T00:00:00"/>
    <d v="1899-12-30T15:32:58"/>
    <n v="1399.35"/>
    <n v="0"/>
    <n v="-2796081.6300002183"/>
    <m/>
    <m/>
    <m/>
    <n v="12255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8"/>
    <s v="Ant. Cob/122566"/>
    <s v="Banco Brb - Par. 122566(95-10)"/>
    <n v="0"/>
    <d v="2015-05-04T00:00:00"/>
    <d v="1899-12-30T15:32:58"/>
    <n v="1399.35"/>
    <n v="0"/>
    <n v="-2797480.9800002184"/>
    <m/>
    <m/>
    <m/>
    <n v="12256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3"/>
    <s v="Ant. Cob/122507"/>
    <s v="Banco Brb - Par. 122507(36-10)"/>
    <n v="0"/>
    <d v="2015-05-04T00:00:00"/>
    <d v="1899-12-30T15:32:58"/>
    <n v="1473"/>
    <n v="0"/>
    <n v="-2798953.9800002184"/>
    <m/>
    <m/>
    <m/>
    <n v="12250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4"/>
    <s v="Ant. Cob/122517"/>
    <s v="Banco Brb - Par. 122517(46-10)"/>
    <n v="0"/>
    <d v="2015-05-04T00:00:00"/>
    <d v="1899-12-30T15:32:58"/>
    <n v="1473"/>
    <n v="0"/>
    <n v="-2800426.9800002184"/>
    <m/>
    <m/>
    <m/>
    <n v="12251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5"/>
    <s v="Ant. Cob/122527"/>
    <s v="Banco Brb - Par. 122527(56-10)"/>
    <n v="0"/>
    <d v="2015-05-04T00:00:00"/>
    <d v="1899-12-30T15:32:58"/>
    <n v="1473"/>
    <n v="0"/>
    <n v="-2801899.9800002184"/>
    <m/>
    <m/>
    <m/>
    <n v="12252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9"/>
    <s v="Ant. Cob/122477"/>
    <s v="Banco Brb - Par. 122477(06-10)"/>
    <n v="0"/>
    <d v="2015-05-04T00:00:00"/>
    <d v="1899-12-30T15:32:58"/>
    <n v="1473"/>
    <n v="0"/>
    <n v="-2803372.9800002184"/>
    <m/>
    <m/>
    <m/>
    <n v="12247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1"/>
    <s v="Ant. Cob/122487"/>
    <s v="Banco Brb - Par. 122487(16-10)"/>
    <n v="0"/>
    <d v="2015-05-04T00:00:00"/>
    <d v="1899-12-30T15:32:58"/>
    <n v="1473"/>
    <n v="0"/>
    <n v="-2804845.9800002184"/>
    <m/>
    <m/>
    <m/>
    <n v="12248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2"/>
    <s v="Ant. Cob/122497"/>
    <s v="Banco Brb - Par. 122497(26-10)"/>
    <n v="0"/>
    <d v="2015-05-04T00:00:00"/>
    <d v="1899-12-30T15:32:58"/>
    <n v="1473"/>
    <n v="0"/>
    <n v="-2806318.9800002184"/>
    <m/>
    <m/>
    <m/>
    <n v="12249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6"/>
    <s v="Ant. Cob/122547"/>
    <s v="Banco Brb - Par. 122547(76-10)"/>
    <n v="0"/>
    <d v="2015-05-04T00:00:00"/>
    <d v="1899-12-30T15:32:59"/>
    <n v="52.55"/>
    <n v="0"/>
    <n v="-2806371.5300002182"/>
    <m/>
    <m/>
    <m/>
    <n v="12254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7"/>
    <s v="Ant. Cob/122557"/>
    <s v="Banco Brb - Par. 122557(86-10)"/>
    <n v="0"/>
    <d v="2015-05-04T00:00:00"/>
    <d v="1899-12-30T15:32:59"/>
    <n v="1111"/>
    <n v="0"/>
    <n v="-2807482.5300002182"/>
    <m/>
    <m/>
    <m/>
    <n v="12255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8"/>
    <s v="Ant. Cob/122567"/>
    <s v="Banco Brb - Par. 122567(96-10)"/>
    <n v="0"/>
    <d v="2015-05-04T00:00:00"/>
    <d v="1899-12-30T15:32:59"/>
    <n v="1252.05"/>
    <n v="0"/>
    <n v="-2808734.580000218"/>
    <m/>
    <m/>
    <m/>
    <n v="12256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3"/>
    <s v="Ant. Cob/122508"/>
    <s v="Banco Brb - Par. 122508(37-10)"/>
    <n v="0"/>
    <d v="2015-05-04T00:00:00"/>
    <d v="1899-12-30T15:32:59"/>
    <n v="1473"/>
    <n v="0"/>
    <n v="-2810207.580000218"/>
    <m/>
    <m/>
    <m/>
    <n v="12250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4"/>
    <s v="Ant. Cob/122518"/>
    <s v="Banco Brb - Par. 122518(47-10)"/>
    <n v="0"/>
    <d v="2015-05-04T00:00:00"/>
    <d v="1899-12-30T15:32:59"/>
    <n v="1473"/>
    <n v="0"/>
    <n v="-2811680.580000218"/>
    <m/>
    <m/>
    <m/>
    <n v="12251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5"/>
    <s v="Ant. Cob/122548"/>
    <s v="Banco Brb - Par. 122548(77-10)"/>
    <n v="0"/>
    <d v="2015-05-04T00:00:00"/>
    <d v="1899-12-30T15:32:59"/>
    <n v="1051"/>
    <n v="0"/>
    <n v="-2812731.580000218"/>
    <m/>
    <m/>
    <m/>
    <n v="12254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6"/>
    <s v="Ant. Cob/122558"/>
    <s v="Banco Brb - Par. 122558(87-10)"/>
    <n v="0"/>
    <d v="2015-05-04T00:00:00"/>
    <d v="1899-12-30T15:32:59"/>
    <n v="55.55"/>
    <n v="0"/>
    <n v="-2812787.1300002178"/>
    <m/>
    <m/>
    <m/>
    <n v="12255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7"/>
    <s v="Ant. Cob/122568"/>
    <s v="Banco Brb - Par. 122568(97-10)"/>
    <n v="0"/>
    <d v="2015-05-04T00:00:00"/>
    <d v="1899-12-30T15:32:59"/>
    <n v="1399"/>
    <n v="0"/>
    <n v="-2814186.1300002178"/>
    <m/>
    <m/>
    <m/>
    <n v="12256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9"/>
    <s v="Ant. Cob/122478"/>
    <s v="Banco Brb - Par. 122478(07-10)"/>
    <n v="0"/>
    <d v="2015-05-04T00:00:00"/>
    <d v="1899-12-30T15:32:59"/>
    <n v="1473"/>
    <n v="0"/>
    <n v="-2815659.1300002178"/>
    <m/>
    <m/>
    <m/>
    <n v="12247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1"/>
    <s v="Ant. Cob/122488"/>
    <s v="Banco Brb - Par. 122488(17-10)"/>
    <n v="0"/>
    <d v="2015-05-04T00:00:00"/>
    <d v="1899-12-30T15:32:59"/>
    <n v="1473"/>
    <n v="0"/>
    <n v="-2817132.1300002178"/>
    <m/>
    <m/>
    <m/>
    <n v="12248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2"/>
    <s v="Ant. Cob/122498"/>
    <s v="Banco Brb - Par. 122498(27-10)"/>
    <n v="0"/>
    <d v="2015-05-04T00:00:00"/>
    <d v="1899-12-30T15:32:59"/>
    <n v="1473"/>
    <n v="0"/>
    <n v="-2818605.1300002178"/>
    <m/>
    <m/>
    <m/>
    <n v="12249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7"/>
    <s v="Ant. Cob/122480"/>
    <s v="Banco Brb - Par. 122480(09-10)"/>
    <n v="0"/>
    <d v="2015-05-04T00:00:00"/>
    <d v="1899-12-30T15:33:00"/>
    <n v="1473"/>
    <n v="0"/>
    <n v="-2820078.1300002178"/>
    <m/>
    <m/>
    <m/>
    <n v="12248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2"/>
    <s v="Ant. Cob/122509"/>
    <s v="Banco Brb - Par. 122509(38-10)"/>
    <n v="0"/>
    <d v="2015-05-04T00:00:00"/>
    <d v="1899-12-30T15:33:00"/>
    <n v="1473"/>
    <n v="0"/>
    <n v="-2821551.1300002178"/>
    <m/>
    <m/>
    <m/>
    <n v="12250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3"/>
    <s v="Ant. Cob/122519"/>
    <s v="Banco Brb - Par. 122519(48-10)"/>
    <n v="0"/>
    <d v="2015-05-04T00:00:00"/>
    <d v="1899-12-30T15:33:00"/>
    <n v="1473"/>
    <n v="0"/>
    <n v="-2823024.1300002178"/>
    <m/>
    <m/>
    <m/>
    <n v="12251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4"/>
    <s v="Ant. Cob/122549"/>
    <s v="Banco Brb - Par. 122549(78-10)"/>
    <n v="0"/>
    <d v="2015-05-04T00:00:00"/>
    <d v="1899-12-30T15:33:00"/>
    <n v="1051"/>
    <n v="0"/>
    <n v="-2824075.1300002178"/>
    <m/>
    <m/>
    <m/>
    <n v="12254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5"/>
    <s v="Ant. Cob/122559"/>
    <s v="Banco Brb - Par. 122559(88-10)"/>
    <n v="0"/>
    <d v="2015-05-04T00:00:00"/>
    <d v="1899-12-30T15:33:00"/>
    <n v="1111"/>
    <n v="0"/>
    <n v="-2825186.1300002178"/>
    <m/>
    <m/>
    <m/>
    <n v="12255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6"/>
    <s v="Ant. Cob/122569"/>
    <s v="Banco Brb - Par. 122569(98-10)"/>
    <n v="0"/>
    <d v="2015-05-04T00:00:00"/>
    <d v="1899-12-30T15:33:00"/>
    <n v="73.650000000000006"/>
    <n v="0"/>
    <n v="-2825259.7800002177"/>
    <m/>
    <m/>
    <m/>
    <n v="12256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8"/>
    <s v="Ant. Cob/122479"/>
    <s v="Banco Brb - Par. 122479(08-10)"/>
    <n v="0"/>
    <d v="2015-05-04T00:00:00"/>
    <d v="1899-12-30T15:33:00"/>
    <n v="1473"/>
    <n v="0"/>
    <n v="-2826732.7800002177"/>
    <m/>
    <m/>
    <m/>
    <n v="12247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0"/>
    <s v="Ant. Cob/122489"/>
    <s v="Banco Brb - Par. 122489(18-10)"/>
    <n v="0"/>
    <d v="2015-05-04T00:00:00"/>
    <d v="1899-12-30T15:33:00"/>
    <n v="1473"/>
    <n v="0"/>
    <n v="-2828205.7800002177"/>
    <m/>
    <m/>
    <m/>
    <n v="12248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1"/>
    <s v="Ant. Cob/122499"/>
    <s v="Banco Brb - Par. 122499(28-10)"/>
    <n v="0"/>
    <d v="2015-05-04T00:00:00"/>
    <d v="1899-12-30T15:33:00"/>
    <n v="1473"/>
    <n v="0"/>
    <n v="-2829678.7800002177"/>
    <m/>
    <m/>
    <m/>
    <n v="12249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0"/>
    <s v="Ant. Cob/122500"/>
    <s v="Banco Brb - Par. 122500(29-10)"/>
    <n v="0"/>
    <d v="2015-05-04T00:00:00"/>
    <d v="1899-12-30T15:33:01"/>
    <n v="1473"/>
    <n v="0"/>
    <n v="-2831151.7800002177"/>
    <m/>
    <m/>
    <m/>
    <n v="12250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1"/>
    <s v="Ant. Cob/122510"/>
    <s v="Banco Brb - Par. 122510(39-10)"/>
    <n v="0"/>
    <d v="2015-05-04T00:00:00"/>
    <d v="1899-12-30T15:33:01"/>
    <n v="1473"/>
    <n v="0"/>
    <n v="-2832624.7800002177"/>
    <m/>
    <m/>
    <m/>
    <n v="12251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2"/>
    <s v="Ant. Cob/122520"/>
    <s v="Banco Brb - Par. 122520(49-10)"/>
    <n v="0"/>
    <d v="2015-05-04T00:00:00"/>
    <d v="1899-12-30T15:33:01"/>
    <n v="1473"/>
    <n v="0"/>
    <n v="-2834097.7800002177"/>
    <m/>
    <m/>
    <m/>
    <n v="12252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3"/>
    <s v="Ant. Cob/122550"/>
    <s v="Banco Brb - Par. 122550(79-10)"/>
    <n v="0"/>
    <d v="2015-05-04T00:00:00"/>
    <d v="1899-12-30T15:33:01"/>
    <n v="1051"/>
    <n v="0"/>
    <n v="-2835148.7800002177"/>
    <m/>
    <m/>
    <m/>
    <n v="12255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4"/>
    <s v="Ant. Cob/122560"/>
    <s v="Banco Brb - Par. 122560(89-10)"/>
    <n v="0"/>
    <d v="2015-05-04T00:00:00"/>
    <d v="1899-12-30T15:33:01"/>
    <n v="1111"/>
    <n v="0"/>
    <n v="-2836259.7800002177"/>
    <m/>
    <m/>
    <m/>
    <n v="12256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5"/>
    <s v="Ant. Cob/122570"/>
    <s v="Banco Brb - Par. 122570(99-10)"/>
    <n v="0"/>
    <d v="2015-05-04T00:00:00"/>
    <d v="1899-12-30T15:33:01"/>
    <n v="1375.05"/>
    <n v="0"/>
    <n v="-2837634.8300002175"/>
    <m/>
    <m/>
    <m/>
    <n v="12257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9"/>
    <s v="Ant. Cob/122490"/>
    <s v="Banco Brb - Par. 122490(19-10)"/>
    <n v="0"/>
    <d v="2015-05-04T00:00:00"/>
    <d v="1899-12-30T15:33:01"/>
    <n v="1473"/>
    <n v="0"/>
    <n v="-2839107.8300002175"/>
    <m/>
    <m/>
    <m/>
    <n v="12249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9"/>
    <s v="Extrato/122723"/>
    <s v="Banco Brb - Par. 122723(01-3)"/>
    <n v="0"/>
    <d v="2015-05-04T00:00:00"/>
    <d v="1899-12-30T15:33:55"/>
    <n v="840.8"/>
    <n v="0"/>
    <n v="-2839948.6300002174"/>
    <m/>
    <m/>
    <m/>
    <n v="122723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s v="COLÉGIO OLIMPO LTDA"/>
    <m/>
    <n v="12"/>
    <n v="10"/>
    <s v="Antec. de Boleto"/>
    <m/>
    <n v="0"/>
    <m/>
    <n v="0"/>
    <m/>
    <m/>
    <s v="BRB [GYN] [011616-0] [CC] [COB]"/>
    <m/>
    <m/>
    <m/>
  </r>
  <r>
    <n v="268278"/>
    <s v="Extrato/122709"/>
    <s v="Banco Brb - Par. 122709(01-3)"/>
    <n v="0"/>
    <d v="2015-05-04T00:00:00"/>
    <d v="1899-12-30T15:33:55"/>
    <n v="20.149999999999999"/>
    <n v="0"/>
    <n v="-2839968.7800002173"/>
    <m/>
    <m/>
    <m/>
    <n v="122709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6"/>
    <s v="Ant. Cob/122531"/>
    <s v="Banco Brb - Par. 122531(60-10)"/>
    <n v="0"/>
    <d v="2015-05-04T00:00:00"/>
    <d v="1899-12-30T15:33:55"/>
    <n v="1473"/>
    <n v="0"/>
    <n v="-2841441.7800002173"/>
    <m/>
    <m/>
    <m/>
    <n v="12253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7"/>
    <s v="Ant. Cob/122541"/>
    <s v="Banco Brb - Par. 122541(70-10)"/>
    <n v="0"/>
    <d v="2015-05-04T00:00:00"/>
    <d v="1899-12-30T15:33:55"/>
    <n v="1473"/>
    <n v="0"/>
    <n v="-2842914.7800002173"/>
    <m/>
    <m/>
    <m/>
    <n v="12254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0"/>
    <s v="Ant. Cob/122532"/>
    <s v="Banco Brb - Par. 122532(61-10)"/>
    <n v="0"/>
    <d v="2015-05-04T00:00:00"/>
    <d v="1899-12-30T15:33:55"/>
    <n v="1473"/>
    <n v="0"/>
    <n v="-2844387.7800002173"/>
    <m/>
    <m/>
    <m/>
    <n v="12253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2"/>
    <s v="Extrato/122710"/>
    <s v="Banco Brb - Par. 122710(02-3)"/>
    <n v="0"/>
    <d v="2015-05-04T00:00:00"/>
    <d v="1899-12-30T15:33:56"/>
    <n v="104.62"/>
    <n v="0"/>
    <n v="-2844492.4000002174"/>
    <m/>
    <m/>
    <m/>
    <n v="122710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5"/>
    <s v="Extrato/122711"/>
    <s v="Banco Brb - Par. 122711(03-3)"/>
    <n v="0"/>
    <d v="2015-05-04T00:00:00"/>
    <d v="1899-12-30T15:33:56"/>
    <n v="1813.12"/>
    <n v="0"/>
    <n v="-2846305.5200002175"/>
    <m/>
    <m/>
    <m/>
    <n v="122711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3"/>
    <s v="Extrato/122724"/>
    <s v="Banco Brb - Par. 122724(02-3)"/>
    <n v="0"/>
    <d v="2015-05-04T00:00:00"/>
    <d v="1899-12-30T15:33:56"/>
    <n v="1316.7"/>
    <n v="0"/>
    <n v="-2847622.2200002177"/>
    <m/>
    <m/>
    <m/>
    <n v="122724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s v="COLÉGIO OLIMPO LTDA"/>
    <m/>
    <n v="12"/>
    <n v="10"/>
    <s v="Antec. de Boleto"/>
    <m/>
    <n v="0"/>
    <m/>
    <n v="0"/>
    <m/>
    <m/>
    <s v="BRB [GYN] [011616-0] [CC] [COB]"/>
    <m/>
    <m/>
    <m/>
  </r>
  <r>
    <n v="268286"/>
    <s v="Extrato/122725"/>
    <s v="Banco Brb - Par. 122725(03-3)"/>
    <n v="0"/>
    <d v="2015-05-04T00:00:00"/>
    <d v="1899-12-30T15:33:56"/>
    <n v="328.7"/>
    <n v="0"/>
    <n v="-2847950.9200002179"/>
    <m/>
    <m/>
    <m/>
    <n v="122725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s v="COLÉGIO OLIMPO LTDA"/>
    <m/>
    <n v="12"/>
    <n v="10"/>
    <s v="Antec. de Boleto"/>
    <m/>
    <n v="0"/>
    <m/>
    <n v="0"/>
    <m/>
    <m/>
    <s v="BRB [GYN] [011616-0] [CC] [COB]"/>
    <m/>
    <m/>
    <m/>
  </r>
  <r>
    <n v="268281"/>
    <s v="Ant. Cob/122542"/>
    <s v="Banco Brb - Par. 122542(71-10)"/>
    <n v="0"/>
    <d v="2015-05-04T00:00:00"/>
    <d v="1899-12-30T15:33:56"/>
    <n v="1473"/>
    <n v="0"/>
    <n v="-2849423.9200002179"/>
    <m/>
    <m/>
    <m/>
    <n v="12254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4"/>
    <s v="Ant. Cob/122533"/>
    <s v="Banco Brb - Par. 122533(62-10)"/>
    <n v="0"/>
    <d v="2015-05-04T00:00:00"/>
    <d v="1899-12-30T15:33:56"/>
    <n v="1473"/>
    <n v="0"/>
    <n v="-2850896.9200002179"/>
    <m/>
    <m/>
    <m/>
    <n v="12253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7"/>
    <s v="Ant. Cob/122534"/>
    <s v="Banco Brb - Par. 122534(63-10)"/>
    <n v="0"/>
    <d v="2015-05-04T00:00:00"/>
    <d v="1899-12-30T15:33:56"/>
    <n v="1473"/>
    <n v="0"/>
    <n v="-2852369.9200002179"/>
    <m/>
    <m/>
    <m/>
    <n v="12253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8"/>
    <s v="Ant. Cob/122535"/>
    <s v="Banco Brb - Par. 122535(64-10)"/>
    <n v="0"/>
    <d v="2015-05-04T00:00:00"/>
    <d v="1899-12-30T15:33:56"/>
    <n v="1473"/>
    <n v="0"/>
    <n v="-2853842.9200002179"/>
    <m/>
    <m/>
    <m/>
    <n v="12253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9"/>
    <s v="Ant. Cob/122536"/>
    <s v="Banco Brb - Par. 122536(65-10)"/>
    <n v="0"/>
    <d v="2015-05-04T00:00:00"/>
    <d v="1899-12-30T15:33:56"/>
    <n v="1473"/>
    <n v="0"/>
    <n v="-2855315.9200002179"/>
    <m/>
    <m/>
    <m/>
    <n v="12253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0"/>
    <s v="Ant. Cob/122537"/>
    <s v="Banco Brb - Par. 122537(66-10)"/>
    <n v="0"/>
    <d v="2015-05-04T00:00:00"/>
    <d v="1899-12-30T15:33:56"/>
    <n v="1473"/>
    <n v="0"/>
    <n v="-2856788.9200002179"/>
    <m/>
    <m/>
    <m/>
    <n v="12253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5"/>
    <s v="Ant. Cob/122530"/>
    <s v="Banco Brb - Par. 122530(59-10)"/>
    <n v="0"/>
    <d v="2015-05-04T00:00:00"/>
    <d v="1899-12-30T15:33:57"/>
    <n v="1473"/>
    <n v="0"/>
    <n v="-2858261.9200002179"/>
    <m/>
    <m/>
    <m/>
    <n v="12253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6"/>
    <s v="Ant. Cob/122540"/>
    <s v="Banco Brb - Par. 122540(69-10)"/>
    <n v="0"/>
    <d v="2015-05-04T00:00:00"/>
    <d v="1899-12-30T15:33:57"/>
    <n v="1473"/>
    <n v="0"/>
    <n v="-2859734.9200002179"/>
    <m/>
    <m/>
    <m/>
    <n v="12254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1"/>
    <s v="Ant. Cob/122528"/>
    <s v="Banco Brb - Par. 122528(57-10)"/>
    <n v="0"/>
    <d v="2015-05-04T00:00:00"/>
    <d v="1899-12-30T15:33:57"/>
    <n v="1473"/>
    <n v="0"/>
    <n v="-2861207.9200002179"/>
    <m/>
    <m/>
    <m/>
    <n v="12252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2"/>
    <s v="Ant. Cob/122538"/>
    <s v="Banco Brb - Par. 122538(67-10)"/>
    <n v="0"/>
    <d v="2015-05-04T00:00:00"/>
    <d v="1899-12-30T15:33:57"/>
    <n v="1473"/>
    <n v="0"/>
    <n v="-2862680.9200002179"/>
    <m/>
    <m/>
    <m/>
    <n v="12253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3"/>
    <s v="Ant. Cob/122529"/>
    <s v="Banco Brb - Par. 122529(58-10)"/>
    <n v="0"/>
    <d v="2015-05-04T00:00:00"/>
    <d v="1899-12-30T15:33:57"/>
    <n v="1473"/>
    <n v="0"/>
    <n v="-2864153.9200002179"/>
    <m/>
    <m/>
    <m/>
    <n v="12252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4"/>
    <s v="Ant. Cob/122539"/>
    <s v="Banco Brb - Par. 122539(68-10)"/>
    <n v="0"/>
    <d v="2015-05-04T00:00:00"/>
    <d v="1899-12-30T15:33:57"/>
    <n v="1473"/>
    <n v="0"/>
    <n v="-2865626.9200002179"/>
    <m/>
    <m/>
    <m/>
    <n v="12253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7008"/>
    <n v="191755"/>
    <s v="Retorno: Par. 191755(04/12) - 018510/GEO - Mensalidades"/>
    <n v="1724"/>
    <d v="2015-05-04T00:00:00"/>
    <d v="1899-12-30T15:35:50"/>
    <n v="0"/>
    <n v="0"/>
    <n v="-2863902.9200002179"/>
    <m/>
    <m/>
    <n v="191755"/>
    <m/>
    <n v="1"/>
    <s v="Andre"/>
    <n v="1"/>
    <m/>
    <n v="2"/>
    <d v="2015-05-04T00:00:00"/>
    <d v="2015-05-04T00:00:00"/>
    <n v="27812"/>
    <n v="24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7010"/>
    <n v="192148"/>
    <s v="Retorno: Par. 192148(04/12) - 018418/ANT - Mensalidades"/>
    <n v="1724"/>
    <d v="2015-05-04T00:00:00"/>
    <d v="1899-12-30T15:35:50"/>
    <n v="0"/>
    <n v="0"/>
    <n v="-2862178.9200002179"/>
    <m/>
    <m/>
    <n v="192148"/>
    <m/>
    <n v="1"/>
    <s v="Andre"/>
    <n v="1"/>
    <m/>
    <n v="2"/>
    <d v="2015-05-04T00:00:00"/>
    <d v="2015-05-04T00:00:00"/>
    <n v="27814"/>
    <n v="24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7009"/>
    <n v="191839"/>
    <s v="Retorno: Par. 191839(04/12) - 018448/ALB - Mensalidades"/>
    <n v="1724"/>
    <d v="2015-05-04T00:00:00"/>
    <d v="1899-12-30T15:35:50"/>
    <n v="0"/>
    <n v="0"/>
    <n v="-2860454.9200002179"/>
    <m/>
    <m/>
    <n v="191839"/>
    <m/>
    <n v="1"/>
    <s v="Andre"/>
    <n v="1"/>
    <m/>
    <n v="2"/>
    <d v="2015-05-04T00:00:00"/>
    <d v="2015-05-04T00:00:00"/>
    <n v="27813"/>
    <n v="24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7011"/>
    <n v="191740"/>
    <s v="Retorno: Par. 191740(04/12) - 018406/LAU - Mensalidades"/>
    <n v="1724"/>
    <d v="2015-05-04T00:00:00"/>
    <d v="1899-12-30T15:35:51"/>
    <n v="0"/>
    <n v="0"/>
    <n v="-2858730.9200002179"/>
    <m/>
    <m/>
    <n v="191740"/>
    <m/>
    <n v="1"/>
    <s v="Andre"/>
    <n v="1"/>
    <m/>
    <n v="2"/>
    <d v="2015-05-04T00:00:00"/>
    <d v="2015-05-04T00:00:00"/>
    <n v="27815"/>
    <n v="24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402"/>
    <s v="Extrato/122730"/>
    <s v="Banco Brb - Cód. 122730"/>
    <n v="0"/>
    <d v="2015-05-04T00:00:00"/>
    <d v="1899-12-30T15:42:38"/>
    <n v="15"/>
    <n v="0"/>
    <n v="-2858745.9200002179"/>
    <m/>
    <m/>
    <m/>
    <n v="1227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3"/>
    <s v="Extrato/122732"/>
    <s v="Banco Brb - Cód. 122732"/>
    <n v="0"/>
    <d v="2015-05-04T00:00:00"/>
    <d v="1899-12-30T15:42:38"/>
    <n v="15"/>
    <n v="0"/>
    <n v="-2858760.9200002179"/>
    <m/>
    <m/>
    <m/>
    <n v="1227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4"/>
    <s v="Extrato/122733"/>
    <s v="Banco Brb - Cód. 122733"/>
    <n v="0"/>
    <d v="2015-05-04T00:00:00"/>
    <d v="1899-12-30T15:42:38"/>
    <n v="15"/>
    <n v="0"/>
    <n v="-2858775.9200002179"/>
    <m/>
    <m/>
    <m/>
    <n v="12273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5"/>
    <s v="Extrato/122734"/>
    <s v="Banco Brb - Cód. 122734"/>
    <n v="0"/>
    <d v="2015-05-04T00:00:00"/>
    <d v="1899-12-30T15:42:38"/>
    <n v="15"/>
    <n v="0"/>
    <n v="-2858790.9200002179"/>
    <m/>
    <m/>
    <m/>
    <n v="12273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6"/>
    <s v="Extrato/122735"/>
    <s v="Banco Brb - Cód. 122735"/>
    <n v="0"/>
    <d v="2015-05-04T00:00:00"/>
    <d v="1899-12-30T15:42:38"/>
    <n v="15"/>
    <n v="0"/>
    <n v="-2858805.9200002179"/>
    <m/>
    <m/>
    <m/>
    <n v="1227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398"/>
    <s v="Extrato/122726"/>
    <s v="Banco Brb - Cód. 122726"/>
    <n v="0"/>
    <d v="2015-05-04T00:00:00"/>
    <d v="1899-12-30T15:42:38"/>
    <n v="15"/>
    <n v="0"/>
    <n v="-2858820.9200002179"/>
    <m/>
    <m/>
    <m/>
    <n v="12272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399"/>
    <s v="Extrato/122727"/>
    <s v="Banco Brb - Cód. 122727"/>
    <n v="0"/>
    <d v="2015-05-04T00:00:00"/>
    <d v="1899-12-30T15:42:38"/>
    <n v="15"/>
    <n v="0"/>
    <n v="-2858835.9200002179"/>
    <m/>
    <m/>
    <m/>
    <n v="12272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0"/>
    <s v="Extrato/122728"/>
    <s v="Banco Brb - Cód. 122728"/>
    <n v="0"/>
    <d v="2015-05-04T00:00:00"/>
    <d v="1899-12-30T15:42:38"/>
    <n v="15"/>
    <n v="0"/>
    <n v="-2858850.9200002179"/>
    <m/>
    <m/>
    <m/>
    <n v="12272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1"/>
    <s v="Extrato/122729"/>
    <s v="Banco Brb - Cód. 122729"/>
    <n v="0"/>
    <d v="2015-05-04T00:00:00"/>
    <d v="1899-12-30T15:42:38"/>
    <n v="15"/>
    <n v="0"/>
    <n v="-2858865.9200002179"/>
    <m/>
    <m/>
    <m/>
    <n v="1227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0"/>
    <s v="Extrato/122740"/>
    <s v="Banco Brb - Cód. 122740"/>
    <n v="0"/>
    <d v="2015-05-04T00:00:00"/>
    <d v="1899-12-30T15:42:39"/>
    <n v="15"/>
    <n v="0"/>
    <n v="-2858880.9200002179"/>
    <m/>
    <m/>
    <m/>
    <n v="1227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1"/>
    <s v="Extrato/122741"/>
    <s v="Banco Brb - Cód. 122741"/>
    <n v="0"/>
    <d v="2015-05-04T00:00:00"/>
    <d v="1899-12-30T15:42:39"/>
    <n v="15"/>
    <n v="0"/>
    <n v="-2858895.9200002179"/>
    <m/>
    <m/>
    <m/>
    <n v="1227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2"/>
    <s v="Extrato/122742"/>
    <s v="Banco Brb - Cód. 122742"/>
    <n v="0"/>
    <d v="2015-05-04T00:00:00"/>
    <d v="1899-12-30T15:42:39"/>
    <n v="15"/>
    <n v="0"/>
    <n v="-2858910.9200002179"/>
    <m/>
    <m/>
    <m/>
    <n v="1227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7"/>
    <s v="Extrato/122736"/>
    <s v="Banco Brb - Cód. 122736"/>
    <n v="0"/>
    <d v="2015-05-04T00:00:00"/>
    <d v="1899-12-30T15:42:39"/>
    <n v="15"/>
    <n v="0"/>
    <n v="-2858925.9200002179"/>
    <m/>
    <m/>
    <m/>
    <n v="1227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8"/>
    <s v="Extrato/122737"/>
    <s v="Banco Brb - Cód. 122737"/>
    <n v="0"/>
    <d v="2015-05-04T00:00:00"/>
    <d v="1899-12-30T15:42:39"/>
    <n v="15"/>
    <n v="0"/>
    <n v="-2858940.9200002179"/>
    <m/>
    <m/>
    <m/>
    <n v="1227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9"/>
    <s v="Extrato/122739"/>
    <s v="Banco Brb - Cód. 122739"/>
    <n v="0"/>
    <d v="2015-05-04T00:00:00"/>
    <d v="1899-12-30T15:42:39"/>
    <n v="15"/>
    <n v="0"/>
    <n v="-2858955.9200002179"/>
    <m/>
    <m/>
    <m/>
    <n v="12273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4"/>
    <s v="Extrato/122712"/>
    <s v="Banco Brb - Cód. 122712"/>
    <n v="0"/>
    <d v="2015-05-04T00:00:00"/>
    <d v="1899-12-30T15:44:41"/>
    <n v="131.5"/>
    <n v="0"/>
    <n v="-2859087.4200002179"/>
    <m/>
    <m/>
    <m/>
    <n v="1227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3"/>
    <s v="Extrato/122708"/>
    <s v="Banco Brb - Cód. 122708"/>
    <n v="0"/>
    <d v="2015-05-04T00:00:00"/>
    <d v="1899-12-30T15:44:41"/>
    <n v="15.4"/>
    <n v="0"/>
    <n v="-2859102.8200002178"/>
    <m/>
    <m/>
    <m/>
    <n v="1227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7"/>
    <s v="Extrato/122720"/>
    <s v="Banco Brb - Cód. 122720"/>
    <n v="0"/>
    <d v="2015-05-04T00:00:00"/>
    <d v="1899-12-30T15:44:42"/>
    <n v="15"/>
    <n v="0"/>
    <n v="-2859117.8200002178"/>
    <m/>
    <m/>
    <m/>
    <n v="1227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8"/>
    <s v="Extrato/122721"/>
    <s v="Banco Brb - Cód. 122721"/>
    <n v="0"/>
    <d v="2015-05-04T00:00:00"/>
    <d v="1899-12-30T15:44:42"/>
    <n v="15"/>
    <n v="0"/>
    <n v="-2859132.8200002178"/>
    <m/>
    <m/>
    <m/>
    <n v="12272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9"/>
    <s v="Extrato/122722"/>
    <s v="Banco Brb - Cód. 122722"/>
    <n v="0"/>
    <d v="2015-05-04T00:00:00"/>
    <d v="1899-12-30T15:44:42"/>
    <n v="15"/>
    <n v="0"/>
    <n v="-2859147.8200002178"/>
    <m/>
    <m/>
    <m/>
    <n v="12272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5"/>
    <s v="Extrato/122713"/>
    <s v="Banco Brb - Cód. 122713"/>
    <n v="0"/>
    <d v="2015-05-04T00:00:00"/>
    <d v="1899-12-30T15:44:42"/>
    <n v="35.25"/>
    <n v="0"/>
    <n v="-2859183.0700002178"/>
    <m/>
    <m/>
    <m/>
    <n v="1227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6"/>
    <s v="Extrato/122714"/>
    <s v="Banco Brb - Cód. 122714"/>
    <n v="0"/>
    <d v="2015-05-04T00:00:00"/>
    <d v="1899-12-30T15:44:42"/>
    <n v="6.24"/>
    <n v="0"/>
    <n v="-2859189.310000218"/>
    <m/>
    <m/>
    <m/>
    <n v="1227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0"/>
    <s v="Extrato/122715"/>
    <s v="Banco Brb - Cód. 122715"/>
    <n v="0"/>
    <d v="2015-05-04T00:00:00"/>
    <d v="1899-12-30T15:44:42"/>
    <n v="15"/>
    <n v="0"/>
    <n v="-2859204.310000218"/>
    <m/>
    <m/>
    <m/>
    <n v="1227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1"/>
    <s v="Extrato/122620"/>
    <s v="Banco Brb - Cód. 122620"/>
    <n v="0"/>
    <d v="2015-05-04T00:00:00"/>
    <d v="1899-12-30T15:46:32"/>
    <n v="230"/>
    <n v="0"/>
    <n v="-2859434.310000218"/>
    <m/>
    <m/>
    <m/>
    <n v="1226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2"/>
    <s v="Extrato/122744"/>
    <s v="Banco Brb - Cód. 122744"/>
    <n v="0"/>
    <d v="2015-05-04T00:00:00"/>
    <d v="1899-12-30T15:50:51"/>
    <n v="15"/>
    <n v="0"/>
    <n v="-2859449.310000218"/>
    <m/>
    <m/>
    <m/>
    <n v="12274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3"/>
    <s v="Extrato/122745"/>
    <s v="Banco Brb - Cód. 122745"/>
    <n v="0"/>
    <d v="2015-05-04T00:00:00"/>
    <d v="1899-12-30T15:50:51"/>
    <n v="15"/>
    <n v="0"/>
    <n v="-2859464.310000218"/>
    <m/>
    <m/>
    <m/>
    <n v="12274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4"/>
    <s v="Extrato/122746"/>
    <s v="Banco Brb - Cód. 122746"/>
    <n v="0"/>
    <d v="2015-05-04T00:00:00"/>
    <d v="1899-12-30T15:50:51"/>
    <n v="27.16"/>
    <n v="0"/>
    <n v="-2859491.4700002181"/>
    <m/>
    <m/>
    <m/>
    <n v="12274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5"/>
    <s v="Extrato/122747"/>
    <s v="Banco Brb - Cód. 122747"/>
    <n v="0"/>
    <d v="2015-05-04T00:00:00"/>
    <d v="1899-12-30T15:50:51"/>
    <n v="11"/>
    <n v="0"/>
    <n v="-2859502.4700002181"/>
    <m/>
    <m/>
    <m/>
    <n v="1227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1"/>
    <s v="Extrato/122750"/>
    <s v="Banco Brb - Par. 122750(03-16)"/>
    <n v="0"/>
    <d v="2015-05-04T00:00:00"/>
    <d v="1899-12-30T15:52:34"/>
    <n v="15"/>
    <n v="0"/>
    <n v="-2859517.4700002181"/>
    <m/>
    <m/>
    <m/>
    <n v="1227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2"/>
    <s v="Extrato/122760"/>
    <s v="Banco Brb - Par. 122760(13-16)"/>
    <n v="0"/>
    <d v="2015-05-04T00:00:00"/>
    <d v="1899-12-30T15:52:34"/>
    <n v="15"/>
    <n v="0"/>
    <n v="-2859532.4700002181"/>
    <m/>
    <m/>
    <m/>
    <n v="12276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3"/>
    <s v="Extrato/122751"/>
    <s v="Banco Brb - Par. 122751(04-16)"/>
    <n v="0"/>
    <d v="2015-05-04T00:00:00"/>
    <d v="1899-12-30T15:52:34"/>
    <n v="15"/>
    <n v="0"/>
    <n v="-2859547.4700002181"/>
    <m/>
    <m/>
    <m/>
    <n v="1227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4"/>
    <s v="Extrato/122761"/>
    <s v="Banco Brb - Par. 122761(14-16)"/>
    <n v="0"/>
    <d v="2015-05-04T00:00:00"/>
    <d v="1899-12-30T15:52:34"/>
    <n v="15"/>
    <n v="0"/>
    <n v="-2859562.4700002181"/>
    <m/>
    <m/>
    <m/>
    <n v="12276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5"/>
    <s v="Extrato/122752"/>
    <s v="Banco Brb - Par. 122752(05-16)"/>
    <n v="0"/>
    <d v="2015-05-04T00:00:00"/>
    <d v="1899-12-30T15:52:34"/>
    <n v="15"/>
    <n v="0"/>
    <n v="-2859577.4700002181"/>
    <m/>
    <m/>
    <m/>
    <n v="1227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6"/>
    <s v="Extrato/122762"/>
    <s v="Banco Brb - Par. 122762(15-16)"/>
    <n v="0"/>
    <d v="2015-05-04T00:00:00"/>
    <d v="1899-12-30T15:52:34"/>
    <n v="15"/>
    <n v="0"/>
    <n v="-2859592.4700002181"/>
    <m/>
    <m/>
    <m/>
    <n v="12276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7"/>
    <s v="Extrato/122753"/>
    <s v="Banco Brb - Par. 122753(06-16)"/>
    <n v="0"/>
    <d v="2015-05-04T00:00:00"/>
    <d v="1899-12-30T15:52:34"/>
    <n v="15"/>
    <n v="0"/>
    <n v="-2859607.4700002181"/>
    <m/>
    <m/>
    <m/>
    <n v="12275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8"/>
    <s v="Extrato/122763"/>
    <s v="Banco Brb - Par. 122763(16-16)"/>
    <n v="0"/>
    <d v="2015-05-04T00:00:00"/>
    <d v="1899-12-30T15:52:34"/>
    <n v="15"/>
    <n v="0"/>
    <n v="-2859622.4700002181"/>
    <m/>
    <m/>
    <m/>
    <n v="12276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6"/>
    <s v="Extrato/122757"/>
    <s v="Banco Brb - Par. 122757(10-16)"/>
    <n v="0"/>
    <d v="2015-05-04T00:00:00"/>
    <d v="1899-12-30T15:52:34"/>
    <n v="15"/>
    <n v="0"/>
    <n v="-2859637.4700002181"/>
    <m/>
    <m/>
    <m/>
    <n v="12275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7"/>
    <s v="Extrato/122748"/>
    <s v="Banco Brb - Par. 122748(01-16)"/>
    <n v="0"/>
    <d v="2015-05-04T00:00:00"/>
    <d v="1899-12-30T15:52:34"/>
    <n v="15"/>
    <n v="0"/>
    <n v="-2859652.4700002181"/>
    <m/>
    <m/>
    <m/>
    <n v="12274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8"/>
    <s v="Extrato/122758"/>
    <s v="Banco Brb - Par. 122758(11-16)"/>
    <n v="0"/>
    <d v="2015-05-04T00:00:00"/>
    <d v="1899-12-30T15:52:34"/>
    <n v="15"/>
    <n v="0"/>
    <n v="-2859667.4700002181"/>
    <m/>
    <m/>
    <m/>
    <n v="12275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9"/>
    <s v="Extrato/122749"/>
    <s v="Banco Brb - Par. 122749(02-16)"/>
    <n v="0"/>
    <d v="2015-05-04T00:00:00"/>
    <d v="1899-12-30T15:52:34"/>
    <n v="15"/>
    <n v="0"/>
    <n v="-2859682.4700002181"/>
    <m/>
    <m/>
    <m/>
    <n v="12274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0"/>
    <s v="Extrato/122759"/>
    <s v="Banco Brb - Par. 122759(12-16)"/>
    <n v="0"/>
    <d v="2015-05-04T00:00:00"/>
    <d v="1899-12-30T15:52:34"/>
    <n v="15"/>
    <n v="0"/>
    <n v="-2859697.4700002181"/>
    <m/>
    <m/>
    <m/>
    <n v="12275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9"/>
    <s v="Extrato/122754"/>
    <s v="Banco Brb - Par. 122754(07-16)"/>
    <n v="0"/>
    <d v="2015-05-04T00:00:00"/>
    <d v="1899-12-30T15:52:35"/>
    <n v="15"/>
    <n v="0"/>
    <n v="-2859712.4700002181"/>
    <m/>
    <m/>
    <m/>
    <n v="12275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0"/>
    <s v="Extrato/122755"/>
    <s v="Banco Brb - Par. 122755(08-16)"/>
    <n v="0"/>
    <d v="2015-05-04T00:00:00"/>
    <d v="1899-12-30T15:52:35"/>
    <n v="15"/>
    <n v="0"/>
    <n v="-2859727.4700002181"/>
    <m/>
    <m/>
    <m/>
    <n v="12275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1"/>
    <s v="Extrato/122756"/>
    <s v="Banco Brb - Par. 122756(09-16)"/>
    <n v="0"/>
    <d v="2015-05-04T00:00:00"/>
    <d v="1899-12-30T15:52:35"/>
    <n v="15"/>
    <n v="0"/>
    <n v="-2859742.4700002181"/>
    <m/>
    <m/>
    <m/>
    <n v="12275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2"/>
    <s v="Extrato/122764"/>
    <s v="Banco Brb - Cód. 122764"/>
    <n v="0"/>
    <d v="2015-05-04T00:00:00"/>
    <d v="1899-12-30T15:57:14"/>
    <n v="38.5"/>
    <n v="0"/>
    <n v="-2859780.9700002181"/>
    <m/>
    <m/>
    <m/>
    <n v="12276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3"/>
    <s v="Extrato/122765"/>
    <s v="Banco Brb - Cód. 122765"/>
    <n v="0"/>
    <d v="2015-05-04T00:00:00"/>
    <d v="1899-12-30T15:57:15"/>
    <n v="9.4"/>
    <n v="0"/>
    <n v="-2859790.370000218"/>
    <m/>
    <m/>
    <m/>
    <n v="12276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4"/>
    <s v="Extrato/122766"/>
    <s v="Banco Brb - Cód. 122766"/>
    <n v="0"/>
    <d v="2015-05-04T00:00:00"/>
    <d v="1899-12-30T15:57:15"/>
    <n v="22"/>
    <n v="0"/>
    <n v="-2859812.370000218"/>
    <m/>
    <m/>
    <m/>
    <n v="12276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6"/>
    <s v="JUROS20150504/122769"/>
    <s v="Banco Brb - Par. 122769(02-3)"/>
    <n v="0"/>
    <d v="2015-05-04T00:00:00"/>
    <d v="1899-12-30T15:58:38"/>
    <n v="53184.06"/>
    <n v="0"/>
    <n v="-2912996.4300002181"/>
    <m/>
    <m/>
    <m/>
    <n v="122769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445"/>
    <s v="JUROS20150504/122768"/>
    <s v="Banco Brb - Par. 122768(01-3)"/>
    <n v="0"/>
    <d v="2015-05-04T00:00:00"/>
    <d v="1899-12-30T15:58:38"/>
    <n v="102809.03"/>
    <n v="0"/>
    <n v="-3015805.4600002179"/>
    <m/>
    <m/>
    <m/>
    <n v="122768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449"/>
    <s v="Extrato/122772"/>
    <s v="Banco Brb - Par. 122772(02-7)"/>
    <n v="0"/>
    <d v="2015-05-04T00:00:00"/>
    <d v="1899-12-30T15:59:14"/>
    <n v="15"/>
    <n v="0"/>
    <n v="-3015820.4600002179"/>
    <m/>
    <m/>
    <m/>
    <n v="12277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0"/>
    <s v="Extrato/122773"/>
    <s v="Banco Brb - Par. 122773(03-7)"/>
    <n v="0"/>
    <d v="2015-05-04T00:00:00"/>
    <d v="1899-12-30T15:59:14"/>
    <n v="15"/>
    <n v="0"/>
    <n v="-3015835.4600002179"/>
    <m/>
    <m/>
    <m/>
    <n v="12277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1"/>
    <s v="Extrato/122774"/>
    <s v="Banco Brb - Par. 122774(04-7)"/>
    <n v="0"/>
    <d v="2015-05-04T00:00:00"/>
    <d v="1899-12-30T15:59:14"/>
    <n v="15"/>
    <n v="0"/>
    <n v="-3015850.4600002179"/>
    <m/>
    <m/>
    <m/>
    <n v="12277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2"/>
    <s v="Extrato/122775"/>
    <s v="Banco Brb - Par. 122775(05-7)"/>
    <n v="0"/>
    <d v="2015-05-04T00:00:00"/>
    <d v="1899-12-30T15:59:14"/>
    <n v="15"/>
    <n v="0"/>
    <n v="-3015865.4600002179"/>
    <m/>
    <m/>
    <m/>
    <n v="12277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3"/>
    <s v="Extrato/122776"/>
    <s v="Banco Brb - Par. 122776(06-7)"/>
    <n v="0"/>
    <d v="2015-05-04T00:00:00"/>
    <d v="1899-12-30T15:59:14"/>
    <n v="15"/>
    <n v="0"/>
    <n v="-3015880.4600002179"/>
    <m/>
    <m/>
    <m/>
    <n v="12277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4"/>
    <s v="Extrato/122777"/>
    <s v="Banco Brb - Par. 122777(07-7)"/>
    <n v="0"/>
    <d v="2015-05-04T00:00:00"/>
    <d v="1899-12-30T15:59:14"/>
    <n v="15"/>
    <n v="0"/>
    <n v="-3015895.4600002179"/>
    <m/>
    <m/>
    <m/>
    <n v="12277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6"/>
    <s v="DB20150504"/>
    <s v="OPERAÇÃO DESCONTO BOLETOS 2013.05.04"/>
    <n v="410412.64"/>
    <d v="2015-05-04T00:00:00"/>
    <d v="1899-12-30T16:00:56"/>
    <n v="0"/>
    <n v="0"/>
    <n v="-2605482.8200002178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8457"/>
    <s v="DB20150504"/>
    <s v="OPERAÇÃO DESCONTO BOLETOS 2013.05.04"/>
    <n v="201211.45"/>
    <d v="2015-05-04T00:00:00"/>
    <d v="1899-12-30T16:01:31"/>
    <n v="0"/>
    <n v="0"/>
    <n v="-2404271.3700002176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8460"/>
    <s v="Extrato/122780"/>
    <s v="Banco Brb - Cód. 122780"/>
    <n v="0"/>
    <d v="2015-05-04T00:00:00"/>
    <d v="1899-12-30T16:02:43"/>
    <n v="12.53"/>
    <n v="0"/>
    <n v="-2404283.9000002174"/>
    <m/>
    <m/>
    <m/>
    <n v="12278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1"/>
    <s v="Extrato/122781"/>
    <s v="Banco Brb - Cód. 122781"/>
    <n v="0"/>
    <d v="2015-05-04T00:00:00"/>
    <d v="1899-12-30T16:02:43"/>
    <n v="11.96"/>
    <n v="0"/>
    <n v="-2404295.8600002173"/>
    <m/>
    <m/>
    <m/>
    <n v="12278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2"/>
    <s v="Extrato/122782"/>
    <s v="Banco Brb - Cód. 122782"/>
    <n v="0"/>
    <d v="2015-05-04T00:00:00"/>
    <d v="1899-12-30T16:02:43"/>
    <n v="7.23"/>
    <n v="0"/>
    <n v="-2404303.0900002173"/>
    <m/>
    <m/>
    <m/>
    <n v="12278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8"/>
    <s v="Extrato/122778"/>
    <s v="Banco Brb - Cód. 122778"/>
    <n v="0"/>
    <d v="2015-05-04T00:00:00"/>
    <d v="1899-12-30T16:02:43"/>
    <n v="30.25"/>
    <n v="0"/>
    <n v="-2404333.3400002173"/>
    <m/>
    <m/>
    <m/>
    <n v="12277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9"/>
    <s v="Extrato/122779"/>
    <s v="Banco Brb - Cód. 122779"/>
    <n v="0"/>
    <d v="2015-05-04T00:00:00"/>
    <d v="1899-12-30T16:02:43"/>
    <n v="9.6300000000000008"/>
    <n v="0"/>
    <n v="-2404342.9700002172"/>
    <m/>
    <m/>
    <m/>
    <n v="12277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4"/>
    <s v="Extrato/122792"/>
    <s v="Banco Brb - Par. 122792(10-17)"/>
    <n v="0"/>
    <d v="2015-05-04T00:00:00"/>
    <d v="1899-12-30T16:06:39"/>
    <n v="15"/>
    <n v="0"/>
    <n v="-2404357.9700002172"/>
    <m/>
    <m/>
    <m/>
    <n v="12279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8"/>
    <s v="Extrato/122790"/>
    <s v="Banco Brb - Par. 122790(08-17)"/>
    <n v="0"/>
    <d v="2015-05-04T00:00:00"/>
    <d v="1899-12-30T16:06:40"/>
    <n v="15"/>
    <n v="0"/>
    <n v="-2404372.9700002172"/>
    <m/>
    <m/>
    <m/>
    <n v="12279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9"/>
    <s v="Extrato/122791"/>
    <s v="Banco Brb - Par. 122791(09-17)"/>
    <n v="0"/>
    <d v="2015-05-04T00:00:00"/>
    <d v="1899-12-30T16:06:40"/>
    <n v="15"/>
    <n v="0"/>
    <n v="-2404387.9700002172"/>
    <m/>
    <m/>
    <m/>
    <n v="12279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5"/>
    <s v="Extrato/122793"/>
    <s v="Banco Brb - Par. 122793(11-17)"/>
    <n v="0"/>
    <d v="2015-05-04T00:00:00"/>
    <d v="1899-12-30T16:06:40"/>
    <n v="15"/>
    <n v="0"/>
    <n v="-2404402.9700002172"/>
    <m/>
    <m/>
    <m/>
    <n v="12279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6"/>
    <s v="Extrato/122784"/>
    <s v="Banco Brb - Par. 122784(02-17)"/>
    <n v="0"/>
    <d v="2015-05-04T00:00:00"/>
    <d v="1899-12-30T16:06:40"/>
    <n v="15"/>
    <n v="0"/>
    <n v="-2404417.9700002172"/>
    <m/>
    <m/>
    <m/>
    <n v="12278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7"/>
    <s v="Extrato/122794"/>
    <s v="Banco Brb - Par. 122794(12-17)"/>
    <n v="0"/>
    <d v="2015-05-04T00:00:00"/>
    <d v="1899-12-30T16:06:40"/>
    <n v="15"/>
    <n v="0"/>
    <n v="-2404432.9700002172"/>
    <m/>
    <m/>
    <m/>
    <n v="12279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8"/>
    <s v="Extrato/122785"/>
    <s v="Banco Brb - Par. 122785(03-17)"/>
    <n v="0"/>
    <d v="2015-05-04T00:00:00"/>
    <d v="1899-12-30T16:06:40"/>
    <n v="15"/>
    <n v="0"/>
    <n v="-2404447.9700002172"/>
    <m/>
    <m/>
    <m/>
    <n v="12278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9"/>
    <s v="Extrato/122795"/>
    <s v="Banco Brb - Par. 122795(13-17)"/>
    <n v="0"/>
    <d v="2015-05-04T00:00:00"/>
    <d v="1899-12-30T16:06:40"/>
    <n v="15"/>
    <n v="0"/>
    <n v="-2404462.9700002172"/>
    <m/>
    <m/>
    <m/>
    <n v="12279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0"/>
    <s v="Extrato/122786"/>
    <s v="Banco Brb - Par. 122786(04-17)"/>
    <n v="0"/>
    <d v="2015-05-04T00:00:00"/>
    <d v="1899-12-30T16:06:40"/>
    <n v="15"/>
    <n v="0"/>
    <n v="-2404477.9700002172"/>
    <m/>
    <m/>
    <m/>
    <n v="12278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1"/>
    <s v="Extrato/122796"/>
    <s v="Banco Brb - Par. 122796(14-17)"/>
    <n v="0"/>
    <d v="2015-05-04T00:00:00"/>
    <d v="1899-12-30T16:06:40"/>
    <n v="15"/>
    <n v="0"/>
    <n v="-2404492.9700002172"/>
    <m/>
    <m/>
    <m/>
    <n v="12279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2"/>
    <s v="Extrato/122787"/>
    <s v="Banco Brb - Par. 122787(05-17)"/>
    <n v="0"/>
    <d v="2015-05-04T00:00:00"/>
    <d v="1899-12-30T16:06:40"/>
    <n v="15"/>
    <n v="0"/>
    <n v="-2404507.9700002172"/>
    <m/>
    <m/>
    <m/>
    <n v="12278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3"/>
    <s v="Extrato/122797"/>
    <s v="Banco Brb - Par. 122797(15-17)"/>
    <n v="0"/>
    <d v="2015-05-04T00:00:00"/>
    <d v="1899-12-30T16:06:40"/>
    <n v="15"/>
    <n v="0"/>
    <n v="-2404522.9700002172"/>
    <m/>
    <m/>
    <m/>
    <n v="12279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4"/>
    <s v="Extrato/122788"/>
    <s v="Banco Brb - Par. 122788(06-17)"/>
    <n v="0"/>
    <d v="2015-05-04T00:00:00"/>
    <d v="1899-12-30T16:06:40"/>
    <n v="15"/>
    <n v="0"/>
    <n v="-2404537.9700002172"/>
    <m/>
    <m/>
    <m/>
    <n v="12278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5"/>
    <s v="Extrato/122798"/>
    <s v="Banco Brb - Par. 122798(16-17)"/>
    <n v="0"/>
    <d v="2015-05-04T00:00:00"/>
    <d v="1899-12-30T16:06:40"/>
    <n v="15"/>
    <n v="0"/>
    <n v="-2404552.9700002172"/>
    <m/>
    <m/>
    <m/>
    <n v="12279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6"/>
    <s v="Extrato/122789"/>
    <s v="Banco Brb - Par. 122789(07-17)"/>
    <n v="0"/>
    <d v="2015-05-04T00:00:00"/>
    <d v="1899-12-30T16:06:40"/>
    <n v="15"/>
    <n v="0"/>
    <n v="-2404567.9700002172"/>
    <m/>
    <m/>
    <m/>
    <n v="12278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7"/>
    <s v="Extrato/122799"/>
    <s v="Banco Brb - Par. 122799(17-17)"/>
    <n v="0"/>
    <d v="2015-05-04T00:00:00"/>
    <d v="1899-12-30T16:06:40"/>
    <n v="15"/>
    <n v="0"/>
    <n v="-2404582.9700002172"/>
    <m/>
    <m/>
    <m/>
    <n v="12279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80"/>
    <s v="Extrato/122800"/>
    <s v="Banco Brb - Cód. 122800"/>
    <n v="0"/>
    <d v="2015-05-04T00:00:00"/>
    <d v="1899-12-30T16:09:58"/>
    <n v="6.12"/>
    <n v="0"/>
    <n v="-2404589.0900002173"/>
    <m/>
    <m/>
    <m/>
    <n v="12280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81"/>
    <s v="Extrato/122801"/>
    <s v="Banco Brb - Cód. 122801"/>
    <n v="0"/>
    <d v="2015-05-04T00:00:00"/>
    <d v="1899-12-30T16:09:58"/>
    <n v="5.61"/>
    <n v="0"/>
    <n v="-2404594.7000002172"/>
    <m/>
    <m/>
    <m/>
    <n v="12280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6160"/>
    <s v="Extrato"/>
    <s v="Transferência Entre Contas"/>
    <n v="0"/>
    <d v="2015-05-04T00:00:00"/>
    <d v="1899-12-30T16:28:29"/>
    <n v="6600"/>
    <n v="0"/>
    <n v="-2411194.7000002172"/>
    <m/>
    <m/>
    <m/>
    <m/>
    <n v="7"/>
    <s v="Anapaula"/>
    <n v="1"/>
    <m/>
    <n v="1449"/>
    <d v="2015-07-03T00:00:00"/>
    <d v="2015-07-06T00:00:00"/>
    <m/>
    <m/>
    <n v="2015"/>
    <n v="24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68494"/>
    <s v="Extrato/122821"/>
    <s v="Banco Brb - Cód. 122821"/>
    <n v="0"/>
    <d v="2015-05-04T00:00:00"/>
    <d v="1899-12-30T16:33:33"/>
    <n v="23.3"/>
    <n v="0"/>
    <n v="-2411218.000000217"/>
    <m/>
    <m/>
    <m/>
    <n v="12282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7"/>
    <s v="Extrato/122831"/>
    <s v="Banco Brb - Cód. 122831"/>
    <n v="0"/>
    <d v="2015-05-04T00:00:00"/>
    <d v="1899-12-30T16:33:33"/>
    <n v="6.33"/>
    <n v="0"/>
    <n v="-2411224.3300002171"/>
    <m/>
    <m/>
    <m/>
    <n v="12283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8"/>
    <s v="Extrato/122802"/>
    <s v="Banco Brb - Cód. 122802"/>
    <n v="0"/>
    <d v="2015-05-04T00:00:00"/>
    <d v="1899-12-30T16:33:33"/>
    <n v="15"/>
    <n v="0"/>
    <n v="-2411239.3300002171"/>
    <m/>
    <m/>
    <m/>
    <n v="12280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5"/>
    <s v="Extrato/122822"/>
    <s v="Banco Brb - Cód. 122822"/>
    <n v="0"/>
    <d v="2015-05-04T00:00:00"/>
    <d v="1899-12-30T16:33:33"/>
    <n v="7.1"/>
    <n v="0"/>
    <n v="-2411246.4300002172"/>
    <m/>
    <m/>
    <m/>
    <n v="12282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9"/>
    <s v="Extrato/122803"/>
    <s v="Banco Brb - Cód. 122803"/>
    <n v="0"/>
    <d v="2015-05-04T00:00:00"/>
    <d v="1899-12-30T16:33:33"/>
    <n v="15"/>
    <n v="0"/>
    <n v="-2411261.4300002172"/>
    <m/>
    <m/>
    <m/>
    <n v="12280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6"/>
    <s v="Extrato/122823"/>
    <s v="Banco Brb - Cód. 122823"/>
    <n v="0"/>
    <d v="2015-05-04T00:00:00"/>
    <d v="1899-12-30T16:33:33"/>
    <n v="6.33"/>
    <n v="0"/>
    <n v="-2411267.7600002172"/>
    <m/>
    <m/>
    <m/>
    <n v="12282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0"/>
    <s v="Extrato/122805"/>
    <s v="Banco Brb - Cód. 122805"/>
    <n v="0"/>
    <d v="2015-05-04T00:00:00"/>
    <d v="1899-12-30T16:33:33"/>
    <n v="9.9"/>
    <n v="0"/>
    <n v="-2411277.6600002171"/>
    <m/>
    <m/>
    <m/>
    <n v="12280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2"/>
    <s v="Extrato/122815"/>
    <s v="Banco Brb - Cód. 122815"/>
    <n v="0"/>
    <d v="2015-05-04T00:00:00"/>
    <d v="1899-12-30T16:33:33"/>
    <n v="11.11"/>
    <n v="0"/>
    <n v="-2411288.770000217"/>
    <m/>
    <m/>
    <m/>
    <n v="1228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1"/>
    <s v="Extrato/122806"/>
    <s v="Banco Brb - Cód. 122806"/>
    <n v="0"/>
    <d v="2015-05-04T00:00:00"/>
    <d v="1899-12-30T16:33:33"/>
    <n v="8.36"/>
    <n v="0"/>
    <n v="-2411297.1300002169"/>
    <m/>
    <m/>
    <m/>
    <n v="12280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3"/>
    <s v="Extrato/122816"/>
    <s v="Banco Brb - Cód. 122816"/>
    <n v="0"/>
    <d v="2015-05-04T00:00:00"/>
    <d v="1899-12-30T16:33:33"/>
    <n v="5.85"/>
    <n v="0"/>
    <n v="-2411302.980000217"/>
    <m/>
    <m/>
    <m/>
    <n v="12281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4"/>
    <s v="Extrato/122810"/>
    <s v="Banco Brb - Cód. 122810"/>
    <n v="0"/>
    <d v="2015-05-04T00:00:00"/>
    <d v="1899-12-30T16:33:34"/>
    <n v="15"/>
    <n v="0"/>
    <n v="-2411317.980000217"/>
    <m/>
    <m/>
    <m/>
    <n v="12281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1"/>
    <s v="Extrato/122820"/>
    <s v="Banco Brb - Cód. 122820"/>
    <n v="0"/>
    <d v="2015-05-04T00:00:00"/>
    <d v="1899-12-30T16:33:34"/>
    <n v="15"/>
    <n v="0"/>
    <n v="-2411332.980000217"/>
    <m/>
    <m/>
    <m/>
    <n v="1228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5"/>
    <s v="Extrato/122812"/>
    <s v="Banco Brb - Cód. 122812"/>
    <n v="0"/>
    <d v="2015-05-04T00:00:00"/>
    <d v="1899-12-30T16:33:34"/>
    <n v="15"/>
    <n v="0"/>
    <n v="-2411347.980000217"/>
    <m/>
    <m/>
    <m/>
    <n v="1228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6"/>
    <s v="Extrato/122813"/>
    <s v="Banco Brb - Cód. 122813"/>
    <n v="0"/>
    <d v="2015-05-04T00:00:00"/>
    <d v="1899-12-30T16:33:34"/>
    <n v="15"/>
    <n v="0"/>
    <n v="-2411362.980000217"/>
    <m/>
    <m/>
    <m/>
    <n v="1228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0"/>
    <s v="Extrato/122804"/>
    <s v="Banco Brb - Cód. 122804"/>
    <n v="0"/>
    <d v="2015-05-04T00:00:00"/>
    <d v="1899-12-30T16:33:34"/>
    <n v="15"/>
    <n v="0"/>
    <n v="-2411377.980000217"/>
    <m/>
    <m/>
    <m/>
    <n v="12280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7"/>
    <s v="Extrato/122814"/>
    <s v="Banco Brb - Cód. 122814"/>
    <n v="0"/>
    <d v="2015-05-04T00:00:00"/>
    <d v="1899-12-30T16:33:34"/>
    <n v="15"/>
    <n v="0"/>
    <n v="-2411392.980000217"/>
    <m/>
    <m/>
    <m/>
    <n v="1228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2"/>
    <s v="Extrato/122824"/>
    <s v="Banco Brb - Cód. 122824"/>
    <n v="0"/>
    <d v="2015-05-04T00:00:00"/>
    <d v="1899-12-30T16:33:34"/>
    <n v="15"/>
    <n v="0"/>
    <n v="-2411407.980000217"/>
    <m/>
    <m/>
    <m/>
    <n v="12282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3"/>
    <s v="Extrato/122825"/>
    <s v="Banco Brb - Cód. 122825"/>
    <n v="0"/>
    <d v="2015-05-04T00:00:00"/>
    <d v="1899-12-30T16:33:34"/>
    <n v="15"/>
    <n v="0"/>
    <n v="-2411422.980000217"/>
    <m/>
    <m/>
    <m/>
    <n v="12282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4"/>
    <s v="Extrato/122826"/>
    <s v="Banco Brb - Cód. 122826"/>
    <n v="0"/>
    <d v="2015-05-04T00:00:00"/>
    <d v="1899-12-30T16:33:34"/>
    <n v="15"/>
    <n v="0"/>
    <n v="-2411437.980000217"/>
    <m/>
    <m/>
    <m/>
    <n v="12282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1"/>
    <s v="Extrato/122807"/>
    <s v="Banco Brb - Cód. 122807"/>
    <n v="0"/>
    <d v="2015-05-04T00:00:00"/>
    <d v="1899-12-30T16:33:34"/>
    <n v="15"/>
    <n v="0"/>
    <n v="-2411452.980000217"/>
    <m/>
    <m/>
    <m/>
    <n v="12280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8"/>
    <s v="Extrato/122817"/>
    <s v="Banco Brb - Cód. 122817"/>
    <n v="0"/>
    <d v="2015-05-04T00:00:00"/>
    <d v="1899-12-30T16:33:34"/>
    <n v="15"/>
    <n v="0"/>
    <n v="-2411467.980000217"/>
    <m/>
    <m/>
    <m/>
    <n v="12281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5"/>
    <s v="Extrato/122827"/>
    <s v="Banco Brb - Cód. 122827"/>
    <n v="0"/>
    <d v="2015-05-04T00:00:00"/>
    <d v="1899-12-30T16:33:34"/>
    <n v="15"/>
    <n v="0"/>
    <n v="-2411482.980000217"/>
    <m/>
    <m/>
    <m/>
    <n v="12282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2"/>
    <s v="Extrato/122808"/>
    <s v="Banco Brb - Cód. 122808"/>
    <n v="0"/>
    <d v="2015-05-04T00:00:00"/>
    <d v="1899-12-30T16:33:34"/>
    <n v="15"/>
    <n v="0"/>
    <n v="-2411497.980000217"/>
    <m/>
    <m/>
    <m/>
    <n v="1228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9"/>
    <s v="Extrato/122818"/>
    <s v="Banco Brb - Cód. 122818"/>
    <n v="0"/>
    <d v="2015-05-04T00:00:00"/>
    <d v="1899-12-30T16:33:34"/>
    <n v="15"/>
    <n v="0"/>
    <n v="-2411512.980000217"/>
    <m/>
    <m/>
    <m/>
    <n v="12281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6"/>
    <s v="Extrato/122828"/>
    <s v="Banco Brb - Cód. 122828"/>
    <n v="0"/>
    <d v="2015-05-04T00:00:00"/>
    <d v="1899-12-30T16:33:34"/>
    <n v="15"/>
    <n v="0"/>
    <n v="-2411527.980000217"/>
    <m/>
    <m/>
    <m/>
    <n v="12282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3"/>
    <s v="Extrato/122809"/>
    <s v="Banco Brb - Cód. 122809"/>
    <n v="0"/>
    <d v="2015-05-04T00:00:00"/>
    <d v="1899-12-30T16:33:34"/>
    <n v="15"/>
    <n v="0"/>
    <n v="-2411542.980000217"/>
    <m/>
    <m/>
    <m/>
    <n v="12280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0"/>
    <s v="Extrato/122819"/>
    <s v="Banco Brb - Cód. 122819"/>
    <n v="0"/>
    <d v="2015-05-04T00:00:00"/>
    <d v="1899-12-30T16:33:34"/>
    <n v="15"/>
    <n v="0"/>
    <n v="-2411557.980000217"/>
    <m/>
    <m/>
    <m/>
    <n v="12281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7"/>
    <s v="Extrato/122829"/>
    <s v="Banco Brb - Cód. 122829"/>
    <n v="0"/>
    <d v="2015-05-04T00:00:00"/>
    <d v="1899-12-30T16:33:34"/>
    <n v="15"/>
    <n v="0"/>
    <n v="-2411572.980000217"/>
    <m/>
    <m/>
    <m/>
    <n v="1228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8"/>
    <s v="Extrato/122830"/>
    <s v="Banco Brb - Cód. 122830"/>
    <n v="0"/>
    <d v="2015-05-04T00:00:00"/>
    <d v="1899-12-30T16:33:35"/>
    <n v="15"/>
    <n v="0"/>
    <n v="-2411587.980000217"/>
    <m/>
    <m/>
    <m/>
    <n v="1228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9"/>
    <s v="Extrato/122832"/>
    <s v="Banco Brb - Cód. 122832"/>
    <n v="0"/>
    <d v="2015-05-04T00:00:00"/>
    <d v="1899-12-30T16:33:35"/>
    <n v="15"/>
    <n v="0"/>
    <n v="-2411602.980000217"/>
    <m/>
    <m/>
    <m/>
    <n v="1228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6170"/>
    <s v="Extrato/128700"/>
    <s v="Banco Safra - Cód. 128700"/>
    <n v="0"/>
    <d v="2015-05-04T00:00:00"/>
    <d v="1899-12-30T16:36:09"/>
    <n v="27.38"/>
    <n v="0"/>
    <n v="-2411630.3600002169"/>
    <m/>
    <m/>
    <m/>
    <n v="128700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71"/>
    <s v="Extrato/128702"/>
    <s v="Banco Safra - Cód. 128702"/>
    <n v="0"/>
    <d v="2015-05-04T00:00:00"/>
    <d v="1899-12-30T16:36:09"/>
    <n v="76.48"/>
    <n v="0"/>
    <n v="-2411706.8400002168"/>
    <m/>
    <m/>
    <m/>
    <n v="128702"/>
    <n v="24"/>
    <s v="Emilly"/>
    <n v="1"/>
    <m/>
    <n v="1512"/>
    <d v="2015-07-03T00:00:00"/>
    <d v="2015-07-03T00:00:00"/>
    <m/>
    <m/>
    <n v="2015"/>
    <n v="24"/>
    <m/>
    <m/>
    <m/>
    <m/>
    <s v="IOF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72"/>
    <s v="Extrato/128703"/>
    <s v="Banco Safra - Cód. 128703"/>
    <n v="0"/>
    <d v="2015-05-04T00:00:00"/>
    <d v="1899-12-30T16:36:09"/>
    <n v="6.15"/>
    <n v="0"/>
    <n v="-2411712.9900002168"/>
    <m/>
    <m/>
    <m/>
    <n v="128703"/>
    <n v="24"/>
    <s v="Emilly"/>
    <n v="1"/>
    <m/>
    <n v="1512"/>
    <d v="2015-07-03T00:00:00"/>
    <d v="2015-07-03T00:00:00"/>
    <m/>
    <m/>
    <n v="2015"/>
    <n v="24"/>
    <m/>
    <m/>
    <m/>
    <m/>
    <s v="IOF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67"/>
    <s v="Extrato/128697"/>
    <s v="Banco Safra - Cód. 128697"/>
    <n v="0"/>
    <d v="2015-05-04T00:00:00"/>
    <d v="1899-12-30T16:36:09"/>
    <n v="11.52"/>
    <n v="0"/>
    <n v="-2411724.5100002168"/>
    <m/>
    <m/>
    <m/>
    <n v="128697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68"/>
    <s v="Extrato/128698"/>
    <s v="Banco Safra - Cód. 128698"/>
    <n v="0"/>
    <d v="2015-05-04T00:00:00"/>
    <d v="1899-12-30T16:36:09"/>
    <n v="41.28"/>
    <n v="0"/>
    <n v="-2411765.7900002166"/>
    <m/>
    <m/>
    <m/>
    <n v="128698"/>
    <n v="24"/>
    <s v="Emilly"/>
    <n v="1"/>
    <m/>
    <n v="1511"/>
    <d v="2015-07-03T00:00:00"/>
    <d v="2015-07-03T00:00:00"/>
    <m/>
    <m/>
    <n v="2015"/>
    <n v="24"/>
    <m/>
    <m/>
    <m/>
    <m/>
    <s v="Tarifas de manutenção de conta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69"/>
    <s v="Extrato/128699"/>
    <s v="Banco Safra - Cód. 128699"/>
    <n v="0"/>
    <d v="2015-05-04T00:00:00"/>
    <d v="1899-12-30T16:36:09"/>
    <n v="4572.41"/>
    <n v="0"/>
    <n v="-2416338.2000002167"/>
    <m/>
    <m/>
    <m/>
    <n v="128699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68525"/>
    <s v="Extrato/122840"/>
    <s v="Banco Brb - Cód. 122840"/>
    <n v="0"/>
    <d v="2015-05-04T00:00:00"/>
    <d v="1899-12-30T16:38:42"/>
    <n v="6.88"/>
    <n v="0"/>
    <n v="-2416345.0800002166"/>
    <m/>
    <m/>
    <m/>
    <n v="1228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6"/>
    <s v="Extrato/122841"/>
    <s v="Banco Brb - Cód. 122841"/>
    <n v="0"/>
    <d v="2015-05-04T00:00:00"/>
    <d v="1899-12-30T16:38:42"/>
    <n v="15.55"/>
    <n v="0"/>
    <n v="-2416360.6300002164"/>
    <m/>
    <m/>
    <m/>
    <n v="1228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7"/>
    <s v="Extrato/122842"/>
    <s v="Banco Brb - Cód. 122842"/>
    <n v="0"/>
    <d v="2015-05-04T00:00:00"/>
    <d v="1899-12-30T16:38:42"/>
    <n v="20.57"/>
    <n v="0"/>
    <n v="-2416381.2000002163"/>
    <m/>
    <m/>
    <m/>
    <n v="1228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0"/>
    <s v="Extrato/122835"/>
    <s v="Banco Brb - Cód. 122835"/>
    <n v="0"/>
    <d v="2015-05-04T00:00:00"/>
    <d v="1899-12-30T16:38:42"/>
    <n v="15"/>
    <n v="0"/>
    <n v="-2416396.2000002163"/>
    <m/>
    <m/>
    <m/>
    <n v="1228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1"/>
    <s v="Extrato/122836"/>
    <s v="Banco Brb - Cód. 122836"/>
    <n v="0"/>
    <d v="2015-05-04T00:00:00"/>
    <d v="1899-12-30T16:38:42"/>
    <n v="15"/>
    <n v="0"/>
    <n v="-2416411.2000002163"/>
    <m/>
    <m/>
    <m/>
    <n v="1228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2"/>
    <s v="Extrato/122837"/>
    <s v="Banco Brb - Cód. 122837"/>
    <n v="0"/>
    <d v="2015-05-04T00:00:00"/>
    <d v="1899-12-30T16:38:42"/>
    <n v="15"/>
    <n v="0"/>
    <n v="-2416426.2000002163"/>
    <m/>
    <m/>
    <m/>
    <n v="1228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3"/>
    <s v="Extrato/122838"/>
    <s v="Banco Brb - Cód. 122838"/>
    <n v="0"/>
    <d v="2015-05-04T00:00:00"/>
    <d v="1899-12-30T16:38:42"/>
    <n v="15"/>
    <n v="0"/>
    <n v="-2416441.2000002163"/>
    <m/>
    <m/>
    <m/>
    <n v="12283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4"/>
    <s v="Extrato/122839"/>
    <s v="Banco Brb - Cód. 122839"/>
    <n v="0"/>
    <d v="2015-05-04T00:00:00"/>
    <d v="1899-12-30T16:38:42"/>
    <n v="16.5"/>
    <n v="0"/>
    <n v="-2416457.7000002163"/>
    <m/>
    <m/>
    <m/>
    <n v="122839"/>
    <n v="60"/>
    <s v="Francielly"/>
    <n v="1"/>
    <m/>
    <n v="1511"/>
    <d v="2015-05-06T00:00:00"/>
    <d v="2015-05-06T00:00:00"/>
    <m/>
    <m/>
    <n v="2015"/>
    <n v="60"/>
    <m/>
    <m/>
    <m/>
    <m/>
    <s v="Tarifas de manutenção de conta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8"/>
    <s v="Extrato/122847"/>
    <s v="Banco Brb - Cód. 122847"/>
    <n v="0"/>
    <d v="2015-05-04T00:00:00"/>
    <d v="1899-12-30T16:38:43"/>
    <n v="16.64"/>
    <n v="0"/>
    <n v="-2416474.3400002164"/>
    <m/>
    <m/>
    <m/>
    <n v="1228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9"/>
    <s v="Extrato/122850"/>
    <s v="Banco Brb - Par. 122850(01-7)"/>
    <n v="0"/>
    <d v="2015-05-04T00:00:00"/>
    <d v="1899-12-30T16:40:08"/>
    <n v="15"/>
    <n v="0"/>
    <n v="-2416489.3400002164"/>
    <m/>
    <m/>
    <m/>
    <n v="1228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0"/>
    <s v="Extrato/122851"/>
    <s v="Banco Brb - Par. 122851(02-7)"/>
    <n v="0"/>
    <d v="2015-05-04T00:00:00"/>
    <d v="1899-12-30T16:40:08"/>
    <n v="15"/>
    <n v="0"/>
    <n v="-2416504.3400002164"/>
    <m/>
    <m/>
    <m/>
    <n v="1228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1"/>
    <s v="Extrato/122852"/>
    <s v="Banco Brb - Par. 122852(03-7)"/>
    <n v="0"/>
    <d v="2015-05-04T00:00:00"/>
    <d v="1899-12-30T16:40:08"/>
    <n v="15"/>
    <n v="0"/>
    <n v="-2416519.3400002164"/>
    <m/>
    <m/>
    <m/>
    <n v="1228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2"/>
    <s v="Extrato/122853"/>
    <s v="Banco Brb - Par. 122853(04-7)"/>
    <n v="0"/>
    <d v="2015-05-04T00:00:00"/>
    <d v="1899-12-30T16:40:08"/>
    <n v="15"/>
    <n v="0"/>
    <n v="-2416534.3400002164"/>
    <m/>
    <m/>
    <m/>
    <n v="12285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3"/>
    <s v="Extrato/122854"/>
    <s v="Banco Brb - Par. 122854(05-7)"/>
    <n v="0"/>
    <d v="2015-05-04T00:00:00"/>
    <d v="1899-12-30T16:40:08"/>
    <n v="15"/>
    <n v="0"/>
    <n v="-2416549.3400002164"/>
    <m/>
    <m/>
    <m/>
    <n v="12285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4"/>
    <s v="Extrato/122855"/>
    <s v="Banco Brb - Par. 122855(06-7)"/>
    <n v="0"/>
    <d v="2015-05-04T00:00:00"/>
    <d v="1899-12-30T16:40:08"/>
    <n v="15"/>
    <n v="0"/>
    <n v="-2416564.3400002164"/>
    <m/>
    <m/>
    <m/>
    <n v="12285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5"/>
    <s v="Extrato/122856"/>
    <s v="Banco Brb - Par. 122856(07-7)"/>
    <n v="0"/>
    <d v="2015-05-04T00:00:00"/>
    <d v="1899-12-30T16:40:08"/>
    <n v="15"/>
    <n v="0"/>
    <n v="-2416579.3400002164"/>
    <m/>
    <m/>
    <m/>
    <n v="12285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50"/>
    <s v="EXTRATO/122834"/>
    <s v="Banco Itaú Unibanco S.A. - Cód. 122834"/>
    <n v="0"/>
    <d v="2015-05-04T00:00:00"/>
    <d v="1899-12-30T16:46:16"/>
    <n v="129.24"/>
    <n v="0"/>
    <n v="-2416708.5800002166"/>
    <m/>
    <m/>
    <m/>
    <n v="122834"/>
    <n v="7"/>
    <s v="Anapaula"/>
    <n v="1"/>
    <m/>
    <n v="1599"/>
    <d v="2015-05-06T00:00:00"/>
    <d v="2015-05-06T00:00:00"/>
    <m/>
    <m/>
    <n v="2015"/>
    <n v="7"/>
    <m/>
    <m/>
    <m/>
    <m/>
    <s v="CA.Encargo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48"/>
    <s v="Extrato/122844"/>
    <s v="Banco Itaú Unibanco S.A. - Par. 122844(02-4)"/>
    <n v="0"/>
    <d v="2015-05-04T00:00:00"/>
    <d v="1899-12-30T16:46:16"/>
    <n v="45"/>
    <n v="0"/>
    <n v="-2416753.5800002166"/>
    <m/>
    <m/>
    <m/>
    <n v="122844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49"/>
    <s v="Extrato/122845"/>
    <s v="Banco Itaú Unibanco S.A. - Par. 122845(03-4)"/>
    <n v="0"/>
    <d v="2015-05-04T00:00:00"/>
    <d v="1899-12-30T16:46:16"/>
    <n v="7.95"/>
    <n v="0"/>
    <n v="-2416761.5300002168"/>
    <m/>
    <m/>
    <m/>
    <n v="122845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52"/>
    <s v="Extrato/122848"/>
    <s v="Banco Itaú Unibanco S.A. - Cód. 122848"/>
    <n v="0"/>
    <d v="2015-05-04T00:00:00"/>
    <d v="1899-12-30T16:46:17"/>
    <n v="69.73"/>
    <n v="0"/>
    <n v="-2416831.2600002168"/>
    <m/>
    <m/>
    <m/>
    <n v="122848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57"/>
    <s v="Extrato/122860"/>
    <s v="Banco Brb - Cód. 122860"/>
    <n v="0"/>
    <d v="2015-05-04T00:00:00"/>
    <d v="1899-12-30T16:46:24"/>
    <n v="528.75"/>
    <n v="0"/>
    <n v="-2417360.0100002168"/>
    <m/>
    <m/>
    <m/>
    <n v="12286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58"/>
    <s v="Extrato/122861"/>
    <s v="Banco Brb - Cód. 122861"/>
    <n v="0"/>
    <d v="2015-05-04T00:00:00"/>
    <d v="1899-12-30T16:46:24"/>
    <n v="25"/>
    <n v="0"/>
    <n v="-2417385.0100002168"/>
    <m/>
    <m/>
    <m/>
    <n v="12286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59"/>
    <s v="Extrato/122862"/>
    <s v="Banco Brb - Cód. 122862"/>
    <n v="0"/>
    <d v="2015-05-04T00:00:00"/>
    <d v="1899-12-30T16:46:24"/>
    <n v="2276.56"/>
    <n v="0"/>
    <n v="-2419661.5700002168"/>
    <m/>
    <m/>
    <m/>
    <n v="122862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60"/>
    <s v="Extrato/122863"/>
    <s v="Banco Brb - Cód. 122863"/>
    <n v="0"/>
    <d v="2015-05-04T00:00:00"/>
    <d v="1899-12-30T16:46:24"/>
    <n v="55.43"/>
    <n v="0"/>
    <n v="-2419717.000000217"/>
    <m/>
    <m/>
    <m/>
    <n v="122863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56"/>
    <s v="Extrato/122857"/>
    <s v="Banco Brb - Cód. 122857"/>
    <n v="0"/>
    <d v="2015-05-04T00:00:00"/>
    <d v="1899-12-30T16:46:24"/>
    <n v="18.75"/>
    <n v="0"/>
    <n v="-2419735.750000217"/>
    <m/>
    <m/>
    <m/>
    <n v="12285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61"/>
    <s v="Extrato/122864"/>
    <s v="Banco Brb - Cód. 122864"/>
    <n v="0"/>
    <d v="2015-05-04T00:00:00"/>
    <d v="1899-12-30T16:46:25"/>
    <n v="91.05"/>
    <n v="0"/>
    <n v="-2419826.8000002168"/>
    <m/>
    <m/>
    <m/>
    <n v="122864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6190"/>
    <s v="Extrato"/>
    <s v="Transferência Entre Conta"/>
    <n v="0"/>
    <d v="2015-05-04T00:00:00"/>
    <d v="1899-12-30T16:46:45"/>
    <n v="296"/>
    <n v="0"/>
    <n v="-2420122.8000002168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s v="COLÉGIO OLIMPO LTDA"/>
    <m/>
    <n v="114"/>
    <n v="8"/>
    <s v="Transferência Bancária"/>
    <m/>
    <m/>
    <m/>
    <n v="0"/>
    <m/>
    <n v="107"/>
    <s v="SAFRA [GYN] [206009-7] [COB]"/>
    <m/>
    <m/>
    <m/>
  </r>
  <r>
    <n v="276191"/>
    <s v="Extrato"/>
    <s v="Destino: 276190-Transferência Entre Conta"/>
    <n v="296"/>
    <d v="2015-05-04T00:00:00"/>
    <d v="1899-12-30T16:46:45"/>
    <n v="0"/>
    <n v="0"/>
    <n v="-2419826.8000002168"/>
    <m/>
    <m/>
    <m/>
    <m/>
    <n v="24"/>
    <s v="Emilly"/>
    <n v="1"/>
    <m/>
    <n v="1449"/>
    <d v="2015-07-03T00:00:00"/>
    <d v="2015-07-03T00:00:00"/>
    <m/>
    <m/>
    <n v="2015"/>
    <n v="24"/>
    <m/>
    <m/>
    <n v="276190"/>
    <m/>
    <s v="Transferência entre contas"/>
    <x v="2"/>
    <s v="COLÉGIO OLIMPO LTDA"/>
    <m/>
    <n v="107"/>
    <n v="8"/>
    <s v="Transferência Bancária"/>
    <m/>
    <m/>
    <m/>
    <n v="0"/>
    <m/>
    <m/>
    <s v="SAFRA [GYN] [000048-8] [CC]"/>
    <m/>
    <m/>
    <m/>
  </r>
  <r>
    <n v="268567"/>
    <s v="HN/115637"/>
    <s v="Henrique Nogueira - Fornecedores - Cód. 115637"/>
    <n v="0"/>
    <d v="2015-05-04T00:00:00"/>
    <d v="1899-12-30T16:47:22"/>
    <n v="2375"/>
    <n v="0"/>
    <n v="-2422201.8000002168"/>
    <m/>
    <m/>
    <m/>
    <n v="115637"/>
    <n v="60"/>
    <s v="Francielly"/>
    <n v="1"/>
    <m/>
    <n v="1448"/>
    <d v="2015-05-06T00:00:00"/>
    <d v="2015-05-06T00:00:00"/>
    <m/>
    <m/>
    <n v="2015"/>
    <n v="60"/>
    <m/>
    <m/>
    <m/>
    <m/>
    <s v="Juros de cheque especial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68"/>
    <s v="Transferência Entre Conta"/>
    <s v="Transferência Entre Conta"/>
    <n v="0"/>
    <d v="2015-05-04T00:00:00"/>
    <d v="1899-12-30T16:47:29"/>
    <n v="45000"/>
    <n v="0"/>
    <n v="-2467201.8000002168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6"/>
    <s v="FACT: GF FOM. MERC."/>
    <m/>
    <m/>
    <m/>
  </r>
  <r>
    <n v="268570"/>
    <s v="Transferência Entre Conta"/>
    <s v="Destino: 268568-Transferência Entre Conta"/>
    <n v="45000"/>
    <d v="2015-05-04T00:00:00"/>
    <d v="1899-12-30T16:47:29"/>
    <n v="0"/>
    <n v="0"/>
    <n v="-2422201.8000002168"/>
    <m/>
    <m/>
    <m/>
    <m/>
    <n v="7"/>
    <s v="Anapaula"/>
    <n v="2"/>
    <m/>
    <n v="1449"/>
    <d v="2015-05-06T00:00:00"/>
    <d v="2015-05-06T00:00:00"/>
    <m/>
    <m/>
    <n v="2015"/>
    <n v="7"/>
    <m/>
    <m/>
    <n v="268568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8569"/>
    <s v="AM/114290"/>
    <s v="Augusto Melo - Cód. 114290"/>
    <n v="0"/>
    <d v="2015-05-04T00:00:00"/>
    <d v="1899-12-30T16:48:12"/>
    <n v="3000"/>
    <n v="0"/>
    <n v="-2425201.8000002168"/>
    <m/>
    <m/>
    <m/>
    <n v="114290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71"/>
    <s v="Transferência Entre Conta"/>
    <s v="Transferência Entre Conta"/>
    <n v="0"/>
    <d v="2015-05-04T00:00:00"/>
    <d v="1899-12-30T16:48:19"/>
    <n v="40000"/>
    <n v="0"/>
    <n v="-2465201.8000002168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6"/>
    <s v="FACT: GF FOM. MERC."/>
    <m/>
    <m/>
    <m/>
  </r>
  <r>
    <n v="268573"/>
    <s v="Transferência Entre Conta"/>
    <s v="Destino: 268571-Transferência Entre Conta"/>
    <n v="40000"/>
    <d v="2015-05-04T00:00:00"/>
    <d v="1899-12-30T16:48:19"/>
    <n v="0"/>
    <n v="0"/>
    <n v="-2425201.8000002168"/>
    <m/>
    <m/>
    <m/>
    <m/>
    <n v="7"/>
    <s v="Anapaula"/>
    <n v="2"/>
    <m/>
    <n v="1449"/>
    <d v="2015-05-06T00:00:00"/>
    <d v="2015-05-06T00:00:00"/>
    <m/>
    <m/>
    <n v="2015"/>
    <n v="7"/>
    <m/>
    <m/>
    <n v="268571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8572"/>
    <s v="AM/114292"/>
    <s v="Augusto Melo - Cód. 114292"/>
    <n v="0"/>
    <d v="2015-05-04T00:00:00"/>
    <d v="1899-12-30T16:48:31"/>
    <n v="3301"/>
    <n v="0"/>
    <n v="-2428502.8000002168"/>
    <m/>
    <m/>
    <m/>
    <n v="114292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74"/>
    <s v="Transferência Entre Conta"/>
    <s v="Transferência Entre Conta"/>
    <n v="0"/>
    <d v="2015-05-04T00:00:00"/>
    <d v="1899-12-30T16:48:42"/>
    <n v="35000"/>
    <n v="0"/>
    <n v="-2463502.8000002168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6"/>
    <s v="FACT: GF FOM. MERC."/>
    <m/>
    <m/>
    <m/>
  </r>
  <r>
    <n v="268576"/>
    <s v="Transferência Entre Conta"/>
    <s v="Destino: 268574-Transferência Entre Conta"/>
    <n v="35000"/>
    <d v="2015-05-04T00:00:00"/>
    <d v="1899-12-30T16:48:42"/>
    <n v="0"/>
    <n v="0"/>
    <n v="-2428502.8000002168"/>
    <m/>
    <m/>
    <m/>
    <m/>
    <n v="7"/>
    <s v="Anapaula"/>
    <n v="2"/>
    <m/>
    <n v="1449"/>
    <d v="2015-05-06T00:00:00"/>
    <d v="2015-05-06T00:00:00"/>
    <m/>
    <m/>
    <n v="2015"/>
    <n v="7"/>
    <m/>
    <m/>
    <n v="268574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8577"/>
    <s v="Transferência Entre Conta"/>
    <s v="Transferência Entre Conta"/>
    <n v="0"/>
    <d v="2015-05-04T00:00:00"/>
    <d v="1899-12-30T16:49:19"/>
    <n v="15000"/>
    <n v="0"/>
    <n v="-2443502.8000002168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6"/>
    <s v="FACT: GF FOM. MERC."/>
    <m/>
    <m/>
    <m/>
  </r>
  <r>
    <n v="268578"/>
    <s v="Transferência Entre Conta"/>
    <s v="Destino: 268577-Transferência Entre Conta"/>
    <n v="15000"/>
    <d v="2015-05-04T00:00:00"/>
    <d v="1899-12-30T16:49:19"/>
    <n v="0"/>
    <n v="0"/>
    <n v="-2428502.8000002168"/>
    <m/>
    <m/>
    <m/>
    <m/>
    <n v="7"/>
    <s v="Anapaula"/>
    <n v="2"/>
    <m/>
    <n v="1449"/>
    <d v="2015-05-06T00:00:00"/>
    <d v="2015-05-06T00:00:00"/>
    <m/>
    <m/>
    <n v="2015"/>
    <n v="7"/>
    <m/>
    <m/>
    <n v="268577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8581"/>
    <s v="DMDP/116400"/>
    <s v="Dalva Mendes / Dorvano Pedro - Cód. 116400"/>
    <n v="0"/>
    <d v="2015-05-04T00:00:00"/>
    <d v="1899-12-30T16:50:26"/>
    <n v="4000"/>
    <n v="0"/>
    <n v="-2432502.8000002168"/>
    <m/>
    <m/>
    <m/>
    <n v="116400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82"/>
    <s v="MAFR/122133"/>
    <s v="Marco Antônio Ferreira Rios - Cód. 122133"/>
    <n v="0"/>
    <d v="2015-05-04T00:00:00"/>
    <d v="1899-12-30T16:50:45"/>
    <n v="10000"/>
    <n v="0"/>
    <n v="-2442502.8000002168"/>
    <m/>
    <m/>
    <m/>
    <n v="122133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86"/>
    <s v="Extrato/121427"/>
    <s v="Banco Itaú Unibanco S.A. - Cód. 121427"/>
    <n v="0"/>
    <d v="2015-05-04T00:00:00"/>
    <d v="1899-12-30T16:54:47"/>
    <n v="10.039999999999999"/>
    <n v="0"/>
    <n v="-2442512.8400002168"/>
    <m/>
    <m/>
    <m/>
    <n v="121427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68587"/>
    <s v="Extrato/122402"/>
    <s v="Banco Itaú Unibanco S.A. - Cód. 122402"/>
    <n v="0"/>
    <d v="2015-05-04T00:00:00"/>
    <d v="1899-12-30T16:54:47"/>
    <n v="36.82"/>
    <n v="0"/>
    <n v="-2442549.6600002167"/>
    <m/>
    <m/>
    <m/>
    <n v="122402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68588"/>
    <s v="Extrato/122403"/>
    <s v="Banco Itaú Unibanco S.A. - Cód. 122403"/>
    <n v="0"/>
    <d v="2015-05-04T00:00:00"/>
    <d v="1899-12-30T16:54:47"/>
    <n v="5.26"/>
    <n v="0"/>
    <n v="-2442554.9200002165"/>
    <m/>
    <m/>
    <m/>
    <n v="12240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68594"/>
    <s v="Extrato/122843"/>
    <s v="Banco Itaú Unibanco S.A. - Par. 122843(01-4)"/>
    <n v="0"/>
    <d v="2015-05-04T00:00:00"/>
    <d v="1899-12-30T16:57:03"/>
    <n v="18.2"/>
    <n v="0"/>
    <n v="-2442573.1200002166"/>
    <m/>
    <m/>
    <m/>
    <n v="12284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8"/>
    <s v="Transferência Bancária"/>
    <m/>
    <n v="0"/>
    <m/>
    <n v="0"/>
    <m/>
    <m/>
    <s v="ITAÚ [SOL] [001691-4] [CC]"/>
    <m/>
    <m/>
    <m/>
  </r>
  <r>
    <n v="268595"/>
    <s v="Extrato/121453"/>
    <s v="Banco Itaú Unibanco S.A. - Cód. 121453"/>
    <n v="0"/>
    <d v="2015-05-04T00:00:00"/>
    <d v="1899-12-30T16:57:24"/>
    <n v="18.28"/>
    <n v="0"/>
    <n v="-2442591.4000002164"/>
    <m/>
    <m/>
    <m/>
    <n v="121453"/>
    <n v="7"/>
    <s v="Anapaula"/>
    <n v="1"/>
    <m/>
    <n v="1599"/>
    <d v="2015-05-06T00:00:00"/>
    <d v="2015-05-06T00:00:00"/>
    <m/>
    <m/>
    <n v="2015"/>
    <n v="7"/>
    <m/>
    <m/>
    <m/>
    <m/>
    <s v="CA.Encargos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75898"/>
    <s v="Extrato/128421"/>
    <s v="Banco Brb - Par. 128421(13-18)"/>
    <n v="0"/>
    <d v="2015-05-04T00:00:00"/>
    <d v="1899-12-30T17:04:38"/>
    <n v="0.27"/>
    <n v="0"/>
    <n v="-2442591.6700002165"/>
    <m/>
    <m/>
    <m/>
    <n v="128421"/>
    <n v="7"/>
    <s v="Anapaula"/>
    <n v="2"/>
    <m/>
    <n v="1512"/>
    <d v="2015-07-02T00:00:00"/>
    <d v="2015-07-02T00:00:00"/>
    <m/>
    <m/>
    <n v="2015"/>
    <n v="7"/>
    <m/>
    <m/>
    <m/>
    <m/>
    <s v="IOF"/>
    <x v="2"/>
    <s v="COLÉGIO OLIMPO LTDA"/>
    <m/>
    <n v="13"/>
    <n v="9"/>
    <s v="Débito em conta"/>
    <m/>
    <n v="0"/>
    <m/>
    <n v="0"/>
    <m/>
    <m/>
    <s v="BRB [BER] [011851-1] [CC]"/>
    <m/>
    <m/>
    <m/>
  </r>
  <r>
    <n v="275899"/>
    <s v="Extrato/128422"/>
    <s v="Banco Brb - Par. 128422(14-18)"/>
    <n v="0"/>
    <d v="2015-05-04T00:00:00"/>
    <d v="1899-12-30T17:04:38"/>
    <n v="26.53"/>
    <n v="0"/>
    <n v="-2442618.2000002163"/>
    <m/>
    <m/>
    <m/>
    <n v="128422"/>
    <n v="7"/>
    <s v="Anapaula"/>
    <n v="2"/>
    <m/>
    <n v="1512"/>
    <d v="2015-07-02T00:00:00"/>
    <d v="2015-07-02T00:00:00"/>
    <m/>
    <m/>
    <n v="2015"/>
    <n v="7"/>
    <m/>
    <m/>
    <m/>
    <m/>
    <s v="IOF"/>
    <x v="2"/>
    <s v="COLÉGIO OLIMPO LTDA"/>
    <m/>
    <n v="13"/>
    <n v="9"/>
    <s v="Débito em conta"/>
    <m/>
    <n v="0"/>
    <m/>
    <n v="0"/>
    <m/>
    <m/>
    <s v="BRB [BER] [011851-1] [CC]"/>
    <m/>
    <m/>
    <m/>
  </r>
  <r>
    <n v="275900"/>
    <s v="Extrato/128423"/>
    <s v="Banco Brb - Par. 128423(15-18)"/>
    <n v="0"/>
    <d v="2015-05-04T00:00:00"/>
    <d v="1899-12-30T17:04:38"/>
    <n v="4.7"/>
    <n v="0"/>
    <n v="-2442622.9000002164"/>
    <m/>
    <m/>
    <m/>
    <n v="128423"/>
    <n v="7"/>
    <s v="Anapaula"/>
    <n v="2"/>
    <m/>
    <n v="1512"/>
    <d v="2015-07-02T00:00:00"/>
    <d v="2015-07-02T00:00:00"/>
    <m/>
    <m/>
    <n v="2015"/>
    <n v="7"/>
    <m/>
    <m/>
    <m/>
    <m/>
    <s v="IOF"/>
    <x v="2"/>
    <s v="COLÉGIO OLIMPO LTDA"/>
    <m/>
    <n v="13"/>
    <n v="9"/>
    <s v="Débito em conta"/>
    <m/>
    <n v="0"/>
    <m/>
    <n v="0"/>
    <m/>
    <m/>
    <s v="BRB [BER] [011851-1] [CC]"/>
    <m/>
    <m/>
    <m/>
  </r>
  <r>
    <n v="267657"/>
    <s v="Despesa/122354"/>
    <s v="Marcelo De Moraes Melo - Cód. 122354"/>
    <n v="0"/>
    <d v="2015-05-04T00:00:00"/>
    <d v="1899-12-30T17:23:03"/>
    <n v="150"/>
    <n v="0"/>
    <n v="-2442772.9000002164"/>
    <m/>
    <m/>
    <m/>
    <n v="122354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67659"/>
    <s v="2688/01/119065"/>
    <s v="Markos Comunicação Visual Ltda - Cód. 119065"/>
    <n v="0"/>
    <d v="2015-05-04T00:00:00"/>
    <d v="1899-12-30T17:36:16"/>
    <n v="7356.16"/>
    <n v="0"/>
    <n v="-2450129.0600002166"/>
    <m/>
    <m/>
    <m/>
    <n v="119065"/>
    <n v="24"/>
    <s v="Emilly"/>
    <n v="1"/>
    <m/>
    <n v="1624"/>
    <d v="2015-05-05T00:00:00"/>
    <d v="2015-05-05T00:00:00"/>
    <m/>
    <m/>
    <n v="2015"/>
    <n v="24"/>
    <m/>
    <m/>
    <m/>
    <m/>
    <s v="Marista.Marketing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5981"/>
    <s v="Extrato/128525"/>
    <s v="Banco Brb - Cód. 128525"/>
    <n v="0"/>
    <d v="2015-05-04T00:00:00"/>
    <d v="1899-12-30T17:36:51"/>
    <n v="0.04"/>
    <n v="0"/>
    <n v="-2450129.1000002166"/>
    <m/>
    <m/>
    <m/>
    <n v="128525"/>
    <n v="60"/>
    <s v="Francielly"/>
    <n v="1"/>
    <m/>
    <n v="1512"/>
    <d v="2015-07-02T00:00:00"/>
    <d v="2015-07-02T00:00:00"/>
    <m/>
    <m/>
    <n v="2015"/>
    <n v="60"/>
    <m/>
    <m/>
    <m/>
    <m/>
    <s v="IOF"/>
    <x v="2"/>
    <s v="COLÉGIO OLIMPO LTDA"/>
    <m/>
    <n v="14"/>
    <n v="9"/>
    <s v="Débito em conta"/>
    <m/>
    <n v="0"/>
    <m/>
    <n v="0"/>
    <m/>
    <m/>
    <s v="BRB [MAR] [011852-0] [CC]"/>
    <m/>
    <m/>
    <m/>
  </r>
  <r>
    <n v="275982"/>
    <s v="Extrato/128526"/>
    <s v="Banco Brb - Cód. 128526"/>
    <n v="0"/>
    <d v="2015-05-04T00:00:00"/>
    <d v="1899-12-30T17:36:51"/>
    <n v="34.68"/>
    <n v="0"/>
    <n v="-2450163.7800002168"/>
    <m/>
    <m/>
    <m/>
    <n v="128526"/>
    <n v="60"/>
    <s v="Francielly"/>
    <n v="1"/>
    <m/>
    <n v="1512"/>
    <d v="2015-07-02T00:00:00"/>
    <d v="2015-07-02T00:00:00"/>
    <m/>
    <m/>
    <n v="2015"/>
    <n v="60"/>
    <m/>
    <m/>
    <m/>
    <m/>
    <s v="IOF"/>
    <x v="2"/>
    <s v="COLÉGIO OLIMPO LTDA"/>
    <m/>
    <n v="14"/>
    <n v="9"/>
    <s v="Débito em conta"/>
    <m/>
    <n v="0"/>
    <m/>
    <n v="0"/>
    <m/>
    <m/>
    <s v="BRB [MAR] [011852-0] [CC]"/>
    <m/>
    <m/>
    <m/>
  </r>
  <r>
    <n v="275983"/>
    <s v="Extrato/128527"/>
    <s v="Banco Brb - Cód. 128527"/>
    <n v="0"/>
    <d v="2015-05-04T00:00:00"/>
    <d v="1899-12-30T17:36:51"/>
    <n v="6.42"/>
    <n v="0"/>
    <n v="-2450170.2000002167"/>
    <m/>
    <m/>
    <m/>
    <n v="128527"/>
    <n v="60"/>
    <s v="Francielly"/>
    <n v="1"/>
    <m/>
    <n v="1512"/>
    <d v="2015-07-02T00:00:00"/>
    <d v="2015-07-02T00:00:00"/>
    <m/>
    <m/>
    <n v="2015"/>
    <n v="60"/>
    <m/>
    <m/>
    <m/>
    <m/>
    <s v="IOF"/>
    <x v="2"/>
    <s v="COLÉGIO OLIMPO LTDA"/>
    <m/>
    <n v="14"/>
    <n v="9"/>
    <s v="Débito em conta"/>
    <m/>
    <n v="0"/>
    <m/>
    <n v="0"/>
    <m/>
    <m/>
    <s v="BRB [MAR] [011852-0] [CC]"/>
    <m/>
    <m/>
    <m/>
  </r>
  <r>
    <n v="267660"/>
    <s v="043446/122358"/>
    <s v="Posto De Combustível - Cód. 122358"/>
    <n v="0"/>
    <d v="2015-05-04T00:00:00"/>
    <d v="1899-12-30T17:36:56"/>
    <n v="100"/>
    <n v="0"/>
    <n v="-2450270.2000002167"/>
    <m/>
    <m/>
    <m/>
    <n v="122358"/>
    <n v="24"/>
    <s v="Emilly"/>
    <n v="1"/>
    <m/>
    <n v="512"/>
    <d v="2015-05-05T00:00:00"/>
    <d v="2015-05-05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7663"/>
    <s v="089267/122359"/>
    <s v="Posto De Combustível - Cód. 122359"/>
    <n v="0"/>
    <d v="2015-05-04T00:00:00"/>
    <d v="1899-12-30T17:38:29"/>
    <n v="100"/>
    <n v="0"/>
    <n v="-2450370.2000002167"/>
    <m/>
    <m/>
    <m/>
    <n v="122359"/>
    <n v="24"/>
    <s v="Emilly"/>
    <n v="1"/>
    <m/>
    <n v="512"/>
    <d v="2015-05-05T00:00:00"/>
    <d v="2015-05-05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7664"/>
    <s v="Fgts/122360"/>
    <s v="Fgts - Cód. 122360"/>
    <n v="0"/>
    <d v="2015-05-04T00:00:00"/>
    <d v="1899-12-30T17:39:25"/>
    <n v="966.81"/>
    <n v="0"/>
    <n v="-2451337.0100002168"/>
    <m/>
    <m/>
    <m/>
    <n v="122360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65"/>
    <s v="Fgts/122361"/>
    <s v="Fgts - Cód. 122361"/>
    <n v="0"/>
    <d v="2015-05-04T00:00:00"/>
    <d v="1899-12-30T17:40:12"/>
    <n v="961.79"/>
    <n v="0"/>
    <n v="-2452298.8000002168"/>
    <m/>
    <m/>
    <m/>
    <n v="122361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66"/>
    <s v="Fgts/122362"/>
    <s v="Fgts - Cód. 122362"/>
    <n v="0"/>
    <d v="2015-05-04T00:00:00"/>
    <d v="1899-12-30T17:40:50"/>
    <n v="912.69"/>
    <n v="0"/>
    <n v="-2453211.4900002168"/>
    <m/>
    <m/>
    <m/>
    <n v="122362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83"/>
    <n v="182276"/>
    <s v="Par.(12/12) 013950/ANA FLÁVIA SANDRI MENDONÇ - Mensalidades"/>
    <n v="1648.2"/>
    <d v="2015-05-04T00:00:00"/>
    <d v="1899-12-30T17:52:23"/>
    <n v="0"/>
    <n v="0"/>
    <n v="-2451563.2900002166"/>
    <m/>
    <m/>
    <n v="182276"/>
    <m/>
    <n v="8"/>
    <s v="Vinicius"/>
    <n v="1"/>
    <m/>
    <n v="2"/>
    <d v="2015-05-28T00:00:00"/>
    <d v="2015-05-28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7668"/>
    <s v="99932/1/118061"/>
    <s v="Papelaria Tributária - Cód. 118061"/>
    <n v="0"/>
    <d v="2015-05-04T00:00:00"/>
    <d v="1899-12-30T17:56:46"/>
    <n v="85.05"/>
    <n v="0"/>
    <n v="-2451648.3400002164"/>
    <m/>
    <m/>
    <m/>
    <n v="118061"/>
    <n v="24"/>
    <s v="Emilly"/>
    <n v="1"/>
    <m/>
    <n v="366"/>
    <d v="2015-05-05T00:00:00"/>
    <d v="2015-05-05T00:00:00"/>
    <m/>
    <m/>
    <n v="2015"/>
    <n v="24"/>
    <m/>
    <m/>
    <m/>
    <m/>
    <s v="Marista.Produtos de Papelaria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048"/>
    <s v="Despesa/121958"/>
    <s v="Marcelo De Moraes Melo - Cód. 121958"/>
    <n v="0"/>
    <d v="2015-05-04T00:00:00"/>
    <d v="1899-12-30T17:56:51"/>
    <n v="128.54"/>
    <n v="0"/>
    <n v="-2451776.8800002164"/>
    <m/>
    <m/>
    <m/>
    <n v="121958"/>
    <n v="24"/>
    <s v="Emilly"/>
    <n v="1"/>
    <m/>
    <n v="1455"/>
    <d v="2015-05-04T00:00:00"/>
    <d v="2015-05-04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67669"/>
    <s v="075942/121215"/>
    <s v="Largent Fac. Fom.Merc. Ltda - Cód. 121215"/>
    <n v="0"/>
    <d v="2015-05-04T00:00:00"/>
    <d v="1899-12-30T17:57:23"/>
    <n v="64.540000000000006"/>
    <n v="0"/>
    <n v="-2451841.4200002165"/>
    <m/>
    <m/>
    <m/>
    <n v="121215"/>
    <n v="24"/>
    <s v="Emilly"/>
    <n v="1"/>
    <m/>
    <n v="1422"/>
    <d v="2015-05-05T00:00:00"/>
    <d v="2015-05-05T00:00:00"/>
    <m/>
    <m/>
    <n v="2015"/>
    <n v="24"/>
    <m/>
    <m/>
    <m/>
    <m/>
    <s v="T-27.Material Didátic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0"/>
    <s v="739600/120653"/>
    <s v="Setransp - Go - Cód. 120653"/>
    <n v="0"/>
    <d v="2015-05-04T00:00:00"/>
    <d v="1899-12-30T18:06:12"/>
    <n v="1763.75"/>
    <n v="0"/>
    <n v="-2453605.1700002165"/>
    <m/>
    <m/>
    <m/>
    <n v="120653"/>
    <n v="24"/>
    <s v="Emilly"/>
    <n v="1"/>
    <m/>
    <n v="1444"/>
    <d v="2015-05-05T00:00:00"/>
    <d v="2015-05-05T00:00:00"/>
    <m/>
    <m/>
    <n v="2015"/>
    <n v="24"/>
    <m/>
    <m/>
    <m/>
    <m/>
    <s v="SolNascente.Vale Transporte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1"/>
    <s v="739456/120655"/>
    <s v="Setransp - Go - Cód. 120655"/>
    <n v="0"/>
    <d v="2015-05-04T00:00:00"/>
    <d v="1899-12-30T18:06:42"/>
    <n v="1585.55"/>
    <n v="0"/>
    <n v="-2455190.7200002163"/>
    <m/>
    <m/>
    <m/>
    <n v="120655"/>
    <n v="24"/>
    <s v="Emilly"/>
    <n v="1"/>
    <m/>
    <n v="1428"/>
    <d v="2015-05-05T00:00:00"/>
    <d v="2015-05-05T00:00:00"/>
    <m/>
    <m/>
    <n v="2015"/>
    <n v="24"/>
    <m/>
    <m/>
    <m/>
    <m/>
    <s v="T-27.Vale Transporte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3"/>
    <s v="5/121138/114144"/>
    <s v="Escola Canadense De Goiania Ltda - M - Par. 114144(03-10)"/>
    <n v="0"/>
    <d v="2015-05-04T00:00:00"/>
    <d v="1899-12-30T18:07:37"/>
    <n v="1156"/>
    <n v="0"/>
    <n v="-2456346.7200002163"/>
    <m/>
    <m/>
    <m/>
    <n v="114144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4"/>
    <s v="739421/120658"/>
    <s v="Setransp - Go - Cód. 120658"/>
    <n v="0"/>
    <d v="2015-05-04T00:00:00"/>
    <d v="1899-12-30T18:07:58"/>
    <n v="984.95"/>
    <n v="0"/>
    <n v="-2457331.6700002165"/>
    <m/>
    <m/>
    <m/>
    <n v="120658"/>
    <n v="24"/>
    <s v="Emilly"/>
    <n v="1"/>
    <m/>
    <n v="192"/>
    <d v="2015-05-05T00:00:00"/>
    <d v="2015-05-05T00:00:00"/>
    <m/>
    <m/>
    <n v="2015"/>
    <n v="24"/>
    <m/>
    <m/>
    <m/>
    <m/>
    <s v="T-3.Vale Transport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5"/>
    <s v="0339/119189"/>
    <s v="MasTec Telecom Segurança Ltda - Cód. 119189"/>
    <n v="0"/>
    <d v="2015-05-04T00:00:00"/>
    <d v="1899-12-30T18:08:25"/>
    <n v="770"/>
    <n v="0"/>
    <n v="-2458101.6700002165"/>
    <m/>
    <m/>
    <m/>
    <n v="119189"/>
    <n v="24"/>
    <s v="Emilly"/>
    <n v="1"/>
    <m/>
    <n v="1553"/>
    <d v="2015-05-05T00:00:00"/>
    <d v="2015-05-05T00:00:00"/>
    <m/>
    <m/>
    <n v="2015"/>
    <n v="24"/>
    <m/>
    <m/>
    <m/>
    <m/>
    <s v="Aná.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6"/>
    <s v="10604347/122387"/>
    <s v="Unimed - Cód. 122387"/>
    <n v="0"/>
    <d v="2015-05-04T00:00:00"/>
    <d v="1899-12-30T18:09:35"/>
    <n v="726.93"/>
    <n v="0"/>
    <n v="-2458828.6000002166"/>
    <m/>
    <m/>
    <m/>
    <n v="122387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7"/>
    <s v="0205431018/122388"/>
    <s v="Celg - Cód. 122388"/>
    <n v="0"/>
    <d v="2015-05-04T00:00:00"/>
    <d v="1899-12-30T18:10:43"/>
    <n v="279.88"/>
    <n v="0"/>
    <n v="-2459108.4800002165"/>
    <m/>
    <m/>
    <m/>
    <n v="122388"/>
    <n v="24"/>
    <s v="Emilly"/>
    <n v="1"/>
    <m/>
    <n v="918"/>
    <d v="2015-05-05T00:00:00"/>
    <d v="2015-05-05T00:00:00"/>
    <m/>
    <m/>
    <n v="2015"/>
    <n v="24"/>
    <m/>
    <m/>
    <m/>
    <m/>
    <s v="Marcelo.Energia Elétrica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8"/>
    <s v="99989/1/118060"/>
    <s v="Papelaria Tributária - Cód. 118060"/>
    <n v="0"/>
    <d v="2015-05-04T00:00:00"/>
    <d v="1899-12-30T18:11:04"/>
    <n v="255.3"/>
    <n v="0"/>
    <n v="-2459363.7800002163"/>
    <m/>
    <m/>
    <m/>
    <n v="118060"/>
    <n v="24"/>
    <s v="Emilly"/>
    <n v="1"/>
    <m/>
    <n v="561"/>
    <d v="2015-05-05T00:00:00"/>
    <d v="2015-05-05T00:00:00"/>
    <m/>
    <m/>
    <n v="2015"/>
    <n v="24"/>
    <m/>
    <m/>
    <m/>
    <m/>
    <s v="CA.Produtos de Papelaria (DESPESA)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9"/>
    <s v="100073/1/118062"/>
    <s v="Papelaria Tributária - Cód. 118062"/>
    <n v="0"/>
    <d v="2015-05-04T00:00:00"/>
    <d v="1899-12-30T18:11:23"/>
    <n v="111.2"/>
    <n v="0"/>
    <n v="-2459474.9800002165"/>
    <m/>
    <m/>
    <m/>
    <n v="118062"/>
    <n v="24"/>
    <s v="Emilly"/>
    <n v="1"/>
    <m/>
    <n v="1407"/>
    <d v="2015-05-05T00:00:00"/>
    <d v="2015-05-05T00:00:00"/>
    <m/>
    <m/>
    <n v="2015"/>
    <n v="24"/>
    <m/>
    <m/>
    <m/>
    <m/>
    <s v="T-27. Produtos de Papelaria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90"/>
    <s v="4/11/114155"/>
    <s v="Marcelo De Moraes Melo - Par. 114155(03-10)"/>
    <n v="0"/>
    <d v="2015-05-04T00:00:00"/>
    <d v="1899-12-30T18:12:14"/>
    <n v="109.5"/>
    <n v="0"/>
    <n v="-2459584.4800002165"/>
    <m/>
    <m/>
    <m/>
    <n v="114155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91"/>
    <s v="6074/119616"/>
    <s v="Termosul Ar Condicionado E Refrigeração - Cód. 119616"/>
    <n v="0"/>
    <d v="2015-05-04T00:00:00"/>
    <d v="1899-12-30T18:12:35"/>
    <n v="96"/>
    <n v="0"/>
    <n v="-2459680.4800002165"/>
    <m/>
    <m/>
    <m/>
    <n v="119616"/>
    <n v="24"/>
    <s v="Emilly"/>
    <n v="1"/>
    <m/>
    <n v="354"/>
    <d v="2015-05-05T00:00:00"/>
    <d v="2015-05-05T00:00:00"/>
    <m/>
    <m/>
    <n v="2015"/>
    <n v="24"/>
    <m/>
    <m/>
    <m/>
    <m/>
    <s v="Marista.Manutenção Máquinas e Equipamento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8618"/>
    <s v="Extrato/122872"/>
    <s v="Mercantil Do Brasil - Cód. 122872"/>
    <n v="0"/>
    <d v="2015-05-05T00:00:00"/>
    <d v="1899-12-30T08:40:59"/>
    <n v="17.5"/>
    <n v="0"/>
    <n v="-2459697.9800002165"/>
    <m/>
    <m/>
    <m/>
    <n v="122872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23"/>
    <s v="Extrato"/>
    <s v="Cheque Reapresentado"/>
    <n v="1880.42"/>
    <d v="2015-05-05T00:00:00"/>
    <d v="1899-12-30T08:43:14"/>
    <n v="0"/>
    <n v="0"/>
    <n v="-2457817.5600002166"/>
    <m/>
    <m/>
    <m/>
    <m/>
    <n v="7"/>
    <s v="Anapaula"/>
    <n v="1"/>
    <m/>
    <n v="1621"/>
    <d v="2015-05-07T00:00:00"/>
    <d v="2015-05-07T00:00:00"/>
    <m/>
    <m/>
    <n v="2015"/>
    <n v="7"/>
    <m/>
    <m/>
    <m/>
    <m/>
    <s v="Credito de Cheque Reapresentado"/>
    <x v="2"/>
    <s v="COLÉGIO OLIMPO LTDA"/>
    <m/>
    <n v="5"/>
    <n v="12"/>
    <s v="Crédito em conta"/>
    <m/>
    <m/>
    <m/>
    <n v="0"/>
    <m/>
    <m/>
    <s v="MERC [GYN] [02.011938-7] [CC]"/>
    <m/>
    <m/>
    <m/>
  </r>
  <r>
    <n v="268629"/>
    <s v="Extrato/122877"/>
    <s v="Banco Santander  - Par. 122877(01-3)"/>
    <n v="0"/>
    <d v="2015-05-05T00:00:00"/>
    <d v="1899-12-30T08:53:59"/>
    <n v="51.8"/>
    <n v="0"/>
    <n v="-2457869.3600002164"/>
    <m/>
    <m/>
    <m/>
    <n v="122877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123"/>
    <n v="9"/>
    <s v="Débito em conta"/>
    <m/>
    <n v="0"/>
    <m/>
    <n v="0"/>
    <m/>
    <m/>
    <s v="SANTANDER SOL 3369-0"/>
    <m/>
    <m/>
    <m/>
  </r>
  <r>
    <n v="270919"/>
    <s v="Transferência Entre Conta"/>
    <s v="Transferência Entre Conta"/>
    <n v="0"/>
    <d v="2015-05-05T00:00:00"/>
    <d v="1899-12-30T09:04:35"/>
    <n v="50"/>
    <n v="0"/>
    <n v="-2457919.360000216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BANCO [42.102673-4] [GYN] [CH]"/>
    <m/>
    <m/>
    <m/>
  </r>
  <r>
    <n v="270920"/>
    <s v="Transferência Entre Conta"/>
    <s v="Destino: 270919-Transferência Entre Conta"/>
    <n v="50"/>
    <d v="2015-05-05T00:00:00"/>
    <d v="1899-12-30T09:04:35"/>
    <n v="0"/>
    <n v="0"/>
    <n v="-2457869.3600002164"/>
    <m/>
    <m/>
    <m/>
    <m/>
    <n v="7"/>
    <s v="Anapaula"/>
    <n v="1"/>
    <m/>
    <n v="1449"/>
    <d v="2015-05-25T00:00:00"/>
    <d v="2015-05-25T00:00:00"/>
    <m/>
    <m/>
    <n v="2015"/>
    <n v="7"/>
    <m/>
    <m/>
    <n v="270919"/>
    <m/>
    <s v="Transferência entre contas"/>
    <x v="2"/>
    <s v="COLÉGIO OLIMPO LTDA"/>
    <m/>
    <n v="29"/>
    <n v="8"/>
    <s v="Transferência Bancária"/>
    <m/>
    <m/>
    <m/>
    <n v="0"/>
    <m/>
    <m/>
    <s v="BICBANCO [14.102672-6] [GYN] [CC]"/>
    <m/>
    <m/>
    <m/>
  </r>
  <r>
    <n v="268655"/>
    <s v="Extrato/122890"/>
    <s v="Banco Daycoval S/A  - Par. 122890(05-7)"/>
    <n v="0"/>
    <d v="2015-05-05T00:00:00"/>
    <d v="1899-12-30T09:19:33"/>
    <n v="31.3"/>
    <n v="0"/>
    <n v="-2457900.6600002162"/>
    <m/>
    <m/>
    <m/>
    <n v="122890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6"/>
    <s v="Extrato/122891"/>
    <s v="Banco Daycoval S/A  - Par. 122891(06-7)"/>
    <n v="0"/>
    <d v="2015-05-05T00:00:00"/>
    <d v="1899-12-30T09:19:33"/>
    <n v="3.9"/>
    <n v="0"/>
    <n v="-2457904.5600002161"/>
    <m/>
    <m/>
    <m/>
    <n v="122891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76285"/>
    <s v="Transferência Entre Contas"/>
    <s v="Transferência Entre Contas"/>
    <n v="0"/>
    <d v="2015-05-05T00:00:00"/>
    <d v="1899-12-30T09:42:28"/>
    <n v="28205.4"/>
    <n v="0"/>
    <n v="-2486109.960000216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68677"/>
    <s v="Entrada"/>
    <s v="Credito Cobrança Brb"/>
    <n v="4249.54"/>
    <d v="2015-05-05T00:00:00"/>
    <d v="1899-12-30T09:44:22"/>
    <n v="0"/>
    <n v="0"/>
    <n v="-2481860.420000216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68678"/>
    <s v="Brb Sol 2654/109076"/>
    <s v="Marcelo Oliveira - Cód. 109076"/>
    <n v="0"/>
    <d v="2015-05-05T00:00:00"/>
    <d v="1899-12-30T09:45:47"/>
    <n v="4000"/>
    <n v="0"/>
    <n v="-2485860.420000216"/>
    <m/>
    <m/>
    <m/>
    <n v="109076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79"/>
    <s v="MAFR/111011"/>
    <s v="Marco Antônio Ferreira Rios - Cód. 111011"/>
    <n v="0"/>
    <d v="2015-05-05T00:00:00"/>
    <d v="1899-12-30T09:46:02"/>
    <n v="25900"/>
    <n v="0"/>
    <n v="-2511760.420000216"/>
    <m/>
    <m/>
    <m/>
    <n v="111011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80"/>
    <s v="MAFR/111017"/>
    <s v="Marco Antônio Ferreira Rios - Cód. 111017"/>
    <n v="0"/>
    <d v="2015-05-05T00:00:00"/>
    <d v="1899-12-30T09:46:15"/>
    <n v="67200"/>
    <n v="0"/>
    <n v="-2578960.420000216"/>
    <m/>
    <m/>
    <m/>
    <n v="111017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81"/>
    <s v="MV/111874"/>
    <s v="Max Vieira  - Par. 111874(04-11)"/>
    <n v="0"/>
    <d v="2015-05-05T00:00:00"/>
    <d v="1899-12-30T09:46:34"/>
    <n v="2550"/>
    <n v="0"/>
    <n v="-2581510.420000216"/>
    <m/>
    <m/>
    <m/>
    <n v="111874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82"/>
    <s v="MFN/110070"/>
    <s v="Maria Floriza Neta - Par. 110070(05-12)"/>
    <n v="0"/>
    <d v="2015-05-05T00:00:00"/>
    <d v="1899-12-30T09:46:51"/>
    <n v="3025.5"/>
    <n v="0"/>
    <n v="-2584535.920000216"/>
    <m/>
    <m/>
    <m/>
    <n v="110070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83"/>
    <s v="Despesa/122355"/>
    <s v="Rodrigo Bernadelli Dos Santos - Cód. 122355"/>
    <n v="0"/>
    <d v="2015-05-05T00:00:00"/>
    <d v="1899-12-30T09:47:08"/>
    <n v="2000"/>
    <n v="0"/>
    <n v="-2586535.920000216"/>
    <m/>
    <m/>
    <m/>
    <n v="122355"/>
    <n v="60"/>
    <s v="Francielly"/>
    <n v="1"/>
    <m/>
    <n v="1071"/>
    <d v="2015-05-07T00:00:00"/>
    <d v="2015-05-07T00:00:00"/>
    <m/>
    <m/>
    <n v="2015"/>
    <n v="60"/>
    <m/>
    <m/>
    <m/>
    <m/>
    <s v="Bernadelli.Despesas particulares "/>
    <x v="1"/>
    <s v="COLÉGIO OLIMPO LTDA"/>
    <m/>
    <n v="52"/>
    <n v="2"/>
    <s v="Cheque"/>
    <m/>
    <n v="0"/>
    <m/>
    <n v="0"/>
    <m/>
    <m/>
    <s v="BRB [SOL] [012052-4] [CC] [COB]"/>
    <m/>
    <m/>
    <m/>
  </r>
  <r>
    <n v="270958"/>
    <s v="8626/124006"/>
    <s v="Leo Maquinas  - Cód. 124006"/>
    <n v="0"/>
    <d v="2015-05-05T00:00:00"/>
    <d v="1899-12-30T10:29:20"/>
    <n v="128"/>
    <n v="0"/>
    <n v="-2586663.920000216"/>
    <m/>
    <m/>
    <m/>
    <n v="124006"/>
    <n v="24"/>
    <s v="Emilly"/>
    <n v="1"/>
    <m/>
    <n v="1424"/>
    <d v="2015-05-25T00:00:00"/>
    <d v="2015-05-25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0297"/>
    <s v="Borderô/123641"/>
    <s v="Banco Brb - Par. 123641(07-8)"/>
    <n v="0"/>
    <d v="2015-05-05T00:00:00"/>
    <d v="1899-12-30T10:57:36"/>
    <n v="1278.3"/>
    <n v="0"/>
    <n v="-2587942.2200002158"/>
    <m/>
    <m/>
    <m/>
    <n v="123641"/>
    <n v="7"/>
    <s v="Anapaula"/>
    <n v="1"/>
    <m/>
    <n v="1512"/>
    <d v="2015-05-19T00:00:00"/>
    <d v="2015-05-19T00:00:00"/>
    <m/>
    <m/>
    <n v="2015"/>
    <n v="7"/>
    <m/>
    <m/>
    <m/>
    <m/>
    <s v="IOF"/>
    <x v="2"/>
    <s v="COLÉGIO OLIMPO LTDA"/>
    <m/>
    <n v="77"/>
    <n v="9"/>
    <s v="Débito em conta"/>
    <m/>
    <n v="0"/>
    <m/>
    <n v="0"/>
    <m/>
    <m/>
    <s v="BRB [GYN] [OPERAÇÕES]"/>
    <m/>
    <m/>
    <m/>
  </r>
  <r>
    <n v="270296"/>
    <s v="Borderô/123627"/>
    <s v="Banco Brb - Par. 123627(01-8)"/>
    <n v="0"/>
    <d v="2015-05-05T00:00:00"/>
    <d v="1899-12-30T10:57:36"/>
    <n v="15377.52"/>
    <n v="0"/>
    <n v="-2603319.7400002158"/>
    <m/>
    <m/>
    <m/>
    <n v="123627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2"/>
    <s v="COLÉGIO OLIMPO LTDA"/>
    <m/>
    <n v="77"/>
    <n v="9"/>
    <s v="Débito em conta"/>
    <m/>
    <n v="0"/>
    <m/>
    <n v="0"/>
    <m/>
    <m/>
    <s v="BRB [GYN] [OPERAÇÕES]"/>
    <m/>
    <m/>
    <m/>
  </r>
  <r>
    <n v="269530"/>
    <s v="Extrato/123175"/>
    <s v="Caixa Econômica Federal - Cód. 123175"/>
    <n v="0"/>
    <d v="2015-05-05T00:00:00"/>
    <d v="1899-12-30T10:58:48"/>
    <n v="220.69"/>
    <n v="0"/>
    <n v="-2603540.4300002158"/>
    <m/>
    <m/>
    <m/>
    <n v="12317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1"/>
    <s v="Extrato/123176"/>
    <s v="Caixa Econômica Federal - Cód. 123176"/>
    <n v="0"/>
    <d v="2015-05-05T00:00:00"/>
    <d v="1899-12-30T10:58:49"/>
    <n v="409.31"/>
    <n v="0"/>
    <n v="-2603949.7400002158"/>
    <m/>
    <m/>
    <m/>
    <n v="123176"/>
    <n v="24"/>
    <s v="Emilly"/>
    <n v="1"/>
    <m/>
    <n v="1512"/>
    <d v="2015-05-12T00:00:00"/>
    <d v="2015-05-12T00:00:00"/>
    <m/>
    <m/>
    <n v="2015"/>
    <n v="24"/>
    <m/>
    <m/>
    <m/>
    <m/>
    <s v="IOF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2"/>
    <s v="Extrato/123177"/>
    <s v="Caixa Econômica Federal - Cód. 123177"/>
    <n v="0"/>
    <d v="2015-05-05T00:00:00"/>
    <d v="1899-12-30T10:58:49"/>
    <n v="8240.73"/>
    <n v="0"/>
    <n v="-2612190.4700002158"/>
    <m/>
    <m/>
    <m/>
    <n v="123177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3"/>
    <s v="Extrato/123178"/>
    <s v="Caixa Econômica Federal - Cód. 123178"/>
    <n v="0"/>
    <d v="2015-05-05T00:00:00"/>
    <d v="1899-12-30T10:58:49"/>
    <n v="5.2"/>
    <n v="0"/>
    <n v="-2612195.670000216"/>
    <m/>
    <m/>
    <m/>
    <n v="12317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4"/>
    <s v="Extrato/123179"/>
    <s v="Caixa Econômica Federal - Cód. 123179"/>
    <n v="0"/>
    <d v="2015-05-05T00:00:00"/>
    <d v="1899-12-30T10:58:49"/>
    <n v="1.95"/>
    <n v="0"/>
    <n v="-2612197.6200002162"/>
    <m/>
    <m/>
    <m/>
    <n v="12317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5"/>
    <s v="Extrato/123180"/>
    <s v="Caixa Econômica Federal - Cód. 123180"/>
    <n v="0"/>
    <d v="2015-05-05T00:00:00"/>
    <d v="1899-12-30T10:58:49"/>
    <n v="29.45"/>
    <n v="0"/>
    <n v="-2612227.0700002164"/>
    <m/>
    <m/>
    <m/>
    <n v="12318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6"/>
    <s v="Extrato/123181"/>
    <s v="Caixa Econômica Federal - Cód. 123181"/>
    <n v="0"/>
    <d v="2015-05-05T00:00:00"/>
    <d v="1899-12-30T10:58:49"/>
    <n v="103.25"/>
    <n v="0"/>
    <n v="-2612330.3200002164"/>
    <m/>
    <m/>
    <m/>
    <n v="12318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7"/>
    <s v="Extrato/123182"/>
    <s v="Caixa Econômica Federal - Cód. 123182"/>
    <n v="0"/>
    <d v="2015-05-05T00:00:00"/>
    <d v="1899-12-30T10:58:49"/>
    <n v="27"/>
    <n v="0"/>
    <n v="-2612357.3200002164"/>
    <m/>
    <m/>
    <m/>
    <n v="12318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7736"/>
    <n v="189874"/>
    <s v="Retorno: Par. 189874(04/12) - 018169/JOÃ - Mensalidades"/>
    <n v="1504.91"/>
    <d v="2015-05-05T00:00:00"/>
    <d v="1899-12-30T11:00:49"/>
    <n v="0"/>
    <n v="0"/>
    <n v="-2610852.4100002162"/>
    <m/>
    <m/>
    <n v="189874"/>
    <m/>
    <n v="1"/>
    <s v="Andre"/>
    <n v="1"/>
    <m/>
    <n v="2"/>
    <d v="2015-05-06T00:00:00"/>
    <d v="2015-05-06T00:00:00"/>
    <n v="27824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2"/>
    <n v="189975"/>
    <s v="Retorno: Par. 189975(04/12) - 018309/GUS - Mensalidades"/>
    <n v="1504.91"/>
    <d v="2015-05-05T00:00:00"/>
    <d v="1899-12-30T11:00:49"/>
    <n v="0"/>
    <n v="0"/>
    <n v="-2609347.5000002161"/>
    <m/>
    <m/>
    <n v="189975"/>
    <m/>
    <n v="1"/>
    <s v="Andre"/>
    <n v="1"/>
    <m/>
    <n v="2"/>
    <d v="2015-05-06T00:00:00"/>
    <d v="2015-05-06T00:00:00"/>
    <n v="27818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4"/>
    <n v="189787"/>
    <s v="Retorno: Par. 189787(04/12) - 019534/MUR - Mensalidades"/>
    <n v="1504.91"/>
    <d v="2015-05-05T00:00:00"/>
    <d v="1899-12-30T11:00:49"/>
    <n v="0"/>
    <n v="0"/>
    <n v="-2607842.5900002159"/>
    <m/>
    <m/>
    <n v="189787"/>
    <m/>
    <n v="1"/>
    <s v="Andre"/>
    <n v="1"/>
    <m/>
    <n v="2"/>
    <d v="2015-05-06T00:00:00"/>
    <d v="2015-05-06T00:00:00"/>
    <n v="27820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3"/>
    <n v="189929"/>
    <s v="Retorno: Par. 189929(04/12) - 018228/ART - Mensalidades"/>
    <n v="1504.91"/>
    <d v="2015-05-05T00:00:00"/>
    <d v="1899-12-30T11:00:49"/>
    <n v="0"/>
    <n v="0"/>
    <n v="-2606337.6800002158"/>
    <m/>
    <m/>
    <n v="189929"/>
    <m/>
    <n v="1"/>
    <s v="Andre"/>
    <n v="1"/>
    <m/>
    <n v="2"/>
    <d v="2015-05-06T00:00:00"/>
    <d v="2015-05-06T00:00:00"/>
    <n v="27819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0"/>
    <n v="191190"/>
    <s v="Retorno: Par. 191190(04/12) - 019342/DOU - Mensalidades"/>
    <n v="1504.91"/>
    <d v="2015-05-05T00:00:00"/>
    <d v="1899-12-30T11:00:49"/>
    <n v="0"/>
    <n v="0"/>
    <n v="-2604832.7700002156"/>
    <m/>
    <m/>
    <n v="191190"/>
    <m/>
    <n v="1"/>
    <s v="Andre"/>
    <n v="1"/>
    <m/>
    <n v="2"/>
    <d v="2015-05-06T00:00:00"/>
    <d v="2015-05-06T00:00:00"/>
    <n v="27816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5"/>
    <n v="190015"/>
    <s v="Retorno: Par. 190015(04/12) - 018262/JOÃ - Mensalidades"/>
    <n v="1504.91"/>
    <d v="2015-05-05T00:00:00"/>
    <d v="1899-12-30T11:00:49"/>
    <n v="0"/>
    <n v="0"/>
    <n v="-2603327.8600002155"/>
    <m/>
    <m/>
    <n v="190015"/>
    <m/>
    <n v="1"/>
    <s v="Andre"/>
    <n v="1"/>
    <m/>
    <n v="2"/>
    <d v="2015-05-06T00:00:00"/>
    <d v="2015-05-06T00:00:00"/>
    <n v="27823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1"/>
    <n v="191337"/>
    <s v="Retorno: Par. 191337(04/12) - 019806/THI - Mensalidades"/>
    <n v="1504.9"/>
    <d v="2015-05-05T00:00:00"/>
    <d v="1899-12-30T11:00:49"/>
    <n v="0"/>
    <n v="0"/>
    <n v="-2601822.9600002156"/>
    <m/>
    <m/>
    <n v="191337"/>
    <m/>
    <n v="1"/>
    <s v="Andre"/>
    <n v="1"/>
    <m/>
    <n v="2"/>
    <d v="2015-05-06T00:00:00"/>
    <d v="2015-05-06T00:00:00"/>
    <n v="27817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7"/>
    <n v="198858"/>
    <s v="Retorno: Par. 198858(06/12) - 018175/LUA - Mensalidades"/>
    <n v="1473"/>
    <d v="2015-05-05T00:00:00"/>
    <d v="1899-12-30T11:00:49"/>
    <n v="0"/>
    <n v="0"/>
    <n v="-2600349.9600002156"/>
    <m/>
    <m/>
    <n v="198858"/>
    <m/>
    <n v="1"/>
    <s v="Andre"/>
    <n v="1"/>
    <m/>
    <n v="2"/>
    <d v="2015-05-06T00:00:00"/>
    <d v="2015-05-06T00:00:00"/>
    <n v="27825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8"/>
    <n v="189896"/>
    <s v="Retorno: Par. 189896(04/12) - 018176/ISA - Mensalidades"/>
    <n v="1504.91"/>
    <d v="2015-05-05T00:00:00"/>
    <d v="1899-12-30T11:00:50"/>
    <n v="0"/>
    <n v="0"/>
    <n v="-2598845.0500002154"/>
    <m/>
    <m/>
    <n v="189896"/>
    <m/>
    <n v="1"/>
    <s v="Andre"/>
    <n v="1"/>
    <m/>
    <n v="2"/>
    <d v="2015-05-06T00:00:00"/>
    <d v="2015-05-06T00:00:00"/>
    <n v="27826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8755"/>
    <n v="216633"/>
    <s v="Par.(05/12) 020810/MARIA PAULA PERILLO FERRE - Parcelas"/>
    <n v="1386"/>
    <d v="2015-05-05T00:00:00"/>
    <d v="1899-12-30T11:06:01"/>
    <n v="0"/>
    <n v="0"/>
    <n v="-2597459.0500002154"/>
    <m/>
    <m/>
    <n v="216633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s v="COLÉGIO OLIMPO LTDA"/>
    <m/>
    <n v="4"/>
    <n v="3"/>
    <s v="Dep. Bancário"/>
    <m/>
    <n v="0"/>
    <m/>
    <n v="0"/>
    <m/>
    <m/>
    <s v="BB [022382-4] [GYN] [CC]"/>
    <m/>
    <m/>
    <m/>
  </r>
  <r>
    <n v="269617"/>
    <n v="192487"/>
    <s v="Retorno: Par. 192487(04/12) - 18476/CAR - Mensalidades"/>
    <n v="1760.76"/>
    <d v="2015-05-05T00:00:00"/>
    <d v="1899-12-30T12:00:00"/>
    <n v="0"/>
    <n v="0"/>
    <n v="-2595698.2900002156"/>
    <m/>
    <m/>
    <n v="192487"/>
    <m/>
    <n v="1"/>
    <s v="Andre"/>
    <n v="1"/>
    <m/>
    <n v="2"/>
    <d v="2015-05-12T00:00:00"/>
    <d v="2015-05-12T00:00:00"/>
    <n v="2842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6"/>
    <n v="192199"/>
    <s v="Retorno: Par. 192199(04/12) - 18505/GAB - Mensalidades"/>
    <n v="1751.56"/>
    <d v="2015-05-05T00:00:00"/>
    <d v="1899-12-30T12:00:00"/>
    <n v="0"/>
    <n v="0"/>
    <n v="-2593946.7300002156"/>
    <m/>
    <m/>
    <n v="192199"/>
    <m/>
    <n v="1"/>
    <s v="Andre"/>
    <n v="1"/>
    <m/>
    <n v="2"/>
    <d v="2015-05-12T00:00:00"/>
    <d v="2015-05-12T00:00:00"/>
    <n v="2842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03"/>
    <n v="192163"/>
    <s v="Retorno: Par. 192163(04/12) - 18693/BEA - Mensalidades"/>
    <n v="1787.21"/>
    <d v="2015-05-05T00:00:00"/>
    <d v="1899-12-30T12:00:00"/>
    <n v="0"/>
    <n v="0"/>
    <n v="-2592159.5200002156"/>
    <m/>
    <m/>
    <n v="192163"/>
    <m/>
    <n v="1"/>
    <s v="Andre"/>
    <n v="1"/>
    <m/>
    <n v="2"/>
    <d v="2015-05-12T00:00:00"/>
    <d v="2015-05-12T00:00:00"/>
    <n v="28485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4"/>
    <n v="191773"/>
    <s v="Retorno: Par. 191773(04/12) - 18644/VIN - Mensalidades"/>
    <n v="1787.21"/>
    <d v="2015-05-05T00:00:00"/>
    <d v="1899-12-30T12:00:00"/>
    <n v="0"/>
    <n v="0"/>
    <n v="-2590372.3100002157"/>
    <m/>
    <m/>
    <n v="191773"/>
    <m/>
    <n v="1"/>
    <s v="Andre"/>
    <n v="1"/>
    <m/>
    <n v="2"/>
    <d v="2015-05-12T00:00:00"/>
    <d v="2015-05-12T00:00:00"/>
    <n v="28486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2"/>
    <n v="197424"/>
    <s v="Retorno: Par. 197424(04/12) - 19906/ELY - Mensalidades"/>
    <n v="1527.01"/>
    <d v="2015-05-05T00:00:00"/>
    <d v="1899-12-30T12:00:00"/>
    <n v="0"/>
    <n v="0"/>
    <n v="-2588845.3000002159"/>
    <m/>
    <m/>
    <n v="197424"/>
    <m/>
    <n v="1"/>
    <s v="Andre"/>
    <n v="1"/>
    <m/>
    <n v="2"/>
    <d v="2015-05-12T00:00:00"/>
    <d v="2015-05-12T00:00:00"/>
    <n v="28484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8044"/>
    <s v="Extrato/122418"/>
    <s v="Banco Do Brasil - Cód. 122418"/>
    <n v="0"/>
    <d v="2015-05-05T00:00:00"/>
    <d v="1899-12-30T13:56:20"/>
    <n v="115.14"/>
    <n v="0"/>
    <n v="-2588960.440000216"/>
    <m/>
    <m/>
    <m/>
    <n v="122418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68045"/>
    <s v="Extrato/122419"/>
    <s v="Banco Do Brasil - Cód. 122419"/>
    <n v="0"/>
    <d v="2015-05-05T00:00:00"/>
    <d v="1899-12-30T13:56:20"/>
    <n v="137.38"/>
    <n v="0"/>
    <n v="-2589097.8200002159"/>
    <m/>
    <m/>
    <m/>
    <n v="122419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68046"/>
    <s v="Extrato"/>
    <s v="Transferência entre Contas "/>
    <n v="3000"/>
    <d v="2015-05-05T00:00:00"/>
    <d v="1899-12-30T13:59:53"/>
    <n v="0"/>
    <n v="0"/>
    <n v="-2586097.8200002159"/>
    <m/>
    <m/>
    <m/>
    <m/>
    <n v="7"/>
    <s v="Anapaula"/>
    <n v="1"/>
    <m/>
    <n v="1471"/>
    <d v="2015-05-06T00:00:00"/>
    <d v="2015-05-06T00:00:00"/>
    <m/>
    <m/>
    <n v="2015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[008378-0] [SOL] [CC]"/>
    <m/>
    <m/>
    <m/>
  </r>
  <r>
    <n v="268048"/>
    <s v="Remessa Olimpo Fundamental"/>
    <s v="Remessa Olimpo Fundamental"/>
    <n v="365.5"/>
    <d v="2015-05-05T00:00:00"/>
    <d v="1899-12-30T14:07:04"/>
    <n v="0"/>
    <n v="0"/>
    <n v="-2585732.3200002159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s v="COLÉGIO OLIMPO LTDA"/>
    <m/>
    <n v="27"/>
    <n v="2"/>
    <s v="Cheque"/>
    <m/>
    <m/>
    <m/>
    <n v="0"/>
    <m/>
    <m/>
    <s v="BRADESCO [008378-0] [SOL] [CC]"/>
    <m/>
    <m/>
    <m/>
  </r>
  <r>
    <n v="268055"/>
    <n v="216532"/>
    <s v="Par.(01-1) 018367/FELIPE ROSA MALENA GARCIA - 1ª OU 2ª SÉRI"/>
    <n v="73"/>
    <d v="2015-05-05T00:00:00"/>
    <d v="1899-12-30T14:14:23"/>
    <n v="0"/>
    <n v="0"/>
    <n v="-2585659.3200002159"/>
    <m/>
    <m/>
    <n v="21653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56"/>
    <n v="216533"/>
    <s v="Par.(01-1) 018367/FELIPE ROSA MALENA GARCIA - 1ª OU 2ª SÉRI"/>
    <n v="73"/>
    <d v="2015-05-05T00:00:00"/>
    <d v="1899-12-30T14:14:24"/>
    <n v="0"/>
    <n v="0"/>
    <n v="-2585586.3200002159"/>
    <m/>
    <m/>
    <n v="21653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57"/>
    <n v="216534"/>
    <s v="Par.(01-1) 018367/FELIPE ROSA MALENA GARCIA - 1ª OU 2ª SÉRI"/>
    <n v="73"/>
    <d v="2015-05-05T00:00:00"/>
    <d v="1899-12-30T14:14:24"/>
    <n v="0"/>
    <n v="0"/>
    <n v="-2585513.3200002159"/>
    <m/>
    <m/>
    <n v="21653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58"/>
    <n v="216526"/>
    <s v="Par.(01-1) 018217/ANA LAURA ZUIN RUIZ - 1ª OU 2ª SÉRI"/>
    <n v="73"/>
    <d v="2015-05-05T00:00:00"/>
    <d v="1899-12-30T14:15:16"/>
    <n v="0"/>
    <n v="0"/>
    <n v="-2585440.3200002159"/>
    <m/>
    <m/>
    <n v="21652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59"/>
    <n v="216527"/>
    <s v="Par.(01-1) 018217/ANA LAURA ZUIN RUIZ - 1ª OU 2ª SÉRI"/>
    <n v="73"/>
    <d v="2015-05-05T00:00:00"/>
    <d v="1899-12-30T14:15:16"/>
    <n v="0"/>
    <n v="0"/>
    <n v="-2585367.3200002159"/>
    <m/>
    <m/>
    <n v="21652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0"/>
    <n v="216528"/>
    <s v="Par.(01-1) 018217/ANA LAURA ZUIN RUIZ - 1ª OU 2ª SÉRI"/>
    <n v="74"/>
    <d v="2015-05-05T00:00:00"/>
    <d v="1899-12-30T14:15:16"/>
    <n v="0"/>
    <n v="0"/>
    <n v="-2585293.3200002159"/>
    <m/>
    <m/>
    <n v="21652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1"/>
    <n v="216544"/>
    <s v="Par.(01-1) 019803/LUCAS MORAES AGUIAR - 1ª OU 2ª SÉRI"/>
    <n v="73"/>
    <d v="2015-05-05T00:00:00"/>
    <d v="1899-12-30T14:16:07"/>
    <n v="0"/>
    <n v="0"/>
    <n v="-2585220.3200002159"/>
    <m/>
    <m/>
    <n v="21654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2"/>
    <n v="216545"/>
    <s v="Par.(01-1) 019803/LUCAS MORAES AGUIAR - 1ª OU 2ª SÉRI"/>
    <n v="73"/>
    <d v="2015-05-05T00:00:00"/>
    <d v="1899-12-30T14:16:08"/>
    <n v="0"/>
    <n v="0"/>
    <n v="-2585147.3200002159"/>
    <m/>
    <m/>
    <n v="21654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3"/>
    <n v="216546"/>
    <s v="Par.(01-1) 019803/LUCAS MORAES AGUIAR - 1ª OU 2ª SÉRI"/>
    <n v="73"/>
    <d v="2015-05-05T00:00:00"/>
    <d v="1899-12-30T14:16:08"/>
    <n v="0"/>
    <n v="0"/>
    <n v="-2585074.3200002159"/>
    <m/>
    <m/>
    <n v="21654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4"/>
    <n v="216541"/>
    <s v="Par.(01-1) 018160/LUCAS MARTINS VASCONCELOS - 1ª OU 2ª SÉRI"/>
    <n v="73"/>
    <d v="2015-05-05T00:00:00"/>
    <d v="1899-12-30T14:18:29"/>
    <n v="0"/>
    <n v="0"/>
    <n v="-2585001.3200002159"/>
    <m/>
    <m/>
    <n v="21654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5"/>
    <n v="216542"/>
    <s v="Par.(01-1) 018160/LUCAS MARTINS VASCONCELOS - 1ª OU 2ª SÉRI"/>
    <n v="73"/>
    <d v="2015-05-05T00:00:00"/>
    <d v="1899-12-30T14:18:29"/>
    <n v="0"/>
    <n v="0"/>
    <n v="-2584928.3200002159"/>
    <m/>
    <m/>
    <n v="21654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6"/>
    <n v="216543"/>
    <s v="Par.(01-1) 018160/LUCAS MARTINS VASCONCELOS - 1ª OU 2ª SÉRI"/>
    <n v="73"/>
    <d v="2015-05-05T00:00:00"/>
    <d v="1899-12-30T14:18:30"/>
    <n v="0"/>
    <n v="0"/>
    <n v="-2584855.3200002159"/>
    <m/>
    <m/>
    <n v="21654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7"/>
    <n v="216538"/>
    <s v="Par.(01-1) 019553/LEONARDO RODRIGUES DE SOU - 1ª OU 2ª SÉRI"/>
    <n v="73"/>
    <d v="2015-05-05T00:00:00"/>
    <d v="1899-12-30T14:21:53"/>
    <n v="0"/>
    <n v="0"/>
    <n v="-2584782.3200002159"/>
    <m/>
    <m/>
    <n v="21653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8"/>
    <n v="216539"/>
    <s v="Par.(01-1) 019553/LEONARDO RODRIGUES DE SOU - 1ª OU 2ª SÉRI"/>
    <n v="73"/>
    <d v="2015-05-05T00:00:00"/>
    <d v="1899-12-30T14:21:53"/>
    <n v="0"/>
    <n v="0"/>
    <n v="-2584709.3200002159"/>
    <m/>
    <m/>
    <n v="21653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9"/>
    <n v="216540"/>
    <s v="Par.(01-1) 019553/LEONARDO RODRIGUES DE SOU - 1ª OU 2ª SÉRI"/>
    <n v="73"/>
    <d v="2015-05-05T00:00:00"/>
    <d v="1899-12-30T14:21:54"/>
    <n v="0"/>
    <n v="0"/>
    <n v="-2584636.3200002159"/>
    <m/>
    <m/>
    <n v="21654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0"/>
    <n v="216535"/>
    <s v="Par.(01-1) 018147/ISABELA SIMÕES BENTO DE S - 1ª OU 2ª SÉRI"/>
    <n v="73"/>
    <d v="2015-05-05T00:00:00"/>
    <d v="1899-12-30T14:24:22"/>
    <n v="0"/>
    <n v="0"/>
    <n v="-2584563.3200002159"/>
    <m/>
    <m/>
    <n v="21653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1"/>
    <n v="216536"/>
    <s v="Par.(01-1) 018147/ISABELA SIMÕES BENTO DE S - 1ª OU 2ª SÉRI"/>
    <n v="73"/>
    <d v="2015-05-05T00:00:00"/>
    <d v="1899-12-30T14:24:22"/>
    <n v="0"/>
    <n v="0"/>
    <n v="-2584490.3200002159"/>
    <m/>
    <m/>
    <n v="21653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2"/>
    <n v="216537"/>
    <s v="Par.(01-1) 018147/ISABELA SIMÕES BENTO DE S - 1ª OU 2ª SÉRI"/>
    <n v="73"/>
    <d v="2015-05-05T00:00:00"/>
    <d v="1899-12-30T14:24:23"/>
    <n v="0"/>
    <n v="0"/>
    <n v="-2584417.3200002159"/>
    <m/>
    <m/>
    <n v="21653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4"/>
    <n v="216530"/>
    <s v="Par.(01-1) 018182/CLÁUDIO DE MELO GERVÁSIO  - 1ª OU 2ª SÉRI"/>
    <n v="73"/>
    <d v="2015-05-05T00:00:00"/>
    <d v="1899-12-30T14:26:47"/>
    <n v="0"/>
    <n v="0"/>
    <n v="-2584344.3200002159"/>
    <m/>
    <m/>
    <n v="21653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5"/>
    <n v="216531"/>
    <s v="Par.(01-1) 018182/CLÁUDIO DE MELO GERVÁSIO  - 1ª OU 2ª SÉRI"/>
    <n v="73"/>
    <d v="2015-05-05T00:00:00"/>
    <d v="1899-12-30T14:26:47"/>
    <n v="0"/>
    <n v="0"/>
    <n v="-2584271.3200002159"/>
    <m/>
    <m/>
    <n v="21653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3"/>
    <n v="216529"/>
    <s v="Par.(01-1) 018182/CLÁUDIO DE MELO GERVÁSIO  - 1ª OU 2ª SÉRI"/>
    <n v="73"/>
    <d v="2015-05-05T00:00:00"/>
    <d v="1899-12-30T14:26:47"/>
    <n v="0"/>
    <n v="0"/>
    <n v="-2584198.3200002159"/>
    <m/>
    <m/>
    <n v="21652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6"/>
    <s v="Remessa Educ. Sol Nascente"/>
    <s v="Remessa Olimpo Fundamental"/>
    <n v="328.7"/>
    <d v="2015-05-05T00:00:00"/>
    <d v="1899-12-30T14:27:21"/>
    <n v="0"/>
    <n v="0"/>
    <n v="-2583869.6200002157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s v="COLÉGIO OLIMPO LTDA"/>
    <m/>
    <n v="27"/>
    <n v="9"/>
    <s v="Débito em conta"/>
    <m/>
    <m/>
    <m/>
    <n v="0"/>
    <m/>
    <m/>
    <s v="BRADESCO [008378-0] [SOL] [CC]"/>
    <m/>
    <m/>
    <m/>
  </r>
  <r>
    <n v="268080"/>
    <s v="Ant.Cob/122423"/>
    <s v="Banco Brb - Cód. 122423"/>
    <n v="0"/>
    <d v="2015-05-05T00:00:00"/>
    <d v="1899-12-30T14:29:58"/>
    <n v="1475.26"/>
    <n v="0"/>
    <n v="-2585344.8800002155"/>
    <m/>
    <m/>
    <m/>
    <n v="122423"/>
    <n v="60"/>
    <s v="Francielly"/>
    <n v="1"/>
    <m/>
    <n v="1598"/>
    <d v="2015-05-06T00:00:00"/>
    <d v="2015-05-06T00:00:00"/>
    <m/>
    <m/>
    <n v="2015"/>
    <n v="60"/>
    <m/>
    <m/>
    <m/>
    <m/>
    <s v="Aná.Déb.antecipação de Cobrança"/>
    <x v="2"/>
    <s v="COLÉGIO OLIMPO LTDA"/>
    <m/>
    <n v="74"/>
    <n v="11"/>
    <s v="Antec. de Cheque"/>
    <m/>
    <n v="0"/>
    <m/>
    <n v="0"/>
    <m/>
    <m/>
    <s v="BRB [ANA] [011594-4] [CC] [COB]"/>
    <m/>
    <m/>
    <m/>
  </r>
  <r>
    <n v="269828"/>
    <s v="Extrato/123282"/>
    <s v="Bradesco - Cód. 123282"/>
    <n v="0"/>
    <d v="2015-05-05T00:00:00"/>
    <d v="1899-12-30T14:32:06"/>
    <n v="152.36000000000001"/>
    <n v="0"/>
    <n v="-2585497.2400002154"/>
    <m/>
    <m/>
    <m/>
    <n v="123282"/>
    <n v="24"/>
    <s v="Emilly"/>
    <n v="1"/>
    <m/>
    <n v="1512"/>
    <d v="2015-05-13T00:00:00"/>
    <d v="2015-05-13T00:00:00"/>
    <m/>
    <m/>
    <n v="2015"/>
    <n v="24"/>
    <m/>
    <m/>
    <m/>
    <m/>
    <s v="IOF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84"/>
    <s v="3790125/122424"/>
    <s v="Bradesco S/A - Cód. 122424"/>
    <n v="0"/>
    <d v="2015-05-05T00:00:00"/>
    <d v="1899-12-30T14:33:44"/>
    <n v="249.61"/>
    <n v="0"/>
    <n v="-2585746.8500002152"/>
    <m/>
    <m/>
    <m/>
    <n v="122424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9829"/>
    <s v="2270125/122425"/>
    <s v="Bradesco S/A - Cód. 122425"/>
    <n v="0"/>
    <d v="2015-05-05T00:00:00"/>
    <d v="1899-12-30T14:33:52"/>
    <n v="4826.2299999999996"/>
    <n v="0"/>
    <n v="-2590573.0800002152"/>
    <m/>
    <m/>
    <m/>
    <n v="122425"/>
    <n v="24"/>
    <s v="Emilly"/>
    <n v="1"/>
    <m/>
    <n v="506"/>
    <d v="2015-05-13T00:00:00"/>
    <d v="2015-05-13T00:00:00"/>
    <m/>
    <m/>
    <n v="2015"/>
    <n v="24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85"/>
    <s v="Extrato/122426"/>
    <s v="Banco Brb - Cód. 122426"/>
    <n v="0"/>
    <d v="2015-05-05T00:00:00"/>
    <d v="1899-12-30T14:37:30"/>
    <n v="50.39"/>
    <n v="0"/>
    <n v="-2590623.4700002153"/>
    <m/>
    <m/>
    <m/>
    <n v="122426"/>
    <n v="60"/>
    <s v="Francielly"/>
    <n v="1"/>
    <m/>
    <n v="506"/>
    <d v="2015-05-06T00:00:00"/>
    <d v="2015-05-06T00:00:00"/>
    <m/>
    <m/>
    <n v="2015"/>
    <n v="60"/>
    <m/>
    <m/>
    <m/>
    <m/>
    <s v="CA.Capital de Giro (FINANCIAMENTO)"/>
    <x v="2"/>
    <s v="COLÉGIO OLIMPO LTDA"/>
    <m/>
    <n v="45"/>
    <n v="9"/>
    <s v="Débito em conta"/>
    <m/>
    <n v="0"/>
    <m/>
    <n v="0"/>
    <m/>
    <m/>
    <s v="BRB [EDI] [012053-2] [CC]"/>
    <m/>
    <m/>
    <m/>
  </r>
  <r>
    <n v="268810"/>
    <s v="Remessa Olimpo Anápolis"/>
    <s v="Remessa Olimpo Anápolis"/>
    <n v="2859.07"/>
    <d v="2015-05-05T00:00:00"/>
    <d v="1899-12-30T14:37:50"/>
    <n v="0"/>
    <n v="0"/>
    <n v="-2587764.4000002155"/>
    <m/>
    <m/>
    <m/>
    <m/>
    <n v="24"/>
    <s v="Emilly"/>
    <n v="1"/>
    <m/>
    <n v="1526"/>
    <d v="2015-05-08T00:00:00"/>
    <d v="2015-05-08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68756"/>
    <n v="191770"/>
    <s v="Retorno: Par. 191770(04/12) - 018554/FAB - Mensalidades"/>
    <n v="1724"/>
    <d v="2015-05-05T00:00:00"/>
    <d v="1899-12-30T15:11:30"/>
    <n v="0"/>
    <n v="0"/>
    <n v="-2586040.4000002155"/>
    <m/>
    <m/>
    <n v="191770"/>
    <m/>
    <n v="1"/>
    <s v="Andre"/>
    <n v="1"/>
    <m/>
    <n v="2"/>
    <d v="2015-05-07T00:00:00"/>
    <d v="2015-05-07T00:00:00"/>
    <n v="28200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57"/>
    <n v="191893"/>
    <s v="Retorno: Par. 191893(04/12) - 018473/CAR - Mensalidades"/>
    <n v="1724"/>
    <d v="2015-05-05T00:00:00"/>
    <d v="1899-12-30T15:11:30"/>
    <n v="0"/>
    <n v="0"/>
    <n v="-2584316.4000002155"/>
    <m/>
    <m/>
    <n v="191893"/>
    <m/>
    <n v="1"/>
    <s v="Andre"/>
    <n v="1"/>
    <m/>
    <n v="2"/>
    <d v="2015-05-07T00:00:00"/>
    <d v="2015-05-07T00:00:00"/>
    <n v="28201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58"/>
    <n v="191677"/>
    <s v="Retorno: Par. 191677(04/12) - 018681/CAR - Mensalidades"/>
    <n v="1724"/>
    <d v="2015-05-05T00:00:00"/>
    <d v="1899-12-30T15:11:30"/>
    <n v="0"/>
    <n v="0"/>
    <n v="-2582592.4000002155"/>
    <m/>
    <m/>
    <n v="191677"/>
    <m/>
    <n v="1"/>
    <s v="Andre"/>
    <n v="1"/>
    <m/>
    <n v="2"/>
    <d v="2015-05-07T00:00:00"/>
    <d v="2015-05-07T00:00:00"/>
    <n v="28202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59"/>
    <n v="191800"/>
    <s v="Retorno: Par. 191800(04/12) - 018495/EST - Mensalidades"/>
    <n v="1724"/>
    <d v="2015-05-05T00:00:00"/>
    <d v="1899-12-30T15:11:31"/>
    <n v="0"/>
    <n v="0"/>
    <n v="-2580868.4000002155"/>
    <m/>
    <m/>
    <n v="191800"/>
    <m/>
    <n v="1"/>
    <s v="Andre"/>
    <n v="1"/>
    <m/>
    <n v="2"/>
    <d v="2015-05-07T00:00:00"/>
    <d v="2015-05-07T00:00:00"/>
    <n v="28203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2"/>
    <n v="191710"/>
    <s v="Retorno: Par. 191710(04/12) - 018646/ANA - Mensalidades"/>
    <n v="1724"/>
    <d v="2015-05-05T00:00:00"/>
    <d v="1899-12-30T15:11:31"/>
    <n v="0"/>
    <n v="0"/>
    <n v="-2579144.4000002155"/>
    <m/>
    <m/>
    <n v="191710"/>
    <m/>
    <n v="1"/>
    <s v="Andre"/>
    <n v="1"/>
    <m/>
    <n v="2"/>
    <d v="2015-05-07T00:00:00"/>
    <d v="2015-05-07T00:00:00"/>
    <n v="28206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6"/>
    <n v="192112"/>
    <s v="Retorno: Par. 192112(04/12) - 018574/CAM - Mensalidades"/>
    <n v="1724"/>
    <d v="2015-05-05T00:00:00"/>
    <d v="1899-12-30T15:11:31"/>
    <n v="0"/>
    <n v="0"/>
    <n v="-2577420.4000002155"/>
    <m/>
    <m/>
    <n v="192112"/>
    <m/>
    <n v="1"/>
    <s v="Andre"/>
    <n v="1"/>
    <m/>
    <n v="2"/>
    <d v="2015-05-07T00:00:00"/>
    <d v="2015-05-07T00:00:00"/>
    <n v="28210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5"/>
    <n v="191842"/>
    <s v="Retorno: Par. 191842(04/12) - 018623/BEA - Mensalidades"/>
    <n v="1724"/>
    <d v="2015-05-05T00:00:00"/>
    <d v="1899-12-30T15:11:31"/>
    <n v="0"/>
    <n v="0"/>
    <n v="-2575696.4000002155"/>
    <m/>
    <m/>
    <n v="191842"/>
    <m/>
    <n v="1"/>
    <s v="Andre"/>
    <n v="1"/>
    <m/>
    <n v="2"/>
    <d v="2015-05-07T00:00:00"/>
    <d v="2015-05-07T00:00:00"/>
    <n v="28209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7"/>
    <n v="192055"/>
    <s v="Retorno: Par. 192055(04/12) - 018464/CEC - Mensalidades"/>
    <n v="1724"/>
    <d v="2015-05-05T00:00:00"/>
    <d v="1899-12-30T15:11:31"/>
    <n v="0"/>
    <n v="0"/>
    <n v="-2573972.4000002155"/>
    <m/>
    <m/>
    <n v="192055"/>
    <m/>
    <n v="1"/>
    <s v="Andre"/>
    <n v="1"/>
    <m/>
    <n v="2"/>
    <d v="2015-05-07T00:00:00"/>
    <d v="2015-05-07T00:00:00"/>
    <n v="28212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8"/>
    <n v="192076"/>
    <s v="Retorno: Par. 192076(04/12) - 018458/ANA - Mensalidades"/>
    <n v="1724"/>
    <d v="2015-05-05T00:00:00"/>
    <d v="1899-12-30T15:11:31"/>
    <n v="0"/>
    <n v="0"/>
    <n v="-2572248.4000002155"/>
    <m/>
    <m/>
    <n v="192076"/>
    <m/>
    <n v="1"/>
    <s v="Andre"/>
    <n v="1"/>
    <m/>
    <n v="2"/>
    <d v="2015-05-07T00:00:00"/>
    <d v="2015-05-07T00:00:00"/>
    <n v="28213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3"/>
    <n v="191896"/>
    <s v="Retorno: Par. 191896(04/12) - 018416/GUI - Mensalidades"/>
    <n v="1724"/>
    <d v="2015-05-05T00:00:00"/>
    <d v="1899-12-30T15:11:31"/>
    <n v="0"/>
    <n v="0"/>
    <n v="-2570524.4000002155"/>
    <m/>
    <m/>
    <n v="191896"/>
    <m/>
    <n v="1"/>
    <s v="Andre"/>
    <n v="1"/>
    <m/>
    <n v="2"/>
    <d v="2015-05-07T00:00:00"/>
    <d v="2015-05-07T00:00:00"/>
    <n v="28207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0"/>
    <n v="192058"/>
    <s v="Retorno: Par. 192058(04/12) - 018530/CYN - Mensalidades"/>
    <n v="1724"/>
    <d v="2015-05-05T00:00:00"/>
    <d v="1899-12-30T15:11:31"/>
    <n v="0"/>
    <n v="0"/>
    <n v="-2568800.4000002155"/>
    <m/>
    <m/>
    <n v="192058"/>
    <m/>
    <n v="1"/>
    <s v="Andre"/>
    <n v="1"/>
    <m/>
    <n v="2"/>
    <d v="2015-05-07T00:00:00"/>
    <d v="2015-05-07T00:00:00"/>
    <n v="28204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4"/>
    <n v="192478"/>
    <s v="Retorno: Par. 192478(04/12) - 018491/GIU - Mensalidades"/>
    <n v="1724"/>
    <d v="2015-05-05T00:00:00"/>
    <d v="1899-12-30T15:11:31"/>
    <n v="0"/>
    <n v="0"/>
    <n v="-2567076.4000002155"/>
    <m/>
    <m/>
    <n v="192478"/>
    <m/>
    <n v="1"/>
    <s v="Andre"/>
    <n v="1"/>
    <m/>
    <n v="2"/>
    <d v="2015-05-07T00:00:00"/>
    <d v="2015-05-07T00:00:00"/>
    <n v="28208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1"/>
    <n v="192019"/>
    <s v="Retorno: Par. 192019(04/12) - 018629/HOM - Mensalidades"/>
    <n v="1724"/>
    <d v="2015-05-05T00:00:00"/>
    <d v="1899-12-30T15:11:31"/>
    <n v="0"/>
    <n v="0"/>
    <n v="-2565352.4000002155"/>
    <m/>
    <m/>
    <n v="192019"/>
    <m/>
    <n v="1"/>
    <s v="Andre"/>
    <n v="1"/>
    <m/>
    <n v="2"/>
    <d v="2015-05-07T00:00:00"/>
    <d v="2015-05-07T00:00:00"/>
    <n v="28205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9"/>
    <n v="204264"/>
    <s v="Retorno: Par. 204264(04/12) - 018654/FER - Mensalidades"/>
    <n v="1724"/>
    <d v="2015-05-05T00:00:00"/>
    <d v="1899-12-30T15:11:32"/>
    <n v="0"/>
    <n v="0"/>
    <n v="-2563628.4000002155"/>
    <m/>
    <m/>
    <n v="204264"/>
    <m/>
    <n v="1"/>
    <s v="Andre"/>
    <n v="1"/>
    <m/>
    <n v="2"/>
    <d v="2015-05-07T00:00:00"/>
    <d v="2015-05-07T00:00:00"/>
    <n v="28214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72"/>
    <n v="205987"/>
    <s v="Retorno: Par. 205987(04/12) - 020398/VIC - Mensalidades"/>
    <n v="1724"/>
    <d v="2015-05-05T00:00:00"/>
    <d v="1899-12-30T15:11:32"/>
    <n v="0"/>
    <n v="0"/>
    <n v="-2561904.4000002155"/>
    <m/>
    <m/>
    <n v="205987"/>
    <m/>
    <n v="1"/>
    <s v="Andre"/>
    <n v="1"/>
    <m/>
    <n v="2"/>
    <d v="2015-05-07T00:00:00"/>
    <d v="2015-05-07T00:00:00"/>
    <n v="28217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73"/>
    <n v="192382"/>
    <s v="Retorno: Par. 192382(04/12) - 018601/FLÁ - Mensalidades"/>
    <n v="1724"/>
    <d v="2015-05-05T00:00:00"/>
    <d v="1899-12-30T15:11:32"/>
    <n v="0"/>
    <n v="0"/>
    <n v="-2560180.4000002155"/>
    <m/>
    <m/>
    <n v="192382"/>
    <m/>
    <n v="1"/>
    <s v="Andre"/>
    <n v="1"/>
    <m/>
    <n v="2"/>
    <d v="2015-05-07T00:00:00"/>
    <d v="2015-05-07T00:00:00"/>
    <n v="28218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71"/>
    <n v="192484"/>
    <s v="Retorno: Par. 192484(04/12) - 018437/GAB - Mensalidades"/>
    <n v="1724"/>
    <d v="2015-05-05T00:00:00"/>
    <d v="1899-12-30T15:11:32"/>
    <n v="0"/>
    <n v="0"/>
    <n v="-2558456.4000002155"/>
    <m/>
    <m/>
    <n v="192484"/>
    <m/>
    <n v="1"/>
    <s v="Andre"/>
    <n v="1"/>
    <m/>
    <n v="2"/>
    <d v="2015-05-07T00:00:00"/>
    <d v="2015-05-07T00:00:00"/>
    <n v="28216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70"/>
    <n v="191689"/>
    <s v="Retorno: Par. 191689(04/12) - 018635/CAR - Mensalidades"/>
    <n v="1724"/>
    <d v="2015-05-05T00:00:00"/>
    <d v="1899-12-30T15:11:32"/>
    <n v="0"/>
    <n v="0"/>
    <n v="-2556732.4000002155"/>
    <m/>
    <m/>
    <n v="191689"/>
    <m/>
    <n v="1"/>
    <s v="Andre"/>
    <n v="1"/>
    <m/>
    <n v="2"/>
    <d v="2015-05-07T00:00:00"/>
    <d v="2015-05-07T00:00:00"/>
    <n v="28215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813"/>
    <n v="192100"/>
    <s v="Retorno: Par. 192100(04/12) - 018638/ANA - Mensalidades"/>
    <n v="1724"/>
    <d v="2015-05-05T00:00:00"/>
    <d v="1899-12-30T15:15:32"/>
    <n v="0"/>
    <n v="0"/>
    <n v="-2555008.4000002155"/>
    <m/>
    <m/>
    <n v="192100"/>
    <m/>
    <n v="1"/>
    <s v="Andre"/>
    <n v="1"/>
    <m/>
    <n v="2"/>
    <d v="2015-05-08T00:00:00"/>
    <d v="2015-05-08T00:00:00"/>
    <n v="28286"/>
    <n v="21"/>
    <n v="2015"/>
    <n v="1"/>
    <m/>
    <m/>
    <m/>
    <m/>
    <s v="Mensalidade Ensino Médio"/>
    <x v="1"/>
    <s v="COLÉGIO OLIMPO LTDA"/>
    <m/>
    <n v="119"/>
    <n v="4"/>
    <s v="Boleto"/>
    <m/>
    <m/>
    <m/>
    <n v="0"/>
    <m/>
    <m/>
    <s v="CEF [GYN] [000158-2] [COB]"/>
    <m/>
    <m/>
    <m/>
  </r>
  <r>
    <n v="268312"/>
    <s v="Ant. Cob/122670"/>
    <s v="Banco Brb - Par. 122670(50-87)"/>
    <n v="0"/>
    <d v="2015-05-05T00:00:00"/>
    <d v="1899-12-30T15:34:55"/>
    <n v="1474.96"/>
    <n v="0"/>
    <n v="-2556483.3600002155"/>
    <m/>
    <m/>
    <m/>
    <n v="12267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08"/>
    <s v="Ant. Cob/122630"/>
    <s v="Banco Brb - Par. 122630(10-87)"/>
    <n v="0"/>
    <d v="2015-05-05T00:00:00"/>
    <d v="1899-12-30T15:34:55"/>
    <n v="1474.96"/>
    <n v="0"/>
    <n v="-2557958.3200002154"/>
    <m/>
    <m/>
    <m/>
    <n v="12263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09"/>
    <s v="Ant. Cob/122640"/>
    <s v="Banco Brb - Par. 122640(20-87)"/>
    <n v="0"/>
    <d v="2015-05-05T00:00:00"/>
    <d v="1899-12-30T15:34:55"/>
    <n v="1474.96"/>
    <n v="0"/>
    <n v="-2559433.2800002154"/>
    <m/>
    <m/>
    <m/>
    <n v="12264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0"/>
    <s v="Ant. Cob/122650"/>
    <s v="Banco Brb - Par. 122650(30-87)"/>
    <n v="0"/>
    <d v="2015-05-05T00:00:00"/>
    <d v="1899-12-30T15:34:55"/>
    <n v="1474.96"/>
    <n v="0"/>
    <n v="-2560908.2400002154"/>
    <m/>
    <m/>
    <m/>
    <n v="12265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1"/>
    <s v="Ant. Cob/122660"/>
    <s v="Banco Brb - Par. 122660(40-87)"/>
    <n v="0"/>
    <d v="2015-05-05T00:00:00"/>
    <d v="1899-12-30T15:34:55"/>
    <n v="1474.96"/>
    <n v="0"/>
    <n v="-2562383.2000002153"/>
    <m/>
    <m/>
    <m/>
    <n v="12266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06"/>
    <s v="Ant. Cob/122621"/>
    <s v="Banco Brb - Par. 122621(01-87)"/>
    <n v="0"/>
    <d v="2015-05-05T00:00:00"/>
    <d v="1899-12-30T15:34:55"/>
    <n v="1474.96"/>
    <n v="0"/>
    <n v="-2563858.1600002153"/>
    <m/>
    <m/>
    <m/>
    <n v="12262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07"/>
    <s v="Ant. Cob/122622"/>
    <s v="Banco Brb - Par. 122622(02-87)"/>
    <n v="0"/>
    <d v="2015-05-05T00:00:00"/>
    <d v="1899-12-30T15:34:55"/>
    <n v="1474.96"/>
    <n v="0"/>
    <n v="-2565333.1200002152"/>
    <m/>
    <m/>
    <m/>
    <n v="12262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6"/>
    <s v="Extrato/122716"/>
    <s v="Banco Brb - Par. 122716(01-4)"/>
    <n v="0"/>
    <d v="2015-05-05T00:00:00"/>
    <d v="1899-12-30T15:34:56"/>
    <n v="30.97"/>
    <n v="0"/>
    <n v="-2565364.0900002155"/>
    <m/>
    <m/>
    <m/>
    <n v="122716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5"/>
    <s v="Ant. Cob/122700"/>
    <s v="Banco Brb - Par. 122700(80-87)"/>
    <n v="0"/>
    <d v="2015-05-05T00:00:00"/>
    <d v="1899-12-30T15:34:56"/>
    <n v="1474.96"/>
    <n v="0"/>
    <n v="-2566839.0500002154"/>
    <m/>
    <m/>
    <m/>
    <n v="12270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3"/>
    <s v="Ant. Cob/122680"/>
    <s v="Banco Brb - Par. 122680(60-87)"/>
    <n v="0"/>
    <d v="2015-05-05T00:00:00"/>
    <d v="1899-12-30T15:34:56"/>
    <n v="1474.96"/>
    <n v="0"/>
    <n v="-2568314.0100002154"/>
    <m/>
    <m/>
    <m/>
    <n v="12268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4"/>
    <s v="Ant. Cob/122690"/>
    <s v="Banco Brb - Par. 122690(70-87)"/>
    <n v="0"/>
    <d v="2015-05-05T00:00:00"/>
    <d v="1899-12-30T15:34:56"/>
    <n v="1474.96"/>
    <n v="0"/>
    <n v="-2569788.9700002153"/>
    <m/>
    <m/>
    <m/>
    <n v="12269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7"/>
    <s v="Ant. Cob/122631"/>
    <s v="Banco Brb - Par. 122631(11-87)"/>
    <n v="0"/>
    <d v="2015-05-05T00:00:00"/>
    <d v="1899-12-30T15:34:56"/>
    <n v="1474.96"/>
    <n v="0"/>
    <n v="-2571263.9300002153"/>
    <m/>
    <m/>
    <m/>
    <n v="12263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8"/>
    <s v="Ant. Cob/122641"/>
    <s v="Banco Brb - Par. 122641(21-87)"/>
    <n v="0"/>
    <d v="2015-05-05T00:00:00"/>
    <d v="1899-12-30T15:34:56"/>
    <n v="1474.96"/>
    <n v="0"/>
    <n v="-2572738.8900002153"/>
    <m/>
    <m/>
    <m/>
    <n v="12264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9"/>
    <s v="Ant. Cob/122651"/>
    <s v="Banco Brb - Par. 122651(31-87)"/>
    <n v="0"/>
    <d v="2015-05-05T00:00:00"/>
    <d v="1899-12-30T15:34:56"/>
    <n v="1474.96"/>
    <n v="0"/>
    <n v="-2574213.8500002152"/>
    <m/>
    <m/>
    <m/>
    <n v="12265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0"/>
    <s v="Ant. Cob/122661"/>
    <s v="Banco Brb - Par. 122661(41-87)"/>
    <n v="0"/>
    <d v="2015-05-05T00:00:00"/>
    <d v="1899-12-30T15:34:56"/>
    <n v="1474.96"/>
    <n v="0"/>
    <n v="-2575688.8100002152"/>
    <m/>
    <m/>
    <m/>
    <n v="12266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1"/>
    <s v="Ant. Cob/122671"/>
    <s v="Banco Brb - Par. 122671(51-87)"/>
    <n v="0"/>
    <d v="2015-05-05T00:00:00"/>
    <d v="1899-12-30T15:34:56"/>
    <n v="1474.96"/>
    <n v="0"/>
    <n v="-2577163.7700002152"/>
    <m/>
    <m/>
    <m/>
    <n v="12267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2"/>
    <s v="Ant. Cob/122681"/>
    <s v="Banco Brb - Par. 122681(61-87)"/>
    <n v="0"/>
    <d v="2015-05-05T00:00:00"/>
    <d v="1899-12-30T15:34:56"/>
    <n v="1474.96"/>
    <n v="0"/>
    <n v="-2578638.7300002151"/>
    <m/>
    <m/>
    <m/>
    <n v="12268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3"/>
    <s v="Ant. Cob/122691"/>
    <s v="Banco Brb - Par. 122691(71-87)"/>
    <n v="0"/>
    <d v="2015-05-05T00:00:00"/>
    <d v="1899-12-30T15:34:56"/>
    <n v="1474.96"/>
    <n v="0"/>
    <n v="-2580113.6900002151"/>
    <m/>
    <m/>
    <m/>
    <n v="12269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5"/>
    <s v="Extrato/122717"/>
    <s v="Banco Brb - Par. 122717(02-4)"/>
    <n v="0"/>
    <d v="2015-05-05T00:00:00"/>
    <d v="1899-12-30T15:34:57"/>
    <n v="110"/>
    <n v="0"/>
    <n v="-2580223.6900002151"/>
    <m/>
    <m/>
    <m/>
    <n v="122717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4"/>
    <s v="Ant. Cob/122701"/>
    <s v="Banco Brb - Par. 122701(81-87)"/>
    <n v="0"/>
    <d v="2015-05-05T00:00:00"/>
    <d v="1899-12-30T15:34:57"/>
    <n v="1474.96"/>
    <n v="0"/>
    <n v="-2581698.650000215"/>
    <m/>
    <m/>
    <m/>
    <n v="12270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6"/>
    <s v="Ant. Cob/122632"/>
    <s v="Banco Brb - Par. 122632(12-87)"/>
    <n v="0"/>
    <d v="2015-05-05T00:00:00"/>
    <d v="1899-12-30T15:34:57"/>
    <n v="1474.96"/>
    <n v="0"/>
    <n v="-2583173.610000215"/>
    <m/>
    <m/>
    <m/>
    <n v="12263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7"/>
    <s v="Ant. Cob/122642"/>
    <s v="Banco Brb - Par. 122642(22-87)"/>
    <n v="0"/>
    <d v="2015-05-05T00:00:00"/>
    <d v="1899-12-30T15:34:57"/>
    <n v="1474.96"/>
    <n v="0"/>
    <n v="-2584648.570000215"/>
    <m/>
    <m/>
    <m/>
    <n v="12264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8"/>
    <s v="Ant. Cob/122652"/>
    <s v="Banco Brb - Par. 122652(32-87)"/>
    <n v="0"/>
    <d v="2015-05-05T00:00:00"/>
    <d v="1899-12-30T15:34:57"/>
    <n v="1474.96"/>
    <n v="0"/>
    <n v="-2586123.5300002149"/>
    <m/>
    <m/>
    <m/>
    <n v="12265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9"/>
    <s v="Ant. Cob/122662"/>
    <s v="Banco Brb - Par. 122662(42-87)"/>
    <n v="0"/>
    <d v="2015-05-05T00:00:00"/>
    <d v="1899-12-30T15:34:57"/>
    <n v="1474.96"/>
    <n v="0"/>
    <n v="-2587598.4900002149"/>
    <m/>
    <m/>
    <m/>
    <n v="12266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0"/>
    <s v="Ant. Cob/122672"/>
    <s v="Banco Brb - Par. 122672(52-87)"/>
    <n v="0"/>
    <d v="2015-05-05T00:00:00"/>
    <d v="1899-12-30T15:34:57"/>
    <n v="1474.96"/>
    <n v="0"/>
    <n v="-2589073.4500002149"/>
    <m/>
    <m/>
    <m/>
    <n v="12267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4"/>
    <s v="Extrato/122718"/>
    <s v="Banco Brb - Par. 122718(03-4)"/>
    <n v="0"/>
    <d v="2015-05-05T00:00:00"/>
    <d v="1899-12-30T15:34:58"/>
    <n v="27.5"/>
    <n v="0"/>
    <n v="-2589100.9500002149"/>
    <m/>
    <m/>
    <m/>
    <n v="122718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3"/>
    <s v="Ant. Cob/122702"/>
    <s v="Banco Brb - Par. 122702(82-87)"/>
    <n v="0"/>
    <d v="2015-05-05T00:00:00"/>
    <d v="1899-12-30T15:34:58"/>
    <n v="1474.96"/>
    <n v="0"/>
    <n v="-2590575.9100002148"/>
    <m/>
    <m/>
    <m/>
    <n v="12270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1"/>
    <s v="Ant. Cob/122682"/>
    <s v="Banco Brb - Par. 122682(62-87)"/>
    <n v="0"/>
    <d v="2015-05-05T00:00:00"/>
    <d v="1899-12-30T15:34:58"/>
    <n v="1474.96"/>
    <n v="0"/>
    <n v="-2592050.8700002148"/>
    <m/>
    <m/>
    <m/>
    <n v="12268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2"/>
    <s v="Ant. Cob/122692"/>
    <s v="Banco Brb - Par. 122692(72-87)"/>
    <n v="0"/>
    <d v="2015-05-05T00:00:00"/>
    <d v="1899-12-30T15:34:58"/>
    <n v="1474.96"/>
    <n v="0"/>
    <n v="-2593525.8300002147"/>
    <m/>
    <m/>
    <m/>
    <n v="12269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5"/>
    <s v="Ant. Cob/122623"/>
    <s v="Banco Brb - Par. 122623(03-87)"/>
    <n v="0"/>
    <d v="2015-05-05T00:00:00"/>
    <d v="1899-12-30T15:34:58"/>
    <n v="1474.96"/>
    <n v="0"/>
    <n v="-2595000.7900002147"/>
    <m/>
    <m/>
    <m/>
    <n v="12262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6"/>
    <s v="Ant. Cob/122633"/>
    <s v="Banco Brb - Par. 122633(13-87)"/>
    <n v="0"/>
    <d v="2015-05-05T00:00:00"/>
    <d v="1899-12-30T15:34:58"/>
    <n v="1474.96"/>
    <n v="0"/>
    <n v="-2596475.7500002147"/>
    <m/>
    <m/>
    <m/>
    <n v="12263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7"/>
    <s v="Ant. Cob/122643"/>
    <s v="Banco Brb - Par. 122643(23-87)"/>
    <n v="0"/>
    <d v="2015-05-05T00:00:00"/>
    <d v="1899-12-30T15:34:58"/>
    <n v="1474.96"/>
    <n v="0"/>
    <n v="-2597950.7100002146"/>
    <m/>
    <m/>
    <m/>
    <n v="12264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8"/>
    <s v="Ant. Cob/122653"/>
    <s v="Banco Brb - Par. 122653(33-87)"/>
    <n v="0"/>
    <d v="2015-05-05T00:00:00"/>
    <d v="1899-12-30T15:34:58"/>
    <n v="1474.96"/>
    <n v="0"/>
    <n v="-2599425.6700002146"/>
    <m/>
    <m/>
    <m/>
    <n v="12265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9"/>
    <s v="Ant. Cob/122663"/>
    <s v="Banco Brb - Par. 122663(43-87)"/>
    <n v="0"/>
    <d v="2015-05-05T00:00:00"/>
    <d v="1899-12-30T15:34:58"/>
    <n v="1474.96"/>
    <n v="0"/>
    <n v="-2600900.6300002146"/>
    <m/>
    <m/>
    <m/>
    <n v="12266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0"/>
    <s v="Ant. Cob/122673"/>
    <s v="Banco Brb - Par. 122673(53-87)"/>
    <n v="0"/>
    <d v="2015-05-05T00:00:00"/>
    <d v="1899-12-30T15:34:58"/>
    <n v="1474.96"/>
    <n v="0"/>
    <n v="-2602375.5900002145"/>
    <m/>
    <m/>
    <m/>
    <n v="12267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1"/>
    <s v="Ant. Cob/122683"/>
    <s v="Banco Brb - Par. 122683(63-87)"/>
    <n v="0"/>
    <d v="2015-05-05T00:00:00"/>
    <d v="1899-12-30T15:34:58"/>
    <n v="1474.96"/>
    <n v="0"/>
    <n v="-2603850.5500002145"/>
    <m/>
    <m/>
    <m/>
    <n v="12268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4"/>
    <s v="Extrato/122719"/>
    <s v="Banco Brb - Par. 122719(04-4)"/>
    <n v="0"/>
    <d v="2015-05-05T00:00:00"/>
    <d v="1899-12-30T15:34:59"/>
    <n v="15"/>
    <n v="0"/>
    <n v="-2603865.5500002145"/>
    <m/>
    <m/>
    <m/>
    <n v="12271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3"/>
    <s v="Ant. Cob/122703"/>
    <s v="Banco Brb - Par. 122703(83-87)"/>
    <n v="0"/>
    <d v="2015-05-05T00:00:00"/>
    <d v="1899-12-30T15:34:59"/>
    <n v="1474.96"/>
    <n v="0"/>
    <n v="-2605340.5100002144"/>
    <m/>
    <m/>
    <m/>
    <n v="12270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2"/>
    <s v="Ant. Cob/122693"/>
    <s v="Banco Brb - Par. 122693(73-87)"/>
    <n v="0"/>
    <d v="2015-05-05T00:00:00"/>
    <d v="1899-12-30T15:34:59"/>
    <n v="1474.96"/>
    <n v="0"/>
    <n v="-2606815.4700002144"/>
    <m/>
    <m/>
    <m/>
    <n v="12269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5"/>
    <s v="Ant. Cob/122624"/>
    <s v="Banco Brb - Par. 122624(04-87)"/>
    <n v="0"/>
    <d v="2015-05-05T00:00:00"/>
    <d v="1899-12-30T15:34:59"/>
    <n v="1474.96"/>
    <n v="0"/>
    <n v="-2608290.4300002144"/>
    <m/>
    <m/>
    <m/>
    <n v="12262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6"/>
    <s v="Ant. Cob/122634"/>
    <s v="Banco Brb - Par. 122634(14-87)"/>
    <n v="0"/>
    <d v="2015-05-05T00:00:00"/>
    <d v="1899-12-30T15:34:59"/>
    <n v="1474.96"/>
    <n v="0"/>
    <n v="-2609765.3900002143"/>
    <m/>
    <m/>
    <m/>
    <n v="12263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7"/>
    <s v="Ant. Cob/122644"/>
    <s v="Banco Brb - Par. 122644(24-87)"/>
    <n v="0"/>
    <d v="2015-05-05T00:00:00"/>
    <d v="1899-12-30T15:34:59"/>
    <n v="1474.96"/>
    <n v="0"/>
    <n v="-2611240.3500002143"/>
    <m/>
    <m/>
    <m/>
    <n v="12264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8"/>
    <s v="Ant. Cob/122654"/>
    <s v="Banco Brb - Par. 122654(34-87)"/>
    <n v="0"/>
    <d v="2015-05-05T00:00:00"/>
    <d v="1899-12-30T15:34:59"/>
    <n v="1474.96"/>
    <n v="0"/>
    <n v="-2612715.3100002143"/>
    <m/>
    <m/>
    <m/>
    <n v="12265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9"/>
    <s v="Ant. Cob/122664"/>
    <s v="Banco Brb - Par. 122664(44-87)"/>
    <n v="0"/>
    <d v="2015-05-05T00:00:00"/>
    <d v="1899-12-30T15:34:59"/>
    <n v="1474.96"/>
    <n v="0"/>
    <n v="-2614190.2700002142"/>
    <m/>
    <m/>
    <m/>
    <n v="12266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0"/>
    <s v="Ant. Cob/122674"/>
    <s v="Banco Brb - Par. 122674(54-87)"/>
    <n v="0"/>
    <d v="2015-05-05T00:00:00"/>
    <d v="1899-12-30T15:34:59"/>
    <n v="1474.96"/>
    <n v="0"/>
    <n v="-2615665.2300002142"/>
    <m/>
    <m/>
    <m/>
    <n v="12267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1"/>
    <s v="Ant. Cob/122684"/>
    <s v="Banco Brb - Par. 122684(64-87)"/>
    <n v="0"/>
    <d v="2015-05-05T00:00:00"/>
    <d v="1899-12-30T15:34:59"/>
    <n v="1474.96"/>
    <n v="0"/>
    <n v="-2617140.1900002141"/>
    <m/>
    <m/>
    <m/>
    <n v="12268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2"/>
    <s v="Ant. Cob/122694"/>
    <s v="Banco Brb - Par. 122694(74-87)"/>
    <n v="0"/>
    <d v="2015-05-05T00:00:00"/>
    <d v="1899-12-30T15:34:59"/>
    <n v="1474.96"/>
    <n v="0"/>
    <n v="-2618615.1500002141"/>
    <m/>
    <m/>
    <m/>
    <n v="12269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3"/>
    <s v="Ant. Cob/122704"/>
    <s v="Banco Brb - Par. 122704(84-87)"/>
    <n v="0"/>
    <d v="2015-05-05T00:00:00"/>
    <d v="1899-12-30T15:35:00"/>
    <n v="1724"/>
    <n v="0"/>
    <n v="-2620339.1500002141"/>
    <m/>
    <m/>
    <m/>
    <n v="12270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2"/>
    <s v="Ant. Cob/122705"/>
    <s v="Banco Brb - Par. 122705(85-87)"/>
    <n v="0"/>
    <d v="2015-05-05T00:00:00"/>
    <d v="1899-12-30T15:35:00"/>
    <n v="1473"/>
    <n v="0"/>
    <n v="-2621812.1500002141"/>
    <m/>
    <m/>
    <m/>
    <n v="12270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4"/>
    <s v="Ant. Cob/122625"/>
    <s v="Banco Brb - Par. 122625(05-87)"/>
    <n v="0"/>
    <d v="2015-05-05T00:00:00"/>
    <d v="1899-12-30T15:35:00"/>
    <n v="1474.96"/>
    <n v="0"/>
    <n v="-2623287.1100002141"/>
    <m/>
    <m/>
    <m/>
    <n v="12262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5"/>
    <s v="Ant. Cob/122635"/>
    <s v="Banco Brb - Par. 122635(15-87)"/>
    <n v="0"/>
    <d v="2015-05-05T00:00:00"/>
    <d v="1899-12-30T15:35:00"/>
    <n v="1474.96"/>
    <n v="0"/>
    <n v="-2624762.070000214"/>
    <m/>
    <m/>
    <m/>
    <n v="12263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6"/>
    <s v="Ant. Cob/122645"/>
    <s v="Banco Brb - Par. 122645(25-87)"/>
    <n v="0"/>
    <d v="2015-05-05T00:00:00"/>
    <d v="1899-12-30T15:35:00"/>
    <n v="1474.96"/>
    <n v="0"/>
    <n v="-2626237.030000214"/>
    <m/>
    <m/>
    <m/>
    <n v="12264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7"/>
    <s v="Ant. Cob/122655"/>
    <s v="Banco Brb - Par. 122655(35-87)"/>
    <n v="0"/>
    <d v="2015-05-05T00:00:00"/>
    <d v="1899-12-30T15:35:00"/>
    <n v="1474.96"/>
    <n v="0"/>
    <n v="-2627711.990000214"/>
    <m/>
    <m/>
    <m/>
    <n v="12265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8"/>
    <s v="Ant. Cob/122665"/>
    <s v="Banco Brb - Par. 122665(45-87)"/>
    <n v="0"/>
    <d v="2015-05-05T00:00:00"/>
    <d v="1899-12-30T15:35:00"/>
    <n v="1474.96"/>
    <n v="0"/>
    <n v="-2629186.9500002139"/>
    <m/>
    <m/>
    <m/>
    <n v="12266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9"/>
    <s v="Ant. Cob/122675"/>
    <s v="Banco Brb - Par. 122675(55-87)"/>
    <n v="0"/>
    <d v="2015-05-05T00:00:00"/>
    <d v="1899-12-30T15:35:00"/>
    <n v="1474.96"/>
    <n v="0"/>
    <n v="-2630661.9100002139"/>
    <m/>
    <m/>
    <m/>
    <n v="12267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0"/>
    <s v="Ant. Cob/122685"/>
    <s v="Banco Brb - Par. 122685(65-87)"/>
    <n v="0"/>
    <d v="2015-05-05T00:00:00"/>
    <d v="1899-12-30T15:35:00"/>
    <n v="1474.96"/>
    <n v="0"/>
    <n v="-2632136.8700002139"/>
    <m/>
    <m/>
    <m/>
    <n v="12268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1"/>
    <s v="Ant. Cob/122695"/>
    <s v="Banco Brb - Par. 122695(75-87)"/>
    <n v="0"/>
    <d v="2015-05-05T00:00:00"/>
    <d v="1899-12-30T15:35:00"/>
    <n v="1474.96"/>
    <n v="0"/>
    <n v="-2633611.8300002138"/>
    <m/>
    <m/>
    <m/>
    <n v="12269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3"/>
    <s v="Ant. Cob/122626"/>
    <s v="Banco Brb - Par. 122626(06-87)"/>
    <n v="0"/>
    <d v="2015-05-05T00:00:00"/>
    <d v="1899-12-30T15:35:00"/>
    <n v="1474.96"/>
    <n v="0"/>
    <n v="-2635086.7900002138"/>
    <m/>
    <m/>
    <m/>
    <n v="12262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1"/>
    <s v="Ant. Cob/122706"/>
    <s v="Banco Brb - Par. 122706(86-87)"/>
    <n v="0"/>
    <d v="2015-05-05T00:00:00"/>
    <d v="1899-12-30T15:35:01"/>
    <n v="73.739999999999995"/>
    <n v="0"/>
    <n v="-2635160.530000214"/>
    <m/>
    <m/>
    <m/>
    <n v="12270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4"/>
    <s v="Ant. Cob/122636"/>
    <s v="Banco Brb - Par. 122636(16-87)"/>
    <n v="0"/>
    <d v="2015-05-05T00:00:00"/>
    <d v="1899-12-30T15:35:01"/>
    <n v="1474.96"/>
    <n v="0"/>
    <n v="-2636635.490000214"/>
    <m/>
    <m/>
    <m/>
    <n v="12263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5"/>
    <s v="Ant. Cob/122646"/>
    <s v="Banco Brb - Par. 122646(26-87)"/>
    <n v="0"/>
    <d v="2015-05-05T00:00:00"/>
    <d v="1899-12-30T15:35:01"/>
    <n v="1474.96"/>
    <n v="0"/>
    <n v="-2638110.4500002139"/>
    <m/>
    <m/>
    <m/>
    <n v="12264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6"/>
    <s v="Ant. Cob/122656"/>
    <s v="Banco Brb - Par. 122656(36-87)"/>
    <n v="0"/>
    <d v="2015-05-05T00:00:00"/>
    <d v="1899-12-30T15:35:01"/>
    <n v="1474.96"/>
    <n v="0"/>
    <n v="-2639585.4100002139"/>
    <m/>
    <m/>
    <m/>
    <n v="12265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7"/>
    <s v="Ant. Cob/122666"/>
    <s v="Banco Brb - Par. 122666(46-87)"/>
    <n v="0"/>
    <d v="2015-05-05T00:00:00"/>
    <d v="1899-12-30T15:35:01"/>
    <n v="1474.96"/>
    <n v="0"/>
    <n v="-2641060.3700002139"/>
    <m/>
    <m/>
    <m/>
    <n v="12266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8"/>
    <s v="Ant. Cob/122676"/>
    <s v="Banco Brb - Par. 122676(56-87)"/>
    <n v="0"/>
    <d v="2015-05-05T00:00:00"/>
    <d v="1899-12-30T15:35:01"/>
    <n v="1474.96"/>
    <n v="0"/>
    <n v="-2642535.3300002138"/>
    <m/>
    <m/>
    <m/>
    <n v="12267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9"/>
    <s v="Ant. Cob/122686"/>
    <s v="Banco Brb - Par. 122686(66-87)"/>
    <n v="0"/>
    <d v="2015-05-05T00:00:00"/>
    <d v="1899-12-30T15:35:01"/>
    <n v="1474.96"/>
    <n v="0"/>
    <n v="-2644010.2900002138"/>
    <m/>
    <m/>
    <m/>
    <n v="12268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0"/>
    <s v="Ant. Cob/122696"/>
    <s v="Banco Brb - Par. 122696(76-87)"/>
    <n v="0"/>
    <d v="2015-05-05T00:00:00"/>
    <d v="1899-12-30T15:35:01"/>
    <n v="1474.96"/>
    <n v="0"/>
    <n v="-2645485.2500002137"/>
    <m/>
    <m/>
    <m/>
    <n v="12269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2"/>
    <s v="Ant. Cob/122627"/>
    <s v="Banco Brb - Par. 122627(07-87)"/>
    <n v="0"/>
    <d v="2015-05-05T00:00:00"/>
    <d v="1899-12-30T15:35:01"/>
    <n v="1474.96"/>
    <n v="0"/>
    <n v="-2646960.2100002137"/>
    <m/>
    <m/>
    <m/>
    <n v="12262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3"/>
    <s v="Ant. Cob/122637"/>
    <s v="Banco Brb - Par. 122637(17-87)"/>
    <n v="0"/>
    <d v="2015-05-05T00:00:00"/>
    <d v="1899-12-30T15:35:01"/>
    <n v="1474.96"/>
    <n v="0"/>
    <n v="-2648435.1700002137"/>
    <m/>
    <m/>
    <m/>
    <n v="12263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4"/>
    <s v="Ant. Cob/122647"/>
    <s v="Banco Brb - Par. 122647(27-87)"/>
    <n v="0"/>
    <d v="2015-05-05T00:00:00"/>
    <d v="1899-12-30T15:35:01"/>
    <n v="1474.96"/>
    <n v="0"/>
    <n v="-2649910.1300002136"/>
    <m/>
    <m/>
    <m/>
    <n v="12264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0"/>
    <s v="Ant. Cob/122707"/>
    <s v="Banco Brb - Par. 122707(87-87)"/>
    <n v="0"/>
    <d v="2015-05-05T00:00:00"/>
    <d v="1899-12-30T15:35:02"/>
    <n v="1151.5999999999999"/>
    <n v="0"/>
    <n v="-2651061.7300002137"/>
    <m/>
    <m/>
    <m/>
    <n v="12270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5"/>
    <s v="Ant. Cob/122657"/>
    <s v="Banco Brb - Par. 122657(37-87)"/>
    <n v="0"/>
    <d v="2015-05-05T00:00:00"/>
    <d v="1899-12-30T15:35:02"/>
    <n v="1474.96"/>
    <n v="0"/>
    <n v="-2652536.6900002137"/>
    <m/>
    <m/>
    <m/>
    <n v="12265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6"/>
    <s v="Ant. Cob/122667"/>
    <s v="Banco Brb - Par. 122667(47-87)"/>
    <n v="0"/>
    <d v="2015-05-05T00:00:00"/>
    <d v="1899-12-30T15:35:02"/>
    <n v="1474.96"/>
    <n v="0"/>
    <n v="-2654011.6500002136"/>
    <m/>
    <m/>
    <m/>
    <n v="12266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7"/>
    <s v="Ant. Cob/122677"/>
    <s v="Banco Brb - Par. 122677(57-87)"/>
    <n v="0"/>
    <d v="2015-05-05T00:00:00"/>
    <d v="1899-12-30T15:35:02"/>
    <n v="1474.96"/>
    <n v="0"/>
    <n v="-2655486.6100002136"/>
    <m/>
    <m/>
    <m/>
    <n v="12267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8"/>
    <s v="Ant. Cob/122687"/>
    <s v="Banco Brb - Par. 122687(67-87)"/>
    <n v="0"/>
    <d v="2015-05-05T00:00:00"/>
    <d v="1899-12-30T15:35:02"/>
    <n v="1474.96"/>
    <n v="0"/>
    <n v="-2656961.5700002136"/>
    <m/>
    <m/>
    <m/>
    <n v="12268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9"/>
    <s v="Ant. Cob/122697"/>
    <s v="Banco Brb - Par. 122697(77-87)"/>
    <n v="0"/>
    <d v="2015-05-05T00:00:00"/>
    <d v="1899-12-30T15:35:02"/>
    <n v="1474.96"/>
    <n v="0"/>
    <n v="-2658436.5300002135"/>
    <m/>
    <m/>
    <m/>
    <n v="12269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1"/>
    <s v="Ant. Cob/122628"/>
    <s v="Banco Brb - Par. 122628(08-87)"/>
    <n v="0"/>
    <d v="2015-05-05T00:00:00"/>
    <d v="1899-12-30T15:35:02"/>
    <n v="1474.96"/>
    <n v="0"/>
    <n v="-2659911.4900002135"/>
    <m/>
    <m/>
    <m/>
    <n v="12262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2"/>
    <s v="Ant. Cob/122638"/>
    <s v="Banco Brb - Par. 122638(18-87)"/>
    <n v="0"/>
    <d v="2015-05-05T00:00:00"/>
    <d v="1899-12-30T15:35:02"/>
    <n v="1474.96"/>
    <n v="0"/>
    <n v="-2661386.4500002135"/>
    <m/>
    <m/>
    <m/>
    <n v="12263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3"/>
    <s v="Ant. Cob/122648"/>
    <s v="Banco Brb - Par. 122648(28-87)"/>
    <n v="0"/>
    <d v="2015-05-05T00:00:00"/>
    <d v="1899-12-30T15:35:02"/>
    <n v="1474.96"/>
    <n v="0"/>
    <n v="-2662861.4100002134"/>
    <m/>
    <m/>
    <m/>
    <n v="12264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4"/>
    <s v="Ant. Cob/122658"/>
    <s v="Banco Brb - Par. 122658(38-87)"/>
    <n v="0"/>
    <d v="2015-05-05T00:00:00"/>
    <d v="1899-12-30T15:35:02"/>
    <n v="1474.96"/>
    <n v="0"/>
    <n v="-2664336.3700002134"/>
    <m/>
    <m/>
    <m/>
    <n v="12265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5"/>
    <s v="Ant. Cob/122668"/>
    <s v="Banco Brb - Par. 122668(48-87)"/>
    <n v="0"/>
    <d v="2015-05-05T00:00:00"/>
    <d v="1899-12-30T15:35:03"/>
    <n v="1474.96"/>
    <n v="0"/>
    <n v="-2665811.3300002133"/>
    <m/>
    <m/>
    <m/>
    <n v="12266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6"/>
    <s v="Ant. Cob/122678"/>
    <s v="Banco Brb - Par. 122678(58-87)"/>
    <n v="0"/>
    <d v="2015-05-05T00:00:00"/>
    <d v="1899-12-30T15:35:03"/>
    <n v="1474.96"/>
    <n v="0"/>
    <n v="-2667286.2900002133"/>
    <m/>
    <m/>
    <m/>
    <n v="12267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7"/>
    <s v="Ant. Cob/122688"/>
    <s v="Banco Brb - Par. 122688(68-87)"/>
    <n v="0"/>
    <d v="2015-05-05T00:00:00"/>
    <d v="1899-12-30T15:35:03"/>
    <n v="1474.96"/>
    <n v="0"/>
    <n v="-2668761.2500002133"/>
    <m/>
    <m/>
    <m/>
    <n v="12268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8"/>
    <s v="Ant. Cob/122698"/>
    <s v="Banco Brb - Par. 122698(78-87)"/>
    <n v="0"/>
    <d v="2015-05-05T00:00:00"/>
    <d v="1899-12-30T15:35:03"/>
    <n v="1474.96"/>
    <n v="0"/>
    <n v="-2670236.2100002132"/>
    <m/>
    <m/>
    <m/>
    <n v="12269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9"/>
    <s v="Ant. Cob/122629"/>
    <s v="Banco Brb - Par. 122629(09-87)"/>
    <n v="0"/>
    <d v="2015-05-05T00:00:00"/>
    <d v="1899-12-30T15:35:03"/>
    <n v="1474.96"/>
    <n v="0"/>
    <n v="-2671711.1700002132"/>
    <m/>
    <m/>
    <m/>
    <n v="12262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0"/>
    <s v="Ant. Cob/122639"/>
    <s v="Banco Brb - Par. 122639(19-87)"/>
    <n v="0"/>
    <d v="2015-05-05T00:00:00"/>
    <d v="1899-12-30T15:35:03"/>
    <n v="1474.96"/>
    <n v="0"/>
    <n v="-2673186.1300002132"/>
    <m/>
    <m/>
    <m/>
    <n v="12263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1"/>
    <s v="Ant. Cob/122649"/>
    <s v="Banco Brb - Par. 122649(29-87)"/>
    <n v="0"/>
    <d v="2015-05-05T00:00:00"/>
    <d v="1899-12-30T15:35:03"/>
    <n v="1474.96"/>
    <n v="0"/>
    <n v="-2674661.0900002131"/>
    <m/>
    <m/>
    <m/>
    <n v="12264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2"/>
    <s v="Ant. Cob/122659"/>
    <s v="Banco Brb - Par. 122659(39-87)"/>
    <n v="0"/>
    <d v="2015-05-05T00:00:00"/>
    <d v="1899-12-30T15:35:03"/>
    <n v="1474.96"/>
    <n v="0"/>
    <n v="-2676136.0500002131"/>
    <m/>
    <m/>
    <m/>
    <n v="12265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3"/>
    <s v="Ant. Cob/122669"/>
    <s v="Banco Brb - Par. 122669(49-87)"/>
    <n v="0"/>
    <d v="2015-05-05T00:00:00"/>
    <d v="1899-12-30T15:35:03"/>
    <n v="1474.96"/>
    <n v="0"/>
    <n v="-2677611.010000213"/>
    <m/>
    <m/>
    <m/>
    <n v="12266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4"/>
    <s v="Ant. Cob/122679"/>
    <s v="Banco Brb - Par. 122679(59-87)"/>
    <n v="0"/>
    <d v="2015-05-05T00:00:00"/>
    <d v="1899-12-30T15:35:03"/>
    <n v="1474.96"/>
    <n v="0"/>
    <n v="-2679085.970000213"/>
    <m/>
    <m/>
    <m/>
    <n v="12267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5"/>
    <s v="Ant. Cob/122689"/>
    <s v="Banco Brb - Par. 122689(69-87)"/>
    <n v="0"/>
    <d v="2015-05-05T00:00:00"/>
    <d v="1899-12-30T15:35:03"/>
    <n v="1474.96"/>
    <n v="0"/>
    <n v="-2680560.930000213"/>
    <m/>
    <m/>
    <m/>
    <n v="12268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6"/>
    <s v="Ant. Cob/122699"/>
    <s v="Banco Brb - Par. 122699(79-87)"/>
    <n v="0"/>
    <d v="2015-05-05T00:00:00"/>
    <d v="1899-12-30T15:35:03"/>
    <n v="1474.96"/>
    <n v="0"/>
    <n v="-2682035.8900002129"/>
    <m/>
    <m/>
    <m/>
    <n v="12269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455"/>
    <s v="DB20150505"/>
    <s v="OPERAÇÃO DESCONTO BOLETOS 2013.05.05"/>
    <n v="127930.05"/>
    <d v="2015-05-05T00:00:00"/>
    <d v="1899-12-30T15:59:19"/>
    <n v="0"/>
    <n v="0"/>
    <n v="-2554105.8400002131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8484"/>
    <s v="Extrato"/>
    <s v="Deposito Cheque "/>
    <n v="2486.1999999999998"/>
    <d v="2015-05-05T00:00:00"/>
    <d v="1899-12-30T16:15:51"/>
    <n v="0"/>
    <n v="0"/>
    <n v="-2551619.6400002129"/>
    <m/>
    <m/>
    <m/>
    <m/>
    <n v="7"/>
    <s v="Anapaula"/>
    <n v="1"/>
    <m/>
    <n v="1630"/>
    <d v="2015-05-06T00:00:00"/>
    <d v="2015-05-06T00:00:00"/>
    <m/>
    <m/>
    <n v="2015"/>
    <n v="7"/>
    <m/>
    <m/>
    <m/>
    <m/>
    <s v="Recebimento de Alunos"/>
    <x v="1"/>
    <s v="COLÉGIO OLIMPO LTDA"/>
    <m/>
    <n v="12"/>
    <n v="2"/>
    <s v="Cheque"/>
    <m/>
    <m/>
    <m/>
    <n v="0"/>
    <m/>
    <m/>
    <s v="BRB [GYN] [011616-0] [CC] [COB]"/>
    <m/>
    <m/>
    <m/>
  </r>
  <r>
    <n v="268485"/>
    <s v="JUROS20150504/122770"/>
    <s v="Banco Brb - Par. 122770(03-3)"/>
    <n v="0"/>
    <d v="2015-05-05T00:00:00"/>
    <d v="1899-12-30T16:19:30"/>
    <n v="16491.09"/>
    <n v="0"/>
    <n v="-2568110.7300002128"/>
    <m/>
    <m/>
    <m/>
    <n v="122770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489"/>
    <s v="EXTRATO"/>
    <s v="APLICAÇÃO AUTO MAIS"/>
    <n v="0.01"/>
    <d v="2015-05-05T00:00:00"/>
    <d v="1899-12-30T16:26:59"/>
    <n v="0"/>
    <n v="0"/>
    <n v="-2568110.720000213"/>
    <m/>
    <m/>
    <m/>
    <m/>
    <n v="7"/>
    <s v="Anapaula"/>
    <n v="1"/>
    <m/>
    <n v="95"/>
    <d v="2015-05-06T00:00:00"/>
    <d v="2015-05-06T00:00:00"/>
    <m/>
    <m/>
    <n v="2015"/>
    <n v="7"/>
    <m/>
    <m/>
    <m/>
    <m/>
    <s v="Recebimento Diversos"/>
    <x v="1"/>
    <s v="COLÉGIO OLIMPO LTDA"/>
    <m/>
    <n v="8"/>
    <n v="9"/>
    <s v="Débito em conta"/>
    <m/>
    <m/>
    <m/>
    <n v="0"/>
    <m/>
    <m/>
    <s v="ITAÚ [GYN] [026016-5] []"/>
    <m/>
    <m/>
    <m/>
  </r>
  <r>
    <n v="276165"/>
    <s v="Extrato"/>
    <s v="Transferência Entre Conta"/>
    <n v="0"/>
    <d v="2015-05-05T00:00:00"/>
    <d v="1899-12-30T16:29:03"/>
    <n v="4550.6000000000004"/>
    <n v="0"/>
    <n v="-2572661.3200002131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s v="COLÉGIO OLIMPO LTDA"/>
    <m/>
    <n v="114"/>
    <n v="8"/>
    <s v="Transferência Bancária"/>
    <m/>
    <m/>
    <m/>
    <n v="0"/>
    <m/>
    <n v="107"/>
    <s v="SAFRA [GYN] [206009-7] [COB]"/>
    <m/>
    <m/>
    <m/>
  </r>
  <r>
    <n v="276189"/>
    <s v="Extrato"/>
    <s v="Destino: 276165-Transferência Entre Conta"/>
    <n v="4550.6000000000004"/>
    <d v="2015-05-05T00:00:00"/>
    <d v="1899-12-30T16:29:03"/>
    <n v="0"/>
    <n v="0"/>
    <n v="-2568110.720000213"/>
    <m/>
    <m/>
    <m/>
    <m/>
    <n v="24"/>
    <s v="Emilly"/>
    <n v="1"/>
    <m/>
    <n v="1449"/>
    <d v="2015-07-03T00:00:00"/>
    <d v="2015-07-03T00:00:00"/>
    <m/>
    <m/>
    <n v="2015"/>
    <n v="24"/>
    <m/>
    <m/>
    <n v="276165"/>
    <m/>
    <s v="Transferência entre contas"/>
    <x v="2"/>
    <s v="COLÉGIO OLIMPO LTDA"/>
    <m/>
    <n v="107"/>
    <n v="8"/>
    <s v="Transferência Bancária"/>
    <m/>
    <m/>
    <m/>
    <n v="0"/>
    <m/>
    <m/>
    <s v="SAFRA [GYN] [000048-8] [CC]"/>
    <m/>
    <m/>
    <m/>
  </r>
  <r>
    <n v="276174"/>
    <s v="Extrato/128704"/>
    <s v="Banco Safra - Cód. 128704"/>
    <n v="0"/>
    <d v="2015-05-05T00:00:00"/>
    <d v="1899-12-30T16:37:35"/>
    <n v="54.72"/>
    <n v="0"/>
    <n v="-2568165.4400002132"/>
    <m/>
    <m/>
    <m/>
    <n v="128704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68545"/>
    <s v="2176/119637"/>
    <s v="Morais Souza C V L E Public - Cód. 119637"/>
    <n v="0"/>
    <d v="2015-05-05T00:00:00"/>
    <d v="1899-12-30T16:44:13"/>
    <n v="92.1"/>
    <n v="0"/>
    <n v="-2568257.5400002133"/>
    <m/>
    <m/>
    <m/>
    <n v="119637"/>
    <n v="7"/>
    <s v="Anapaula"/>
    <n v="1"/>
    <m/>
    <n v="1624"/>
    <d v="2015-05-06T00:00:00"/>
    <d v="2015-05-06T00:00:00"/>
    <m/>
    <m/>
    <n v="2015"/>
    <n v="7"/>
    <m/>
    <m/>
    <m/>
    <m/>
    <s v="Marista.Marketing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8564"/>
    <s v="Extrato/122849"/>
    <s v="Banco Itaú Unibanco S.A. - Cód. 122849"/>
    <n v="0"/>
    <d v="2015-05-05T00:00:00"/>
    <d v="1899-12-30T16:46:42"/>
    <n v="2.19"/>
    <n v="0"/>
    <n v="-2568259.7300002133"/>
    <m/>
    <m/>
    <m/>
    <n v="12284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66"/>
    <s v="Extrato/122859"/>
    <s v="Banco Itaú Unibanco S.A. - Cód. 122859"/>
    <n v="0"/>
    <d v="2015-05-05T00:00:00"/>
    <d v="1899-12-30T16:46:42"/>
    <n v="19"/>
    <n v="0"/>
    <n v="-2568278.7300002133"/>
    <m/>
    <m/>
    <m/>
    <n v="12285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62"/>
    <s v="Extrato/122846"/>
    <s v="Banco Itaú Unibanco S.A. - Par. 122846(04-4)"/>
    <n v="0"/>
    <d v="2015-05-05T00:00:00"/>
    <d v="1899-12-30T16:46:42"/>
    <n v="7.95"/>
    <n v="0"/>
    <n v="-2568286.6800002134"/>
    <m/>
    <m/>
    <m/>
    <n v="122846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79"/>
    <s v="Extrato"/>
    <s v="Aplicação auto mais "/>
    <n v="0.02"/>
    <d v="2015-05-05T00:00:00"/>
    <d v="1899-12-30T16:50:03"/>
    <n v="0"/>
    <n v="0"/>
    <n v="-2568286.6600002134"/>
    <m/>
    <m/>
    <m/>
    <m/>
    <n v="7"/>
    <s v="Anapaula"/>
    <n v="2"/>
    <m/>
    <n v="95"/>
    <d v="2015-05-06T00:00:00"/>
    <d v="2015-05-06T00:00:00"/>
    <m/>
    <m/>
    <n v="2015"/>
    <n v="7"/>
    <m/>
    <m/>
    <m/>
    <m/>
    <s v="Recebimento Diversos"/>
    <x v="1"/>
    <s v="COLÉGIO OLIMPO LTDA"/>
    <m/>
    <n v="26"/>
    <n v="8"/>
    <s v="Transferência Bancária"/>
    <m/>
    <m/>
    <m/>
    <n v="0"/>
    <m/>
    <m/>
    <s v="ITAÚ [SOL] [001691-4] [CC]"/>
    <m/>
    <m/>
    <m/>
  </r>
  <r>
    <n v="276196"/>
    <s v="Extrato"/>
    <s v="Liquidação de Cobrança "/>
    <n v="1724"/>
    <d v="2015-05-05T00:00:00"/>
    <d v="1899-12-30T16:50:19"/>
    <n v="0"/>
    <n v="0"/>
    <n v="-2566562.6600002134"/>
    <m/>
    <m/>
    <m/>
    <m/>
    <n v="7"/>
    <s v="Anapaula"/>
    <n v="1"/>
    <m/>
    <n v="1524"/>
    <d v="2015-07-03T00:00:00"/>
    <d v="2015-07-03T00:00:00"/>
    <m/>
    <m/>
    <n v="2015"/>
    <n v="7"/>
    <m/>
    <m/>
    <m/>
    <m/>
    <s v="Crédito boleto pago após recompra"/>
    <x v="1"/>
    <s v="COLÉGIO OLIMPO LTDA"/>
    <m/>
    <n v="114"/>
    <n v="8"/>
    <s v="Transferência Bancária"/>
    <m/>
    <m/>
    <m/>
    <n v="0"/>
    <m/>
    <m/>
    <s v="SAFRA [GYN] [206009-7] [COB]"/>
    <m/>
    <m/>
    <m/>
  </r>
  <r>
    <n v="268583"/>
    <s v="Brb Sol 3316/118082"/>
    <s v="Alex - Cunhado do Diego Bernadelli - Cód. 118082"/>
    <n v="0"/>
    <d v="2015-05-05T00:00:00"/>
    <d v="1899-12-30T16:54:01"/>
    <n v="26500"/>
    <n v="0"/>
    <n v="-2593062.6600002134"/>
    <m/>
    <m/>
    <m/>
    <n v="118082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84"/>
    <s v="Brb Sol 3494/122365"/>
    <s v="Instituto C Lamar - Cód. 122365"/>
    <n v="0"/>
    <d v="2015-05-05T00:00:00"/>
    <d v="1899-12-30T16:54:18"/>
    <n v="6000"/>
    <n v="0"/>
    <n v="-2599062.6600002134"/>
    <m/>
    <m/>
    <m/>
    <n v="122365"/>
    <n v="60"/>
    <s v="Francielly"/>
    <n v="1"/>
    <m/>
    <n v="1527"/>
    <d v="2015-05-06T00:00:00"/>
    <d v="2015-05-06T00:00:00"/>
    <m/>
    <m/>
    <n v="2015"/>
    <n v="60"/>
    <m/>
    <m/>
    <m/>
    <m/>
    <s v="Uber.Despesa diversas"/>
    <x v="1"/>
    <s v="COLÉGIO OLIMPO LTDA"/>
    <m/>
    <n v="52"/>
    <n v="2"/>
    <s v="Cheque"/>
    <m/>
    <n v="0"/>
    <m/>
    <n v="0"/>
    <m/>
    <m/>
    <s v="BRB [SOL] [012052-4] [CC] [COB]"/>
    <m/>
    <m/>
    <m/>
  </r>
  <r>
    <n v="268589"/>
    <s v="Extrato/122858"/>
    <s v="Banco Itaú Unibanco S.A. - Cód. 122858"/>
    <n v="0"/>
    <d v="2015-05-05T00:00:00"/>
    <d v="1899-12-30T16:54:56"/>
    <n v="144"/>
    <n v="0"/>
    <n v="-2599206.6600002134"/>
    <m/>
    <m/>
    <m/>
    <n v="122858"/>
    <n v="7"/>
    <s v="Anapaula"/>
    <n v="1"/>
    <m/>
    <n v="1511"/>
    <d v="2015-05-06T00:00:00"/>
    <d v="2015-05-06T00:00:00"/>
    <m/>
    <m/>
    <n v="2015"/>
    <n v="7"/>
    <m/>
    <m/>
    <m/>
    <m/>
    <s v="Tarifas de manutenção de conta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68590"/>
    <s v="EXTRATO/122833"/>
    <s v="Banco Itaú Unibanco S.A. - Cód. 122833"/>
    <n v="0"/>
    <d v="2015-05-05T00:00:00"/>
    <d v="1899-12-30T16:55:26"/>
    <n v="144"/>
    <n v="0"/>
    <n v="-2599350.6600002134"/>
    <m/>
    <m/>
    <m/>
    <n v="12283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8"/>
    <s v="Transferência Bancária"/>
    <m/>
    <n v="0"/>
    <m/>
    <n v="0"/>
    <m/>
    <m/>
    <s v="ITAÚ [SOL] [001691-4] [CC]"/>
    <m/>
    <m/>
    <m/>
  </r>
  <r>
    <n v="268591"/>
    <s v="MMDMB/122356"/>
    <s v="Marilia Maria De Moura Barros - Cód. 122356"/>
    <n v="0"/>
    <d v="2015-05-05T00:00:00"/>
    <d v="1899-12-30T16:56:20"/>
    <n v="6600"/>
    <n v="0"/>
    <n v="-2605950.6600002134"/>
    <m/>
    <m/>
    <m/>
    <n v="122356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92"/>
    <s v="RVF/108677"/>
    <s v="Renato Vieira Ferro - Par. 108677(05-12)"/>
    <n v="0"/>
    <d v="2015-05-05T00:00:00"/>
    <d v="1899-12-30T16:56:35"/>
    <n v="1500"/>
    <n v="0"/>
    <n v="-2607450.6600002134"/>
    <m/>
    <m/>
    <m/>
    <n v="10867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93"/>
    <s v="HJB/108627"/>
    <s v="Henrique José Bernadelli - Par. 108627(05-12)"/>
    <n v="0"/>
    <d v="2015-05-05T00:00:00"/>
    <d v="1899-12-30T16:56:58"/>
    <n v="900"/>
    <n v="0"/>
    <n v="-2608350.6600002134"/>
    <m/>
    <m/>
    <m/>
    <n v="10862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96"/>
    <s v="SRP/122357"/>
    <s v="Silvanio Rodrigues Peres - Cód. 122357"/>
    <n v="0"/>
    <d v="2015-05-05T00:00:00"/>
    <d v="1899-12-30T16:57:48"/>
    <n v="798"/>
    <n v="0"/>
    <n v="-2609148.6600002134"/>
    <m/>
    <m/>
    <m/>
    <n v="12235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97"/>
    <s v="Recibo/115058"/>
    <s v="Mi - Morada Imóveis Ltda - Par. 115058(04-12)"/>
    <n v="0"/>
    <d v="2015-05-05T00:00:00"/>
    <d v="1899-12-30T16:58:20"/>
    <n v="11733.47"/>
    <n v="0"/>
    <n v="-2620882.1300002136"/>
    <m/>
    <m/>
    <m/>
    <n v="115058"/>
    <n v="60"/>
    <s v="Francielly"/>
    <n v="1"/>
    <m/>
    <n v="1548"/>
    <d v="2015-05-06T00:00:00"/>
    <d v="2015-05-06T00:00:00"/>
    <m/>
    <m/>
    <n v="2015"/>
    <n v="60"/>
    <m/>
    <m/>
    <m/>
    <m/>
    <s v="Aná.Aluguel"/>
    <x v="1"/>
    <s v="COLÉGIO OLIMPO LTDA"/>
    <m/>
    <n v="52"/>
    <n v="2"/>
    <s v="Cheque"/>
    <m/>
    <n v="0"/>
    <m/>
    <n v="0"/>
    <m/>
    <m/>
    <s v="BRB [SOL] [012052-4] [CC] [COB]"/>
    <m/>
    <m/>
    <m/>
  </r>
  <r>
    <n v="268598"/>
    <s v="Ant. Cob/122865"/>
    <s v="Banco Brb - Cód. 122865"/>
    <n v="0"/>
    <d v="2015-05-05T00:00:00"/>
    <d v="1899-12-30T17:02:46"/>
    <n v="1051"/>
    <n v="0"/>
    <n v="-2621933.1300002136"/>
    <m/>
    <m/>
    <m/>
    <n v="122865"/>
    <n v="60"/>
    <s v="Francielly"/>
    <n v="1"/>
    <m/>
    <n v="1579"/>
    <d v="2015-05-06T00:00:00"/>
    <d v="2015-05-06T00:00:00"/>
    <m/>
    <m/>
    <n v="2015"/>
    <n v="60"/>
    <m/>
    <m/>
    <m/>
    <m/>
    <s v="T-27.Déb.antecipação de Cobrança"/>
    <x v="2"/>
    <s v="COLÉGIO OLIMPO LTDA"/>
    <m/>
    <n v="52"/>
    <n v="11"/>
    <s v="Antec. de Cheque"/>
    <m/>
    <n v="0"/>
    <m/>
    <n v="0"/>
    <m/>
    <m/>
    <s v="BRB [SOL] [012052-4] [CC] [COB]"/>
    <m/>
    <m/>
    <m/>
  </r>
  <r>
    <n v="268599"/>
    <s v="Ant.Cob/122866"/>
    <s v="Banco Brb - Cód. 122866"/>
    <n v="0"/>
    <d v="2015-05-05T00:00:00"/>
    <d v="1899-12-30T17:02:46"/>
    <n v="1051"/>
    <n v="0"/>
    <n v="-2622984.1300002136"/>
    <m/>
    <m/>
    <m/>
    <n v="122866"/>
    <n v="60"/>
    <s v="Francielly"/>
    <n v="1"/>
    <m/>
    <n v="1579"/>
    <d v="2015-05-06T00:00:00"/>
    <d v="2015-05-06T00:00:00"/>
    <m/>
    <m/>
    <n v="2015"/>
    <n v="60"/>
    <m/>
    <m/>
    <m/>
    <m/>
    <s v="T-27.Déb.antecipação de Cobrança"/>
    <x v="2"/>
    <s v="COLÉGIO OLIMPO LTDA"/>
    <m/>
    <n v="52"/>
    <n v="11"/>
    <s v="Antec. de Cheque"/>
    <m/>
    <n v="0"/>
    <m/>
    <n v="0"/>
    <m/>
    <m/>
    <s v="BRB [SOL] [012052-4] [CC] [COB]"/>
    <m/>
    <m/>
    <m/>
  </r>
  <r>
    <n v="267661"/>
    <s v="Transferência Entre Conta"/>
    <s v="Transferência Entre Conta"/>
    <n v="0"/>
    <d v="2015-05-05T00:00:00"/>
    <d v="1899-12-30T17:37:07"/>
    <n v="5000"/>
    <n v="0"/>
    <n v="-2627984.1300002136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42"/>
    <s v="ITAÚ [SOL] [001691-4] [CC]"/>
    <m/>
    <m/>
    <m/>
  </r>
  <r>
    <n v="267662"/>
    <s v="Transferência Entre Conta"/>
    <s v="Destino: 267661-Transferência Entre Conta"/>
    <n v="5000"/>
    <d v="2015-05-05T00:00:00"/>
    <d v="1899-12-30T17:37:07"/>
    <n v="0"/>
    <n v="0"/>
    <n v="-2622984.1300002136"/>
    <m/>
    <m/>
    <m/>
    <m/>
    <n v="24"/>
    <s v="Emilly"/>
    <n v="2"/>
    <m/>
    <n v="1449"/>
    <d v="2015-05-05T00:00:00"/>
    <d v="2015-05-05T00:00:00"/>
    <m/>
    <m/>
    <n v="2015"/>
    <n v="24"/>
    <m/>
    <m/>
    <n v="267661"/>
    <m/>
    <s v="Transferência entre contas"/>
    <x v="2"/>
    <s v="COLÉGIO OLIMPO LTDA"/>
    <m/>
    <n v="42"/>
    <n v="8"/>
    <s v="Transferência Bancária"/>
    <m/>
    <m/>
    <m/>
    <n v="0"/>
    <m/>
    <m/>
    <s v="BRB [CAN] [012037-0] [CC]"/>
    <m/>
    <m/>
    <m/>
  </r>
  <r>
    <n v="267670"/>
    <s v="Fgts/122378"/>
    <s v="Fgts - Cód. 122378"/>
    <n v="0"/>
    <d v="2015-05-05T00:00:00"/>
    <d v="1899-12-30T17:58:25"/>
    <n v="1201.0999999999999"/>
    <n v="0"/>
    <n v="-2624185.2300002137"/>
    <m/>
    <m/>
    <m/>
    <n v="122378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1"/>
    <s v="12602541512501236/122379"/>
    <s v="Ministério da Fazenda - Cód. 122379"/>
    <n v="0"/>
    <d v="2015-05-05T00:00:00"/>
    <d v="1899-12-30T18:00:42"/>
    <n v="46"/>
    <n v="0"/>
    <n v="-2624231.2300002137"/>
    <m/>
    <m/>
    <m/>
    <n v="122379"/>
    <n v="24"/>
    <s v="Emilly"/>
    <n v="1"/>
    <m/>
    <n v="341"/>
    <d v="2015-05-05T00:00:00"/>
    <d v="2015-05-05T00:00:00"/>
    <m/>
    <m/>
    <n v="2015"/>
    <n v="24"/>
    <m/>
    <m/>
    <m/>
    <m/>
    <s v="Marista.Impostos 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2"/>
    <s v="Fgts/122380"/>
    <s v="Fgts - Cód. 122380"/>
    <n v="0"/>
    <d v="2015-05-05T00:00:00"/>
    <d v="1899-12-30T18:01:32"/>
    <n v="427.53"/>
    <n v="0"/>
    <n v="-2624658.7600002135"/>
    <m/>
    <m/>
    <m/>
    <n v="122380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3"/>
    <s v="Fgts/122381"/>
    <s v="Fgts - Cód. 122381"/>
    <n v="0"/>
    <d v="2015-05-05T00:00:00"/>
    <d v="1899-12-30T18:02:19"/>
    <n v="425.2"/>
    <n v="0"/>
    <n v="-2625083.9600002137"/>
    <m/>
    <m/>
    <m/>
    <n v="122381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4"/>
    <s v="Fgts/122382"/>
    <s v="Fgts - Cód. 122382"/>
    <n v="0"/>
    <d v="2015-05-05T00:00:00"/>
    <d v="1899-12-30T18:02:54"/>
    <n v="632.27"/>
    <n v="0"/>
    <n v="-2625716.2300002137"/>
    <m/>
    <m/>
    <m/>
    <n v="122382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6"/>
    <s v="Fgts/122383"/>
    <s v="Fgts - Cód. 122383"/>
    <n v="0"/>
    <d v="2015-05-05T00:00:00"/>
    <d v="1899-12-30T18:03:43"/>
    <n v="982.19"/>
    <n v="0"/>
    <n v="-2626698.4200002137"/>
    <m/>
    <m/>
    <m/>
    <n v="122383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7"/>
    <s v="Fgts/122384"/>
    <s v="Fgts - Cód. 122384"/>
    <n v="0"/>
    <d v="2015-05-05T00:00:00"/>
    <d v="1899-12-30T18:04:27"/>
    <n v="956.51"/>
    <n v="0"/>
    <n v="-2627654.9300002134"/>
    <m/>
    <m/>
    <m/>
    <n v="122384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8"/>
    <s v="Fgts/122385"/>
    <s v="Fgts - Cód. 122385"/>
    <n v="0"/>
    <d v="2015-05-05T00:00:00"/>
    <d v="1899-12-30T18:05:00"/>
    <n v="1349.1"/>
    <n v="0"/>
    <n v="-2629004.0300002135"/>
    <m/>
    <m/>
    <m/>
    <n v="122385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9"/>
    <s v="Fgts/122386"/>
    <s v="Fgts - Cód. 122386"/>
    <n v="0"/>
    <d v="2015-05-05T00:00:00"/>
    <d v="1899-12-30T18:05:35"/>
    <n v="1260.9000000000001"/>
    <n v="0"/>
    <n v="-2630264.9300002134"/>
    <m/>
    <m/>
    <m/>
    <n v="122386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859"/>
    <s v="Rescisão/123231"/>
    <s v="Rescisão - Grupo Olimpo - Cód. 123231"/>
    <n v="0"/>
    <d v="2015-05-06T00:00:00"/>
    <d v="1899-12-30T08:05:51"/>
    <n v="1045"/>
    <n v="0"/>
    <n v="-2631309.9300002134"/>
    <m/>
    <m/>
    <m/>
    <n v="123231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861"/>
    <s v="MD/108651"/>
    <s v="Marisvaldo Divino  - Par. 108651(05-12)"/>
    <n v="0"/>
    <d v="2015-05-06T00:00:00"/>
    <d v="1899-12-30T08:29:45"/>
    <n v="3000"/>
    <n v="0"/>
    <n v="-2634309.9300002134"/>
    <m/>
    <m/>
    <m/>
    <n v="108651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62"/>
    <s v="MAC/123223"/>
    <s v="Marco Antônio Cruvinel - Cód. 123223"/>
    <n v="0"/>
    <d v="2015-05-06T00:00:00"/>
    <d v="1899-12-30T08:29:59"/>
    <n v="5000"/>
    <n v="0"/>
    <n v="-2639309.9300002134"/>
    <m/>
    <m/>
    <m/>
    <n v="123223"/>
    <n v="7"/>
    <s v="Anapaula"/>
    <n v="1"/>
    <m/>
    <n v="498"/>
    <d v="2015-05-14T00:00:00"/>
    <d v="2015-05-14T00:00:00"/>
    <m/>
    <m/>
    <n v="2015"/>
    <n v="7"/>
    <m/>
    <m/>
    <m/>
    <m/>
    <s v="CA.Aquisição de Imóvel (ATIVO)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63"/>
    <s v="Brb Sol 3505/123224"/>
    <s v="Faculdade Eso - Cód. 123224"/>
    <n v="0"/>
    <d v="2015-05-06T00:00:00"/>
    <d v="1899-12-30T08:30:11"/>
    <n v="2500"/>
    <n v="0"/>
    <n v="-2641809.9300002134"/>
    <m/>
    <m/>
    <m/>
    <n v="123224"/>
    <n v="7"/>
    <s v="Anapaula"/>
    <n v="1"/>
    <m/>
    <n v="1480"/>
    <d v="2015-05-14T00:00:00"/>
    <d v="2015-05-14T00:00:00"/>
    <m/>
    <m/>
    <n v="2015"/>
    <n v="7"/>
    <m/>
    <m/>
    <m/>
    <m/>
    <s v="CA.Investimento Olimpo - Faculdade ESO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64"/>
    <s v="EV/110042"/>
    <s v="Edizilda Vieira Moraes Marinho - Par. 110042(05-12)"/>
    <n v="0"/>
    <d v="2015-05-06T00:00:00"/>
    <d v="1899-12-30T08:30:29"/>
    <n v="1800"/>
    <n v="0"/>
    <n v="-2643609.9300002134"/>
    <m/>
    <m/>
    <m/>
    <n v="110042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78"/>
    <s v="Transferência Entre Conta"/>
    <s v="Transferência Entre Conta"/>
    <n v="12800"/>
    <d v="2015-05-06T00:00:00"/>
    <d v="1899-12-30T08:38:29"/>
    <n v="0"/>
    <n v="0"/>
    <n v="-2630809.9300002134"/>
    <m/>
    <m/>
    <m/>
    <m/>
    <n v="7"/>
    <s v="Anapaula"/>
    <n v="1"/>
    <m/>
    <n v="1449"/>
    <d v="2015-05-14T00:00:00"/>
    <d v="2015-05-14T00:00:00"/>
    <m/>
    <m/>
    <n v="2015"/>
    <n v="7"/>
    <m/>
    <m/>
    <m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8633"/>
    <s v="Extrato/122878"/>
    <s v="Banco Santander  - Par. 122878(02-3)"/>
    <n v="0"/>
    <d v="2015-05-06T00:00:00"/>
    <d v="1899-12-30T08:55:30"/>
    <n v="51.8"/>
    <n v="0"/>
    <n v="-2630861.7300002133"/>
    <m/>
    <m/>
    <m/>
    <n v="122878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7"/>
    <n v="12"/>
    <s v="Crédito em conta"/>
    <m/>
    <n v="0"/>
    <m/>
    <n v="0"/>
    <m/>
    <m/>
    <s v="SANT 936-9 GOIANIA"/>
    <m/>
    <m/>
    <m/>
  </r>
  <r>
    <n v="268635"/>
    <s v="Extrato/122879"/>
    <s v="Banco Santander  - Par. 122879(03-3)"/>
    <n v="0"/>
    <d v="2015-05-06T00:00:00"/>
    <d v="1899-12-30T08:56:12"/>
    <n v="51.8"/>
    <n v="0"/>
    <n v="-2630913.5300002131"/>
    <m/>
    <m/>
    <m/>
    <n v="122879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123"/>
    <n v="12"/>
    <s v="Crédito em conta"/>
    <m/>
    <n v="0"/>
    <m/>
    <n v="0"/>
    <m/>
    <m/>
    <s v="SANTANDER SOL 3369-0"/>
    <m/>
    <m/>
    <m/>
  </r>
  <r>
    <n v="270926"/>
    <s v="Extrato/123119"/>
    <s v="Bic - Banco Industria E Comercio - Cód. 123119"/>
    <n v="0"/>
    <d v="2015-05-06T00:00:00"/>
    <d v="1899-12-30T09:12:39"/>
    <n v="0.14000000000000001"/>
    <n v="0"/>
    <n v="-2630913.6700002132"/>
    <m/>
    <m/>
    <m/>
    <n v="123119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9718"/>
    <n v="197349"/>
    <s v="Par.(03/12) 019719/MARIANA RODRIGUES DE MATO - Mensalidades"/>
    <n v="1848.15"/>
    <d v="2015-05-06T00:00:00"/>
    <d v="1899-12-30T09:30:42"/>
    <n v="0"/>
    <n v="0"/>
    <n v="-2629065.5200002133"/>
    <m/>
    <m/>
    <n v="197349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9721"/>
    <n v="191323"/>
    <s v="Par.(02/12) 019797/LUCCA FELICIO SCAFUTO - Mensalidades"/>
    <n v="1595.74"/>
    <d v="2015-05-06T00:00:00"/>
    <d v="1899-12-30T09:36:53"/>
    <n v="0"/>
    <n v="0"/>
    <n v="-2627469.7800002131"/>
    <m/>
    <m/>
    <n v="191323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9722"/>
    <n v="191324"/>
    <s v="Par.(03/12) 019797/LUCCA FELICIO SCAFUTO - Mensalidades"/>
    <n v="1580.56"/>
    <d v="2015-05-06T00:00:00"/>
    <d v="1899-12-30T09:36:53"/>
    <n v="0"/>
    <n v="0"/>
    <n v="-2625889.220000213"/>
    <m/>
    <m/>
    <n v="191324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9726"/>
    <s v="13765115/123239"/>
    <s v="Celg - Cód. 123239"/>
    <n v="0"/>
    <d v="2015-05-06T00:00:00"/>
    <d v="1899-12-30T09:41:15"/>
    <n v="78.28"/>
    <n v="0"/>
    <n v="-2625967.5000002128"/>
    <m/>
    <m/>
    <m/>
    <n v="123239"/>
    <n v="24"/>
    <s v="Emilly"/>
    <n v="1"/>
    <m/>
    <n v="526"/>
    <d v="2015-05-13T00:00:00"/>
    <d v="2015-05-13T00:00:00"/>
    <m/>
    <m/>
    <n v="2015"/>
    <n v="24"/>
    <m/>
    <m/>
    <m/>
    <m/>
    <s v="CA.Energia Elétrica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27"/>
    <s v="13765115/123240"/>
    <s v="Celg - Cód. 123240"/>
    <n v="0"/>
    <d v="2015-05-06T00:00:00"/>
    <d v="1899-12-30T09:42:19"/>
    <n v="77.45"/>
    <n v="0"/>
    <n v="-2626044.950000213"/>
    <m/>
    <m/>
    <m/>
    <n v="123240"/>
    <n v="24"/>
    <s v="Emilly"/>
    <n v="1"/>
    <m/>
    <n v="526"/>
    <d v="2015-05-13T00:00:00"/>
    <d v="2015-05-13T00:00:00"/>
    <m/>
    <m/>
    <n v="2015"/>
    <n v="24"/>
    <m/>
    <m/>
    <m/>
    <m/>
    <s v="CA.Energia Elétrica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6286"/>
    <s v="Transferência Entre Contas"/>
    <s v="Transferência Entre Contas"/>
    <n v="34478.480000000003"/>
    <d v="2015-05-06T00:00:00"/>
    <d v="1899-12-30T09:42:46"/>
    <n v="0"/>
    <n v="0"/>
    <n v="-2591566.470000213"/>
    <m/>
    <m/>
    <m/>
    <m/>
    <n v="7"/>
    <s v="Anapaula"/>
    <n v="1"/>
    <m/>
    <n v="1471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69729"/>
    <s v="10360591/110409"/>
    <s v="Celg - Par. 110409(04-11)"/>
    <n v="0"/>
    <d v="2015-05-06T00:00:00"/>
    <d v="1899-12-30T09:44:27"/>
    <n v="161.26"/>
    <n v="0"/>
    <n v="-2591727.7300002128"/>
    <m/>
    <m/>
    <m/>
    <n v="110409"/>
    <n v="24"/>
    <s v="Emilly"/>
    <n v="1"/>
    <m/>
    <n v="1439"/>
    <d v="2015-05-13T00:00:00"/>
    <d v="2015-05-13T00:00:00"/>
    <m/>
    <m/>
    <n v="2015"/>
    <n v="24"/>
    <m/>
    <m/>
    <m/>
    <m/>
    <s v="SolNascente.Energia Elétrica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30"/>
    <s v="10360815/110421"/>
    <s v="Celg - Par. 110421(04-11)"/>
    <n v="0"/>
    <d v="2015-05-06T00:00:00"/>
    <d v="1899-12-30T09:48:21"/>
    <n v="22.1"/>
    <n v="0"/>
    <n v="-2591749.8300002129"/>
    <m/>
    <m/>
    <m/>
    <n v="110421"/>
    <n v="24"/>
    <s v="Emilly"/>
    <n v="1"/>
    <m/>
    <n v="1439"/>
    <d v="2015-05-13T00:00:00"/>
    <d v="2015-05-13T00:00:00"/>
    <m/>
    <m/>
    <n v="2015"/>
    <n v="24"/>
    <m/>
    <m/>
    <m/>
    <m/>
    <s v="SolNascente.Energia Elétrica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31"/>
    <s v="0247412991-0/111431"/>
    <s v="Gvt  - Par. 111431(05-12)"/>
    <n v="0"/>
    <d v="2015-05-06T00:00:00"/>
    <d v="1899-12-30T09:49:36"/>
    <n v="236.82"/>
    <n v="0"/>
    <n v="-2591986.6500002127"/>
    <m/>
    <m/>
    <m/>
    <n v="111431"/>
    <n v="24"/>
    <s v="Emilly"/>
    <n v="1"/>
    <m/>
    <n v="1476"/>
    <d v="2015-05-13T00:00:00"/>
    <d v="2015-05-13T00:00:00"/>
    <m/>
    <m/>
    <n v="2015"/>
    <n v="24"/>
    <m/>
    <m/>
    <m/>
    <m/>
    <s v="SolNascente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33"/>
    <s v="01687760/123241"/>
    <s v="Saneago - Cód. 123241"/>
    <n v="0"/>
    <d v="2015-05-06T00:00:00"/>
    <d v="1899-12-30T09:53:01"/>
    <n v="13.14"/>
    <n v="0"/>
    <n v="-2591999.7900002128"/>
    <m/>
    <m/>
    <m/>
    <n v="123241"/>
    <n v="24"/>
    <s v="Emilly"/>
    <n v="1"/>
    <m/>
    <n v="495"/>
    <d v="2015-05-13T00:00:00"/>
    <d v="2015-05-13T00:00:00"/>
    <m/>
    <m/>
    <n v="2015"/>
    <n v="24"/>
    <m/>
    <m/>
    <m/>
    <m/>
    <s v="CA.Água (CUSTO)"/>
    <x v="1"/>
    <s v="COLÉGIO OLIMPO LTDA"/>
    <m/>
    <n v="4"/>
    <n v="9"/>
    <s v="Débito em conta"/>
    <m/>
    <n v="0"/>
    <m/>
    <n v="0"/>
    <m/>
    <m/>
    <s v="BB [022382-4] [GYN] [CC]"/>
    <m/>
    <m/>
    <m/>
  </r>
  <r>
    <n v="269407"/>
    <s v="Extrato"/>
    <s v="Remessa Olimpo Fundamental"/>
    <n v="3236.12"/>
    <d v="2015-05-06T00:00:00"/>
    <d v="1899-12-30T09:53:42"/>
    <n v="0"/>
    <n v="0"/>
    <n v="-2588763.6700002127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69409"/>
    <s v="Brb Sol 2905/114228"/>
    <s v="Rodrigo Do Petrônio - Cód. 114228"/>
    <n v="0"/>
    <d v="2015-05-06T00:00:00"/>
    <d v="1899-12-30T09:56:00"/>
    <n v="1500"/>
    <n v="0"/>
    <n v="-2590263.6700002127"/>
    <m/>
    <m/>
    <m/>
    <n v="114228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0"/>
    <s v="Ch Brb Sol 2995/114172"/>
    <s v="Fábio Villa Verde Moreno - Cód. 114172"/>
    <n v="0"/>
    <d v="2015-05-06T00:00:00"/>
    <d v="1899-12-30T09:56:30"/>
    <n v="14136"/>
    <n v="0"/>
    <n v="-2604399.6700002127"/>
    <m/>
    <m/>
    <m/>
    <n v="114172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2"/>
    <s v="Ch Brb Sol 3009/114177"/>
    <s v="Fábio Villa Verde Moreno - Cód. 114177"/>
    <n v="0"/>
    <d v="2015-05-06T00:00:00"/>
    <d v="1899-12-30T09:58:23"/>
    <n v="11780"/>
    <n v="0"/>
    <n v="-2616179.6700002127"/>
    <m/>
    <m/>
    <m/>
    <n v="114177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4"/>
    <s v="Ch Brb Sol 3016/114188"/>
    <s v="Fábio Villa Verde Moreno - Cód. 114188"/>
    <n v="0"/>
    <d v="2015-05-06T00:00:00"/>
    <d v="1899-12-30T09:59:20"/>
    <n v="11780"/>
    <n v="0"/>
    <n v="-2627959.6700002127"/>
    <m/>
    <m/>
    <m/>
    <n v="114188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5"/>
    <s v="Ch Brb Sol 3019/114191"/>
    <s v="Fábio Villa Verde Moreno - Cód. 114191"/>
    <n v="0"/>
    <d v="2015-05-06T00:00:00"/>
    <d v="1899-12-30T09:59:53"/>
    <n v="7068"/>
    <n v="0"/>
    <n v="-2635027.6700002127"/>
    <m/>
    <m/>
    <m/>
    <n v="114191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7"/>
    <s v="Cheque/114895"/>
    <s v="Bic - Banco Industria E Comercio - Cód. 114895"/>
    <n v="0"/>
    <d v="2015-05-06T00:00:00"/>
    <d v="1899-12-30T10:00:11"/>
    <n v="15000"/>
    <n v="0"/>
    <n v="-2650027.6700002127"/>
    <m/>
    <m/>
    <m/>
    <n v="114895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52"/>
    <n v="2"/>
    <s v="Cheque"/>
    <m/>
    <n v="0"/>
    <m/>
    <n v="0"/>
    <m/>
    <m/>
    <s v="BRB [SOL] [012052-4] [CC] [COB]"/>
    <m/>
    <m/>
    <m/>
  </r>
  <r>
    <n v="269419"/>
    <s v="Ant.Cob/123120"/>
    <s v="Banco Brb - Cód. 123120"/>
    <n v="0"/>
    <d v="2015-05-06T00:00:00"/>
    <d v="1899-12-30T10:01:24"/>
    <n v="1111"/>
    <n v="0"/>
    <n v="-2651138.6700002127"/>
    <m/>
    <m/>
    <m/>
    <n v="123120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69420"/>
    <s v="Ant.Cob/123121"/>
    <s v="Banco Brb - Cód. 123121"/>
    <n v="0"/>
    <d v="2015-05-06T00:00:00"/>
    <d v="1899-12-30T10:01:24"/>
    <n v="1051"/>
    <n v="0"/>
    <n v="-2652189.6700002127"/>
    <m/>
    <m/>
    <m/>
    <n v="123121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026"/>
    <s v="Transferência Entre Contas "/>
    <s v="Transferência Entre Contas "/>
    <n v="9000"/>
    <d v="2015-05-06T00:00:00"/>
    <d v="1899-12-30T10:14:01"/>
    <n v="0"/>
    <n v="0"/>
    <n v="-2643189.6700002127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s v="COLÉGIO OLIMPO LTDA"/>
    <m/>
    <n v="118"/>
    <n v="9"/>
    <s v="Débito em conta"/>
    <m/>
    <m/>
    <m/>
    <n v="0"/>
    <m/>
    <m/>
    <s v="CEF [GYN] [000154-0] [CC]"/>
    <m/>
    <m/>
    <m/>
  </r>
  <r>
    <n v="270646"/>
    <s v="Extrato"/>
    <s v="Deposito Cheque - Senise"/>
    <n v="200000"/>
    <d v="2015-05-06T00:00:00"/>
    <d v="1899-12-30T10:54:37"/>
    <n v="0"/>
    <n v="0"/>
    <n v="-2443189.6700002127"/>
    <m/>
    <m/>
    <m/>
    <m/>
    <n v="24"/>
    <s v="Emilly"/>
    <n v="1"/>
    <m/>
    <n v="1631"/>
    <d v="2015-05-21T00:00:00"/>
    <d v="2015-05-21T00:00:00"/>
    <m/>
    <m/>
    <n v="2015"/>
    <n v="24"/>
    <m/>
    <m/>
    <m/>
    <m/>
    <s v="Empréstimo Resp. OLimpo"/>
    <x v="2"/>
    <s v="COLÉGIO OLIMPO LTDA"/>
    <m/>
    <n v="8"/>
    <n v="9"/>
    <s v="Débito em conta"/>
    <m/>
    <m/>
    <m/>
    <n v="0"/>
    <m/>
    <m/>
    <s v="ITAÚ [GYN] [026016-5] []"/>
    <m/>
    <m/>
    <m/>
  </r>
  <r>
    <n v="269913"/>
    <s v="Extrato"/>
    <s v="Recebimento de Aluno"/>
    <n v="1579.55"/>
    <d v="2015-05-06T00:00:00"/>
    <d v="1899-12-30T10:58:06"/>
    <n v="0"/>
    <n v="0"/>
    <n v="-2441610.1200002129"/>
    <m/>
    <m/>
    <m/>
    <m/>
    <n v="24"/>
    <s v="Emilly"/>
    <n v="1"/>
    <m/>
    <n v="1630"/>
    <d v="2015-05-14T00:00:00"/>
    <d v="2015-05-14T00:00:00"/>
    <m/>
    <m/>
    <n v="2015"/>
    <n v="24"/>
    <m/>
    <m/>
    <m/>
    <m/>
    <s v="Recebimento de Alunos"/>
    <x v="1"/>
    <s v="COLÉGIO OLIMPO LTDA"/>
    <m/>
    <n v="4"/>
    <n v="3"/>
    <s v="Dep. Bancário"/>
    <m/>
    <m/>
    <m/>
    <n v="0"/>
    <m/>
    <m/>
    <s v="BB [022382-4] [GYN] [CC]"/>
    <m/>
    <m/>
    <m/>
  </r>
  <r>
    <n v="269914"/>
    <s v="Extrato"/>
    <s v="Recebimento de Aluno"/>
    <n v="1386"/>
    <d v="2015-05-06T00:00:00"/>
    <d v="1899-12-30T10:58:42"/>
    <n v="0"/>
    <n v="0"/>
    <n v="-2440224.1200002129"/>
    <m/>
    <m/>
    <m/>
    <m/>
    <n v="24"/>
    <s v="Emilly"/>
    <n v="1"/>
    <m/>
    <n v="1630"/>
    <d v="2015-05-14T00:00:00"/>
    <d v="2015-05-14T00:00:00"/>
    <m/>
    <m/>
    <n v="2015"/>
    <n v="24"/>
    <m/>
    <m/>
    <m/>
    <m/>
    <s v="Recebimento de Alunos"/>
    <x v="1"/>
    <s v="COLÉGIO OLIMPO LTDA"/>
    <m/>
    <n v="4"/>
    <n v="3"/>
    <s v="Dep. Bancário"/>
    <m/>
    <m/>
    <m/>
    <n v="0"/>
    <m/>
    <m/>
    <s v="BB [022382-4] [GYN] [CC]"/>
    <m/>
    <m/>
    <m/>
  </r>
  <r>
    <n v="269538"/>
    <s v="Extrato/123183"/>
    <s v="Caixa Econômica Federal - Cód. 123183"/>
    <n v="0"/>
    <d v="2015-05-06T00:00:00"/>
    <d v="1899-12-30T10:59:44"/>
    <n v="1.3"/>
    <n v="0"/>
    <n v="-2440225.4200002127"/>
    <m/>
    <m/>
    <m/>
    <n v="12318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9"/>
    <s v="Extrato/123184"/>
    <s v="Caixa Econômica Federal - Cód. 123184"/>
    <n v="0"/>
    <d v="2015-05-06T00:00:00"/>
    <d v="1899-12-30T10:59:44"/>
    <n v="6.2"/>
    <n v="0"/>
    <n v="-2440231.6200002129"/>
    <m/>
    <m/>
    <m/>
    <n v="12318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1642"/>
    <s v="3288567/124432"/>
    <s v="Ministério da Fazenda - Cód. 124432"/>
    <n v="0"/>
    <d v="2015-05-06T00:00:00"/>
    <d v="1899-12-30T11:15:13"/>
    <n v="237.54"/>
    <n v="0"/>
    <n v="-2440469.160000213"/>
    <m/>
    <m/>
    <m/>
    <n v="124432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1"/>
    <s v="COLÉGIO OLIMPO LTDA"/>
    <m/>
    <n v="56"/>
    <n v="1"/>
    <s v="Dinheiro"/>
    <m/>
    <n v="0"/>
    <m/>
    <n v="0"/>
    <m/>
    <m/>
    <s v="CAIXA TESOURARIA"/>
    <m/>
    <m/>
    <m/>
  </r>
  <r>
    <n v="269928"/>
    <s v="Transferência Entre Conta"/>
    <s v="Transferência Entre Conta"/>
    <n v="0"/>
    <d v="2015-05-06T00:00:00"/>
    <d v="1899-12-30T11:15:52"/>
    <n v="22000"/>
    <n v="0"/>
    <n v="-2462469.160000213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s v="COLÉGIO OLIMPO LTDA"/>
    <m/>
    <n v="69"/>
    <n v="8"/>
    <s v="Transferência Bancária"/>
    <m/>
    <m/>
    <m/>
    <n v="0"/>
    <m/>
    <n v="59"/>
    <s v="DAYCOVAL [GYN] [6964461] [COB]"/>
    <m/>
    <m/>
    <m/>
  </r>
  <r>
    <n v="269929"/>
    <s v="Transferência Entre Conta"/>
    <s v="Destino: 269928-Transferência Entre Conta"/>
    <n v="22000"/>
    <d v="2015-05-06T00:00:00"/>
    <d v="1899-12-30T11:15:52"/>
    <n v="0"/>
    <n v="0"/>
    <n v="-2440469.160000213"/>
    <m/>
    <m/>
    <m/>
    <m/>
    <n v="24"/>
    <s v="Emilly"/>
    <n v="1"/>
    <m/>
    <n v="1449"/>
    <d v="2015-05-14T00:00:00"/>
    <d v="2015-05-14T00:00:00"/>
    <m/>
    <m/>
    <n v="2015"/>
    <n v="24"/>
    <m/>
    <m/>
    <n v="269928"/>
    <m/>
    <s v="Transferência entre contas"/>
    <x v="2"/>
    <s v="COLÉGIO OLIMPO LTDA"/>
    <m/>
    <n v="59"/>
    <n v="8"/>
    <s v="Transferência Bancária"/>
    <m/>
    <m/>
    <m/>
    <n v="0"/>
    <m/>
    <m/>
    <s v="DAYCOVAL [GYN] [7112965] [CC]"/>
    <m/>
    <m/>
    <m/>
  </r>
  <r>
    <n v="270658"/>
    <s v="Extrato/123809"/>
    <s v="Banco Santander  - Cód. 123809"/>
    <n v="0"/>
    <d v="2015-05-06T00:00:00"/>
    <d v="1899-12-30T11:16:31"/>
    <n v="51.8"/>
    <n v="0"/>
    <n v="-2440520.9600002128"/>
    <m/>
    <m/>
    <m/>
    <n v="123809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122"/>
    <n v="9"/>
    <s v="Débito em conta"/>
    <m/>
    <n v="0"/>
    <m/>
    <n v="0"/>
    <m/>
    <m/>
    <s v="SANTANDER SOL 3381-0"/>
    <m/>
    <m/>
    <m/>
  </r>
  <r>
    <n v="269767"/>
    <s v="6007/119668"/>
    <s v="Termosul Ar Condicionado E Refrigeração - Cód. 119668"/>
    <n v="0"/>
    <d v="2015-05-06T00:00:00"/>
    <d v="1899-12-30T11:17:28"/>
    <n v="902.4"/>
    <n v="0"/>
    <n v="-2441423.3600002127"/>
    <m/>
    <m/>
    <m/>
    <n v="119668"/>
    <n v="24"/>
    <s v="Emilly"/>
    <n v="1"/>
    <m/>
    <n v="354"/>
    <d v="2015-05-13T00:00:00"/>
    <d v="2015-05-13T00:00:00"/>
    <m/>
    <m/>
    <n v="2015"/>
    <n v="24"/>
    <m/>
    <m/>
    <m/>
    <m/>
    <s v="Marista.Manutenção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68"/>
    <s v="6008/119671"/>
    <s v="Termosul Ar Condicionado E Refrigeração - Cód. 119671"/>
    <n v="0"/>
    <d v="2015-05-06T00:00:00"/>
    <d v="1899-12-30T11:18:02"/>
    <n v="602.33000000000004"/>
    <n v="0"/>
    <n v="-2442025.6900002128"/>
    <m/>
    <m/>
    <m/>
    <n v="119671"/>
    <n v="24"/>
    <s v="Emilly"/>
    <n v="1"/>
    <m/>
    <n v="157"/>
    <d v="2015-05-13T00:00:00"/>
    <d v="2015-05-13T00:00:00"/>
    <m/>
    <m/>
    <n v="2015"/>
    <n v="24"/>
    <m/>
    <m/>
    <m/>
    <m/>
    <s v="T-3.Manutenção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931"/>
    <s v="Transferência Entre Conta"/>
    <s v="Transferência Entre Conta"/>
    <n v="0"/>
    <d v="2015-05-06T00:00:00"/>
    <d v="1899-12-30T11:19:11"/>
    <n v="22000"/>
    <n v="0"/>
    <n v="-2464025.6900002128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s v="COLÉGIO OLIMPO LTDA"/>
    <m/>
    <n v="59"/>
    <n v="8"/>
    <s v="Transferência Bancária"/>
    <m/>
    <m/>
    <m/>
    <n v="0"/>
    <m/>
    <n v="12"/>
    <s v="DAYCOVAL [GYN] [7112965] [CC]"/>
    <m/>
    <m/>
    <m/>
  </r>
  <r>
    <n v="269933"/>
    <s v="Transferência Entre Conta"/>
    <s v="Destino: 269931-Transferência Entre Conta"/>
    <n v="22000"/>
    <d v="2015-05-06T00:00:00"/>
    <d v="1899-12-30T11:19:11"/>
    <n v="0"/>
    <n v="0"/>
    <n v="-2442025.6900002128"/>
    <m/>
    <m/>
    <m/>
    <m/>
    <n v="24"/>
    <s v="Emilly"/>
    <n v="1"/>
    <m/>
    <n v="1449"/>
    <d v="2015-05-14T00:00:00"/>
    <d v="2015-05-14T00:00:00"/>
    <m/>
    <m/>
    <n v="2015"/>
    <n v="24"/>
    <m/>
    <m/>
    <n v="269931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770"/>
    <s v="6006/119670"/>
    <s v="Termosul Ar Condicionado E Refrigeração - Cód. 119670"/>
    <n v="0"/>
    <d v="2015-05-06T00:00:00"/>
    <d v="1899-12-30T11:19:21"/>
    <n v="140.54"/>
    <n v="0"/>
    <n v="-2442166.2300002128"/>
    <m/>
    <m/>
    <m/>
    <n v="119670"/>
    <n v="24"/>
    <s v="Emilly"/>
    <n v="1"/>
    <m/>
    <n v="1424"/>
    <d v="2015-05-13T00:00:00"/>
    <d v="2015-05-13T00:00:00"/>
    <m/>
    <m/>
    <n v="2015"/>
    <n v="24"/>
    <m/>
    <m/>
    <m/>
    <m/>
    <s v="T-27.Manutenção de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71"/>
    <s v="4629/123274"/>
    <s v="Hidro Service Peças e Serviços - Cód. 123274"/>
    <n v="0"/>
    <d v="2015-05-06T00:00:00"/>
    <d v="1899-12-30T11:21:06"/>
    <n v="43"/>
    <n v="0"/>
    <n v="-2442209.2300002128"/>
    <m/>
    <m/>
    <m/>
    <n v="123274"/>
    <n v="24"/>
    <s v="Emilly"/>
    <n v="1"/>
    <m/>
    <n v="1392"/>
    <d v="2015-05-13T00:00:00"/>
    <d v="2015-05-13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69772"/>
    <s v="6009/119669"/>
    <s v="Termosul Ar Condicionado E Refrigeração - Cód. 119669"/>
    <n v="0"/>
    <d v="2015-05-06T00:00:00"/>
    <d v="1899-12-30T11:21:39"/>
    <n v="1204.6500000000001"/>
    <n v="0"/>
    <n v="-2443413.8800002127"/>
    <m/>
    <m/>
    <m/>
    <n v="119669"/>
    <n v="24"/>
    <s v="Emilly"/>
    <n v="1"/>
    <m/>
    <n v="1424"/>
    <d v="2015-05-13T00:00:00"/>
    <d v="2015-05-13T00:00:00"/>
    <m/>
    <m/>
    <n v="2015"/>
    <n v="24"/>
    <m/>
    <m/>
    <m/>
    <m/>
    <s v="T-27.Manutenção de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935"/>
    <s v="Extrato/123317"/>
    <s v="Banco Daycoval S/A  - Cód. 123317"/>
    <n v="0"/>
    <d v="2015-05-06T00:00:00"/>
    <d v="1899-12-30T11:21:50"/>
    <n v="32.46"/>
    <n v="0"/>
    <n v="-2443446.3400002127"/>
    <m/>
    <m/>
    <m/>
    <n v="123317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9553"/>
    <s v="Transferência Entre Conta"/>
    <s v="Transferência Entre Conta"/>
    <n v="0"/>
    <d v="2015-05-06T00:00:00"/>
    <d v="1899-12-30T11:22:01"/>
    <n v="378"/>
    <n v="0"/>
    <n v="-2443824.3400002127"/>
    <m/>
    <m/>
    <m/>
    <m/>
    <n v="24"/>
    <s v="Emilly"/>
    <n v="1"/>
    <m/>
    <n v="1449"/>
    <d v="2015-05-12T00:00:00"/>
    <d v="2015-05-12T00:00:00"/>
    <m/>
    <m/>
    <n v="2015"/>
    <n v="24"/>
    <m/>
    <m/>
    <m/>
    <m/>
    <s v="Transferência entre contas"/>
    <x v="2"/>
    <s v="COLÉGIO OLIMPO LTDA"/>
    <m/>
    <n v="72"/>
    <n v="9"/>
    <s v="Débito em conta"/>
    <m/>
    <m/>
    <m/>
    <n v="0"/>
    <m/>
    <n v="26"/>
    <s v="ITAÚ [SOL] [032614-9] [CG]"/>
    <m/>
    <m/>
    <m/>
  </r>
  <r>
    <n v="269554"/>
    <s v="Transferência Entre Conta"/>
    <s v="Destino: 269553-Transferência Entre Conta"/>
    <n v="378"/>
    <d v="2015-05-06T00:00:00"/>
    <d v="1899-12-30T11:22:01"/>
    <n v="0"/>
    <n v="0"/>
    <n v="-2443446.3400002127"/>
    <m/>
    <m/>
    <m/>
    <m/>
    <n v="24"/>
    <s v="Emilly"/>
    <n v="1"/>
    <m/>
    <n v="1449"/>
    <d v="2015-05-12T00:00:00"/>
    <d v="2015-05-12T00:00:00"/>
    <m/>
    <m/>
    <n v="2015"/>
    <n v="24"/>
    <m/>
    <m/>
    <n v="269553"/>
    <m/>
    <s v="Transferência entre contas"/>
    <x v="2"/>
    <s v="COLÉGIO OLIMPO LTDA"/>
    <m/>
    <n v="26"/>
    <n v="9"/>
    <s v="Débito em conta"/>
    <m/>
    <m/>
    <m/>
    <n v="0"/>
    <m/>
    <m/>
    <s v="ITAÚ [SOL] [001691-4] [CC]"/>
    <m/>
    <m/>
    <m/>
  </r>
  <r>
    <n v="269773"/>
    <s v="Recibo/123275"/>
    <s v="Climest - Medicina E Segurança Do Trabal - Cód. 123275"/>
    <n v="0"/>
    <d v="2015-05-06T00:00:00"/>
    <d v="1899-12-30T11:22:24"/>
    <n v="40"/>
    <n v="0"/>
    <n v="-2443486.3400002127"/>
    <m/>
    <m/>
    <m/>
    <n v="123275"/>
    <n v="24"/>
    <s v="Emilly"/>
    <n v="1"/>
    <m/>
    <n v="528"/>
    <d v="2015-05-13T00:00:00"/>
    <d v="2015-05-13T00:00:00"/>
    <m/>
    <m/>
    <n v="2015"/>
    <n v="24"/>
    <m/>
    <m/>
    <m/>
    <m/>
    <s v="CA.Exames Admissional / demissional (DESPESA)"/>
    <x v="1"/>
    <s v="COLÉGIO OLIMPO LTDA"/>
    <m/>
    <n v="56"/>
    <n v="1"/>
    <s v="Dinheiro"/>
    <m/>
    <n v="0"/>
    <m/>
    <n v="0"/>
    <m/>
    <m/>
    <s v="CAIXA TESOURARIA"/>
    <m/>
    <m/>
    <m/>
  </r>
  <r>
    <n v="269774"/>
    <s v="Recibo/123276"/>
    <s v="Climest - Medicina E Segurança Do Trabal - Cód. 123276"/>
    <n v="0"/>
    <d v="2015-05-06T00:00:00"/>
    <d v="1899-12-30T11:22:52"/>
    <n v="20"/>
    <n v="0"/>
    <n v="-2443506.3400002127"/>
    <m/>
    <m/>
    <m/>
    <n v="123276"/>
    <n v="24"/>
    <s v="Emilly"/>
    <n v="1"/>
    <m/>
    <n v="528"/>
    <d v="2015-05-13T00:00:00"/>
    <d v="2015-05-13T00:00:00"/>
    <m/>
    <m/>
    <n v="2015"/>
    <n v="24"/>
    <m/>
    <m/>
    <m/>
    <m/>
    <s v="CA.Exames Admissional / demissional (DESPESA)"/>
    <x v="1"/>
    <s v="COLÉGIO OLIMPO LTDA"/>
    <m/>
    <n v="56"/>
    <n v="1"/>
    <s v="Dinheiro"/>
    <m/>
    <n v="0"/>
    <m/>
    <n v="0"/>
    <m/>
    <m/>
    <s v="CAIXA TESOURARIA"/>
    <m/>
    <m/>
    <m/>
  </r>
  <r>
    <n v="269555"/>
    <s v="Extrato/123196"/>
    <s v="Banco Itaú Unibanco S.A. - Cód. 123196"/>
    <n v="0"/>
    <d v="2015-05-06T00:00:00"/>
    <d v="1899-12-30T11:24:33"/>
    <n v="52"/>
    <n v="0"/>
    <n v="-2443558.3400002127"/>
    <m/>
    <m/>
    <m/>
    <n v="123196"/>
    <n v="24"/>
    <s v="Emilly"/>
    <n v="1"/>
    <m/>
    <n v="537"/>
    <d v="2015-05-12T00:00:00"/>
    <d v="2015-05-12T00:00:00"/>
    <m/>
    <m/>
    <n v="2015"/>
    <n v="24"/>
    <m/>
    <m/>
    <m/>
    <m/>
    <s v="CA.Despesas Diversas (DESPESA)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9804"/>
    <s v="Transferência Entre Conta"/>
    <s v="Transferência Entre Conta"/>
    <n v="0"/>
    <d v="2015-05-06T00:00:00"/>
    <d v="1899-12-30T11:37:07"/>
    <n v="38000"/>
    <n v="0"/>
    <n v="-2481558.340000212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07"/>
    <n v="8"/>
    <s v="Transferência Bancária"/>
    <m/>
    <m/>
    <m/>
    <n v="0"/>
    <m/>
    <n v="12"/>
    <s v="SAFRA [GYN] [000048-8] [CC]"/>
    <m/>
    <m/>
    <m/>
  </r>
  <r>
    <n v="269805"/>
    <s v="Transferência Entre Conta"/>
    <s v="Destino: 269804-Transferência Entre Conta"/>
    <n v="38000"/>
    <d v="2015-05-06T00:00:00"/>
    <d v="1899-12-30T11:37:07"/>
    <n v="0"/>
    <n v="0"/>
    <n v="-2443558.3400002127"/>
    <m/>
    <m/>
    <m/>
    <m/>
    <n v="24"/>
    <s v="Emilly"/>
    <n v="1"/>
    <m/>
    <n v="1449"/>
    <d v="2015-05-13T00:00:00"/>
    <d v="2015-05-13T00:00:00"/>
    <m/>
    <m/>
    <n v="2015"/>
    <n v="24"/>
    <m/>
    <m/>
    <n v="269804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806"/>
    <s v="Transferência Entre Conta"/>
    <s v="Transferência Entre Conta"/>
    <n v="0"/>
    <d v="2015-05-06T00:00:00"/>
    <d v="1899-12-30T11:37:52"/>
    <n v="15000"/>
    <n v="0"/>
    <n v="-2458558.3400002127"/>
    <m/>
    <m/>
    <m/>
    <m/>
    <n v="7"/>
    <s v="Anapaula"/>
    <n v="1"/>
    <m/>
    <n v="1449"/>
    <d v="2015-05-13T00:00:00"/>
    <d v="2015-05-14T00:00:00"/>
    <m/>
    <m/>
    <n v="2015"/>
    <n v="24"/>
    <m/>
    <m/>
    <m/>
    <m/>
    <s v="Transferência entre contas"/>
    <x v="2"/>
    <s v="COLÉGIO OLIMPO LTDA"/>
    <m/>
    <n v="96"/>
    <n v="8"/>
    <s v="Transferência Bancária"/>
    <m/>
    <m/>
    <m/>
    <n v="0"/>
    <m/>
    <n v="52"/>
    <s v="HSBC [MAR] [000338-39] [CC]"/>
    <m/>
    <m/>
    <m/>
  </r>
  <r>
    <n v="269860"/>
    <s v="Transferência Entre Conta"/>
    <s v="Destino: 269806-Transferência Entre Conta"/>
    <n v="15000"/>
    <d v="2015-05-06T00:00:00"/>
    <d v="1899-12-30T11:37:52"/>
    <n v="0"/>
    <n v="0"/>
    <n v="-2443558.3400002127"/>
    <m/>
    <m/>
    <m/>
    <m/>
    <n v="7"/>
    <s v="Anapaula"/>
    <n v="1"/>
    <m/>
    <n v="1449"/>
    <d v="2015-05-14T00:00:00"/>
    <d v="2015-05-14T00:00:00"/>
    <m/>
    <m/>
    <n v="2015"/>
    <n v="7"/>
    <m/>
    <m/>
    <n v="269806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808"/>
    <s v="Transferência Entre Conta"/>
    <s v="Transferência Entre Conta"/>
    <n v="0"/>
    <d v="2015-05-06T00:00:00"/>
    <d v="1899-12-30T11:38:52"/>
    <n v="38000"/>
    <n v="0"/>
    <n v="-2481558.340000212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[GYN] [011616-0] [CC] [COB]"/>
    <m/>
    <m/>
    <m/>
  </r>
  <r>
    <n v="269809"/>
    <s v="Transferência Entre Conta"/>
    <s v="Destino: 269808-Transferência Entre Conta"/>
    <n v="38000"/>
    <d v="2015-05-06T00:00:00"/>
    <d v="1899-12-30T11:38:52"/>
    <n v="0"/>
    <n v="0"/>
    <n v="-2443558.3400002127"/>
    <m/>
    <m/>
    <m/>
    <m/>
    <n v="24"/>
    <s v="Emilly"/>
    <n v="1"/>
    <m/>
    <n v="1449"/>
    <d v="2015-05-13T00:00:00"/>
    <d v="2015-05-13T00:00:00"/>
    <m/>
    <m/>
    <n v="2015"/>
    <n v="24"/>
    <m/>
    <m/>
    <n v="269808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810"/>
    <s v="Transferência Entre Conta"/>
    <s v="Transferência Entre Conta"/>
    <n v="0"/>
    <d v="2015-05-06T00:00:00"/>
    <d v="1899-12-30T11:40:26"/>
    <n v="23400"/>
    <n v="0"/>
    <n v="-2466958.340000212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[GYN] [011616-0] [CC] [COB]"/>
    <m/>
    <m/>
    <m/>
  </r>
  <r>
    <n v="269811"/>
    <s v="Transferência Entre Conta"/>
    <s v="Destino: 269810-Transferência Entre Conta"/>
    <n v="23400"/>
    <d v="2015-05-06T00:00:00"/>
    <d v="1899-12-30T11:40:26"/>
    <n v="0"/>
    <n v="0"/>
    <n v="-2443558.3400002127"/>
    <m/>
    <m/>
    <m/>
    <m/>
    <n v="24"/>
    <s v="Emilly"/>
    <n v="1"/>
    <m/>
    <n v="1449"/>
    <d v="2015-05-13T00:00:00"/>
    <d v="2015-05-13T00:00:00"/>
    <m/>
    <m/>
    <n v="2015"/>
    <n v="24"/>
    <m/>
    <m/>
    <n v="269810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561"/>
    <s v="Extrato/123197"/>
    <s v="Mercantil Do Brasil - Cód. 123197"/>
    <n v="0"/>
    <d v="2015-05-06T00:00:00"/>
    <d v="1899-12-30T11:41:08"/>
    <n v="1880.42"/>
    <n v="0"/>
    <n v="-2445438.7600002126"/>
    <m/>
    <m/>
    <m/>
    <n v="123197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69562"/>
    <s v="Extrato/123198"/>
    <s v="Mercantil Do Brasil - Cód. 123198"/>
    <n v="0"/>
    <d v="2015-05-06T00:00:00"/>
    <d v="1899-12-30T11:41:08"/>
    <n v="1386"/>
    <n v="0"/>
    <n v="-2446824.7600002126"/>
    <m/>
    <m/>
    <m/>
    <n v="123198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69619"/>
    <n v="205146"/>
    <s v="Retorno: Par. 205146(05/12) - 19983/ANA - Mensalidades"/>
    <n v="1473"/>
    <d v="2015-05-06T00:00:00"/>
    <d v="1899-12-30T12:00:00"/>
    <n v="0"/>
    <n v="0"/>
    <n v="-2445351.7600002126"/>
    <m/>
    <m/>
    <n v="205146"/>
    <m/>
    <n v="1"/>
    <s v="Andre"/>
    <n v="1"/>
    <m/>
    <n v="2"/>
    <d v="2015-05-12T00:00:00"/>
    <d v="2015-05-12T00:00:00"/>
    <n v="2842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20"/>
    <n v="192250"/>
    <s v="Retorno: Par. 192250(04/12) - 18596/LUC - Mensalidades"/>
    <n v="1776.16"/>
    <d v="2015-05-06T00:00:00"/>
    <d v="1899-12-30T12:00:00"/>
    <n v="0"/>
    <n v="0"/>
    <n v="-2443575.6000002124"/>
    <m/>
    <m/>
    <n v="192250"/>
    <m/>
    <n v="1"/>
    <s v="Andre"/>
    <n v="1"/>
    <m/>
    <n v="2"/>
    <d v="2015-05-12T00:00:00"/>
    <d v="2015-05-12T00:00:00"/>
    <n v="2843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8"/>
    <n v="191228"/>
    <s v="Retorno: Par. 191228(04/12) - 19692/LAU - Mensalidades"/>
    <n v="1502.45"/>
    <d v="2015-05-06T00:00:00"/>
    <d v="1899-12-30T12:00:00"/>
    <n v="0"/>
    <n v="0"/>
    <n v="-2442073.1500002122"/>
    <m/>
    <m/>
    <n v="191228"/>
    <m/>
    <n v="1"/>
    <s v="Andre"/>
    <n v="1"/>
    <m/>
    <n v="2"/>
    <d v="2015-05-12T00:00:00"/>
    <d v="2015-05-12T00:00:00"/>
    <n v="2842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05"/>
    <n v="197350"/>
    <s v="Retorno: Par. 197350(04/12) - 19719/MAR - Mensalidades"/>
    <n v="1792.95"/>
    <d v="2015-05-06T00:00:00"/>
    <d v="1899-12-30T12:00:00"/>
    <n v="0"/>
    <n v="0"/>
    <n v="-2440280.2000002121"/>
    <m/>
    <m/>
    <n v="197350"/>
    <m/>
    <n v="1"/>
    <s v="Andre"/>
    <n v="1"/>
    <m/>
    <n v="2"/>
    <d v="2015-05-12T00:00:00"/>
    <d v="2015-05-12T00:00:00"/>
    <n v="28487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8898"/>
    <s v="DB 20150506"/>
    <s v="Operação Desconto Boletos - 2015.05.06"/>
    <n v="125564.04"/>
    <d v="2015-05-06T00:00:00"/>
    <d v="1899-12-30T14:39:56"/>
    <n v="0"/>
    <n v="0"/>
    <n v="-2314716.160000212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8904"/>
    <s v="Juros20150506/122956"/>
    <s v="Banco Brb - Cód. 122956"/>
    <n v="0"/>
    <d v="2015-05-06T00:00:00"/>
    <d v="1899-12-30T14:42:10"/>
    <n v="16101.63"/>
    <n v="0"/>
    <n v="-2330817.7900002119"/>
    <m/>
    <m/>
    <m/>
    <n v="122956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18"/>
    <s v="Ant. Cob/122957"/>
    <s v="Banco Brb - Cód. 122957"/>
    <n v="0"/>
    <d v="2015-05-06T00:00:00"/>
    <d v="1899-12-30T14:46:56"/>
    <n v="1386"/>
    <n v="0"/>
    <n v="-2332203.7900002119"/>
    <m/>
    <m/>
    <m/>
    <n v="12295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[GYN] [011616-0] [CC] [COB]"/>
    <m/>
    <m/>
    <m/>
  </r>
  <r>
    <n v="268919"/>
    <s v="Ant.Cob/122958"/>
    <s v="Banco Brb - Cód. 122958"/>
    <n v="0"/>
    <d v="2015-05-06T00:00:00"/>
    <d v="1899-12-30T14:46:56"/>
    <n v="1386"/>
    <n v="0"/>
    <n v="-2333589.7900002119"/>
    <m/>
    <m/>
    <m/>
    <n v="12295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[GYN] [011616-0] [CC] [COB]"/>
    <m/>
    <m/>
    <m/>
  </r>
  <r>
    <n v="268925"/>
    <s v="Extrato/122960"/>
    <s v="Banco Brb - Cód. 122960"/>
    <n v="0"/>
    <d v="2015-05-06T00:00:00"/>
    <d v="1899-12-30T14:47:57"/>
    <n v="1316.7"/>
    <n v="0"/>
    <n v="-2334906.4900002121"/>
    <m/>
    <m/>
    <m/>
    <n v="122960"/>
    <n v="24"/>
    <s v="Emilly"/>
    <n v="1"/>
    <m/>
    <n v="569"/>
    <d v="2015-05-11T00:00:00"/>
    <d v="2015-05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68924"/>
    <s v="Extrato/122959"/>
    <s v="Banco Brb - Cód. 122959"/>
    <n v="0"/>
    <d v="2015-05-06T00:00:00"/>
    <d v="1899-12-30T14:47:57"/>
    <n v="328.7"/>
    <n v="0"/>
    <n v="-2335235.1900002123"/>
    <m/>
    <m/>
    <m/>
    <n v="122959"/>
    <n v="24"/>
    <s v="Emilly"/>
    <n v="1"/>
    <m/>
    <n v="569"/>
    <d v="2015-05-11T00:00:00"/>
    <d v="2015-05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68812"/>
    <s v="Remessa Olimpo Anápolis"/>
    <s v="Remessa Olimpo Anápolis"/>
    <n v="4727.6400000000003"/>
    <d v="2015-05-06T00:00:00"/>
    <d v="1899-12-30T14:49:37"/>
    <n v="0"/>
    <n v="0"/>
    <n v="-2330507.5500002122"/>
    <m/>
    <m/>
    <m/>
    <m/>
    <n v="24"/>
    <s v="Emilly"/>
    <n v="1"/>
    <m/>
    <n v="1526"/>
    <d v="2015-05-08T00:00:00"/>
    <d v="2015-05-13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68936"/>
    <s v="Ant.Cob/122970"/>
    <s v="Banco Brb - Par. 122970(10-18)"/>
    <n v="0"/>
    <d v="2015-05-06T00:00:00"/>
    <d v="1899-12-30T14:50:26"/>
    <n v="1476.93"/>
    <n v="0"/>
    <n v="-2331984.4800002123"/>
    <m/>
    <m/>
    <m/>
    <n v="12297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37"/>
    <s v="Ant.Cob/122961"/>
    <s v="Banco Brb - Par. 122961(01-18)"/>
    <n v="0"/>
    <d v="2015-05-06T00:00:00"/>
    <d v="1899-12-30T14:50:26"/>
    <n v="1473"/>
    <n v="0"/>
    <n v="-2333457.4800002123"/>
    <m/>
    <m/>
    <m/>
    <n v="12296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38"/>
    <s v="Ant.Cob/122971"/>
    <s v="Banco Brb - Par. 122971(11-18)"/>
    <n v="0"/>
    <d v="2015-05-06T00:00:00"/>
    <d v="1899-12-30T14:50:26"/>
    <n v="1476.93"/>
    <n v="0"/>
    <n v="-2334934.4100002125"/>
    <m/>
    <m/>
    <m/>
    <n v="12297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39"/>
    <s v="Ant.Cob/122962"/>
    <s v="Banco Brb - Par. 122962(02-18)"/>
    <n v="0"/>
    <d v="2015-05-06T00:00:00"/>
    <d v="1899-12-30T14:50:26"/>
    <n v="1476.93"/>
    <n v="0"/>
    <n v="-2336411.3400002127"/>
    <m/>
    <m/>
    <m/>
    <n v="12296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0"/>
    <s v="Ant.Cob/122972"/>
    <s v="Banco Brb - Par. 122972(12-18)"/>
    <n v="0"/>
    <d v="2015-05-06T00:00:00"/>
    <d v="1899-12-30T14:50:26"/>
    <n v="1476.93"/>
    <n v="0"/>
    <n v="-2337888.2700002128"/>
    <m/>
    <m/>
    <m/>
    <n v="12297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1"/>
    <s v="Ant.Cob/122963"/>
    <s v="Banco Brb - Par. 122963(03-18)"/>
    <n v="0"/>
    <d v="2015-05-06T00:00:00"/>
    <d v="1899-12-30T14:50:26"/>
    <n v="1476.93"/>
    <n v="0"/>
    <n v="-2339365.200000213"/>
    <m/>
    <m/>
    <m/>
    <n v="12296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2"/>
    <s v="Ant.Cob/122973"/>
    <s v="Banco Brb - Par. 122973(13-18)"/>
    <n v="0"/>
    <d v="2015-05-06T00:00:00"/>
    <d v="1899-12-30T14:50:26"/>
    <n v="1476.93"/>
    <n v="0"/>
    <n v="-2340842.1300002132"/>
    <m/>
    <m/>
    <m/>
    <n v="12297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3"/>
    <s v="Ant.Cob/122964"/>
    <s v="Banco Brb - Par. 122964(04-18)"/>
    <n v="0"/>
    <d v="2015-05-06T00:00:00"/>
    <d v="1899-12-30T14:50:26"/>
    <n v="1476.93"/>
    <n v="0"/>
    <n v="-2342319.0600002133"/>
    <m/>
    <m/>
    <m/>
    <n v="12296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4"/>
    <s v="Ant.Cob/122974"/>
    <s v="Banco Brb - Par. 122974(14-18)"/>
    <n v="0"/>
    <d v="2015-05-06T00:00:00"/>
    <d v="1899-12-30T14:50:27"/>
    <n v="73.849999999999994"/>
    <n v="0"/>
    <n v="-2342392.9100002134"/>
    <m/>
    <m/>
    <m/>
    <n v="12297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5"/>
    <s v="Ant.Cob/122965"/>
    <s v="Banco Brb - Par. 122965(05-18)"/>
    <n v="0"/>
    <d v="2015-05-06T00:00:00"/>
    <d v="1899-12-30T14:50:27"/>
    <n v="1476.93"/>
    <n v="0"/>
    <n v="-2343869.8400002136"/>
    <m/>
    <m/>
    <m/>
    <n v="12296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6"/>
    <s v="Ant.Cob/122975"/>
    <s v="Banco Brb - Par. 122975(15-18)"/>
    <n v="0"/>
    <d v="2015-05-06T00:00:00"/>
    <d v="1899-12-30T14:50:27"/>
    <n v="1476.93"/>
    <n v="0"/>
    <n v="-2345346.7700002138"/>
    <m/>
    <m/>
    <m/>
    <n v="12297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7"/>
    <s v="Ant.Cob/122966"/>
    <s v="Banco Brb - Par. 122966(06-18)"/>
    <n v="0"/>
    <d v="2015-05-06T00:00:00"/>
    <d v="1899-12-30T14:50:27"/>
    <n v="1476.93"/>
    <n v="0"/>
    <n v="-2346823.7000002139"/>
    <m/>
    <m/>
    <m/>
    <n v="12296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8"/>
    <s v="Ant.Cob/122976"/>
    <s v="Banco Brb - Par. 122976(16-18)"/>
    <n v="0"/>
    <d v="2015-05-06T00:00:00"/>
    <d v="1899-12-30T14:50:27"/>
    <n v="1476.93"/>
    <n v="0"/>
    <n v="-2348300.6300002141"/>
    <m/>
    <m/>
    <m/>
    <n v="12297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9"/>
    <s v="Ant.Cob/122967"/>
    <s v="Banco Brb - Par. 122967(07-18)"/>
    <n v="0"/>
    <d v="2015-05-06T00:00:00"/>
    <d v="1899-12-30T14:50:27"/>
    <n v="1476.93"/>
    <n v="0"/>
    <n v="-2349777.5600002143"/>
    <m/>
    <m/>
    <m/>
    <n v="12296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50"/>
    <s v="Ant.Cob/122977"/>
    <s v="Banco Brb - Par. 122977(17-18)"/>
    <n v="0"/>
    <d v="2015-05-06T00:00:00"/>
    <d v="1899-12-30T14:50:27"/>
    <n v="1476.93"/>
    <n v="0"/>
    <n v="-2351254.4900002144"/>
    <m/>
    <m/>
    <m/>
    <n v="12297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51"/>
    <s v="Ant.Cob/122968"/>
    <s v="Banco Brb - Par. 122968(08-18)"/>
    <n v="0"/>
    <d v="2015-05-06T00:00:00"/>
    <d v="1899-12-30T14:50:27"/>
    <n v="1476.93"/>
    <n v="0"/>
    <n v="-2352731.4200002146"/>
    <m/>
    <m/>
    <m/>
    <n v="12296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52"/>
    <s v="Ant.Cob/122978"/>
    <s v="Banco Brb - Par. 122978(18-18)"/>
    <n v="0"/>
    <d v="2015-05-06T00:00:00"/>
    <d v="1899-12-30T14:50:27"/>
    <n v="1476.93"/>
    <n v="0"/>
    <n v="-2354208.3500002148"/>
    <m/>
    <m/>
    <m/>
    <n v="12297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53"/>
    <s v="Ant.Cob/122969"/>
    <s v="Banco Brb - Par. 122969(09-18)"/>
    <n v="0"/>
    <d v="2015-05-06T00:00:00"/>
    <d v="1899-12-30T14:50:27"/>
    <n v="1476.93"/>
    <n v="0"/>
    <n v="-2355685.2800002149"/>
    <m/>
    <m/>
    <m/>
    <n v="12296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4"/>
    <s v="Ant.Cob/122988"/>
    <s v="Banco Brb - Par. 122988(10-30)"/>
    <n v="0"/>
    <d v="2015-05-06T00:00:00"/>
    <d v="1899-12-30T14:52:42"/>
    <n v="1476.93"/>
    <n v="0"/>
    <n v="-2357162.2100002151"/>
    <m/>
    <m/>
    <m/>
    <n v="12298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5"/>
    <s v="Ant.Cob/122998"/>
    <s v="Banco Brb - Par. 122998(20-30)"/>
    <n v="0"/>
    <d v="2015-05-06T00:00:00"/>
    <d v="1899-12-30T14:52:42"/>
    <n v="1476.93"/>
    <n v="0"/>
    <n v="-2358639.1400002153"/>
    <m/>
    <m/>
    <m/>
    <n v="12299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0"/>
    <s v="Ant.Cob/122980"/>
    <s v="Banco Brb - Par. 122980(02-30)"/>
    <n v="0"/>
    <d v="2015-05-06T00:00:00"/>
    <d v="1899-12-30T14:52:43"/>
    <n v="1476.93"/>
    <n v="0"/>
    <n v="-2360116.0700002154"/>
    <m/>
    <m/>
    <m/>
    <n v="12298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1"/>
    <s v="Ant.Cob/122990"/>
    <s v="Banco Brb - Par. 122990(12-30)"/>
    <n v="0"/>
    <d v="2015-05-06T00:00:00"/>
    <d v="1899-12-30T14:52:43"/>
    <n v="1476.93"/>
    <n v="0"/>
    <n v="-2361593.0000002156"/>
    <m/>
    <m/>
    <m/>
    <n v="12299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3"/>
    <s v="Ant.Cob/122981"/>
    <s v="Banco Brb - Par. 122981(03-30)"/>
    <n v="0"/>
    <d v="2015-05-06T00:00:00"/>
    <d v="1899-12-30T14:52:43"/>
    <n v="1476.93"/>
    <n v="0"/>
    <n v="-2363069.9300002158"/>
    <m/>
    <m/>
    <m/>
    <n v="12298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4"/>
    <s v="Ant.Cob/122991"/>
    <s v="Banco Brb - Par. 122991(13-30)"/>
    <n v="0"/>
    <d v="2015-05-06T00:00:00"/>
    <d v="1899-12-30T14:52:43"/>
    <n v="1476.93"/>
    <n v="0"/>
    <n v="-2364546.8600002159"/>
    <m/>
    <m/>
    <m/>
    <n v="12299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6"/>
    <s v="Ant.Cob/122982"/>
    <s v="Banco Brb - Par. 122982(04-30)"/>
    <n v="0"/>
    <d v="2015-05-06T00:00:00"/>
    <d v="1899-12-30T14:52:43"/>
    <n v="1476.93"/>
    <n v="0"/>
    <n v="-2366023.7900002161"/>
    <m/>
    <m/>
    <m/>
    <n v="12298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7"/>
    <s v="Ant.Cob/122992"/>
    <s v="Banco Brb - Par. 122992(14-30)"/>
    <n v="0"/>
    <d v="2015-05-06T00:00:00"/>
    <d v="1899-12-30T14:52:43"/>
    <n v="1476.93"/>
    <n v="0"/>
    <n v="-2367500.7200002163"/>
    <m/>
    <m/>
    <m/>
    <n v="12299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9"/>
    <s v="Ant.Cob/122983"/>
    <s v="Banco Brb - Par. 122983(05-30)"/>
    <n v="0"/>
    <d v="2015-05-06T00:00:00"/>
    <d v="1899-12-30T14:52:43"/>
    <n v="1476.93"/>
    <n v="0"/>
    <n v="-2368977.6500002164"/>
    <m/>
    <m/>
    <m/>
    <n v="12298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7"/>
    <s v="Ant.Cob/122979"/>
    <s v="Banco Brb - Par. 122979(01-30)"/>
    <n v="0"/>
    <d v="2015-05-06T00:00:00"/>
    <d v="1899-12-30T14:52:43"/>
    <n v="1476.93"/>
    <n v="0"/>
    <n v="-2370454.5800002166"/>
    <m/>
    <m/>
    <m/>
    <n v="12297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9"/>
    <s v="Ant.Cob/122999"/>
    <s v="Banco Brb - Par. 122999(21-30)"/>
    <n v="0"/>
    <d v="2015-05-06T00:00:00"/>
    <d v="1899-12-30T14:52:43"/>
    <n v="1476.93"/>
    <n v="0"/>
    <n v="-2371931.5100002168"/>
    <m/>
    <m/>
    <m/>
    <n v="12299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2"/>
    <s v="Ant.Cob/123000"/>
    <s v="Banco Brb - Par. 123000(22-30)"/>
    <n v="0"/>
    <d v="2015-05-06T00:00:00"/>
    <d v="1899-12-30T14:52:43"/>
    <n v="1476.93"/>
    <n v="0"/>
    <n v="-2373408.4400002169"/>
    <m/>
    <m/>
    <m/>
    <n v="12300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5"/>
    <s v="Ant.Cob/123001"/>
    <s v="Banco Brb - Par. 123001(23-30)"/>
    <n v="0"/>
    <d v="2015-05-06T00:00:00"/>
    <d v="1899-12-30T14:52:43"/>
    <n v="1476.93"/>
    <n v="0"/>
    <n v="-2374885.3700002171"/>
    <m/>
    <m/>
    <m/>
    <n v="12300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8"/>
    <s v="Ant.Cob/123002"/>
    <s v="Banco Brb - Par. 123002(24-30)"/>
    <n v="0"/>
    <d v="2015-05-06T00:00:00"/>
    <d v="1899-12-30T14:52:43"/>
    <n v="1476.93"/>
    <n v="0"/>
    <n v="-2376362.3000002173"/>
    <m/>
    <m/>
    <m/>
    <n v="12300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6"/>
    <s v="Ant.Cob/123008"/>
    <s v="Banco Brb - Par. 123008(30-30)"/>
    <n v="0"/>
    <d v="2015-05-06T00:00:00"/>
    <d v="1899-12-30T14:52:43"/>
    <n v="1476.93"/>
    <n v="0"/>
    <n v="-2377839.2300002174"/>
    <m/>
    <m/>
    <m/>
    <n v="12300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0"/>
    <s v="Ant.Cob/122993"/>
    <s v="Banco Brb - Par. 122993(15-30)"/>
    <n v="0"/>
    <d v="2015-05-06T00:00:00"/>
    <d v="1899-12-30T14:52:44"/>
    <n v="1476.93"/>
    <n v="0"/>
    <n v="-2379316.1600002176"/>
    <m/>
    <m/>
    <m/>
    <n v="12299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2"/>
    <s v="Ant.Cob/122984"/>
    <s v="Banco Brb - Par. 122984(06-30)"/>
    <n v="0"/>
    <d v="2015-05-06T00:00:00"/>
    <d v="1899-12-30T14:52:44"/>
    <n v="1476.93"/>
    <n v="0"/>
    <n v="-2380793.0900002178"/>
    <m/>
    <m/>
    <m/>
    <n v="12298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3"/>
    <s v="Ant.Cob/122994"/>
    <s v="Banco Brb - Par. 122994(16-30)"/>
    <n v="0"/>
    <d v="2015-05-06T00:00:00"/>
    <d v="1899-12-30T14:52:44"/>
    <n v="1476.93"/>
    <n v="0"/>
    <n v="-2382270.0200002179"/>
    <m/>
    <m/>
    <m/>
    <n v="12299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5"/>
    <s v="Ant.Cob/122985"/>
    <s v="Banco Brb - Par. 122985(07-30)"/>
    <n v="0"/>
    <d v="2015-05-06T00:00:00"/>
    <d v="1899-12-30T14:52:44"/>
    <n v="1476.93"/>
    <n v="0"/>
    <n v="-2383746.9500002181"/>
    <m/>
    <m/>
    <m/>
    <n v="12298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6"/>
    <s v="Ant.Cob/122995"/>
    <s v="Banco Brb - Par. 122995(17-30)"/>
    <n v="0"/>
    <d v="2015-05-06T00:00:00"/>
    <d v="1899-12-30T14:52:44"/>
    <n v="1476.93"/>
    <n v="0"/>
    <n v="-2385223.8800002183"/>
    <m/>
    <m/>
    <m/>
    <n v="12299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8"/>
    <s v="Ant.Cob/122986"/>
    <s v="Banco Brb - Par. 122986(08-30)"/>
    <n v="0"/>
    <d v="2015-05-06T00:00:00"/>
    <d v="1899-12-30T14:52:44"/>
    <n v="1476.93"/>
    <n v="0"/>
    <n v="-2386700.8100002185"/>
    <m/>
    <m/>
    <m/>
    <n v="12298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9"/>
    <s v="Ant.Cob/122996"/>
    <s v="Banco Brb - Par. 122996(18-30)"/>
    <n v="0"/>
    <d v="2015-05-06T00:00:00"/>
    <d v="1899-12-30T14:52:44"/>
    <n v="1476.93"/>
    <n v="0"/>
    <n v="-2388177.7400002186"/>
    <m/>
    <m/>
    <m/>
    <n v="12299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1"/>
    <s v="Ant.Cob/122987"/>
    <s v="Banco Brb - Par. 122987(09-30)"/>
    <n v="0"/>
    <d v="2015-05-06T00:00:00"/>
    <d v="1899-12-30T14:52:44"/>
    <n v="1476.93"/>
    <n v="0"/>
    <n v="-2389654.6700002188"/>
    <m/>
    <m/>
    <m/>
    <n v="12298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1"/>
    <s v="Ant.Cob/123003"/>
    <s v="Banco Brb - Par. 123003(25-30)"/>
    <n v="0"/>
    <d v="2015-05-06T00:00:00"/>
    <d v="1899-12-30T14:52:44"/>
    <n v="1476.93"/>
    <n v="0"/>
    <n v="-2391131.600000219"/>
    <m/>
    <m/>
    <m/>
    <n v="12300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4"/>
    <s v="Ant.Cob/123004"/>
    <s v="Banco Brb - Par. 123004(26-30)"/>
    <n v="0"/>
    <d v="2015-05-06T00:00:00"/>
    <d v="1899-12-30T14:52:44"/>
    <n v="1476.93"/>
    <n v="0"/>
    <n v="-2392608.5300002191"/>
    <m/>
    <m/>
    <m/>
    <n v="12300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7"/>
    <s v="Ant.Cob/123005"/>
    <s v="Banco Brb - Par. 123005(27-30)"/>
    <n v="0"/>
    <d v="2015-05-06T00:00:00"/>
    <d v="1899-12-30T14:52:44"/>
    <n v="1476.93"/>
    <n v="0"/>
    <n v="-2394085.4600002193"/>
    <m/>
    <m/>
    <m/>
    <n v="12300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0"/>
    <s v="Ant.Cob/123006"/>
    <s v="Banco Brb - Par. 123006(28-30)"/>
    <n v="0"/>
    <d v="2015-05-06T00:00:00"/>
    <d v="1899-12-30T14:52:44"/>
    <n v="1476.93"/>
    <n v="0"/>
    <n v="-2395562.3900002195"/>
    <m/>
    <m/>
    <m/>
    <n v="12300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2"/>
    <s v="Ant.Cob/122997"/>
    <s v="Banco Brb - Par. 122997(19-30)"/>
    <n v="0"/>
    <d v="2015-05-06T00:00:00"/>
    <d v="1899-12-30T14:52:45"/>
    <n v="1476.93"/>
    <n v="0"/>
    <n v="-2397039.3200002196"/>
    <m/>
    <m/>
    <m/>
    <n v="12299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3"/>
    <s v="Ant.Cob/123007"/>
    <s v="Banco Brb - Par. 123007(29-30)"/>
    <n v="0"/>
    <d v="2015-05-06T00:00:00"/>
    <d v="1899-12-30T14:52:45"/>
    <n v="1476.93"/>
    <n v="0"/>
    <n v="-2398516.2500002198"/>
    <m/>
    <m/>
    <m/>
    <n v="12300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9"/>
    <s v="Ant.Cob/123018"/>
    <s v="Banco Brb - Par. 123018(10-29)"/>
    <n v="0"/>
    <d v="2015-05-06T00:00:00"/>
    <d v="1899-12-30T14:54:43"/>
    <n v="1476.93"/>
    <n v="0"/>
    <n v="-2399993.18000022"/>
    <m/>
    <m/>
    <m/>
    <n v="12301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4"/>
    <s v="Ant.Cob/123010"/>
    <s v="Banco Brb - Par. 123010(02-29)"/>
    <n v="0"/>
    <d v="2015-05-06T00:00:00"/>
    <d v="1899-12-30T14:54:44"/>
    <n v="1476.93"/>
    <n v="0"/>
    <n v="-2401470.1100002201"/>
    <m/>
    <m/>
    <m/>
    <n v="12301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5"/>
    <s v="Ant.Cob/123020"/>
    <s v="Banco Brb - Par. 123020(12-29)"/>
    <n v="0"/>
    <d v="2015-05-06T00:00:00"/>
    <d v="1899-12-30T14:54:44"/>
    <n v="1476.93"/>
    <n v="0"/>
    <n v="-2402947.0400002203"/>
    <m/>
    <m/>
    <m/>
    <n v="12302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6"/>
    <s v="Ant.Cob/123030"/>
    <s v="Banco Brb - Par. 123030(22-29)"/>
    <n v="0"/>
    <d v="2015-05-06T00:00:00"/>
    <d v="1899-12-30T14:54:44"/>
    <n v="1476.93"/>
    <n v="0"/>
    <n v="-2404423.9700002205"/>
    <m/>
    <m/>
    <m/>
    <n v="12303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7"/>
    <s v="Ant.Cob/123011"/>
    <s v="Banco Brb - Par. 123011(03-29)"/>
    <n v="0"/>
    <d v="2015-05-06T00:00:00"/>
    <d v="1899-12-30T14:54:44"/>
    <n v="1476.93"/>
    <n v="0"/>
    <n v="-2405900.9000002206"/>
    <m/>
    <m/>
    <m/>
    <n v="12301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0"/>
    <s v="Ant.Cob/123028"/>
    <s v="Banco Brb - Par. 123028(20-29)"/>
    <n v="0"/>
    <d v="2015-05-06T00:00:00"/>
    <d v="1899-12-30T14:54:44"/>
    <n v="1476.93"/>
    <n v="0"/>
    <n v="-2407377.8300002208"/>
    <m/>
    <m/>
    <m/>
    <n v="12302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1"/>
    <s v="Ant.Cob/123009"/>
    <s v="Banco Brb - Par. 123009(01-29)"/>
    <n v="0"/>
    <d v="2015-05-06T00:00:00"/>
    <d v="1899-12-30T14:54:44"/>
    <n v="1476.93"/>
    <n v="0"/>
    <n v="-2408854.760000221"/>
    <m/>
    <m/>
    <m/>
    <n v="12300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2"/>
    <s v="Ant.Cob/123019"/>
    <s v="Banco Brb - Par. 123019(11-29)"/>
    <n v="0"/>
    <d v="2015-05-06T00:00:00"/>
    <d v="1899-12-30T14:54:44"/>
    <n v="1476.93"/>
    <n v="0"/>
    <n v="-2410331.6900002211"/>
    <m/>
    <m/>
    <m/>
    <n v="12301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3"/>
    <s v="Ant.Cob/123029"/>
    <s v="Banco Brb - Par. 123029(21-29)"/>
    <n v="0"/>
    <d v="2015-05-06T00:00:00"/>
    <d v="1899-12-30T14:54:44"/>
    <n v="1476.93"/>
    <n v="0"/>
    <n v="-2411808.6200002213"/>
    <m/>
    <m/>
    <m/>
    <n v="12302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8"/>
    <s v="Ant.Cob/123021"/>
    <s v="Banco Brb - Par. 123021(13-29)"/>
    <n v="0"/>
    <d v="2015-05-06T00:00:00"/>
    <d v="1899-12-30T14:54:45"/>
    <n v="1476.93"/>
    <n v="0"/>
    <n v="-2413285.5500002215"/>
    <m/>
    <m/>
    <m/>
    <n v="12302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9"/>
    <s v="Ant.Cob/123031"/>
    <s v="Banco Brb - Par. 123031(23-29)"/>
    <n v="0"/>
    <d v="2015-05-06T00:00:00"/>
    <d v="1899-12-30T14:54:45"/>
    <n v="1476.93"/>
    <n v="0"/>
    <n v="-2414762.4800002216"/>
    <m/>
    <m/>
    <m/>
    <n v="12303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0"/>
    <s v="Ant.Cob/123012"/>
    <s v="Banco Brb - Par. 123012(04-29)"/>
    <n v="0"/>
    <d v="2015-05-06T00:00:00"/>
    <d v="1899-12-30T14:54:45"/>
    <n v="1476.93"/>
    <n v="0"/>
    <n v="-2416239.4100002218"/>
    <m/>
    <m/>
    <m/>
    <n v="12301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1"/>
    <s v="Ant.Cob/123022"/>
    <s v="Banco Brb - Par. 123022(14-29)"/>
    <n v="0"/>
    <d v="2015-05-06T00:00:00"/>
    <d v="1899-12-30T14:54:45"/>
    <n v="1476.93"/>
    <n v="0"/>
    <n v="-2417716.340000222"/>
    <m/>
    <m/>
    <m/>
    <n v="12302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2"/>
    <s v="Ant.Cob/123032"/>
    <s v="Banco Brb - Par. 123032(24-29)"/>
    <n v="0"/>
    <d v="2015-05-06T00:00:00"/>
    <d v="1899-12-30T14:54:45"/>
    <n v="1476.93"/>
    <n v="0"/>
    <n v="-2419193.2700002221"/>
    <m/>
    <m/>
    <m/>
    <n v="12303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3"/>
    <s v="Ant.Cob/123013"/>
    <s v="Banco Brb - Par. 123013(05-29)"/>
    <n v="0"/>
    <d v="2015-05-06T00:00:00"/>
    <d v="1899-12-30T14:54:45"/>
    <n v="1476.93"/>
    <n v="0"/>
    <n v="-2420670.2000002223"/>
    <m/>
    <m/>
    <m/>
    <n v="12301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4"/>
    <s v="Ant.Cob/123023"/>
    <s v="Banco Brb - Par. 123023(15-29)"/>
    <n v="0"/>
    <d v="2015-05-06T00:00:00"/>
    <d v="1899-12-30T14:54:45"/>
    <n v="1476.93"/>
    <n v="0"/>
    <n v="-2422147.1300002225"/>
    <m/>
    <m/>
    <m/>
    <n v="12302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5"/>
    <s v="Ant.Cob/123033"/>
    <s v="Banco Brb - Par. 123033(25-29)"/>
    <n v="0"/>
    <d v="2015-05-06T00:00:00"/>
    <d v="1899-12-30T14:54:45"/>
    <n v="1476.93"/>
    <n v="0"/>
    <n v="-2423624.0600002226"/>
    <m/>
    <m/>
    <m/>
    <n v="12303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6"/>
    <s v="Ant.Cob/123014"/>
    <s v="Banco Brb - Par. 123014(06-29)"/>
    <n v="0"/>
    <d v="2015-05-06T00:00:00"/>
    <d v="1899-12-30T14:54:45"/>
    <n v="1476.93"/>
    <n v="0"/>
    <n v="-2425100.9900002228"/>
    <m/>
    <m/>
    <m/>
    <n v="12301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7"/>
    <s v="Ant.Cob/123024"/>
    <s v="Banco Brb - Par. 123024(16-29)"/>
    <n v="0"/>
    <d v="2015-05-06T00:00:00"/>
    <d v="1899-12-30T14:54:46"/>
    <n v="1476.93"/>
    <n v="0"/>
    <n v="-2426577.920000223"/>
    <m/>
    <m/>
    <m/>
    <n v="12302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8"/>
    <s v="Ant.Cob/123034"/>
    <s v="Banco Brb - Par. 123034(26-29)"/>
    <n v="0"/>
    <d v="2015-05-06T00:00:00"/>
    <d v="1899-12-30T14:54:46"/>
    <n v="1476.93"/>
    <n v="0"/>
    <n v="-2428054.8500002231"/>
    <m/>
    <m/>
    <m/>
    <n v="12303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9"/>
    <s v="Ant.Cob/123015"/>
    <s v="Banco Brb - Par. 123015(07-29)"/>
    <n v="0"/>
    <d v="2015-05-06T00:00:00"/>
    <d v="1899-12-30T14:54:46"/>
    <n v="1476.93"/>
    <n v="0"/>
    <n v="-2429531.7800002233"/>
    <m/>
    <m/>
    <m/>
    <n v="12301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0"/>
    <s v="Ant.Cob/123025"/>
    <s v="Banco Brb - Par. 123025(17-29)"/>
    <n v="0"/>
    <d v="2015-05-06T00:00:00"/>
    <d v="1899-12-30T14:54:46"/>
    <n v="1476.93"/>
    <n v="0"/>
    <n v="-2431008.7100002235"/>
    <m/>
    <m/>
    <m/>
    <n v="12302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1"/>
    <s v="Ant.Cob/123035"/>
    <s v="Banco Brb - Par. 123035(27-29)"/>
    <n v="0"/>
    <d v="2015-05-06T00:00:00"/>
    <d v="1899-12-30T14:54:46"/>
    <n v="1476.93"/>
    <n v="0"/>
    <n v="-2432485.6400002236"/>
    <m/>
    <m/>
    <m/>
    <n v="12303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2"/>
    <s v="Ant.Cob/123016"/>
    <s v="Banco Brb - Par. 123016(08-29)"/>
    <n v="0"/>
    <d v="2015-05-06T00:00:00"/>
    <d v="1899-12-30T14:54:46"/>
    <n v="1476.93"/>
    <n v="0"/>
    <n v="-2433962.5700002238"/>
    <m/>
    <m/>
    <m/>
    <n v="12301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3"/>
    <s v="Ant.Cob/123026"/>
    <s v="Banco Brb - Par. 123026(18-29)"/>
    <n v="0"/>
    <d v="2015-05-06T00:00:00"/>
    <d v="1899-12-30T14:54:46"/>
    <n v="1476.93"/>
    <n v="0"/>
    <n v="-2435439.500000224"/>
    <m/>
    <m/>
    <m/>
    <n v="12302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4"/>
    <s v="Ant.Cob/123036"/>
    <s v="Banco Brb - Par. 123036(28-29)"/>
    <n v="0"/>
    <d v="2015-05-06T00:00:00"/>
    <d v="1899-12-30T14:54:46"/>
    <n v="1476.93"/>
    <n v="0"/>
    <n v="-2436916.4300002242"/>
    <m/>
    <m/>
    <m/>
    <n v="12303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5"/>
    <s v="Ant.Cob/123017"/>
    <s v="Banco Brb - Par. 123017(09-29)"/>
    <n v="0"/>
    <d v="2015-05-06T00:00:00"/>
    <d v="1899-12-30T14:54:46"/>
    <n v="1476.93"/>
    <n v="0"/>
    <n v="-2438393.3600002243"/>
    <m/>
    <m/>
    <m/>
    <n v="12301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6"/>
    <s v="Ant.Cob/123027"/>
    <s v="Banco Brb - Par. 123027(19-29)"/>
    <n v="0"/>
    <d v="2015-05-06T00:00:00"/>
    <d v="1899-12-30T14:54:46"/>
    <n v="1476.93"/>
    <n v="0"/>
    <n v="-2439870.2900002245"/>
    <m/>
    <m/>
    <m/>
    <n v="12302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7"/>
    <s v="Ant.Cob/123037"/>
    <s v="Banco Brb - Par. 123037(29-29)"/>
    <n v="0"/>
    <d v="2015-05-06T00:00:00"/>
    <d v="1899-12-30T14:54:46"/>
    <n v="1476.93"/>
    <n v="0"/>
    <n v="-2441347.2200002247"/>
    <m/>
    <m/>
    <m/>
    <n v="12303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3"/>
    <s v="Ant.Cob/123040"/>
    <s v="Banco Brb - Par. 123040(03-9)"/>
    <n v="0"/>
    <d v="2015-05-06T00:00:00"/>
    <d v="1899-12-30T14:56:28"/>
    <n v="1476.93"/>
    <n v="0"/>
    <n v="-2442824.1500002248"/>
    <m/>
    <m/>
    <m/>
    <n v="12304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1"/>
    <s v="Ant.Cob/123038"/>
    <s v="Banco Brb - Par. 123038(01-9)"/>
    <n v="0"/>
    <d v="2015-05-06T00:00:00"/>
    <d v="1899-12-30T14:56:28"/>
    <n v="323.79000000000002"/>
    <n v="0"/>
    <n v="-2443147.9400002249"/>
    <m/>
    <m/>
    <m/>
    <n v="12303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2"/>
    <s v="Ant.Cob/123039"/>
    <s v="Banco Brb - Par. 123039(02-9)"/>
    <n v="0"/>
    <d v="2015-05-06T00:00:00"/>
    <d v="1899-12-30T14:56:28"/>
    <n v="1476.93"/>
    <n v="0"/>
    <n v="-2444624.870000225"/>
    <m/>
    <m/>
    <m/>
    <n v="12303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4"/>
    <s v="Ant.Cob/123041"/>
    <s v="Banco Brb - Par. 123041(04-9)"/>
    <n v="0"/>
    <d v="2015-05-06T00:00:00"/>
    <d v="1899-12-30T14:56:29"/>
    <n v="1476.93"/>
    <n v="0"/>
    <n v="-2446101.8000002252"/>
    <m/>
    <m/>
    <m/>
    <n v="12304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5"/>
    <s v="Ant.Cob/123042"/>
    <s v="Banco Brb - Par. 123042(05-9)"/>
    <n v="0"/>
    <d v="2015-05-06T00:00:00"/>
    <d v="1899-12-30T14:56:29"/>
    <n v="1476.93"/>
    <n v="0"/>
    <n v="-2447578.7300002254"/>
    <m/>
    <m/>
    <m/>
    <n v="12304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6"/>
    <s v="Ant.Cob/123043"/>
    <s v="Banco Brb - Par. 123043(06-9)"/>
    <n v="0"/>
    <d v="2015-05-06T00:00:00"/>
    <d v="1899-12-30T14:56:29"/>
    <n v="1476.93"/>
    <n v="0"/>
    <n v="-2449055.6600002255"/>
    <m/>
    <m/>
    <m/>
    <n v="12304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7"/>
    <s v="Ant.Cob/123044"/>
    <s v="Banco Brb - Par. 123044(07-9)"/>
    <n v="0"/>
    <d v="2015-05-06T00:00:00"/>
    <d v="1899-12-30T14:56:29"/>
    <n v="1476.93"/>
    <n v="0"/>
    <n v="-2450532.5900002257"/>
    <m/>
    <m/>
    <m/>
    <n v="12304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8"/>
    <s v="Ant.Cob/123045"/>
    <s v="Banco Brb - Par. 123045(08-9)"/>
    <n v="0"/>
    <d v="2015-05-06T00:00:00"/>
    <d v="1899-12-30T14:56:29"/>
    <n v="1476.93"/>
    <n v="0"/>
    <n v="-2452009.5200002259"/>
    <m/>
    <m/>
    <m/>
    <n v="12304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9"/>
    <s v="Ant.Cob/123046"/>
    <s v="Banco Brb - Par. 123046(09-9)"/>
    <n v="0"/>
    <d v="2015-05-06T00:00:00"/>
    <d v="1899-12-30T14:56:29"/>
    <n v="321.7"/>
    <n v="0"/>
    <n v="-2452331.2200002261"/>
    <m/>
    <m/>
    <m/>
    <n v="12304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780"/>
    <n v="191914"/>
    <s v="Retorno: Par. 191914(04/12) - 018393/GUS - Mensalidades"/>
    <n v="1760.76"/>
    <d v="2015-05-06T00:00:00"/>
    <d v="1899-12-30T15:16:55"/>
    <n v="0"/>
    <n v="0"/>
    <n v="-2450570.4600002263"/>
    <m/>
    <m/>
    <n v="191914"/>
    <m/>
    <n v="1"/>
    <s v="Andre"/>
    <n v="1"/>
    <m/>
    <n v="2"/>
    <d v="2015-05-07T00:00:00"/>
    <d v="2015-05-07T00:00:00"/>
    <n v="28219"/>
    <n v="26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81"/>
    <n v="191857"/>
    <s v="Retorno: Par. 191857(04/12) - 018436/GAB - Mensalidades"/>
    <n v="1760.76"/>
    <d v="2015-05-06T00:00:00"/>
    <d v="1899-12-30T15:16:55"/>
    <n v="0"/>
    <n v="0"/>
    <n v="-2448809.7000002265"/>
    <m/>
    <m/>
    <n v="191857"/>
    <m/>
    <n v="1"/>
    <s v="Andre"/>
    <n v="1"/>
    <m/>
    <n v="2"/>
    <d v="2015-05-07T00:00:00"/>
    <d v="2015-05-07T00:00:00"/>
    <n v="28220"/>
    <n v="26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9206"/>
    <n v="189883"/>
    <s v="Retorno: Par. 189883(04/12) - 018236/MUR - Mensalidades"/>
    <n v="1505.4"/>
    <d v="2015-05-06T00:00:00"/>
    <d v="1899-12-30T16:27:20"/>
    <n v="0"/>
    <n v="0"/>
    <n v="-2447304.3000002266"/>
    <m/>
    <m/>
    <n v="189883"/>
    <m/>
    <n v="1"/>
    <s v="Andre"/>
    <n v="1"/>
    <m/>
    <n v="2"/>
    <d v="2015-05-11T00:00:00"/>
    <d v="2015-05-11T00:00:00"/>
    <n v="28369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5"/>
    <n v="189944"/>
    <s v="Retorno: Par. 189944(04/12) - 018292/LAÍ - Mensalidades"/>
    <n v="1505.4"/>
    <d v="2015-05-06T00:00:00"/>
    <d v="1899-12-30T16:27:20"/>
    <n v="0"/>
    <n v="0"/>
    <n v="-2445798.9000002267"/>
    <m/>
    <m/>
    <n v="189944"/>
    <m/>
    <n v="1"/>
    <s v="Andre"/>
    <n v="1"/>
    <m/>
    <n v="2"/>
    <d v="2015-05-11T00:00:00"/>
    <d v="2015-05-11T00:00:00"/>
    <n v="28368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1"/>
    <n v="192912"/>
    <s v="Retorno: Par. 192912(05/12) - 018107/BEA - Mensalidades"/>
    <n v="1473"/>
    <d v="2015-05-06T00:00:00"/>
    <d v="1899-12-30T16:27:20"/>
    <n v="0"/>
    <n v="0"/>
    <n v="-2444325.9000002267"/>
    <m/>
    <m/>
    <n v="192912"/>
    <m/>
    <n v="1"/>
    <s v="Andre"/>
    <n v="1"/>
    <m/>
    <n v="2"/>
    <d v="2015-05-11T00:00:00"/>
    <d v="2015-05-11T00:00:00"/>
    <n v="28360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3"/>
    <n v="194382"/>
    <s v="Retorno: Par. 194382(04/12) - 019845/GUI - Mensalidades"/>
    <n v="1505.4"/>
    <d v="2015-05-06T00:00:00"/>
    <d v="1899-12-30T16:27:20"/>
    <n v="0"/>
    <n v="0"/>
    <n v="-2442820.5000002268"/>
    <m/>
    <m/>
    <n v="194382"/>
    <m/>
    <n v="1"/>
    <s v="Andre"/>
    <n v="1"/>
    <m/>
    <n v="2"/>
    <d v="2015-05-11T00:00:00"/>
    <d v="2015-05-11T00:00:00"/>
    <n v="28362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2"/>
    <n v="191183"/>
    <s v="Retorno: Par. 191183(04/12) - 019027/ALA - Mensalidades"/>
    <n v="1505.4"/>
    <d v="2015-05-06T00:00:00"/>
    <d v="1899-12-30T16:27:20"/>
    <n v="0"/>
    <n v="0"/>
    <n v="-2441315.1000002269"/>
    <m/>
    <m/>
    <n v="191183"/>
    <m/>
    <n v="1"/>
    <s v="Andre"/>
    <n v="1"/>
    <m/>
    <n v="2"/>
    <d v="2015-05-11T00:00:00"/>
    <d v="2015-05-11T00:00:00"/>
    <n v="28361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4"/>
    <n v="190077"/>
    <s v="Retorno: Par. 190077(04/12) - 018340/GAB - Mensalidades"/>
    <n v="1505.4"/>
    <d v="2015-05-06T00:00:00"/>
    <d v="1899-12-30T16:27:20"/>
    <n v="0"/>
    <n v="0"/>
    <n v="-2439809.700000227"/>
    <m/>
    <m/>
    <n v="190077"/>
    <m/>
    <n v="1"/>
    <s v="Andre"/>
    <n v="1"/>
    <m/>
    <n v="2"/>
    <d v="2015-05-11T00:00:00"/>
    <d v="2015-05-11T00:00:00"/>
    <n v="28367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8"/>
    <n v="189762"/>
    <s v="Retorno: Par. 189762(04/12) - 019618/LAR - Mensalidades"/>
    <n v="1505.4"/>
    <d v="2015-05-06T00:00:00"/>
    <d v="1899-12-30T16:27:21"/>
    <n v="0"/>
    <n v="0"/>
    <n v="-2438304.3000002271"/>
    <m/>
    <m/>
    <n v="189762"/>
    <m/>
    <n v="1"/>
    <s v="Andre"/>
    <n v="1"/>
    <m/>
    <n v="2"/>
    <d v="2015-05-11T00:00:00"/>
    <d v="2015-05-11T00:00:00"/>
    <n v="28371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7"/>
    <n v="190112"/>
    <s v="Retorno: Par. 190112(04/12) - 018122/MAR - Mensalidades"/>
    <n v="1505.4"/>
    <d v="2015-05-06T00:00:00"/>
    <d v="1899-12-30T16:27:21"/>
    <n v="0"/>
    <n v="0"/>
    <n v="-2436798.9000002271"/>
    <m/>
    <m/>
    <n v="190112"/>
    <m/>
    <n v="1"/>
    <s v="Andre"/>
    <n v="1"/>
    <m/>
    <n v="2"/>
    <d v="2015-05-11T00:00:00"/>
    <d v="2015-05-11T00:00:00"/>
    <n v="28370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6166"/>
    <s v="Extrato"/>
    <s v="Transferência Entre Conta"/>
    <n v="0"/>
    <d v="2015-05-06T00:00:00"/>
    <d v="1899-12-30T16:29:43"/>
    <n v="38000"/>
    <n v="0"/>
    <n v="-2474798.9000002271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s v="COLÉGIO OLIMPO LTDA"/>
    <m/>
    <n v="114"/>
    <n v="8"/>
    <s v="Transferência Bancária"/>
    <m/>
    <m/>
    <m/>
    <n v="0"/>
    <m/>
    <n v="107"/>
    <s v="SAFRA [GYN] [206009-7] [COB]"/>
    <m/>
    <m/>
    <m/>
  </r>
  <r>
    <n v="276188"/>
    <s v="Extrato"/>
    <s v="Destino: 276166-Transferência Entre Conta"/>
    <n v="38000"/>
    <d v="2015-05-06T00:00:00"/>
    <d v="1899-12-30T16:29:43"/>
    <n v="0"/>
    <n v="0"/>
    <n v="-2436798.9000002271"/>
    <m/>
    <m/>
    <m/>
    <m/>
    <n v="24"/>
    <s v="Emilly"/>
    <n v="1"/>
    <m/>
    <n v="1449"/>
    <d v="2015-07-03T00:00:00"/>
    <d v="2015-07-03T00:00:00"/>
    <m/>
    <m/>
    <n v="2015"/>
    <n v="24"/>
    <m/>
    <m/>
    <n v="276166"/>
    <m/>
    <s v="Transferência entre contas"/>
    <x v="2"/>
    <s v="COLÉGIO OLIMPO LTDA"/>
    <m/>
    <n v="107"/>
    <n v="8"/>
    <s v="Transferência Bancária"/>
    <m/>
    <m/>
    <m/>
    <n v="0"/>
    <m/>
    <m/>
    <s v="SAFRA [GYN] [000048-8] [CC]"/>
    <m/>
    <m/>
    <m/>
  </r>
  <r>
    <n v="276175"/>
    <s v="Extrato/128705"/>
    <s v="Banco Safra - Cód. 128705"/>
    <n v="0"/>
    <d v="2015-05-06T00:00:00"/>
    <d v="1899-12-30T16:38:12"/>
    <n v="5.76"/>
    <n v="0"/>
    <n v="-2436804.6600002269"/>
    <m/>
    <m/>
    <m/>
    <n v="128705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76"/>
    <s v="Extrato/128706"/>
    <s v="Banco Safra - Cód. 128706"/>
    <n v="0"/>
    <d v="2015-05-06T00:00:00"/>
    <d v="1899-12-30T16:38:47"/>
    <n v="418.83"/>
    <n v="0"/>
    <n v="-2437223.490000227"/>
    <m/>
    <m/>
    <m/>
    <n v="128706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77"/>
    <s v="Extrato/128707"/>
    <s v="Banco Safra - Cód. 128707"/>
    <n v="0"/>
    <d v="2015-05-06T00:00:00"/>
    <d v="1899-12-30T16:39:28"/>
    <n v="21.14"/>
    <n v="0"/>
    <n v="-2437244.6300002271"/>
    <m/>
    <m/>
    <m/>
    <n v="128707"/>
    <n v="24"/>
    <s v="Emilly"/>
    <n v="1"/>
    <m/>
    <n v="1512"/>
    <d v="2015-07-03T00:00:00"/>
    <d v="2015-07-03T00:00:00"/>
    <m/>
    <m/>
    <n v="2015"/>
    <n v="24"/>
    <m/>
    <m/>
    <m/>
    <m/>
    <s v="IOF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69262"/>
    <s v="Transferência Entre Conta"/>
    <s v="Transferência Entre Conta"/>
    <n v="0"/>
    <d v="2015-05-06T00:00:00"/>
    <d v="1899-12-30T16:45:28"/>
    <n v="100"/>
    <n v="0"/>
    <n v="-2437344.6300002271"/>
    <m/>
    <m/>
    <m/>
    <m/>
    <n v="24"/>
    <s v="Emilly"/>
    <n v="1"/>
    <m/>
    <n v="1449"/>
    <d v="2015-05-11T00:00:00"/>
    <d v="2015-05-11T00:00:00"/>
    <m/>
    <m/>
    <n v="2015"/>
    <n v="24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BANCO [42.102673-4] [GYN] [CH]"/>
    <m/>
    <m/>
    <m/>
  </r>
  <r>
    <n v="269266"/>
    <s v="Transferência Entre Conta"/>
    <s v="Destino: 269262-Transferência Entre Conta"/>
    <n v="100"/>
    <d v="2015-05-06T00:00:00"/>
    <d v="1899-12-30T16:45:28"/>
    <n v="0"/>
    <n v="0"/>
    <n v="-2437244.6300002271"/>
    <m/>
    <m/>
    <m/>
    <m/>
    <n v="24"/>
    <s v="Emilly"/>
    <n v="1"/>
    <m/>
    <n v="1449"/>
    <d v="2015-05-11T00:00:00"/>
    <d v="2015-05-11T00:00:00"/>
    <m/>
    <m/>
    <n v="2015"/>
    <n v="24"/>
    <m/>
    <m/>
    <n v="269262"/>
    <m/>
    <s v="Transferência entre contas"/>
    <x v="2"/>
    <s v="COLÉGIO OLIMPO LTDA"/>
    <m/>
    <n v="29"/>
    <n v="8"/>
    <s v="Transferência Bancária"/>
    <m/>
    <m/>
    <m/>
    <n v="0"/>
    <m/>
    <m/>
    <s v="BICBANCO [14.102672-6] [GYN] [CC]"/>
    <m/>
    <m/>
    <m/>
  </r>
  <r>
    <n v="269271"/>
    <s v="Extrato/123117"/>
    <s v="Bic - Banco Industria E Comercio - Cód. 123117"/>
    <n v="0"/>
    <d v="2015-05-06T00:00:00"/>
    <d v="1899-12-30T16:50:01"/>
    <n v="100"/>
    <n v="0"/>
    <n v="-2437344.6300002271"/>
    <m/>
    <m/>
    <m/>
    <n v="123117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9272"/>
    <s v="Extrato/123118"/>
    <s v="Bic - Banco Industria E Comercio - Cód. 123118"/>
    <n v="0"/>
    <d v="2015-05-06T00:00:00"/>
    <d v="1899-12-30T16:50:01"/>
    <n v="0.14000000000000001"/>
    <n v="0"/>
    <n v="-2437344.7700002273"/>
    <m/>
    <m/>
    <m/>
    <n v="123118"/>
    <n v="24"/>
    <s v="Emilly"/>
    <n v="1"/>
    <m/>
    <n v="1512"/>
    <d v="2015-05-11T00:00:00"/>
    <d v="2015-05-11T00:00:00"/>
    <m/>
    <m/>
    <n v="2015"/>
    <n v="24"/>
    <m/>
    <m/>
    <m/>
    <m/>
    <s v="IOF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9865"/>
    <s v="JAD/110021"/>
    <s v="Jusefa Alves Dionizio - Par. 110021(05-12)"/>
    <n v="0"/>
    <d v="2015-05-07T00:00:00"/>
    <d v="1899-12-30T08:31:04"/>
    <n v="1125"/>
    <n v="0"/>
    <n v="-2438469.7700002273"/>
    <m/>
    <m/>
    <m/>
    <n v="110021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67"/>
    <s v="MFN/110009"/>
    <s v="Maria Floriza Neta - Par. 110009(05-12)"/>
    <n v="0"/>
    <d v="2015-05-07T00:00:00"/>
    <d v="1899-12-30T08:31:34"/>
    <n v="2000"/>
    <n v="0"/>
    <n v="-2440469.7700002273"/>
    <m/>
    <m/>
    <m/>
    <n v="110009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146"/>
    <s v="Extrato/123504"/>
    <s v="Banco Brb - Cód. 123504"/>
    <n v="0"/>
    <d v="2015-05-07T00:00:00"/>
    <d v="1899-12-30T09:06:29"/>
    <n v="1560"/>
    <n v="0"/>
    <n v="-2442029.7700002273"/>
    <m/>
    <m/>
    <m/>
    <n v="123504"/>
    <n v="24"/>
    <s v="Emilly"/>
    <n v="1"/>
    <m/>
    <n v="569"/>
    <d v="2015-05-18T00:00:00"/>
    <d v="2015-05-18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69378"/>
    <s v="ESPÉCIE 2015-05-07"/>
    <s v="PAGAMENTO DA MENSALIDADE DE FEVEREIRO/2015, DO(A) ALUNO(A) BEATRIZ DA SILVA RESENDE_ESN"/>
    <n v="377.8"/>
    <d v="2015-05-07T00:00:00"/>
    <d v="1899-12-30T09:09:31"/>
    <n v="0"/>
    <n v="0"/>
    <n v="-2441651.9700002274"/>
    <m/>
    <m/>
    <m/>
    <m/>
    <n v="8"/>
    <s v="Vinicius"/>
    <n v="1"/>
    <m/>
    <n v="1434"/>
    <d v="2015-05-12T00:00:00"/>
    <d v="2015-05-12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69735"/>
    <s v="Fgts/123242"/>
    <s v="Fgts - Cód. 123242"/>
    <n v="0"/>
    <d v="2015-05-07T00:00:00"/>
    <d v="1899-12-30T09:56:42"/>
    <n v="4463.6400000000003"/>
    <n v="0"/>
    <n v="-2446115.6100002276"/>
    <m/>
    <m/>
    <m/>
    <n v="123242"/>
    <n v="24"/>
    <s v="Emilly"/>
    <n v="1"/>
    <m/>
    <n v="335"/>
    <d v="2015-05-13T00:00:00"/>
    <d v="2015-05-13T00:00:00"/>
    <m/>
    <m/>
    <n v="2015"/>
    <n v="24"/>
    <m/>
    <m/>
    <m/>
    <m/>
    <s v="Marista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02"/>
    <s v="Extrato/123779"/>
    <s v="Banco Brb - Cód. 123779"/>
    <n v="0"/>
    <d v="2015-05-07T00:00:00"/>
    <d v="1899-12-30T09:59:44"/>
    <n v="2999"/>
    <n v="0"/>
    <n v="-2449114.6100002276"/>
    <m/>
    <m/>
    <m/>
    <n v="123779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69421"/>
    <s v="Extrato/123122"/>
    <s v="Banco Brb - Cód. 123122"/>
    <n v="0"/>
    <d v="2015-05-07T00:00:00"/>
    <d v="1899-12-30T10:04:43"/>
    <n v="30"/>
    <n v="0"/>
    <n v="-2449144.6100002276"/>
    <m/>
    <m/>
    <m/>
    <n v="12312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2"/>
    <s v="Extrato/123123"/>
    <s v="Banco Brb - Cód. 123123"/>
    <n v="0"/>
    <d v="2015-05-07T00:00:00"/>
    <d v="1899-12-30T10:04:43"/>
    <n v="30"/>
    <n v="0"/>
    <n v="-2449174.6100002276"/>
    <m/>
    <m/>
    <m/>
    <n v="12312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806"/>
    <s v="ESPÉCIE 2015-05-07"/>
    <s v="PAGAMENTO DA MENSALIDADE DE ABRIL/2015, DO(A) ALUNO(A) SABRYNNA TEREZAN MORAES_EF"/>
    <n v="350"/>
    <d v="2015-05-07T00:00:00"/>
    <d v="1899-12-30T10:05:03"/>
    <n v="0"/>
    <n v="0"/>
    <n v="-2448824.6100002276"/>
    <m/>
    <m/>
    <m/>
    <m/>
    <n v="8"/>
    <s v="Vinicius"/>
    <n v="1"/>
    <m/>
    <n v="1431"/>
    <d v="2015-05-08T00:00:00"/>
    <d v="2015-05-08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69423"/>
    <s v="Extrato/123124"/>
    <s v="Banco Brb - Cód. 123124"/>
    <n v="0"/>
    <d v="2015-05-07T00:00:00"/>
    <d v="1899-12-30T10:05:35"/>
    <n v="0.35"/>
    <n v="0"/>
    <n v="-2448824.9600002277"/>
    <m/>
    <m/>
    <m/>
    <n v="12312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4"/>
    <s v="Extrato/123125"/>
    <s v="Banco Brb - Cód. 123125"/>
    <n v="0"/>
    <d v="2015-05-07T00:00:00"/>
    <d v="1899-12-30T10:05:35"/>
    <n v="0.35"/>
    <n v="0"/>
    <n v="-2448825.3100002278"/>
    <m/>
    <m/>
    <m/>
    <n v="12312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1"/>
    <s v="Extrato/123130"/>
    <s v="Banco Brb - Par. 123130(05-8)"/>
    <n v="0"/>
    <d v="2015-05-07T00:00:00"/>
    <d v="1899-12-30T10:07:56"/>
    <n v="29.15"/>
    <n v="0"/>
    <n v="-2448854.4600002277"/>
    <m/>
    <m/>
    <m/>
    <n v="12313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2"/>
    <s v="Extrato/123131"/>
    <s v="Banco Brb - Par. 123131(06-8)"/>
    <n v="0"/>
    <d v="2015-05-07T00:00:00"/>
    <d v="1899-12-30T10:07:56"/>
    <n v="6.6"/>
    <n v="0"/>
    <n v="-2448861.0600002278"/>
    <m/>
    <m/>
    <m/>
    <n v="12313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3"/>
    <s v="Extrato/123132"/>
    <s v="Banco Brb - Par. 123132(07-8)"/>
    <n v="0"/>
    <d v="2015-05-07T00:00:00"/>
    <d v="1899-12-30T10:07:56"/>
    <n v="7.26"/>
    <n v="0"/>
    <n v="-2448868.3200002275"/>
    <m/>
    <m/>
    <m/>
    <n v="12313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4"/>
    <s v="Extrato/123133"/>
    <s v="Banco Brb - Par. 123133(08-8)"/>
    <n v="0"/>
    <d v="2015-05-07T00:00:00"/>
    <d v="1899-12-30T10:07:56"/>
    <n v="12.91"/>
    <n v="0"/>
    <n v="-2448881.2300002277"/>
    <m/>
    <m/>
    <m/>
    <n v="12313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7"/>
    <s v="Extrato/123126"/>
    <s v="Banco Brb - Par. 123126(01-8)"/>
    <n v="0"/>
    <d v="2015-05-07T00:00:00"/>
    <d v="1899-12-30T10:07:56"/>
    <n v="11"/>
    <n v="0"/>
    <n v="-2448892.2300002277"/>
    <m/>
    <m/>
    <m/>
    <n v="12312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8"/>
    <s v="Extrato/123127"/>
    <s v="Banco Brb - Par. 123127(02-8)"/>
    <n v="0"/>
    <d v="2015-05-07T00:00:00"/>
    <d v="1899-12-30T10:07:56"/>
    <n v="15"/>
    <n v="0"/>
    <n v="-2448907.2300002277"/>
    <m/>
    <m/>
    <m/>
    <n v="12312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9"/>
    <s v="Extrato/123128"/>
    <s v="Banco Brb - Par. 123128(03-8)"/>
    <n v="0"/>
    <d v="2015-05-07T00:00:00"/>
    <d v="1899-12-30T10:07:56"/>
    <n v="28.49"/>
    <n v="0"/>
    <n v="-2448935.7200002279"/>
    <m/>
    <m/>
    <m/>
    <n v="12312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0"/>
    <s v="Extrato/123129"/>
    <s v="Banco Brb - Par. 123129(04-8)"/>
    <n v="0"/>
    <d v="2015-05-07T00:00:00"/>
    <d v="1899-12-30T10:07:56"/>
    <n v="73.92"/>
    <n v="0"/>
    <n v="-2449009.6400002278"/>
    <m/>
    <m/>
    <m/>
    <n v="12312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5"/>
    <s v="Extrato/123134"/>
    <s v="Banco Brb - Par. 123134(01-7)"/>
    <n v="0"/>
    <d v="2015-05-07T00:00:00"/>
    <d v="1899-12-30T10:09:06"/>
    <n v="15"/>
    <n v="0"/>
    <n v="-2449024.6400002278"/>
    <m/>
    <m/>
    <m/>
    <n v="12313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6"/>
    <s v="Extrato/123135"/>
    <s v="Banco Brb - Par. 123135(02-7)"/>
    <n v="0"/>
    <d v="2015-05-07T00:00:00"/>
    <d v="1899-12-30T10:09:06"/>
    <n v="15"/>
    <n v="0"/>
    <n v="-2449039.6400002278"/>
    <m/>
    <m/>
    <m/>
    <n v="12313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7"/>
    <s v="Extrato/123136"/>
    <s v="Banco Brb - Par. 123136(03-7)"/>
    <n v="0"/>
    <d v="2015-05-07T00:00:00"/>
    <d v="1899-12-30T10:09:06"/>
    <n v="15"/>
    <n v="0"/>
    <n v="-2449054.6400002278"/>
    <m/>
    <m/>
    <m/>
    <n v="12313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8"/>
    <s v="Extrato/123137"/>
    <s v="Banco Brb - Par. 123137(04-7)"/>
    <n v="0"/>
    <d v="2015-05-07T00:00:00"/>
    <d v="1899-12-30T10:09:06"/>
    <n v="15"/>
    <n v="0"/>
    <n v="-2449069.6400002278"/>
    <m/>
    <m/>
    <m/>
    <n v="12313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9"/>
    <s v="Extrato/123138"/>
    <s v="Banco Brb - Par. 123138(05-7)"/>
    <n v="0"/>
    <d v="2015-05-07T00:00:00"/>
    <d v="1899-12-30T10:09:06"/>
    <n v="15"/>
    <n v="0"/>
    <n v="-2449084.6400002278"/>
    <m/>
    <m/>
    <m/>
    <n v="12313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41"/>
    <s v="Extrato/123140"/>
    <s v="Banco Brb - Par. 123140(07-7)"/>
    <n v="0"/>
    <d v="2015-05-07T00:00:00"/>
    <d v="1899-12-30T10:09:07"/>
    <n v="15"/>
    <n v="0"/>
    <n v="-2449099.6400002278"/>
    <m/>
    <m/>
    <m/>
    <n v="12314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40"/>
    <s v="Extrato/123139"/>
    <s v="Banco Brb - Par. 123139(06-7)"/>
    <n v="0"/>
    <d v="2015-05-07T00:00:00"/>
    <d v="1899-12-30T10:09:07"/>
    <n v="15"/>
    <n v="0"/>
    <n v="-2449114.6400002278"/>
    <m/>
    <m/>
    <m/>
    <n v="12313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43"/>
    <s v="Extrato/123141"/>
    <s v="Banco Brb - Cód. 123141"/>
    <n v="0"/>
    <d v="2015-05-07T00:00:00"/>
    <d v="1899-12-30T10:12:45"/>
    <n v="15"/>
    <n v="0"/>
    <n v="-2449129.6400002278"/>
    <m/>
    <m/>
    <m/>
    <n v="12314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44"/>
    <s v="Extrato/123142"/>
    <s v="Banco Brb - Cód. 123142"/>
    <n v="0"/>
    <d v="2015-05-07T00:00:00"/>
    <d v="1899-12-30T10:12:45"/>
    <n v="11.09"/>
    <n v="0"/>
    <n v="-2449140.7300002277"/>
    <m/>
    <m/>
    <m/>
    <n v="12314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83"/>
    <s v="6069875/123244"/>
    <s v="Tribunal de Justiça.GO - Cód. 123244"/>
    <n v="0"/>
    <d v="2015-05-07T00:00:00"/>
    <d v="1899-12-30T10:13:36"/>
    <n v="4512.2299999999996"/>
    <n v="0"/>
    <n v="-2453652.9600002277"/>
    <m/>
    <m/>
    <m/>
    <n v="123244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451"/>
    <s v="Ant.Cob/123143"/>
    <s v="Banco Brb - Cód. 123143"/>
    <n v="0"/>
    <d v="2015-05-07T00:00:00"/>
    <d v="1899-12-30T10:15:57"/>
    <n v="1051"/>
    <n v="0"/>
    <n v="-2454703.9600002277"/>
    <m/>
    <m/>
    <m/>
    <n v="123143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69453"/>
    <s v="Extrato"/>
    <s v="Remessa Olimpo Fundamental"/>
    <n v="2186.81"/>
    <d v="2015-05-07T00:00:00"/>
    <d v="1899-12-30T10:17:23"/>
    <n v="0"/>
    <n v="0"/>
    <n v="-2452517.1500002276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s v="COLÉGIO OLIMPO LTDA"/>
    <m/>
    <n v="52"/>
    <n v="4"/>
    <s v="Boleto"/>
    <m/>
    <m/>
    <m/>
    <n v="0"/>
    <m/>
    <m/>
    <s v="BRB [SOL] [012052-4] [CC] [COB]"/>
    <m/>
    <m/>
    <m/>
  </r>
  <r>
    <n v="269750"/>
    <s v="Recibo/123250"/>
    <s v="Cartório 3º Tabelionato De Notas - Cód. 123250"/>
    <n v="0"/>
    <d v="2015-05-07T00:00:00"/>
    <d v="1899-12-30T10:38:48"/>
    <n v="103.7"/>
    <n v="0"/>
    <n v="-2452620.8500002278"/>
    <m/>
    <m/>
    <m/>
    <n v="123250"/>
    <n v="24"/>
    <s v="Emilly"/>
    <n v="1"/>
    <m/>
    <n v="522"/>
    <d v="2015-05-13T00:00:00"/>
    <d v="2015-05-13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69758"/>
    <s v="Recibo/123262"/>
    <s v="Marcelo De Moraes Melo - Cód. 123262"/>
    <n v="0"/>
    <d v="2015-05-07T00:00:00"/>
    <d v="1899-12-30T10:54:57"/>
    <n v="500"/>
    <n v="0"/>
    <n v="-2453120.8500002278"/>
    <m/>
    <m/>
    <m/>
    <n v="123262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69915"/>
    <s v="Empréstimo"/>
    <s v="Empréstimo Marco Antonio Rios (Jose Ferreira)"/>
    <n v="200000"/>
    <d v="2015-05-07T00:00:00"/>
    <d v="1899-12-30T11:00:46"/>
    <n v="0"/>
    <n v="0"/>
    <n v="-2253120.8500002278"/>
    <m/>
    <m/>
    <m/>
    <m/>
    <n v="24"/>
    <s v="Emilly"/>
    <n v="1"/>
    <m/>
    <n v="1372"/>
    <d v="2015-05-14T00:00:00"/>
    <d v="2015-05-18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69540"/>
    <s v="Extrato/123185"/>
    <s v="Caixa Econômica Federal - Cód. 123185"/>
    <n v="0"/>
    <d v="2015-05-07T00:00:00"/>
    <d v="1899-12-30T11:01:16"/>
    <n v="5.9"/>
    <n v="0"/>
    <n v="-2253126.7500002277"/>
    <m/>
    <m/>
    <m/>
    <n v="12318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41"/>
    <s v="Extrato/123186"/>
    <s v="Caixa Econômica Federal - Cód. 123186"/>
    <n v="0"/>
    <d v="2015-05-07T00:00:00"/>
    <d v="1899-12-30T11:01:16"/>
    <n v="1.3"/>
    <n v="0"/>
    <n v="-2253128.0500002275"/>
    <m/>
    <m/>
    <m/>
    <n v="12318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761"/>
    <s v="Fiscais/123265"/>
    <s v="Fiscais De Prova - Cód. 123265"/>
    <n v="0"/>
    <d v="2015-05-07T00:00:00"/>
    <d v="1899-12-30T11:03:31"/>
    <n v="720"/>
    <n v="0"/>
    <n v="-2253848.0500002275"/>
    <m/>
    <m/>
    <m/>
    <n v="123265"/>
    <n v="24"/>
    <s v="Emilly"/>
    <n v="1"/>
    <m/>
    <n v="139"/>
    <d v="2015-05-13T00:00:00"/>
    <d v="2015-05-13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69766"/>
    <s v="Fiscais/123272"/>
    <s v="Fiscais De Prova - Cód. 123272"/>
    <n v="0"/>
    <d v="2015-05-07T00:00:00"/>
    <d v="1899-12-30T11:15:40"/>
    <n v="1395"/>
    <n v="0"/>
    <n v="-2255243.0500002275"/>
    <m/>
    <m/>
    <m/>
    <n v="123272"/>
    <n v="24"/>
    <s v="Emilly"/>
    <n v="1"/>
    <m/>
    <n v="336"/>
    <d v="2015-05-13T00:00:00"/>
    <d v="2015-05-13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69769"/>
    <s v="Recibo/123273"/>
    <s v="Marcelo De Moraes Melo - Cód. 123273"/>
    <n v="0"/>
    <d v="2015-05-07T00:00:00"/>
    <d v="1899-12-30T11:18:52"/>
    <n v="800"/>
    <n v="0"/>
    <n v="-2256043.0500002275"/>
    <m/>
    <m/>
    <m/>
    <n v="123273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69936"/>
    <s v="Extrato/123318"/>
    <s v="Banco Daycoval S/A  - Cód. 123318"/>
    <n v="0"/>
    <d v="2015-05-07T00:00:00"/>
    <d v="1899-12-30T11:22:40"/>
    <n v="67.11"/>
    <n v="0"/>
    <n v="-2256110.1600002274"/>
    <m/>
    <m/>
    <m/>
    <n v="123318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9775"/>
    <s v="Transferência Entre Conta"/>
    <s v="Transferência Entre Conta"/>
    <n v="0"/>
    <d v="2015-05-07T00:00:00"/>
    <d v="1899-12-30T11:23:38"/>
    <n v="133000"/>
    <n v="0"/>
    <n v="-2389110.1600002274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12"/>
    <s v="BB [022382-4] [GYN] [CC]"/>
    <m/>
    <m/>
    <m/>
  </r>
  <r>
    <n v="269776"/>
    <s v="Transferência Entre Conta"/>
    <s v="Destino: 269775-Transferência Entre Conta"/>
    <n v="133000"/>
    <d v="2015-05-07T00:00:00"/>
    <d v="1899-12-30T11:23:38"/>
    <n v="0"/>
    <n v="0"/>
    <n v="-2256110.1600002274"/>
    <m/>
    <m/>
    <m/>
    <m/>
    <n v="24"/>
    <s v="Emilly"/>
    <n v="1"/>
    <m/>
    <n v="1449"/>
    <d v="2015-05-13T00:00:00"/>
    <d v="2015-05-13T00:00:00"/>
    <m/>
    <m/>
    <n v="2015"/>
    <n v="24"/>
    <m/>
    <m/>
    <n v="269775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802"/>
    <s v="Transferência Entre Conta"/>
    <s v="Transferência Entre Conta"/>
    <n v="0"/>
    <d v="2015-05-07T00:00:00"/>
    <d v="1899-12-30T11:36:36"/>
    <n v="133000"/>
    <n v="0"/>
    <n v="-2389110.1600002274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[GYN] [011616-0] [CC] [COB]"/>
    <m/>
    <m/>
    <m/>
  </r>
  <r>
    <n v="269803"/>
    <s v="Transferência Entre Conta"/>
    <s v="Destino: 269802-Transferência Entre Conta"/>
    <n v="133000"/>
    <d v="2015-05-07T00:00:00"/>
    <d v="1899-12-30T11:36:36"/>
    <n v="0"/>
    <n v="0"/>
    <n v="-2256110.1600002274"/>
    <m/>
    <m/>
    <m/>
    <m/>
    <n v="24"/>
    <s v="Emilly"/>
    <n v="1"/>
    <m/>
    <n v="1449"/>
    <d v="2015-05-13T00:00:00"/>
    <d v="2015-05-13T00:00:00"/>
    <m/>
    <m/>
    <n v="2015"/>
    <n v="24"/>
    <m/>
    <m/>
    <n v="26980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621"/>
    <n v="204804"/>
    <s v="Retorno: Par. 204804(04/12) - 20033/CAR - Mensalidades"/>
    <n v="1761.9"/>
    <d v="2015-05-07T00:00:00"/>
    <d v="1899-12-30T12:00:00"/>
    <n v="0"/>
    <n v="0"/>
    <n v="-2254348.2600002275"/>
    <m/>
    <m/>
    <n v="204804"/>
    <m/>
    <n v="1"/>
    <s v="Andre"/>
    <n v="1"/>
    <m/>
    <n v="2"/>
    <d v="2015-05-12T00:00:00"/>
    <d v="2015-05-12T00:00:00"/>
    <n v="2843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22"/>
    <n v="192280"/>
    <s v="Retorno: Par. 192280(04/12) - 18665/IGO - Mensalidades"/>
    <n v="1765.34"/>
    <d v="2015-05-07T00:00:00"/>
    <d v="1899-12-30T12:00:00"/>
    <n v="0"/>
    <n v="0"/>
    <n v="-2252582.9200002276"/>
    <m/>
    <m/>
    <n v="192280"/>
    <m/>
    <n v="1"/>
    <s v="Andre"/>
    <n v="1"/>
    <m/>
    <n v="2"/>
    <d v="2015-05-12T00:00:00"/>
    <d v="2015-05-12T00:00:00"/>
    <n v="2843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06"/>
    <n v="191992"/>
    <s v="Retorno: Par. 191992(04/12) - 18578/LUÍ - Mensalidades"/>
    <n v="1798.7"/>
    <d v="2015-05-07T00:00:00"/>
    <d v="1899-12-30T12:00:00"/>
    <n v="0"/>
    <n v="0"/>
    <n v="-2250784.2200002274"/>
    <m/>
    <m/>
    <n v="191992"/>
    <m/>
    <n v="1"/>
    <s v="Andre"/>
    <n v="1"/>
    <m/>
    <n v="2"/>
    <d v="2015-05-12T00:00:00"/>
    <d v="2015-05-12T00:00:00"/>
    <n v="28488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971"/>
    <s v="Juros20150507/123048"/>
    <s v="Banco Brb - Cód. 123048"/>
    <n v="0"/>
    <d v="2015-05-07T00:00:00"/>
    <d v="1899-12-30T14:10:52"/>
    <n v="4898.33"/>
    <n v="0"/>
    <n v="-2255682.5500002275"/>
    <m/>
    <m/>
    <m/>
    <n v="123048"/>
    <n v="24"/>
    <s v="Emilly"/>
    <n v="1"/>
    <m/>
    <n v="1459"/>
    <d v="2015-05-15T00:00:00"/>
    <d v="2015-05-15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52"/>
    <s v="DB20150507"/>
    <s v="Operação Desconto De Boletos 20150507"/>
    <n v="20357.150000000001"/>
    <d v="2015-05-07T00:00:00"/>
    <d v="1899-12-30T15:02:44"/>
    <n v="0"/>
    <n v="0"/>
    <n v="-2235325.4000002276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055"/>
    <s v="DB20150507"/>
    <s v="Operação Desconto De Boletos 20150507"/>
    <n v="38401.699999999997"/>
    <d v="2015-05-07T00:00:00"/>
    <d v="1899-12-30T15:04:12"/>
    <n v="0"/>
    <n v="0"/>
    <n v="-2196923.7000002274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081"/>
    <s v="Juros20150507/123047"/>
    <s v="Banco Brb - Cód. 123047"/>
    <n v="0"/>
    <d v="2015-05-07T00:00:00"/>
    <d v="1899-12-30T15:06:22"/>
    <n v="1853.76"/>
    <n v="0"/>
    <n v="-2198777.4600002272"/>
    <m/>
    <m/>
    <m/>
    <n v="123047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84"/>
    <s v="056/120/110706"/>
    <s v="Nascente Agropecuária (Aluguel Marista) - Cód. 110706"/>
    <n v="0"/>
    <d v="2015-05-07T00:00:00"/>
    <d v="1899-12-30T15:07:44"/>
    <n v="26067.83"/>
    <n v="0"/>
    <n v="-2224845.2900002273"/>
    <m/>
    <m/>
    <m/>
    <n v="110706"/>
    <n v="24"/>
    <s v="Emilly"/>
    <n v="1"/>
    <m/>
    <n v="302"/>
    <d v="2015-05-11T00:00:00"/>
    <d v="2015-05-11T00:00:00"/>
    <m/>
    <m/>
    <n v="2015"/>
    <n v="24"/>
    <m/>
    <m/>
    <m/>
    <m/>
    <s v="Marista.Aluguel "/>
    <x v="1"/>
    <s v="COLÉGIO OLIMPO LTDA"/>
    <m/>
    <n v="12"/>
    <n v="2"/>
    <s v="Cheque"/>
    <m/>
    <n v="0"/>
    <m/>
    <n v="0"/>
    <m/>
    <m/>
    <s v="BRB [GYN] [011616-0] [CC] [COB]"/>
    <m/>
    <m/>
    <m/>
  </r>
  <r>
    <n v="269086"/>
    <s v="Recibo/118069"/>
    <s v="Carlos Moreira - Cód. 118069"/>
    <n v="0"/>
    <d v="2015-05-07T00:00:00"/>
    <d v="1899-12-30T15:08:03"/>
    <n v="2903.9"/>
    <n v="0"/>
    <n v="-2227749.1900002272"/>
    <m/>
    <m/>
    <m/>
    <n v="118069"/>
    <n v="24"/>
    <s v="Emilly"/>
    <n v="1"/>
    <m/>
    <n v="142"/>
    <d v="2015-05-11T00:00:00"/>
    <d v="2015-05-11T00:00:00"/>
    <m/>
    <m/>
    <n v="2015"/>
    <n v="24"/>
    <m/>
    <m/>
    <m/>
    <m/>
    <s v="T-3.Honorários "/>
    <x v="1"/>
    <s v="COLÉGIO OLIMPO LTDA"/>
    <m/>
    <n v="12"/>
    <n v="2"/>
    <s v="Cheque"/>
    <m/>
    <n v="0"/>
    <m/>
    <n v="0"/>
    <m/>
    <m/>
    <s v="BRB [GYN] [011616-0] [CC] [COB]"/>
    <m/>
    <m/>
    <m/>
  </r>
  <r>
    <n v="269088"/>
    <s v="Ant.Cob/123058"/>
    <s v="Banco Brb - Par. 123058(10-18)"/>
    <n v="0"/>
    <d v="2015-05-07T00:00:00"/>
    <d v="1899-12-30T15:09:36"/>
    <n v="1478.9"/>
    <n v="0"/>
    <n v="-2229228.0900002271"/>
    <m/>
    <m/>
    <m/>
    <n v="12305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89"/>
    <s v="Ant.Cob/123049"/>
    <s v="Banco Brb - Par. 123049(01-18)"/>
    <n v="0"/>
    <d v="2015-05-07T00:00:00"/>
    <d v="1899-12-30T15:09:36"/>
    <n v="1478.9"/>
    <n v="0"/>
    <n v="-2230706.990000227"/>
    <m/>
    <m/>
    <m/>
    <n v="12304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0"/>
    <s v="Ant.Cob/123059"/>
    <s v="Banco Brb - Par. 123059(11-18)"/>
    <n v="0"/>
    <d v="2015-05-07T00:00:00"/>
    <d v="1899-12-30T15:09:36"/>
    <n v="1478.9"/>
    <n v="0"/>
    <n v="-2232185.8900002269"/>
    <m/>
    <m/>
    <m/>
    <n v="12305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1"/>
    <s v="Ant.Cob/123050"/>
    <s v="Banco Brb - Par. 123050(02-18)"/>
    <n v="0"/>
    <d v="2015-05-07T00:00:00"/>
    <d v="1899-12-30T15:09:37"/>
    <n v="1478.9"/>
    <n v="0"/>
    <n v="-2233664.7900002268"/>
    <m/>
    <m/>
    <m/>
    <n v="12305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2"/>
    <s v="Ant.Cob/123060"/>
    <s v="Banco Brb - Par. 123060(12-18)"/>
    <n v="0"/>
    <d v="2015-05-07T00:00:00"/>
    <d v="1899-12-30T15:09:37"/>
    <n v="1478.9"/>
    <n v="0"/>
    <n v="-2235143.6900002267"/>
    <m/>
    <m/>
    <m/>
    <n v="12306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3"/>
    <s v="Ant.Cob/123051"/>
    <s v="Banco Brb - Par. 123051(03-18)"/>
    <n v="0"/>
    <d v="2015-05-07T00:00:00"/>
    <d v="1899-12-30T15:09:37"/>
    <n v="1478.9"/>
    <n v="0"/>
    <n v="-2236622.5900002266"/>
    <m/>
    <m/>
    <m/>
    <n v="12305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4"/>
    <s v="Ant.Cob/123061"/>
    <s v="Banco Brb - Par. 123061(13-18)"/>
    <n v="0"/>
    <d v="2015-05-07T00:00:00"/>
    <d v="1899-12-30T15:09:37"/>
    <n v="1478.9"/>
    <n v="0"/>
    <n v="-2238101.4900002265"/>
    <m/>
    <m/>
    <m/>
    <n v="12306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5"/>
    <s v="Ant.Cob/123052"/>
    <s v="Banco Brb - Par. 123052(04-18)"/>
    <n v="0"/>
    <d v="2015-05-07T00:00:00"/>
    <d v="1899-12-30T15:09:37"/>
    <n v="1478.9"/>
    <n v="0"/>
    <n v="-2239580.3900002264"/>
    <m/>
    <m/>
    <m/>
    <n v="12305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6"/>
    <s v="Ant.Cob/123062"/>
    <s v="Banco Brb - Par. 123062(14-18)"/>
    <n v="0"/>
    <d v="2015-05-07T00:00:00"/>
    <d v="1899-12-30T15:09:37"/>
    <n v="1478.9"/>
    <n v="0"/>
    <n v="-2241059.2900002263"/>
    <m/>
    <m/>
    <m/>
    <n v="12306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7"/>
    <s v="Ant.Cob/123053"/>
    <s v="Banco Brb - Par. 123053(05-18)"/>
    <n v="0"/>
    <d v="2015-05-07T00:00:00"/>
    <d v="1899-12-30T15:09:37"/>
    <n v="1478.9"/>
    <n v="0"/>
    <n v="-2242538.1900002263"/>
    <m/>
    <m/>
    <m/>
    <n v="12305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8"/>
    <s v="Ant.Cob/123063"/>
    <s v="Banco Brb - Par. 123063(15-18)"/>
    <n v="0"/>
    <d v="2015-05-07T00:00:00"/>
    <d v="1899-12-30T15:09:37"/>
    <n v="1478.9"/>
    <n v="0"/>
    <n v="-2244017.0900002262"/>
    <m/>
    <m/>
    <m/>
    <n v="12306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9"/>
    <s v="Ant.Cob/123054"/>
    <s v="Banco Brb - Par. 123054(06-18)"/>
    <n v="0"/>
    <d v="2015-05-07T00:00:00"/>
    <d v="1899-12-30T15:09:37"/>
    <n v="1478.9"/>
    <n v="0"/>
    <n v="-2245495.9900002261"/>
    <m/>
    <m/>
    <m/>
    <n v="12305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0"/>
    <s v="Ant.Cob/123064"/>
    <s v="Banco Brb - Par. 123064(16-18)"/>
    <n v="0"/>
    <d v="2015-05-07T00:00:00"/>
    <d v="1899-12-30T15:09:37"/>
    <n v="1478.9"/>
    <n v="0"/>
    <n v="-2246974.890000226"/>
    <m/>
    <m/>
    <m/>
    <n v="12306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1"/>
    <s v="Ant.Cob/123055"/>
    <s v="Banco Brb - Par. 123055(07-18)"/>
    <n v="0"/>
    <d v="2015-05-07T00:00:00"/>
    <d v="1899-12-30T15:09:37"/>
    <n v="1478.9"/>
    <n v="0"/>
    <n v="-2248453.7900002259"/>
    <m/>
    <m/>
    <m/>
    <n v="12305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2"/>
    <s v="Ant.Cob/123065"/>
    <s v="Banco Brb - Par. 123065(17-18)"/>
    <n v="0"/>
    <d v="2015-05-07T00:00:00"/>
    <d v="1899-12-30T15:09:37"/>
    <n v="1478.9"/>
    <n v="0"/>
    <n v="-2249932.6900002258"/>
    <m/>
    <m/>
    <m/>
    <n v="12306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3"/>
    <s v="Ant.Cob/123056"/>
    <s v="Banco Brb - Par. 123056(08-18)"/>
    <n v="0"/>
    <d v="2015-05-07T00:00:00"/>
    <d v="1899-12-30T15:09:37"/>
    <n v="1478.9"/>
    <n v="0"/>
    <n v="-2251411.5900002257"/>
    <m/>
    <m/>
    <m/>
    <n v="12305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4"/>
    <s v="Ant.Cob/123066"/>
    <s v="Banco Brb - Par. 123066(18-18)"/>
    <n v="0"/>
    <d v="2015-05-07T00:00:00"/>
    <d v="1899-12-30T15:09:37"/>
    <n v="910.95"/>
    <n v="0"/>
    <n v="-2252322.5400002259"/>
    <m/>
    <m/>
    <m/>
    <n v="12306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5"/>
    <s v="Ant.Cob/123057"/>
    <s v="Banco Brb - Par. 123057(09-18)"/>
    <n v="0"/>
    <d v="2015-05-07T00:00:00"/>
    <d v="1899-12-30T15:09:37"/>
    <n v="1478.9"/>
    <n v="0"/>
    <n v="-2253801.4400002258"/>
    <m/>
    <m/>
    <m/>
    <n v="12305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6"/>
    <s v="Extrato"/>
    <s v="Deposito Cheque Bloqueado"/>
    <n v="2772"/>
    <d v="2015-05-07T00:00:00"/>
    <d v="1899-12-30T15:10:02"/>
    <n v="0"/>
    <n v="0"/>
    <n v="-2251029.4400002258"/>
    <m/>
    <m/>
    <m/>
    <m/>
    <n v="24"/>
    <s v="Emilly"/>
    <n v="1"/>
    <m/>
    <n v="1588"/>
    <d v="2015-05-11T00:00:00"/>
    <d v="2015-05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042"/>
    <s v="Extrato"/>
    <s v="Cheque Reapresentado"/>
    <n v="1386"/>
    <d v="2015-05-07T00:00:00"/>
    <d v="1899-12-30T15:15:22"/>
    <n v="0"/>
    <n v="0"/>
    <n v="-2249643.4400002258"/>
    <m/>
    <m/>
    <m/>
    <m/>
    <n v="24"/>
    <s v="Emilly"/>
    <n v="1"/>
    <m/>
    <n v="1621"/>
    <d v="2015-05-15T00:00:00"/>
    <d v="2015-05-15T00:00:00"/>
    <m/>
    <m/>
    <n v="2015"/>
    <n v="24"/>
    <m/>
    <m/>
    <m/>
    <m/>
    <s v="Credito de Cheque Reapresentado"/>
    <x v="2"/>
    <s v="COLÉGIO OLIMPO LTDA"/>
    <m/>
    <n v="5"/>
    <n v="2"/>
    <s v="Cheque"/>
    <m/>
    <m/>
    <m/>
    <n v="0"/>
    <m/>
    <m/>
    <s v="MERC [GYN] [02.011938-7] [CC]"/>
    <m/>
    <m/>
    <m/>
  </r>
  <r>
    <n v="269196"/>
    <n v="189875"/>
    <s v="Retorno: Par. 189875(04/12) - 018350/MAT - Mensalidades"/>
    <n v="1505.89"/>
    <d v="2015-05-07T00:00:00"/>
    <d v="1899-12-30T16:27:07"/>
    <n v="0"/>
    <n v="0"/>
    <n v="-2248137.5500002257"/>
    <m/>
    <m/>
    <n v="189875"/>
    <m/>
    <n v="1"/>
    <s v="Andre"/>
    <n v="1"/>
    <m/>
    <n v="2"/>
    <d v="2015-05-11T00:00:00"/>
    <d v="2015-05-11T00:00:00"/>
    <n v="28356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7"/>
    <n v="189958"/>
    <s v="Retorno: Par. 189958(04/12) - 018371/PAU - Mensalidades"/>
    <n v="1505.89"/>
    <d v="2015-05-07T00:00:00"/>
    <d v="1899-12-30T16:27:07"/>
    <n v="0"/>
    <n v="0"/>
    <n v="-2246631.6600002255"/>
    <m/>
    <m/>
    <n v="189958"/>
    <m/>
    <n v="1"/>
    <s v="Andre"/>
    <n v="1"/>
    <m/>
    <n v="2"/>
    <d v="2015-05-11T00:00:00"/>
    <d v="2015-05-11T00:00:00"/>
    <n v="28357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8"/>
    <n v="190032"/>
    <s v="Retorno: Par. 190032(04/12) - 018150/VÍT - Mensalidades"/>
    <n v="1505.89"/>
    <d v="2015-05-07T00:00:00"/>
    <d v="1899-12-30T16:27:07"/>
    <n v="0"/>
    <n v="0"/>
    <n v="-2245125.7700002254"/>
    <m/>
    <m/>
    <n v="190032"/>
    <m/>
    <n v="1"/>
    <s v="Andre"/>
    <n v="1"/>
    <m/>
    <n v="2"/>
    <d v="2015-05-11T00:00:00"/>
    <d v="2015-05-11T00:00:00"/>
    <n v="28358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9"/>
    <n v="191193"/>
    <s v="Retorno: Par. 191193(04/12) - 019354/ENZ - Mensalidades"/>
    <n v="1505.89"/>
    <d v="2015-05-07T00:00:00"/>
    <d v="1899-12-30T16:27:07"/>
    <n v="0"/>
    <n v="0"/>
    <n v="-2243619.8800002253"/>
    <m/>
    <m/>
    <n v="191193"/>
    <m/>
    <n v="1"/>
    <s v="Andre"/>
    <n v="1"/>
    <m/>
    <n v="2"/>
    <d v="2015-05-11T00:00:00"/>
    <d v="2015-05-11T00:00:00"/>
    <n v="28359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4"/>
    <n v="191328"/>
    <s v="Retorno: Par. 191328(04/12) - 019803/LUC - Mensalidades"/>
    <n v="1505.89"/>
    <d v="2015-05-07T00:00:00"/>
    <d v="1899-12-30T16:27:07"/>
    <n v="0"/>
    <n v="0"/>
    <n v="-2242113.9900002251"/>
    <m/>
    <m/>
    <n v="191328"/>
    <m/>
    <n v="1"/>
    <s v="Andre"/>
    <n v="1"/>
    <m/>
    <n v="2"/>
    <d v="2015-05-11T00:00:00"/>
    <d v="2015-05-11T00:00:00"/>
    <n v="28354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5"/>
    <n v="190088"/>
    <s v="Retorno: Par. 190088(04/12) - 018092/GEO - Mensalidades"/>
    <n v="1505.89"/>
    <d v="2015-05-07T00:00:00"/>
    <d v="1899-12-30T16:27:07"/>
    <n v="0"/>
    <n v="0"/>
    <n v="-2240608.100000225"/>
    <m/>
    <m/>
    <n v="190088"/>
    <m/>
    <n v="1"/>
    <s v="Andre"/>
    <n v="1"/>
    <m/>
    <n v="2"/>
    <d v="2015-05-11T00:00:00"/>
    <d v="2015-05-11T00:00:00"/>
    <n v="28355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076"/>
    <s v="Extrato/123477"/>
    <s v="Banco Brb - Cód. 123477"/>
    <n v="0"/>
    <d v="2015-05-07T00:00:00"/>
    <d v="1899-12-30T16:27:16"/>
    <n v="15378"/>
    <n v="0"/>
    <n v="-2255986.100000225"/>
    <m/>
    <m/>
    <m/>
    <n v="123477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6178"/>
    <s v="Extrato/128708"/>
    <s v="Banco Safra - Cód. 128708"/>
    <n v="0"/>
    <d v="2015-05-07T00:00:00"/>
    <d v="1899-12-30T16:40:10"/>
    <n v="497.58"/>
    <n v="0"/>
    <n v="-2256483.6800002251"/>
    <m/>
    <m/>
    <m/>
    <n v="128708"/>
    <n v="24"/>
    <s v="Emilly"/>
    <n v="1"/>
    <m/>
    <n v="572"/>
    <d v="2015-07-03T00:00:00"/>
    <d v="2015-07-03T00:00:00"/>
    <m/>
    <m/>
    <n v="2015"/>
    <n v="24"/>
    <m/>
    <m/>
    <m/>
    <m/>
    <s v="CA.Seguros e proteções (DESPESA)"/>
    <x v="1"/>
    <s v="COLÉGIO OLIMPO LTDA"/>
    <m/>
    <n v="107"/>
    <n v="9"/>
    <s v="Débito em conta"/>
    <m/>
    <n v="0"/>
    <m/>
    <n v="0"/>
    <m/>
    <m/>
    <s v="SAFRA [GYN] [000048-8] [CC]"/>
    <m/>
    <m/>
    <m/>
  </r>
  <r>
    <n v="269868"/>
    <s v="MD/110086"/>
    <s v="Marisvaldo Divino  - Par. 110086(05-12)"/>
    <n v="0"/>
    <d v="2015-05-08T00:00:00"/>
    <d v="1899-12-30T08:32:12"/>
    <n v="3000"/>
    <n v="0"/>
    <n v="-2259483.6800002251"/>
    <m/>
    <m/>
    <m/>
    <n v="110086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69"/>
    <s v="DFG/109997"/>
    <s v="Danilo Ferreira Gomes - Par. 109997(05-12)"/>
    <n v="0"/>
    <d v="2015-05-08T00:00:00"/>
    <d v="1899-12-30T08:32:24"/>
    <n v="5500"/>
    <n v="0"/>
    <n v="-2264983.6800002251"/>
    <m/>
    <m/>
    <m/>
    <n v="10999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70"/>
    <s v="APADM/109937"/>
    <s v="Ana Paula Alves De Morais - Par. 109937(05-12)"/>
    <n v="0"/>
    <d v="2015-05-08T00:00:00"/>
    <d v="1899-12-30T08:32:41"/>
    <n v="390"/>
    <n v="0"/>
    <n v="-2265373.6800002251"/>
    <m/>
    <m/>
    <m/>
    <n v="10993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71"/>
    <s v="GB/110847"/>
    <s v="Geni Bernadelli - Par. 110847(05-12)"/>
    <n v="0"/>
    <d v="2015-05-08T00:00:00"/>
    <d v="1899-12-30T08:34:18"/>
    <n v="500"/>
    <n v="0"/>
    <n v="-2265873.6800002251"/>
    <m/>
    <m/>
    <m/>
    <n v="11084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72"/>
    <s v="Rescisão/123236"/>
    <s v="Rescisão - Grupo Olimpo - Cód. 123236"/>
    <n v="0"/>
    <d v="2015-05-08T00:00:00"/>
    <d v="1899-12-30T08:34:42"/>
    <n v="924.88"/>
    <n v="0"/>
    <n v="-2266798.560000225"/>
    <m/>
    <m/>
    <m/>
    <n v="123236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3"/>
    <s v="Rescisão/123235"/>
    <s v="Rescisão - Grupo Olimpo - Cód. 123235"/>
    <n v="0"/>
    <d v="2015-05-08T00:00:00"/>
    <d v="1899-12-30T08:34:59"/>
    <n v="950"/>
    <n v="0"/>
    <n v="-2267748.560000225"/>
    <m/>
    <m/>
    <m/>
    <n v="123235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4"/>
    <s v="Rescisão/123234"/>
    <s v="Rescisão - Grupo Olimpo - Cód. 123234"/>
    <n v="0"/>
    <d v="2015-05-08T00:00:00"/>
    <d v="1899-12-30T08:35:14"/>
    <n v="1000"/>
    <n v="0"/>
    <n v="-2268748.560000225"/>
    <m/>
    <m/>
    <m/>
    <n v="123234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5"/>
    <s v="Rescisão/123233"/>
    <s v="Rescisão - Grupo Olimpo - Cód. 123233"/>
    <n v="0"/>
    <d v="2015-05-08T00:00:00"/>
    <d v="1899-12-30T08:35:33"/>
    <n v="693"/>
    <n v="0"/>
    <n v="-2269441.560000225"/>
    <m/>
    <m/>
    <m/>
    <n v="123233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6"/>
    <s v="Rescisão/123227"/>
    <s v="Rescisão - Grupo Olimpo - Cód. 123227"/>
    <n v="0"/>
    <d v="2015-05-08T00:00:00"/>
    <d v="1899-12-30T08:35:46"/>
    <n v="1386"/>
    <n v="0"/>
    <n v="-2270827.560000225"/>
    <m/>
    <m/>
    <m/>
    <n v="123227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7"/>
    <s v="Rescisão/123232"/>
    <s v="Rescisão - Grupo Olimpo - Cód. 123232"/>
    <n v="0"/>
    <d v="2015-05-08T00:00:00"/>
    <d v="1899-12-30T08:36:03"/>
    <n v="1087.29"/>
    <n v="0"/>
    <n v="-2271914.850000225"/>
    <m/>
    <m/>
    <m/>
    <n v="123232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70450"/>
    <s v="Transferência Entre Conta"/>
    <s v="Transferência Entre Conta"/>
    <n v="20000"/>
    <d v="2015-05-08T00:00:00"/>
    <d v="1899-12-30T08:40:06"/>
    <n v="0"/>
    <n v="0"/>
    <n v="-2251914.850000225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s v="COLÉGIO OLIMPO LTDA"/>
    <m/>
    <n v="42"/>
    <n v="8"/>
    <s v="Transferência Bancária"/>
    <m/>
    <m/>
    <m/>
    <n v="0"/>
    <m/>
    <n v="8"/>
    <s v="BRB [CAN] [012037-0] [CC]"/>
    <m/>
    <m/>
    <m/>
  </r>
  <r>
    <n v="270645"/>
    <s v="Transferência Entre Conta"/>
    <s v="Destino: 270450-Transferência Entre Conta"/>
    <n v="0"/>
    <d v="2015-05-08T00:00:00"/>
    <d v="1899-12-30T08:40:06"/>
    <n v="20000"/>
    <n v="0"/>
    <n v="-2271914.850000225"/>
    <m/>
    <m/>
    <m/>
    <m/>
    <n v="24"/>
    <s v="Emilly"/>
    <n v="1"/>
    <m/>
    <n v="1449"/>
    <d v="2015-05-21T00:00:00"/>
    <d v="2015-05-21T00:00:00"/>
    <m/>
    <m/>
    <n v="2015"/>
    <n v="24"/>
    <m/>
    <m/>
    <n v="27045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453"/>
    <s v="Ant.Cob/123658"/>
    <s v="Banco Brb - Cód. 123658"/>
    <n v="0"/>
    <d v="2015-05-08T00:00:00"/>
    <d v="1899-12-30T08:49:42"/>
    <n v="1070.0899999999999"/>
    <n v="0"/>
    <n v="-2272984.9400002249"/>
    <m/>
    <m/>
    <m/>
    <n v="123658"/>
    <n v="24"/>
    <s v="Emilly"/>
    <n v="1"/>
    <m/>
    <n v="1598"/>
    <d v="2015-05-21T00:00:00"/>
    <d v="2015-05-21T00:00:00"/>
    <m/>
    <m/>
    <n v="2015"/>
    <n v="24"/>
    <m/>
    <m/>
    <m/>
    <m/>
    <s v="Aná.Déb.antecipação de Cobrança"/>
    <x v="2"/>
    <s v="COLÉGIO OLIMPO LTDA"/>
    <m/>
    <n v="74"/>
    <n v="11"/>
    <s v="Antec. de Cheque"/>
    <m/>
    <n v="0"/>
    <m/>
    <n v="0"/>
    <m/>
    <m/>
    <s v="BRB [ANA] [011594-4] [CC] [COB]"/>
    <m/>
    <m/>
    <m/>
  </r>
  <r>
    <n v="270921"/>
    <s v="Transferência Entre Conta"/>
    <s v="Transferência Entre Conta"/>
    <n v="0"/>
    <d v="2015-05-08T00:00:00"/>
    <d v="1899-12-30T09:05:23"/>
    <n v="15000"/>
    <n v="0"/>
    <n v="-2287984.9400002249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BANCO [42.102673-4] [GYN] [CH]"/>
    <m/>
    <m/>
    <m/>
  </r>
  <r>
    <n v="270922"/>
    <s v="Transferência Entre Conta"/>
    <s v="Destino: 270921-Transferência Entre Conta"/>
    <n v="15000"/>
    <d v="2015-05-08T00:00:00"/>
    <d v="1899-12-30T09:05:23"/>
    <n v="0"/>
    <n v="0"/>
    <n v="-2272984.9400002249"/>
    <m/>
    <m/>
    <m/>
    <m/>
    <n v="7"/>
    <s v="Anapaula"/>
    <n v="1"/>
    <m/>
    <n v="1449"/>
    <d v="2015-05-25T00:00:00"/>
    <d v="2015-05-25T00:00:00"/>
    <m/>
    <m/>
    <n v="2015"/>
    <n v="7"/>
    <m/>
    <m/>
    <n v="270921"/>
    <m/>
    <s v="Transferência entre contas"/>
    <x v="2"/>
    <s v="COLÉGIO OLIMPO LTDA"/>
    <m/>
    <n v="29"/>
    <n v="8"/>
    <s v="Transferência Bancária"/>
    <m/>
    <m/>
    <m/>
    <n v="0"/>
    <m/>
    <m/>
    <s v="BICBANCO [14.102672-6] [GYN] [CC]"/>
    <m/>
    <m/>
    <m/>
  </r>
  <r>
    <n v="270924"/>
    <s v="Extrato/123963"/>
    <s v="Bic - Banco Industria E Comercio - Cód. 123963"/>
    <n v="0"/>
    <d v="2015-05-08T00:00:00"/>
    <d v="1899-12-30T09:07:40"/>
    <n v="15000"/>
    <n v="0"/>
    <n v="-2287984.9400002249"/>
    <m/>
    <m/>
    <m/>
    <n v="123963"/>
    <n v="7"/>
    <s v="Anapaula"/>
    <n v="2"/>
    <m/>
    <n v="524"/>
    <d v="2015-05-25T00:00:00"/>
    <d v="2015-05-25T00:00:00"/>
    <m/>
    <m/>
    <n v="2015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9714"/>
    <s v="Rescisão/123225"/>
    <s v="Rescisão - Grupo Olimpo - Cód. 123225"/>
    <n v="0"/>
    <d v="2015-05-08T00:00:00"/>
    <d v="1899-12-30T09:11:03"/>
    <n v="284"/>
    <n v="0"/>
    <n v="-2288268.9400002249"/>
    <m/>
    <m/>
    <m/>
    <n v="123225"/>
    <n v="24"/>
    <s v="Emilly"/>
    <n v="1"/>
    <m/>
    <n v="175"/>
    <d v="2015-05-13T00:00:00"/>
    <d v="2015-05-13T00:00:00"/>
    <m/>
    <m/>
    <n v="2015"/>
    <n v="24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269717"/>
    <n v="184625"/>
    <s v="Par.(02/12) 018351/IGOR FERREIRA COELHO GRAN - Mensalidades"/>
    <n v="1579.8"/>
    <d v="2015-05-08T00:00:00"/>
    <d v="1899-12-30T09:28:26"/>
    <n v="0"/>
    <n v="0"/>
    <n v="-2286689.140000225"/>
    <m/>
    <m/>
    <n v="184625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69719"/>
    <n v="188984"/>
    <s v="Par.(03/12) 019646/HANNA CAROLINA SOARES HIS - Mensalidades"/>
    <n v="1579"/>
    <d v="2015-05-08T00:00:00"/>
    <d v="1899-12-30T09:32:39"/>
    <n v="0"/>
    <n v="0"/>
    <n v="-2285110.140000225"/>
    <m/>
    <m/>
    <n v="188984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69879"/>
    <s v="Abril /121394"/>
    <s v="Folha De Pagamento - Unidade Anápolis - Cód. 121394"/>
    <n v="0"/>
    <d v="2015-05-08T00:00:00"/>
    <d v="1899-12-30T09:33:44"/>
    <n v="24509.82"/>
    <n v="0"/>
    <n v="-2309619.9600002249"/>
    <m/>
    <m/>
    <m/>
    <n v="121394"/>
    <n v="12"/>
    <s v="Gisele"/>
    <n v="1"/>
    <m/>
    <n v="1546"/>
    <d v="2015-05-14T00:00:00"/>
    <d v="2015-05-14T00:00:00"/>
    <m/>
    <m/>
    <n v="2015"/>
    <n v="12"/>
    <m/>
    <m/>
    <m/>
    <m/>
    <s v="Aná.Pagamento de Salário"/>
    <x v="1"/>
    <s v="COLÉGIO OLIMPO LTDA"/>
    <m/>
    <n v="12"/>
    <n v="8"/>
    <s v="Transferência Bancária"/>
    <m/>
    <n v="0"/>
    <m/>
    <n v="0"/>
    <m/>
    <m/>
    <s v="BRB [GYN] [011616-0] [CC] [COB]"/>
    <m/>
    <m/>
    <m/>
  </r>
  <r>
    <n v="269880"/>
    <s v="Abril/121398"/>
    <s v="Folha De Pagamento - Unidade T-3 - Cód. 121398"/>
    <n v="0"/>
    <d v="2015-05-08T00:00:00"/>
    <d v="1899-12-30T09:35:54"/>
    <n v="51214.39"/>
    <n v="0"/>
    <n v="-2360834.350000225"/>
    <m/>
    <m/>
    <m/>
    <n v="121398"/>
    <n v="12"/>
    <s v="Gisele"/>
    <n v="1"/>
    <m/>
    <n v="116"/>
    <d v="2015-05-14T00:00:00"/>
    <d v="2015-05-14T00:00:00"/>
    <m/>
    <m/>
    <n v="2015"/>
    <n v="12"/>
    <m/>
    <m/>
    <m/>
    <m/>
    <s v="T-3.Pagamento de Salário"/>
    <x v="1"/>
    <s v="COLÉGIO OLIMPO LTDA"/>
    <m/>
    <n v="12"/>
    <n v="9"/>
    <s v="Débito em conta"/>
    <m/>
    <n v="0"/>
    <m/>
    <n v="0"/>
    <m/>
    <m/>
    <s v="BRB [GYN] [011616-0] [CC] [COB]"/>
    <m/>
    <m/>
    <m/>
  </r>
  <r>
    <n v="269881"/>
    <s v="Abril/121399"/>
    <s v="Folha De Pagamento - Unidade Marista - Cód. 121399"/>
    <n v="0"/>
    <d v="2015-05-08T00:00:00"/>
    <d v="1899-12-30T09:37:07"/>
    <n v="87814.12"/>
    <n v="0"/>
    <n v="-2448648.4700002251"/>
    <m/>
    <m/>
    <m/>
    <n v="121399"/>
    <n v="12"/>
    <s v="Gisele"/>
    <n v="1"/>
    <m/>
    <n v="314"/>
    <d v="2015-05-14T00:00:00"/>
    <d v="2015-05-14T00:00:00"/>
    <m/>
    <m/>
    <n v="2015"/>
    <n v="12"/>
    <m/>
    <m/>
    <m/>
    <m/>
    <s v="Marista.Pagamento de Salário"/>
    <x v="1"/>
    <s v="COLÉGIO OLIMPO LTDA"/>
    <m/>
    <n v="12"/>
    <n v="9"/>
    <s v="Débito em conta"/>
    <m/>
    <n v="0"/>
    <m/>
    <n v="0"/>
    <m/>
    <m/>
    <s v="BRB [GYN] [011616-0] [CC] [COB]"/>
    <m/>
    <m/>
    <m/>
  </r>
  <r>
    <n v="269882"/>
    <s v="Abril/121396"/>
    <s v="Folha De Pagamento - Unidade T-27  - Cód. 121396"/>
    <n v="0"/>
    <d v="2015-05-08T00:00:00"/>
    <d v="1899-12-30T09:46:49"/>
    <n v="27943.31"/>
    <n v="0"/>
    <n v="-2476591.7800002252"/>
    <m/>
    <m/>
    <m/>
    <n v="121396"/>
    <n v="12"/>
    <s v="Gisele"/>
    <n v="1"/>
    <m/>
    <n v="1414"/>
    <d v="2015-05-14T00:00:00"/>
    <d v="2015-05-14T00:00:00"/>
    <m/>
    <m/>
    <n v="2015"/>
    <n v="12"/>
    <m/>
    <m/>
    <m/>
    <m/>
    <s v="T-27.Pagamento de salário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70321"/>
    <s v="DEPÓSITO 2015-05-08"/>
    <s v="PAGAMENTO DA MENSALIDADE DE MARÇO/2015, DO(A) ALUNO(A) JOÃO PAULO RODRIGUES ADORNO_EF"/>
    <n v="1193.73"/>
    <d v="2015-05-08T00:00:00"/>
    <d v="1899-12-30T09:49:11"/>
    <n v="0"/>
    <n v="0"/>
    <n v="-2475398.0500002252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69732"/>
    <n v="216518"/>
    <s v="Par.(01-12) 011905/NILZA ALVES VILELA - PAGAMENTO CHE"/>
    <n v="943"/>
    <d v="2015-05-08T00:00:00"/>
    <d v="1899-12-30T09:52:18"/>
    <n v="0"/>
    <n v="0"/>
    <n v="-2474455.0500002252"/>
    <m/>
    <m/>
    <n v="216518"/>
    <m/>
    <n v="8"/>
    <s v="Vinicius"/>
    <n v="2"/>
    <m/>
    <n v="1378"/>
    <d v="2015-05-13T00:00:00"/>
    <d v="2015-05-13T00:00:00"/>
    <m/>
    <m/>
    <n v="2013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0326"/>
    <s v="DEPÓSITO 2015-05-08"/>
    <s v="PAGAMENTO DA MENSALIDADE DE MARÇO/2015, DO(A) ALUNO(A) EDUARDA PAIM DIAZ VIEIRA_EF"/>
    <n v="1084.98"/>
    <d v="2015-05-08T00:00:00"/>
    <d v="1899-12-30T09:53:14"/>
    <n v="0"/>
    <n v="0"/>
    <n v="-2473370.0700002252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69734"/>
    <s v="ESPÉCIE 2015-05-08"/>
    <s v="PAGAMENTO DE RENEGOCIAÇÃO DE 2014, DO(A) ALUNO(A) FELIPE AUGUSTO RIBEIRO MARQUES_ESN"/>
    <n v="856.75"/>
    <d v="2015-05-08T00:00:00"/>
    <d v="1899-12-30T09:54:56"/>
    <n v="0"/>
    <n v="0"/>
    <n v="-2472513.3200002252"/>
    <m/>
    <m/>
    <m/>
    <m/>
    <n v="8"/>
    <s v="Vinicius"/>
    <n v="1"/>
    <m/>
    <n v="1434"/>
    <d v="2015-05-13T00:00:00"/>
    <d v="2015-05-13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69736"/>
    <s v="043876/123243"/>
    <s v="Posto De Combustível - Cód. 123243"/>
    <n v="0"/>
    <d v="2015-05-08T00:00:00"/>
    <d v="1899-12-30T09:57:24"/>
    <n v="100"/>
    <n v="0"/>
    <n v="-2472613.3200002252"/>
    <m/>
    <m/>
    <m/>
    <n v="123243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9455"/>
    <s v="Extrato"/>
    <s v="Remessa Olimpo Fundamental"/>
    <n v="2211"/>
    <d v="2015-05-08T00:00:00"/>
    <d v="1899-12-30T10:17:59"/>
    <n v="0"/>
    <n v="0"/>
    <n v="-2470402.3200002252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s v="COLÉGIO OLIMPO LTDA"/>
    <m/>
    <n v="52"/>
    <n v="4"/>
    <s v="Boleto"/>
    <m/>
    <m/>
    <m/>
    <n v="0"/>
    <m/>
    <m/>
    <s v="BRB [SOL] [012052-4] [CC] [COB]"/>
    <m/>
    <m/>
    <m/>
  </r>
  <r>
    <n v="269884"/>
    <s v="Remessa Olimpo Anápolis"/>
    <s v="Remessa Olimpo Anápolis"/>
    <n v="3269.42"/>
    <d v="2015-05-08T00:00:00"/>
    <d v="1899-12-30T10:18:25"/>
    <n v="0"/>
    <n v="0"/>
    <n v="-2467132.9000002253"/>
    <m/>
    <m/>
    <m/>
    <m/>
    <n v="24"/>
    <s v="Emilly"/>
    <n v="1"/>
    <m/>
    <n v="1526"/>
    <d v="2015-05-14T00:00:00"/>
    <d v="2015-05-14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69739"/>
    <n v="216715"/>
    <s v="Par.(01-6) 009527/LAIS DUARTE DE OLIVEIRA - Renegociado"/>
    <n v="1500"/>
    <d v="2015-05-08T00:00:00"/>
    <d v="1899-12-30T10:20:34"/>
    <n v="0"/>
    <n v="0"/>
    <n v="-2465632.9000002253"/>
    <m/>
    <m/>
    <n v="216715"/>
    <m/>
    <n v="8"/>
    <s v="Vinicius"/>
    <n v="1"/>
    <m/>
    <n v="1378"/>
    <d v="2015-05-13T00:00:00"/>
    <d v="2015-05-13T00:00:00"/>
    <m/>
    <m/>
    <n v="2012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69885"/>
    <s v="Transferência Entre Conta"/>
    <s v="Transferência Entre Conta"/>
    <n v="0"/>
    <d v="2015-05-08T00:00:00"/>
    <d v="1899-12-30T10:21:16"/>
    <n v="2144.46"/>
    <n v="0"/>
    <n v="-2467777.3600002252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s v="COLÉGIO OLIMPO LTDA"/>
    <m/>
    <n v="77"/>
    <n v="8"/>
    <s v="Transferência Bancária"/>
    <m/>
    <m/>
    <m/>
    <n v="0"/>
    <m/>
    <n v="12"/>
    <s v="BRB [GYN] [OPERAÇÕES]"/>
    <m/>
    <m/>
    <m/>
  </r>
  <r>
    <n v="269886"/>
    <s v="Transferência Entre Conta"/>
    <s v="Destino: 269885-Transferência Entre Conta"/>
    <n v="2144.46"/>
    <d v="2015-05-08T00:00:00"/>
    <d v="1899-12-30T10:21:16"/>
    <n v="0"/>
    <n v="0"/>
    <n v="-2465632.9000002253"/>
    <m/>
    <m/>
    <m/>
    <m/>
    <n v="24"/>
    <s v="Emilly"/>
    <n v="1"/>
    <m/>
    <n v="1449"/>
    <d v="2015-05-14T00:00:00"/>
    <d v="2015-05-14T00:00:00"/>
    <m/>
    <m/>
    <n v="2015"/>
    <n v="24"/>
    <m/>
    <m/>
    <n v="269885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887"/>
    <s v="Transferência Entre Conta"/>
    <s v="Transferência Entre Conta"/>
    <n v="0"/>
    <d v="2015-05-08T00:00:00"/>
    <d v="1899-12-30T10:21:58"/>
    <n v="1108.8699999999999"/>
    <n v="0"/>
    <n v="-2466741.7700002254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s v="COLÉGIO OLIMPO LTDA"/>
    <m/>
    <n v="77"/>
    <n v="8"/>
    <s v="Transferência Bancária"/>
    <m/>
    <m/>
    <m/>
    <n v="0"/>
    <m/>
    <n v="12"/>
    <s v="BRB [GYN] [OPERAÇÕES]"/>
    <m/>
    <m/>
    <m/>
  </r>
  <r>
    <n v="269888"/>
    <s v="Transferência Entre Conta"/>
    <s v="Destino: 269887-Transferência Entre Conta"/>
    <n v="1108.8699999999999"/>
    <d v="2015-05-08T00:00:00"/>
    <d v="1899-12-30T10:21:58"/>
    <n v="0"/>
    <n v="0"/>
    <n v="-2465632.9000002253"/>
    <m/>
    <m/>
    <m/>
    <m/>
    <n v="24"/>
    <s v="Emilly"/>
    <n v="1"/>
    <m/>
    <n v="1449"/>
    <d v="2015-05-14T00:00:00"/>
    <d v="2015-05-14T00:00:00"/>
    <m/>
    <m/>
    <n v="2015"/>
    <n v="24"/>
    <m/>
    <m/>
    <n v="269887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889"/>
    <s v="Rescisão/123230"/>
    <s v="Rescisão - Grupo Olimpo - Cód. 123230"/>
    <n v="0"/>
    <d v="2015-05-08T00:00:00"/>
    <d v="1899-12-30T10:22:50"/>
    <n v="1386"/>
    <n v="0"/>
    <n v="-2467018.9000002253"/>
    <m/>
    <m/>
    <m/>
    <n v="123230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890"/>
    <s v="Rescisão/123229"/>
    <s v="Rescisão - Grupo Olimpo - Cód. 123229"/>
    <n v="0"/>
    <d v="2015-05-08T00:00:00"/>
    <d v="1899-12-30T10:23:05"/>
    <n v="1640"/>
    <n v="0"/>
    <n v="-2468658.9000002253"/>
    <m/>
    <m/>
    <m/>
    <n v="123229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891"/>
    <s v="Rescisão/123228"/>
    <s v="Rescisão - Grupo Olimpo - Cód. 123228"/>
    <n v="0"/>
    <d v="2015-05-08T00:00:00"/>
    <d v="1899-12-30T10:23:25"/>
    <n v="1386"/>
    <n v="0"/>
    <n v="-2470044.9000002253"/>
    <m/>
    <m/>
    <m/>
    <n v="123228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892"/>
    <s v="Rescisão/123226"/>
    <s v="Rescisão - Grupo Olimpo - Cód. 123226"/>
    <n v="0"/>
    <d v="2015-05-08T00:00:00"/>
    <d v="1899-12-30T10:23:38"/>
    <n v="1386"/>
    <n v="0"/>
    <n v="-2471430.9000002253"/>
    <m/>
    <m/>
    <m/>
    <n v="123226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740"/>
    <s v="MMDMB/123245"/>
    <s v="Marilia Maria De Moura Barros - Cód. 123245"/>
    <n v="0"/>
    <d v="2015-05-08T00:00:00"/>
    <d v="1899-12-30T10:24:09"/>
    <n v="35000"/>
    <n v="0"/>
    <n v="-2506430.9000002253"/>
    <m/>
    <m/>
    <m/>
    <n v="123245"/>
    <n v="24"/>
    <s v="Emilly"/>
    <n v="1"/>
    <m/>
    <n v="525"/>
    <d v="2015-05-13T00:00:00"/>
    <d v="2015-05-13T00:00:00"/>
    <m/>
    <m/>
    <n v="2015"/>
    <n v="24"/>
    <m/>
    <m/>
    <m/>
    <m/>
    <s v="CA.Empréstimos PF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69741"/>
    <n v="216511"/>
    <s v="Par.(04-20) 002917/QUETSIA CAMELO VALLETTA - PAGAMENTO CHE"/>
    <n v="850"/>
    <d v="2015-05-08T00:00:00"/>
    <d v="1899-12-30T10:27:28"/>
    <n v="0"/>
    <n v="0"/>
    <n v="-2505580.9000002253"/>
    <m/>
    <m/>
    <n v="216511"/>
    <m/>
    <n v="8"/>
    <s v="Vinicius"/>
    <n v="1"/>
    <m/>
    <n v="2"/>
    <d v="2015-05-13T00:00:00"/>
    <d v="2015-05-13T00:00:00"/>
    <m/>
    <m/>
    <n v="2011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69746"/>
    <s v="ESPÉCIE 2015.05.08"/>
    <s v="PAGAMENTO DA MENSALIDADE DE ABRIL/2015, DO(A) ALUNO(A) PEDRO LUSTOSA REGE BOTELHO_ITA"/>
    <n v="692"/>
    <d v="2015-05-08T00:00:00"/>
    <d v="1899-12-30T10:33:12"/>
    <n v="0"/>
    <n v="0"/>
    <n v="-2504888.9000002253"/>
    <m/>
    <m/>
    <m/>
    <m/>
    <n v="8"/>
    <s v="Vinicius"/>
    <n v="1"/>
    <m/>
    <n v="1431"/>
    <d v="2015-05-13T00:00:00"/>
    <d v="2015-05-13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69470"/>
    <s v="Extrato/123144"/>
    <s v="Banco Brb - Cód. 123144"/>
    <n v="0"/>
    <d v="2015-05-08T00:00:00"/>
    <d v="1899-12-30T10:34:27"/>
    <n v="18.91"/>
    <n v="0"/>
    <n v="-2504907.8100002254"/>
    <m/>
    <m/>
    <m/>
    <n v="12314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1"/>
    <s v="Extrato/123145"/>
    <s v="Banco Brb - Cód. 123145"/>
    <n v="0"/>
    <d v="2015-05-08T00:00:00"/>
    <d v="1899-12-30T10:34:27"/>
    <n v="30"/>
    <n v="0"/>
    <n v="-2504937.8100002254"/>
    <m/>
    <m/>
    <m/>
    <n v="12314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644"/>
    <s v="Entrada"/>
    <s v="Emprétimo Senis"/>
    <n v="33140"/>
    <d v="2015-05-08T00:00:00"/>
    <d v="1899-12-30T10:34:34"/>
    <n v="0"/>
    <n v="0"/>
    <n v="-2471797.8100002254"/>
    <m/>
    <m/>
    <m/>
    <m/>
    <n v="24"/>
    <s v="Emilly"/>
    <n v="1"/>
    <m/>
    <n v="1631"/>
    <d v="2015-05-21T00:00:00"/>
    <d v="2015-05-22T00:00:00"/>
    <m/>
    <m/>
    <n v="2015"/>
    <n v="24"/>
    <m/>
    <m/>
    <m/>
    <m/>
    <s v="Empréstimo Resp. OLimpo"/>
    <x v="2"/>
    <s v="COLÉGIO OLIMPO LTDA"/>
    <m/>
    <n v="8"/>
    <n v="9"/>
    <s v="Débito em conta"/>
    <m/>
    <m/>
    <m/>
    <n v="0"/>
    <m/>
    <m/>
    <s v="ITAÚ [GYN] [026016-5] []"/>
    <m/>
    <m/>
    <m/>
  </r>
  <r>
    <n v="269476"/>
    <s v="Extrato/123150"/>
    <s v="Banco Brb - Par. 123150(05-6)"/>
    <n v="0"/>
    <d v="2015-05-08T00:00:00"/>
    <d v="1899-12-30T10:35:44"/>
    <n v="16.5"/>
    <n v="0"/>
    <n v="-2471814.3100002254"/>
    <m/>
    <m/>
    <m/>
    <n v="12315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7"/>
    <s v="Extrato/123151"/>
    <s v="Banco Brb - Par. 123151(06-6)"/>
    <n v="0"/>
    <d v="2015-05-08T00:00:00"/>
    <d v="1899-12-30T10:35:44"/>
    <n v="5.5"/>
    <n v="0"/>
    <n v="-2471819.8100002254"/>
    <m/>
    <m/>
    <m/>
    <n v="12315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2"/>
    <s v="Extrato/123146"/>
    <s v="Banco Brb - Par. 123146(01-6)"/>
    <n v="0"/>
    <d v="2015-05-08T00:00:00"/>
    <d v="1899-12-30T10:35:44"/>
    <n v="15.55"/>
    <n v="0"/>
    <n v="-2471835.3600002252"/>
    <m/>
    <m/>
    <m/>
    <n v="12314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3"/>
    <s v="Extrato/123147"/>
    <s v="Banco Brb - Par. 123147(02-6)"/>
    <n v="0"/>
    <d v="2015-05-08T00:00:00"/>
    <d v="1899-12-30T10:35:44"/>
    <n v="12.96"/>
    <n v="0"/>
    <n v="-2471848.3200002252"/>
    <m/>
    <m/>
    <m/>
    <n v="12314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4"/>
    <s v="Extrato/123148"/>
    <s v="Banco Brb - Par. 123148(03-6)"/>
    <n v="0"/>
    <d v="2015-05-08T00:00:00"/>
    <d v="1899-12-30T10:35:44"/>
    <n v="12.96"/>
    <n v="0"/>
    <n v="-2471861.2800002252"/>
    <m/>
    <m/>
    <m/>
    <n v="12314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5"/>
    <s v="Extrato/123149"/>
    <s v="Banco Brb - Par. 123149(04-6)"/>
    <n v="0"/>
    <d v="2015-05-08T00:00:00"/>
    <d v="1899-12-30T10:35:44"/>
    <n v="7.77"/>
    <n v="0"/>
    <n v="-2471869.0500002252"/>
    <m/>
    <m/>
    <m/>
    <n v="12314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8"/>
    <s v="Extrato/123161"/>
    <s v="Banco Brb - Par. 123161(10-10)"/>
    <n v="0"/>
    <d v="2015-05-08T00:00:00"/>
    <d v="1899-12-30T10:38:06"/>
    <n v="15"/>
    <n v="0"/>
    <n v="-2471884.0500002252"/>
    <m/>
    <m/>
    <m/>
    <n v="12316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9"/>
    <s v="Extrato/123152"/>
    <s v="Banco Brb - Par. 123152(01-10)"/>
    <n v="0"/>
    <d v="2015-05-08T00:00:00"/>
    <d v="1899-12-30T10:38:06"/>
    <n v="15"/>
    <n v="0"/>
    <n v="-2471899.0500002252"/>
    <m/>
    <m/>
    <m/>
    <n v="12315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7"/>
    <s v="Extrato/123160"/>
    <s v="Banco Brb - Par. 123160(09-10)"/>
    <n v="0"/>
    <d v="2015-05-08T00:00:00"/>
    <d v="1899-12-30T10:38:07"/>
    <n v="15"/>
    <n v="0"/>
    <n v="-2471914.0500002252"/>
    <m/>
    <m/>
    <m/>
    <n v="12316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0"/>
    <s v="Extrato/123153"/>
    <s v="Banco Brb - Par. 123153(02-10)"/>
    <n v="0"/>
    <d v="2015-05-08T00:00:00"/>
    <d v="1899-12-30T10:38:07"/>
    <n v="15"/>
    <n v="0"/>
    <n v="-2471929.0500002252"/>
    <m/>
    <m/>
    <m/>
    <n v="12315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1"/>
    <s v="Extrato/123154"/>
    <s v="Banco Brb - Par. 123154(03-10)"/>
    <n v="0"/>
    <d v="2015-05-08T00:00:00"/>
    <d v="1899-12-30T10:38:07"/>
    <n v="15"/>
    <n v="0"/>
    <n v="-2471944.0500002252"/>
    <m/>
    <m/>
    <m/>
    <n v="12315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2"/>
    <s v="Extrato/123155"/>
    <s v="Banco Brb - Par. 123155(04-10)"/>
    <n v="0"/>
    <d v="2015-05-08T00:00:00"/>
    <d v="1899-12-30T10:38:07"/>
    <n v="15"/>
    <n v="0"/>
    <n v="-2471959.0500002252"/>
    <m/>
    <m/>
    <m/>
    <n v="12315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3"/>
    <s v="Extrato/123156"/>
    <s v="Banco Brb - Par. 123156(05-10)"/>
    <n v="0"/>
    <d v="2015-05-08T00:00:00"/>
    <d v="1899-12-30T10:38:07"/>
    <n v="15"/>
    <n v="0"/>
    <n v="-2471974.0500002252"/>
    <m/>
    <m/>
    <m/>
    <n v="12315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4"/>
    <s v="Extrato/123157"/>
    <s v="Banco Brb - Par. 123157(06-10)"/>
    <n v="0"/>
    <d v="2015-05-08T00:00:00"/>
    <d v="1899-12-30T10:38:07"/>
    <n v="15"/>
    <n v="0"/>
    <n v="-2471989.0500002252"/>
    <m/>
    <m/>
    <m/>
    <n v="12315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5"/>
    <s v="Extrato/123158"/>
    <s v="Banco Brb - Par. 123158(07-10)"/>
    <n v="0"/>
    <d v="2015-05-08T00:00:00"/>
    <d v="1899-12-30T10:38:07"/>
    <n v="15"/>
    <n v="0"/>
    <n v="-2472004.0500002252"/>
    <m/>
    <m/>
    <m/>
    <n v="12315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6"/>
    <s v="Extrato/123159"/>
    <s v="Banco Brb - Par. 123159(08-10)"/>
    <n v="0"/>
    <d v="2015-05-08T00:00:00"/>
    <d v="1899-12-30T10:38:07"/>
    <n v="15"/>
    <n v="0"/>
    <n v="-2472019.0500002252"/>
    <m/>
    <m/>
    <m/>
    <n v="12315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8"/>
    <s v="Extrato/123162"/>
    <s v="Banco Brb - Par. 123162(01-4)"/>
    <n v="0"/>
    <d v="2015-05-08T00:00:00"/>
    <d v="1899-12-30T10:39:20"/>
    <n v="30"/>
    <n v="0"/>
    <n v="-2472049.0500002252"/>
    <m/>
    <m/>
    <m/>
    <n v="12316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9"/>
    <s v="Extrato/123163"/>
    <s v="Banco Brb - Par. 123163(02-4)"/>
    <n v="0"/>
    <d v="2015-05-08T00:00:00"/>
    <d v="1899-12-30T10:39:20"/>
    <n v="30"/>
    <n v="0"/>
    <n v="-2472079.0500002252"/>
    <m/>
    <m/>
    <m/>
    <n v="12316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0"/>
    <s v="Extrato/123164"/>
    <s v="Banco Brb - Par. 123164(03-4)"/>
    <n v="0"/>
    <d v="2015-05-08T00:00:00"/>
    <d v="1899-12-30T10:39:20"/>
    <n v="30"/>
    <n v="0"/>
    <n v="-2472109.0500002252"/>
    <m/>
    <m/>
    <m/>
    <n v="12316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1"/>
    <s v="Extrato/123165"/>
    <s v="Banco Brb - Par. 123165(04-4)"/>
    <n v="0"/>
    <d v="2015-05-08T00:00:00"/>
    <d v="1899-12-30T10:39:20"/>
    <n v="30"/>
    <n v="0"/>
    <n v="-2472139.0500002252"/>
    <m/>
    <m/>
    <m/>
    <n v="12316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2"/>
    <s v="Extrato/123166"/>
    <s v="Banco Brb - Par. 123166(01-4)"/>
    <n v="0"/>
    <d v="2015-05-08T00:00:00"/>
    <d v="1899-12-30T10:40:52"/>
    <n v="0.35"/>
    <n v="0"/>
    <n v="-2472139.4000002253"/>
    <m/>
    <m/>
    <m/>
    <n v="12316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3"/>
    <s v="Extrato/123167"/>
    <s v="Banco Brb - Par. 123167(02-4)"/>
    <n v="0"/>
    <d v="2015-05-08T00:00:00"/>
    <d v="1899-12-30T10:40:52"/>
    <n v="0.35"/>
    <n v="0"/>
    <n v="-2472139.7500002254"/>
    <m/>
    <m/>
    <m/>
    <n v="12316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4"/>
    <s v="Extrato/123168"/>
    <s v="Banco Brb - Par. 123168(03-4)"/>
    <n v="0"/>
    <d v="2015-05-08T00:00:00"/>
    <d v="1899-12-30T10:40:52"/>
    <n v="0.35"/>
    <n v="0"/>
    <n v="-2472140.1000002255"/>
    <m/>
    <m/>
    <m/>
    <n v="12316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5"/>
    <s v="Extrato/123169"/>
    <s v="Banco Brb - Par. 123169(04-4)"/>
    <n v="0"/>
    <d v="2015-05-08T00:00:00"/>
    <d v="1899-12-30T10:40:52"/>
    <n v="0.35"/>
    <n v="0"/>
    <n v="-2472140.4500002256"/>
    <m/>
    <m/>
    <m/>
    <n v="12316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6"/>
    <s v="BM/51839"/>
    <s v="Bruno Marques - Cód. 051839"/>
    <n v="0"/>
    <d v="2015-05-08T00:00:00"/>
    <d v="1899-12-30T10:41:32"/>
    <n v="14000"/>
    <n v="0"/>
    <n v="-2486140.4500002256"/>
    <m/>
    <m/>
    <m/>
    <n v="51839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97"/>
    <s v="Brb Sol 2947/114234"/>
    <s v="Luciano Prudente De Barros - Cód. 114234"/>
    <n v="0"/>
    <d v="2015-05-08T00:00:00"/>
    <d v="1899-12-30T10:41:46"/>
    <n v="10000"/>
    <n v="0"/>
    <n v="-2496140.4500002256"/>
    <m/>
    <m/>
    <m/>
    <n v="114234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98"/>
    <s v="AM/114166"/>
    <s v="Augusto Melo - Cód. 114166"/>
    <n v="0"/>
    <d v="2015-05-08T00:00:00"/>
    <d v="1899-12-30T10:42:01"/>
    <n v="2592"/>
    <n v="0"/>
    <n v="-2498732.4500002256"/>
    <m/>
    <m/>
    <m/>
    <n v="114166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500"/>
    <s v="Ant.Cob/123170"/>
    <s v="Banco Brb - Cód. 123170"/>
    <n v="0"/>
    <d v="2015-05-08T00:00:00"/>
    <d v="1899-12-30T10:43:26"/>
    <n v="1111"/>
    <n v="0"/>
    <n v="-2499843.4500002256"/>
    <m/>
    <m/>
    <m/>
    <n v="123170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69501"/>
    <s v="Extrato"/>
    <s v="Remessa Olimpo Fundamental"/>
    <n v="4396.82"/>
    <d v="2015-05-08T00:00:00"/>
    <d v="1899-12-30T10:43:45"/>
    <n v="0"/>
    <n v="0"/>
    <n v="-2495446.6300002257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s v="COLÉGIO OLIMPO LTDA"/>
    <m/>
    <n v="52"/>
    <n v="4"/>
    <s v="Boleto"/>
    <m/>
    <m/>
    <m/>
    <n v="0"/>
    <m/>
    <m/>
    <s v="BRB [SOL] [012052-4] [CC] [COB]"/>
    <m/>
    <m/>
    <m/>
  </r>
  <r>
    <n v="269503"/>
    <s v="Extrato"/>
    <s v="Credito Devolução Cheque"/>
    <n v="2000"/>
    <d v="2015-05-08T00:00:00"/>
    <d v="1899-12-30T10:45:20"/>
    <n v="0"/>
    <n v="0"/>
    <n v="-2493446.6300002257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69504"/>
    <s v="Extrato"/>
    <s v="Credito Devolução Cheque"/>
    <n v="1560"/>
    <d v="2015-05-08T00:00:00"/>
    <d v="1899-12-30T10:45:53"/>
    <n v="0"/>
    <n v="0"/>
    <n v="-2491886.6300002257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751"/>
    <s v="Transferência Entre Contas "/>
    <s v="Transferência Entre Contas "/>
    <n v="0"/>
    <d v="2015-05-08T00:00:00"/>
    <d v="1899-12-30T10:46:01"/>
    <n v="83000"/>
    <n v="0"/>
    <n v="-2574886.6300002257"/>
    <m/>
    <m/>
    <m/>
    <m/>
    <n v="7"/>
    <s v="Anapaula"/>
    <n v="1"/>
    <m/>
    <n v="1449"/>
    <d v="2015-05-22T00:00:00"/>
    <d v="2015-05-22T00:00:00"/>
    <m/>
    <m/>
    <n v="2015"/>
    <n v="7"/>
    <m/>
    <m/>
    <m/>
    <m/>
    <s v="Transferência entre contas"/>
    <x v="2"/>
    <s v="COLÉGIO OLIMPO LTDA"/>
    <m/>
    <n v="103"/>
    <n v="9"/>
    <s v="Débito em conta"/>
    <m/>
    <m/>
    <m/>
    <n v="0"/>
    <m/>
    <n v="7"/>
    <s v="SANTANDER EDITORA"/>
    <m/>
    <m/>
    <m/>
  </r>
  <r>
    <n v="270753"/>
    <s v="Transferência Entre Contas "/>
    <s v="Destino: 270751-Transferência Entre Contas "/>
    <n v="83000"/>
    <d v="2015-05-08T00:00:00"/>
    <d v="1899-12-30T10:46:01"/>
    <n v="0"/>
    <n v="0"/>
    <n v="-2491886.6300002257"/>
    <m/>
    <m/>
    <m/>
    <m/>
    <n v="7"/>
    <s v="Anapaula"/>
    <n v="1"/>
    <m/>
    <n v="1449"/>
    <d v="2015-05-22T00:00:00"/>
    <d v="2015-05-22T00:00:00"/>
    <m/>
    <m/>
    <n v="2015"/>
    <n v="7"/>
    <m/>
    <m/>
    <n v="270751"/>
    <m/>
    <s v="Transferência entre contas"/>
    <x v="2"/>
    <s v="COLÉGIO OLIMPO LTDA"/>
    <m/>
    <n v="7"/>
    <n v="9"/>
    <s v="Débito em conta"/>
    <m/>
    <m/>
    <m/>
    <n v="0"/>
    <m/>
    <m/>
    <s v="SANT 936-9 GOIANIA"/>
    <m/>
    <m/>
    <m/>
  </r>
  <r>
    <n v="269506"/>
    <s v="Extrato"/>
    <s v="Credito Devolução Cheque"/>
    <n v="15378"/>
    <d v="2015-05-08T00:00:00"/>
    <d v="1899-12-30T10:46:19"/>
    <n v="0"/>
    <n v="0"/>
    <n v="-2476508.6300002257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69507"/>
    <s v="Extrato"/>
    <s v="Credito Devolução Cheque"/>
    <n v="2999"/>
    <d v="2015-05-08T00:00:00"/>
    <d v="1899-12-30T10:46:40"/>
    <n v="0"/>
    <n v="0"/>
    <n v="-2473509.6300002257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69916"/>
    <s v="Extrato/123309"/>
    <s v="Banco Do Brasil - Cód. 123309"/>
    <n v="0"/>
    <d v="2015-05-08T00:00:00"/>
    <d v="1899-12-30T11:02:13"/>
    <n v="7.8"/>
    <n v="0"/>
    <n v="-2473517.4300002255"/>
    <m/>
    <m/>
    <m/>
    <n v="123309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69542"/>
    <s v="Extrato/123187"/>
    <s v="Caixa Econômica Federal - Cód. 123187"/>
    <n v="0"/>
    <d v="2015-05-08T00:00:00"/>
    <d v="1899-12-30T11:02:28"/>
    <n v="0.3"/>
    <n v="0"/>
    <n v="-2473517.7300002254"/>
    <m/>
    <m/>
    <m/>
    <n v="12318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43"/>
    <s v="Extrato/123188"/>
    <s v="Caixa Econômica Federal - Cód. 123188"/>
    <n v="0"/>
    <d v="2015-05-08T00:00:00"/>
    <d v="1899-12-30T11:02:28"/>
    <n v="7.75"/>
    <n v="0"/>
    <n v="-2473525.4800002254"/>
    <m/>
    <m/>
    <m/>
    <n v="12318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763"/>
    <s v="Fiscais/123268"/>
    <s v="Fiscais De Prova - Cód. 123268"/>
    <n v="0"/>
    <d v="2015-05-08T00:00:00"/>
    <d v="1899-12-30T11:08:20"/>
    <n v="90"/>
    <n v="0"/>
    <n v="-2473615.4800002254"/>
    <m/>
    <m/>
    <m/>
    <n v="123268"/>
    <n v="24"/>
    <s v="Emilly"/>
    <n v="1"/>
    <m/>
    <n v="336"/>
    <d v="2015-05-13T00:00:00"/>
    <d v="2015-05-13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69548"/>
    <s v="Extrato"/>
    <s v="Rend Aut Aplic"/>
    <n v="0.11"/>
    <d v="2015-05-08T00:00:00"/>
    <d v="1899-12-30T11:09:05"/>
    <n v="0"/>
    <n v="0"/>
    <n v="-2473615.3700002255"/>
    <m/>
    <m/>
    <m/>
    <m/>
    <n v="60"/>
    <s v="Francielly"/>
    <n v="1"/>
    <m/>
    <n v="95"/>
    <d v="2015-05-12T00:00:00"/>
    <d v="2015-05-14T00:00:00"/>
    <m/>
    <m/>
    <n v="2015"/>
    <n v="24"/>
    <m/>
    <m/>
    <m/>
    <m/>
    <s v="Recebimento Diversos"/>
    <x v="1"/>
    <s v="COLÉGIO OLIMPO LTDA"/>
    <m/>
    <n v="8"/>
    <n v="9"/>
    <s v="Débito em conta"/>
    <m/>
    <m/>
    <m/>
    <n v="0"/>
    <m/>
    <m/>
    <s v="ITAÚ [GYN] [026016-5] []"/>
    <m/>
    <m/>
    <m/>
  </r>
  <r>
    <n v="269764"/>
    <s v="083215/123270"/>
    <s v="Posto De Combustível - Cód. 123270"/>
    <n v="0"/>
    <d v="2015-05-08T00:00:00"/>
    <d v="1899-12-30T11:10:50"/>
    <n v="100"/>
    <n v="0"/>
    <n v="-2473715.3700002255"/>
    <m/>
    <m/>
    <m/>
    <n v="123270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9550"/>
    <s v="Extrato/123193"/>
    <s v="Banco Itaú Unibanco S.A. - Cód. 123193"/>
    <n v="0"/>
    <d v="2015-05-08T00:00:00"/>
    <d v="1899-12-30T11:11:48"/>
    <n v="13083.77"/>
    <n v="0"/>
    <n v="-2486799.1400002255"/>
    <m/>
    <m/>
    <m/>
    <n v="123193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69551"/>
    <s v="Extrato/123194"/>
    <s v="Banco Itaú Unibanco S.A. - Cód. 123194"/>
    <n v="0"/>
    <d v="2015-05-08T00:00:00"/>
    <d v="1899-12-30T11:11:48"/>
    <n v="261.68"/>
    <n v="0"/>
    <n v="-2487060.8200002257"/>
    <m/>
    <m/>
    <m/>
    <n v="123194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69552"/>
    <s v="Extrato/123195"/>
    <s v="Banco Itaú Unibanco S.A. - Cód. 123195"/>
    <n v="0"/>
    <d v="2015-05-08T00:00:00"/>
    <d v="1899-12-30T11:11:48"/>
    <n v="341.04"/>
    <n v="0"/>
    <n v="-2487401.8600002257"/>
    <m/>
    <m/>
    <m/>
    <n v="123195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s v="COLÉGIO OLIMPO LTDA"/>
    <m/>
    <n v="8"/>
    <n v="9"/>
    <s v="Débito em conta"/>
    <m/>
    <n v="0"/>
    <m/>
    <n v="0"/>
    <m/>
    <m/>
    <s v="ITAÚ [GYN] [026016-5] []"/>
    <m/>
    <m/>
    <m/>
  </r>
  <r>
    <n v="269765"/>
    <s v="1577/123271"/>
    <s v="Grupo Olimpo - Cód. 123271"/>
    <n v="0"/>
    <d v="2015-05-08T00:00:00"/>
    <d v="1899-12-30T11:12:24"/>
    <n v="5"/>
    <n v="0"/>
    <n v="-2487406.8600002257"/>
    <m/>
    <m/>
    <m/>
    <n v="123271"/>
    <n v="24"/>
    <s v="Emilly"/>
    <n v="1"/>
    <m/>
    <n v="527"/>
    <d v="2015-05-13T00:00:00"/>
    <d v="2015-05-13T00:00:00"/>
    <m/>
    <m/>
    <n v="2015"/>
    <n v="24"/>
    <m/>
    <m/>
    <m/>
    <m/>
    <s v="CA.Estacionamento (DESPESA)"/>
    <x v="1"/>
    <s v="COLÉGIO OLIMPO LTDA"/>
    <m/>
    <n v="56"/>
    <n v="1"/>
    <s v="Dinheiro"/>
    <m/>
    <n v="0"/>
    <m/>
    <n v="0"/>
    <m/>
    <m/>
    <s v="CAIXA TESOURARIA"/>
    <m/>
    <m/>
    <m/>
  </r>
  <r>
    <n v="270663"/>
    <s v="Transferência Entre Contas - Ed. Opirus"/>
    <s v="Transferência Entre Contas"/>
    <n v="2000"/>
    <d v="2015-05-08T00:00:00"/>
    <d v="1899-12-30T11:17:02"/>
    <n v="0"/>
    <n v="0"/>
    <n v="-2485406.8600002257"/>
    <m/>
    <m/>
    <m/>
    <m/>
    <n v="7"/>
    <s v="Anapaula"/>
    <n v="1"/>
    <m/>
    <n v="1449"/>
    <d v="2015-05-21T00:00:00"/>
    <d v="2015-05-21T00:00:00"/>
    <m/>
    <m/>
    <n v="2015"/>
    <n v="7"/>
    <m/>
    <m/>
    <m/>
    <m/>
    <s v="Transferência entre contas"/>
    <x v="2"/>
    <s v="COLÉGIO OLIMPO LTDA"/>
    <m/>
    <n v="122"/>
    <n v="9"/>
    <s v="Débito em conta"/>
    <m/>
    <m/>
    <m/>
    <n v="0"/>
    <m/>
    <m/>
    <s v="SANTANDER SOL 3381-0"/>
    <m/>
    <m/>
    <m/>
  </r>
  <r>
    <n v="269790"/>
    <s v="Transferência Entre Conta"/>
    <s v="Transferência Entre Conta"/>
    <n v="0"/>
    <d v="2015-05-08T00:00:00"/>
    <d v="1899-12-30T11:29:13"/>
    <n v="3000"/>
    <n v="0"/>
    <n v="-2488406.860000225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69791"/>
    <s v="Transferência Entre Conta"/>
    <s v="Destino: 269790-Transferência Entre Conta"/>
    <n v="3000"/>
    <d v="2015-05-08T00:00:00"/>
    <d v="1899-12-30T11:29:13"/>
    <n v="0"/>
    <n v="0"/>
    <n v="-2485406.8600002257"/>
    <m/>
    <m/>
    <m/>
    <m/>
    <n v="24"/>
    <s v="Emilly"/>
    <n v="1"/>
    <m/>
    <n v="1449"/>
    <d v="2015-05-13T00:00:00"/>
    <d v="2015-05-13T00:00:00"/>
    <m/>
    <m/>
    <n v="2015"/>
    <n v="24"/>
    <m/>
    <m/>
    <n v="26979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69792"/>
    <s v="Transferência Entre Conta"/>
    <s v="Transferência Entre Conta"/>
    <n v="0"/>
    <d v="2015-05-08T00:00:00"/>
    <d v="1899-12-30T11:29:44"/>
    <n v="116540"/>
    <n v="0"/>
    <n v="-2601946.860000225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12"/>
    <s v="ITAÚ [GYN] [026016-5] []"/>
    <m/>
    <m/>
    <m/>
  </r>
  <r>
    <n v="269793"/>
    <s v="Transferência Entre Conta"/>
    <s v="Destino: 269792-Transferência Entre Conta"/>
    <n v="116540"/>
    <d v="2015-05-08T00:00:00"/>
    <d v="1899-12-30T11:29:44"/>
    <n v="0"/>
    <n v="0"/>
    <n v="-2485406.8600002257"/>
    <m/>
    <m/>
    <m/>
    <m/>
    <n v="24"/>
    <s v="Emilly"/>
    <n v="1"/>
    <m/>
    <n v="1449"/>
    <d v="2015-05-13T00:00:00"/>
    <d v="2015-05-13T00:00:00"/>
    <m/>
    <m/>
    <n v="2015"/>
    <n v="24"/>
    <m/>
    <m/>
    <n v="269792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794"/>
    <s v="Transferência Entre Conta"/>
    <s v="Transferência Entre Conta"/>
    <n v="0"/>
    <d v="2015-05-08T00:00:00"/>
    <d v="1899-12-30T11:30:10"/>
    <n v="49945"/>
    <n v="0"/>
    <n v="-2535351.860000225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69795"/>
    <s v="Transferência Entre Conta"/>
    <s v="Destino: 269794-Transferência Entre Conta"/>
    <n v="49945"/>
    <d v="2015-05-08T00:00:00"/>
    <d v="1899-12-30T11:30:10"/>
    <n v="0"/>
    <n v="0"/>
    <n v="-2485406.8600002257"/>
    <m/>
    <m/>
    <m/>
    <m/>
    <n v="24"/>
    <s v="Emilly"/>
    <n v="1"/>
    <m/>
    <n v="1449"/>
    <d v="2015-05-13T00:00:00"/>
    <d v="2015-05-13T00:00:00"/>
    <m/>
    <m/>
    <n v="2015"/>
    <n v="24"/>
    <m/>
    <m/>
    <n v="26979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796"/>
    <s v="Transferência Entre Conta"/>
    <s v="Transferência Entre Conta"/>
    <n v="0"/>
    <d v="2015-05-08T00:00:00"/>
    <d v="1899-12-30T11:30:42"/>
    <n v="47000"/>
    <n v="0"/>
    <n v="-2532406.860000225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12"/>
    <s v="BB [022382-4] [GYN] [CC]"/>
    <m/>
    <m/>
    <m/>
  </r>
  <r>
    <n v="269797"/>
    <s v="Transferência Entre Conta"/>
    <s v="Destino: 269796-Transferência Entre Conta"/>
    <n v="47000"/>
    <d v="2015-05-08T00:00:00"/>
    <d v="1899-12-30T11:30:42"/>
    <n v="0"/>
    <n v="0"/>
    <n v="-2485406.8600002257"/>
    <m/>
    <m/>
    <m/>
    <m/>
    <n v="24"/>
    <s v="Emilly"/>
    <n v="1"/>
    <m/>
    <n v="1449"/>
    <d v="2015-05-13T00:00:00"/>
    <d v="2015-05-13T00:00:00"/>
    <m/>
    <m/>
    <n v="2015"/>
    <n v="24"/>
    <m/>
    <m/>
    <n v="269796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563"/>
    <s v="Extrato/123199"/>
    <s v="Mercantil Do Brasil - Cód. 123199"/>
    <n v="0"/>
    <d v="2015-05-08T00:00:00"/>
    <d v="1899-12-30T11:41:43"/>
    <n v="1386"/>
    <n v="0"/>
    <n v="-2486792.8600002257"/>
    <m/>
    <m/>
    <m/>
    <n v="123199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69564"/>
    <s v="Extrato/123200"/>
    <s v="Mercantil Do Brasil - Cód. 123200"/>
    <n v="0"/>
    <d v="2015-05-08T00:00:00"/>
    <d v="1899-12-30T11:42:20"/>
    <n v="400"/>
    <n v="0"/>
    <n v="-2487192.8600002257"/>
    <m/>
    <m/>
    <m/>
    <n v="12320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9565"/>
    <s v="Extrato/123201"/>
    <s v="Banco Santander  - Cód. 123201"/>
    <n v="0"/>
    <d v="2015-05-08T00:00:00"/>
    <d v="1899-12-30T11:44:51"/>
    <n v="68000"/>
    <n v="0"/>
    <n v="-2555192.8600002257"/>
    <m/>
    <m/>
    <m/>
    <n v="123201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7"/>
    <n v="12"/>
    <s v="Crédito em conta"/>
    <m/>
    <n v="0"/>
    <m/>
    <n v="0"/>
    <m/>
    <m/>
    <s v="SANT 936-9 GOIANIA"/>
    <m/>
    <m/>
    <m/>
  </r>
  <r>
    <n v="269623"/>
    <n v="192385"/>
    <s v="Retorno: Par. 192385(04/12) - 18431/AND - Mensalidades"/>
    <n v="1772.23"/>
    <d v="2015-05-08T00:00:00"/>
    <d v="1899-12-30T12:00:00"/>
    <n v="0"/>
    <n v="0"/>
    <n v="-2553420.6300002257"/>
    <m/>
    <m/>
    <n v="192385"/>
    <m/>
    <n v="1"/>
    <s v="Andre"/>
    <n v="1"/>
    <m/>
    <n v="2"/>
    <d v="2015-05-12T00:00:00"/>
    <d v="2015-05-12T00:00:00"/>
    <n v="2843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10"/>
    <n v="192325"/>
    <s v="Retorno: Par. 192325(04/12) - 18435/MIG - Mensalidades"/>
    <n v="1804.45"/>
    <d v="2015-05-08T00:00:00"/>
    <d v="1899-12-30T12:00:00"/>
    <n v="0"/>
    <n v="0"/>
    <n v="-2551616.1800002255"/>
    <m/>
    <m/>
    <n v="192325"/>
    <m/>
    <n v="1"/>
    <s v="Andre"/>
    <n v="1"/>
    <m/>
    <n v="2"/>
    <d v="2015-05-12T00:00:00"/>
    <d v="2015-05-12T00:00:00"/>
    <n v="28492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9"/>
    <n v="191947"/>
    <s v="Retorno: Par. 191947(04/12) - 18550/LAR - Mensalidades"/>
    <n v="1804.45"/>
    <d v="2015-05-08T00:00:00"/>
    <d v="1899-12-30T12:00:00"/>
    <n v="0"/>
    <n v="0"/>
    <n v="-2549811.7300002254"/>
    <m/>
    <m/>
    <n v="191947"/>
    <m/>
    <n v="1"/>
    <s v="Andre"/>
    <n v="1"/>
    <m/>
    <n v="2"/>
    <d v="2015-05-12T00:00:00"/>
    <d v="2015-05-12T00:00:00"/>
    <n v="28491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7"/>
    <n v="192139"/>
    <s v="Retorno: Par. 192139(04/12) - 18692/CÉS - Mensalidades"/>
    <n v="1804.45"/>
    <d v="2015-05-08T00:00:00"/>
    <d v="1899-12-30T12:00:00"/>
    <n v="0"/>
    <n v="0"/>
    <n v="-2548007.2800002252"/>
    <m/>
    <m/>
    <n v="192139"/>
    <m/>
    <n v="1"/>
    <s v="Andre"/>
    <n v="1"/>
    <m/>
    <n v="2"/>
    <d v="2015-05-12T00:00:00"/>
    <d v="2015-05-12T00:00:00"/>
    <n v="28489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8"/>
    <n v="192349"/>
    <s v="Retorno: Par. 192349(04/12) - 18546/ENZ - Mensalidades"/>
    <n v="1804.45"/>
    <d v="2015-05-08T00:00:00"/>
    <d v="1899-12-30T12:00:00"/>
    <n v="0"/>
    <n v="0"/>
    <n v="-2546202.830000225"/>
    <m/>
    <m/>
    <n v="192349"/>
    <m/>
    <n v="1"/>
    <s v="Andre"/>
    <n v="1"/>
    <m/>
    <n v="2"/>
    <d v="2015-05-12T00:00:00"/>
    <d v="2015-05-12T00:00:00"/>
    <n v="28490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819"/>
    <s v="Entrada"/>
    <s v="Biblioteca Unidade T-27"/>
    <n v="81"/>
    <d v="2015-05-08T00:00:00"/>
    <d v="1899-12-30T12:48:59"/>
    <n v="0"/>
    <n v="0"/>
    <n v="-2546121.830000225"/>
    <m/>
    <m/>
    <m/>
    <m/>
    <n v="24"/>
    <s v="Emilly"/>
    <n v="1"/>
    <m/>
    <n v="59"/>
    <d v="2015-05-13T00:00:00"/>
    <d v="2015-05-13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69820"/>
    <s v="Entrada"/>
    <s v="Recebi da Cantina para Complementar Folha Funcionarios"/>
    <n v="0"/>
    <d v="2015-05-08T00:00:00"/>
    <d v="1899-12-30T12:49:39"/>
    <n v="895"/>
    <n v="0"/>
    <n v="-2547016.830000225"/>
    <m/>
    <m/>
    <m/>
    <m/>
    <n v="24"/>
    <s v="Emilly"/>
    <n v="1"/>
    <m/>
    <n v="1471"/>
    <d v="2015-05-13T00:00:00"/>
    <d v="2015-05-13T00:00:00"/>
    <m/>
    <m/>
    <n v="2015"/>
    <n v="24"/>
    <m/>
    <m/>
    <m/>
    <m/>
    <s v="Transferência Entre Contas"/>
    <x v="2"/>
    <s v="COLÉGIO OLIMPO LTDA"/>
    <m/>
    <n v="34"/>
    <n v="8"/>
    <s v="Transferência Bancária"/>
    <m/>
    <m/>
    <m/>
    <n v="0"/>
    <m/>
    <n v="42"/>
    <s v="ITAÚ [CAN] [020594-7] [CC]"/>
    <m/>
    <m/>
    <m/>
  </r>
  <r>
    <n v="269821"/>
    <s v="Entrada"/>
    <s v="Destino: 269820-Recebi da Cantina para Complementar Folha Fu"/>
    <n v="895"/>
    <d v="2015-05-08T00:00:00"/>
    <d v="1899-12-30T12:49:39"/>
    <n v="0"/>
    <n v="0"/>
    <n v="-2546121.830000225"/>
    <m/>
    <m/>
    <m/>
    <m/>
    <n v="24"/>
    <s v="Emilly"/>
    <n v="1"/>
    <m/>
    <n v="1471"/>
    <d v="2015-05-13T00:00:00"/>
    <d v="2015-05-13T00:00:00"/>
    <m/>
    <m/>
    <n v="2015"/>
    <n v="24"/>
    <m/>
    <m/>
    <n v="269820"/>
    <m/>
    <s v="Transferência Entre Contas"/>
    <x v="2"/>
    <s v="COLÉGIO OLIMPO LTDA"/>
    <m/>
    <n v="42"/>
    <n v="8"/>
    <s v="Transferência Bancária"/>
    <m/>
    <m/>
    <m/>
    <n v="0"/>
    <m/>
    <m/>
    <s v="BRB [CAN] [012037-0] [CC]"/>
    <m/>
    <m/>
    <m/>
  </r>
  <r>
    <n v="269112"/>
    <s v="DB20150508"/>
    <s v="Operação Desconto Boletos 2015.05.08"/>
    <n v="88812.4"/>
    <d v="2015-05-08T00:00:00"/>
    <d v="1899-12-30T15:12:41"/>
    <n v="0"/>
    <n v="0"/>
    <n v="-2457309.4300002251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116"/>
    <s v="Juros20150508/123067"/>
    <s v="Banco Brb - Cód. 123067"/>
    <n v="0"/>
    <d v="2015-05-08T00:00:00"/>
    <d v="1899-12-30T15:15:02"/>
    <n v="11268.27"/>
    <n v="0"/>
    <n v="-2468577.7000002251"/>
    <m/>
    <m/>
    <m/>
    <n v="123067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17"/>
    <s v="Extrato/123068"/>
    <s v="Banco Brb - Cód. 123068"/>
    <n v="0"/>
    <d v="2015-05-08T00:00:00"/>
    <d v="1899-12-30T15:51:11"/>
    <n v="1386"/>
    <n v="0"/>
    <n v="-2469963.7000002251"/>
    <m/>
    <m/>
    <m/>
    <n v="123068"/>
    <n v="24"/>
    <s v="Emilly"/>
    <n v="1"/>
    <m/>
    <n v="1588"/>
    <d v="2015-05-11T00:00:00"/>
    <d v="2015-05-11T00:00:00"/>
    <m/>
    <m/>
    <n v="2015"/>
    <n v="24"/>
    <m/>
    <m/>
    <m/>
    <m/>
    <s v="Crédito Cheque Devolvido "/>
    <x v="2"/>
    <s v="COLÉGIO OLIMPO LTDA"/>
    <m/>
    <n v="12"/>
    <n v="2"/>
    <s v="Cheque"/>
    <m/>
    <n v="0"/>
    <m/>
    <n v="0"/>
    <m/>
    <m/>
    <s v="BRB [GYN] [011616-0] [CC] [COB]"/>
    <m/>
    <m/>
    <m/>
  </r>
  <r>
    <n v="269119"/>
    <s v="Extrato/123070"/>
    <s v="Banco Brb - Cód. 123070"/>
    <n v="0"/>
    <d v="2015-05-08T00:00:00"/>
    <d v="1899-12-30T15:53:02"/>
    <n v="1.8"/>
    <n v="0"/>
    <n v="-2469965.5000002249"/>
    <m/>
    <m/>
    <m/>
    <n v="123070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120"/>
    <s v="Extrato/123071"/>
    <s v="Banco Brb - Cód. 123071"/>
    <n v="0"/>
    <d v="2015-05-08T00:00:00"/>
    <d v="1899-12-30T15:53:02"/>
    <n v="307.5"/>
    <n v="0"/>
    <n v="-2470273.0000002249"/>
    <m/>
    <m/>
    <m/>
    <n v="123071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118"/>
    <s v="Extrato/123069"/>
    <s v="Banco Brb - Cód. 123069"/>
    <n v="0"/>
    <d v="2015-05-08T00:00:00"/>
    <d v="1899-12-30T15:53:02"/>
    <n v="28.67"/>
    <n v="0"/>
    <n v="-2470301.6700002248"/>
    <m/>
    <m/>
    <m/>
    <n v="123069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127"/>
    <s v="Ant.Cob/123072"/>
    <s v="Banco Brb - Par. 123072(01-6)"/>
    <n v="0"/>
    <d v="2015-05-08T00:00:00"/>
    <d v="1899-12-30T15:56:45"/>
    <n v="1473"/>
    <n v="0"/>
    <n v="-2471774.6700002248"/>
    <m/>
    <m/>
    <m/>
    <n v="12307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28"/>
    <s v="Ant.Cob/123073"/>
    <s v="Banco Brb - Par. 123073(02-6)"/>
    <n v="0"/>
    <d v="2015-05-08T00:00:00"/>
    <d v="1899-12-30T15:56:45"/>
    <n v="1473"/>
    <n v="0"/>
    <n v="-2473247.6700002248"/>
    <m/>
    <m/>
    <m/>
    <n v="12307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29"/>
    <s v="Ant.Cob/123074"/>
    <s v="Banco Brb - Par. 123074(03-6)"/>
    <n v="0"/>
    <d v="2015-05-08T00:00:00"/>
    <d v="1899-12-30T15:56:45"/>
    <n v="1480.86"/>
    <n v="0"/>
    <n v="-2474728.5300002247"/>
    <m/>
    <m/>
    <m/>
    <n v="12307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0"/>
    <s v="Ant.Cob/123075"/>
    <s v="Banco Brb - Par. 123075(04-6)"/>
    <n v="0"/>
    <d v="2015-05-08T00:00:00"/>
    <d v="1899-12-30T15:56:45"/>
    <n v="1480.86"/>
    <n v="0"/>
    <n v="-2476209.3900002246"/>
    <m/>
    <m/>
    <m/>
    <n v="12307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1"/>
    <s v="Ant.Cob/123076"/>
    <s v="Banco Brb - Par. 123076(05-6)"/>
    <n v="0"/>
    <d v="2015-05-08T00:00:00"/>
    <d v="1899-12-30T15:56:45"/>
    <n v="1480.86"/>
    <n v="0"/>
    <n v="-2477690.2500002244"/>
    <m/>
    <m/>
    <m/>
    <n v="12307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2"/>
    <s v="Ant.Cob/123077"/>
    <s v="Banco Brb - Par. 123077(06-6)"/>
    <n v="0"/>
    <d v="2015-05-08T00:00:00"/>
    <d v="1899-12-30T15:56:45"/>
    <n v="1480.86"/>
    <n v="0"/>
    <n v="-2479171.1100002243"/>
    <m/>
    <m/>
    <m/>
    <n v="12307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7"/>
    <s v="Ant.Cob/123087"/>
    <s v="Banco Brb - Par. 123087(10-20)"/>
    <n v="0"/>
    <d v="2015-05-08T00:00:00"/>
    <d v="1899-12-30T16:00:00"/>
    <n v="1480.86"/>
    <n v="0"/>
    <n v="-2480651.9700002242"/>
    <m/>
    <m/>
    <m/>
    <n v="12308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8"/>
    <s v="Ant.Cob/123097"/>
    <s v="Banco Brb - Par. 123097(20-20)"/>
    <n v="0"/>
    <d v="2015-05-08T00:00:00"/>
    <d v="1899-12-30T16:00:00"/>
    <n v="1480.87"/>
    <n v="0"/>
    <n v="-2482132.8400002243"/>
    <m/>
    <m/>
    <m/>
    <n v="12309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3"/>
    <s v="Ant.Cob/123080"/>
    <s v="Banco Brb - Par. 123080(03-20)"/>
    <n v="0"/>
    <d v="2015-05-08T00:00:00"/>
    <d v="1899-12-30T16:00:01"/>
    <n v="1480.86"/>
    <n v="0"/>
    <n v="-2483613.7000002242"/>
    <m/>
    <m/>
    <m/>
    <n v="12308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4"/>
    <s v="Ant.Cob/123090"/>
    <s v="Banco Brb - Par. 123090(13-20)"/>
    <n v="0"/>
    <d v="2015-05-08T00:00:00"/>
    <d v="1899-12-30T16:00:01"/>
    <n v="1056.6199999999999"/>
    <n v="0"/>
    <n v="-2484670.3200002243"/>
    <m/>
    <m/>
    <m/>
    <n v="12309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5"/>
    <s v="Ant.Cob/123081"/>
    <s v="Banco Brb - Par. 123081(04-20)"/>
    <n v="0"/>
    <d v="2015-05-08T00:00:00"/>
    <d v="1899-12-30T16:00:01"/>
    <n v="1480.86"/>
    <n v="0"/>
    <n v="-2486151.1800002242"/>
    <m/>
    <m/>
    <m/>
    <n v="12308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6"/>
    <s v="Ant.Cob/123091"/>
    <s v="Banco Brb - Par. 123091(14-20)"/>
    <n v="0"/>
    <d v="2015-05-08T00:00:00"/>
    <d v="1899-12-30T16:00:01"/>
    <n v="1056.6199999999999"/>
    <n v="0"/>
    <n v="-2487207.8000002243"/>
    <m/>
    <m/>
    <m/>
    <n v="12309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7"/>
    <s v="Ant.Cob/123082"/>
    <s v="Banco Brb - Par. 123082(05-20)"/>
    <n v="0"/>
    <d v="2015-05-08T00:00:00"/>
    <d v="1899-12-30T16:00:01"/>
    <n v="74.040000000000006"/>
    <n v="0"/>
    <n v="-2487281.8400002243"/>
    <m/>
    <m/>
    <m/>
    <n v="12308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8"/>
    <s v="Ant.Cob/123092"/>
    <s v="Banco Brb - Par. 123092(15-20)"/>
    <n v="0"/>
    <d v="2015-05-08T00:00:00"/>
    <d v="1899-12-30T16:00:01"/>
    <n v="1056.6199999999999"/>
    <n v="0"/>
    <n v="-2488338.4600002244"/>
    <m/>
    <m/>
    <m/>
    <n v="12309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9"/>
    <s v="Ant.Cob/123083"/>
    <s v="Banco Brb - Par. 123083(06-20)"/>
    <n v="0"/>
    <d v="2015-05-08T00:00:00"/>
    <d v="1899-12-30T16:00:01"/>
    <n v="1480.86"/>
    <n v="0"/>
    <n v="-2489819.3200002243"/>
    <m/>
    <m/>
    <m/>
    <n v="12308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0"/>
    <s v="Ant.Cob/123093"/>
    <s v="Banco Brb - Par. 123093(16-20)"/>
    <n v="0"/>
    <d v="2015-05-08T00:00:00"/>
    <d v="1899-12-30T16:00:01"/>
    <n v="1056.6199999999999"/>
    <n v="0"/>
    <n v="-2490875.9400002244"/>
    <m/>
    <m/>
    <m/>
    <n v="12309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1"/>
    <s v="Ant.Cob/123084"/>
    <s v="Banco Brb - Par. 123084(07-20)"/>
    <n v="0"/>
    <d v="2015-05-08T00:00:00"/>
    <d v="1899-12-30T16:00:01"/>
    <n v="1480.86"/>
    <n v="0"/>
    <n v="-2492356.8000002243"/>
    <m/>
    <m/>
    <m/>
    <n v="12308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2"/>
    <s v="Ant.Cob/123094"/>
    <s v="Banco Brb - Par. 123094(17-20)"/>
    <n v="0"/>
    <d v="2015-05-08T00:00:00"/>
    <d v="1899-12-30T16:00:01"/>
    <n v="1056.6199999999999"/>
    <n v="0"/>
    <n v="-2493413.4200002244"/>
    <m/>
    <m/>
    <m/>
    <n v="12309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3"/>
    <s v="Ant.Cob/123085"/>
    <s v="Banco Brb - Par. 123085(08-20)"/>
    <n v="0"/>
    <d v="2015-05-08T00:00:00"/>
    <d v="1899-12-30T16:00:01"/>
    <n v="1480.86"/>
    <n v="0"/>
    <n v="-2494894.2800002242"/>
    <m/>
    <m/>
    <m/>
    <n v="12308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4"/>
    <s v="Ant.Cob/123095"/>
    <s v="Banco Brb - Par. 123095(18-20)"/>
    <n v="0"/>
    <d v="2015-05-08T00:00:00"/>
    <d v="1899-12-30T16:00:01"/>
    <n v="98.47"/>
    <n v="0"/>
    <n v="-2494992.7500002244"/>
    <m/>
    <m/>
    <m/>
    <n v="12309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5"/>
    <s v="Ant.Cob/123086"/>
    <s v="Banco Brb - Par. 123086(09-20)"/>
    <n v="0"/>
    <d v="2015-05-08T00:00:00"/>
    <d v="1899-12-30T16:00:01"/>
    <n v="1480.86"/>
    <n v="0"/>
    <n v="-2496473.6100002243"/>
    <m/>
    <m/>
    <m/>
    <n v="12308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9"/>
    <s v="Ant.Cob/123078"/>
    <s v="Banco Brb - Par. 123078(01-20)"/>
    <n v="0"/>
    <d v="2015-05-08T00:00:00"/>
    <d v="1899-12-30T16:00:01"/>
    <n v="568.70000000000005"/>
    <n v="0"/>
    <n v="-2497042.3100002245"/>
    <m/>
    <m/>
    <m/>
    <n v="12307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0"/>
    <s v="Ant.Cob/123088"/>
    <s v="Banco Brb - Par. 123088(11-20)"/>
    <n v="0"/>
    <d v="2015-05-08T00:00:00"/>
    <d v="1899-12-30T16:00:01"/>
    <n v="1480.86"/>
    <n v="0"/>
    <n v="-2498523.1700002244"/>
    <m/>
    <m/>
    <m/>
    <n v="12308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1"/>
    <s v="Ant.Cob/123079"/>
    <s v="Banco Brb - Par. 123079(02-20)"/>
    <n v="0"/>
    <d v="2015-05-08T00:00:00"/>
    <d v="1899-12-30T16:00:01"/>
    <n v="1480.86"/>
    <n v="0"/>
    <n v="-2500004.0300002242"/>
    <m/>
    <m/>
    <m/>
    <n v="12307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2"/>
    <s v="Ant.Cob/123089"/>
    <s v="Banco Brb - Par. 123089(12-20)"/>
    <n v="0"/>
    <d v="2015-05-08T00:00:00"/>
    <d v="1899-12-30T16:00:01"/>
    <n v="1056.6199999999999"/>
    <n v="0"/>
    <n v="-2501060.6500002244"/>
    <m/>
    <m/>
    <m/>
    <n v="12308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6"/>
    <s v="Ant.Cob/123096"/>
    <s v="Banco Brb - Par. 123096(19-20)"/>
    <n v="0"/>
    <d v="2015-05-08T00:00:00"/>
    <d v="1899-12-30T16:00:02"/>
    <n v="1480.87"/>
    <n v="0"/>
    <n v="-2502541.5200002245"/>
    <m/>
    <m/>
    <m/>
    <n v="12309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266"/>
    <s v="Entrada"/>
    <s v="Biblioteca T-03"/>
    <n v="220"/>
    <d v="2015-05-08T00:00:00"/>
    <d v="1899-12-30T16:21:20"/>
    <n v="0"/>
    <n v="0"/>
    <n v="-2502321.5200002245"/>
    <m/>
    <m/>
    <m/>
    <m/>
    <n v="24"/>
    <s v="Emilly"/>
    <n v="1"/>
    <m/>
    <n v="59"/>
    <d v="2015-05-18T00:00:00"/>
    <d v="2015-05-18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69187"/>
    <n v="189998"/>
    <s v="Retorno: Par. 189998(04/12) - 018195/RAF - Mensalidades"/>
    <n v="1506.38"/>
    <d v="2015-05-08T00:00:00"/>
    <d v="1899-12-30T16:25:28"/>
    <n v="0"/>
    <n v="0"/>
    <n v="-2500815.1400002246"/>
    <m/>
    <m/>
    <n v="189998"/>
    <m/>
    <n v="1"/>
    <s v="Andre"/>
    <n v="1"/>
    <m/>
    <n v="2"/>
    <d v="2015-05-11T00:00:00"/>
    <d v="2015-05-11T00:00:00"/>
    <n v="28350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8"/>
    <n v="190013"/>
    <s v="Retorno: Par. 190013(04/12) - 018202/VEN - Mensalidades"/>
    <n v="1506.38"/>
    <d v="2015-05-08T00:00:00"/>
    <d v="1899-12-30T16:25:28"/>
    <n v="0"/>
    <n v="0"/>
    <n v="-2499308.7600002247"/>
    <m/>
    <m/>
    <n v="190013"/>
    <m/>
    <n v="1"/>
    <s v="Andre"/>
    <n v="1"/>
    <m/>
    <n v="2"/>
    <d v="2015-05-11T00:00:00"/>
    <d v="2015-05-11T00:00:00"/>
    <n v="28351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5"/>
    <n v="190165"/>
    <s v="Retorno: Par. 190165(04/12) - 019702/GIO - Mensalidades"/>
    <n v="1506.38"/>
    <d v="2015-05-08T00:00:00"/>
    <d v="1899-12-30T16:25:28"/>
    <n v="0"/>
    <n v="0"/>
    <n v="-2497802.3800002248"/>
    <m/>
    <m/>
    <n v="190165"/>
    <m/>
    <n v="1"/>
    <s v="Andre"/>
    <n v="1"/>
    <m/>
    <n v="2"/>
    <d v="2015-05-11T00:00:00"/>
    <d v="2015-05-11T00:00:00"/>
    <n v="28348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6"/>
    <n v="190117"/>
    <s v="Retorno: Par. 190117(04/12) - 018116/ING - Mensalidades"/>
    <n v="1506.38"/>
    <d v="2015-05-08T00:00:00"/>
    <d v="1899-12-30T16:25:28"/>
    <n v="0"/>
    <n v="0"/>
    <n v="-2496296.0000002249"/>
    <m/>
    <m/>
    <n v="190117"/>
    <m/>
    <n v="1"/>
    <s v="Andre"/>
    <n v="1"/>
    <m/>
    <n v="2"/>
    <d v="2015-05-11T00:00:00"/>
    <d v="2015-05-11T00:00:00"/>
    <n v="28349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9"/>
    <n v="192709"/>
    <s v="Retorno: Par. 192709(05/12) - 019619/VIT - Mensalidades"/>
    <n v="1473"/>
    <d v="2015-05-08T00:00:00"/>
    <d v="1899-12-30T16:25:28"/>
    <n v="0"/>
    <n v="0"/>
    <n v="-2494823.0000002249"/>
    <m/>
    <m/>
    <n v="192709"/>
    <m/>
    <n v="1"/>
    <s v="Andre"/>
    <n v="1"/>
    <m/>
    <n v="2"/>
    <d v="2015-05-11T00:00:00"/>
    <d v="2015-05-11T00:00:00"/>
    <n v="28352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4"/>
    <n v="190089"/>
    <s v="Retorno: Par. 190089(04/12) - 018221/EDU - Mensalidades"/>
    <n v="1506.38"/>
    <d v="2015-05-08T00:00:00"/>
    <d v="1899-12-30T16:25:28"/>
    <n v="0"/>
    <n v="0"/>
    <n v="-2493316.620000225"/>
    <m/>
    <m/>
    <n v="190089"/>
    <m/>
    <n v="1"/>
    <s v="Andre"/>
    <n v="1"/>
    <m/>
    <n v="2"/>
    <d v="2015-05-11T00:00:00"/>
    <d v="2015-05-11T00:00:00"/>
    <n v="28347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0"/>
    <n v="192951"/>
    <s v="Retorno: Par. 192951(05/12) - 018261/LUA - Mensalidades"/>
    <n v="1473"/>
    <d v="2015-05-08T00:00:00"/>
    <d v="1899-12-30T16:25:29"/>
    <n v="0"/>
    <n v="0"/>
    <n v="-2491843.620000225"/>
    <m/>
    <m/>
    <n v="192951"/>
    <m/>
    <n v="1"/>
    <s v="Andre"/>
    <n v="1"/>
    <m/>
    <n v="2"/>
    <d v="2015-05-11T00:00:00"/>
    <d v="2015-05-11T00:00:00"/>
    <n v="28353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15"/>
    <s v="Ant.Cob/123100"/>
    <s v="Banco Brb - Par. 123100(03-19)"/>
    <n v="0"/>
    <d v="2015-05-08T00:00:00"/>
    <d v="1899-12-30T16:27:42"/>
    <n v="1480.87"/>
    <n v="0"/>
    <n v="-2493324.4900002251"/>
    <m/>
    <m/>
    <m/>
    <n v="12310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6"/>
    <s v="Ant.Cob/123110"/>
    <s v="Banco Brb - Par. 123110(13-19)"/>
    <n v="0"/>
    <d v="2015-05-08T00:00:00"/>
    <d v="1899-12-30T16:27:42"/>
    <n v="1733.23"/>
    <n v="0"/>
    <n v="-2495057.7200002251"/>
    <m/>
    <m/>
    <m/>
    <n v="12311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7"/>
    <s v="Ant.Cob/123101"/>
    <s v="Banco Brb - Par. 123101(04-19)"/>
    <n v="0"/>
    <d v="2015-05-08T00:00:00"/>
    <d v="1899-12-30T16:27:42"/>
    <n v="1480.87"/>
    <n v="0"/>
    <n v="-2496538.5900002252"/>
    <m/>
    <m/>
    <m/>
    <n v="12310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0"/>
    <s v="Ant.Cob/123107"/>
    <s v="Banco Brb - Par. 123107(10-19)"/>
    <n v="0"/>
    <d v="2015-05-08T00:00:00"/>
    <d v="1899-12-30T16:27:42"/>
    <n v="52.83"/>
    <n v="0"/>
    <n v="-2496591.4200002253"/>
    <m/>
    <m/>
    <m/>
    <n v="12310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2"/>
    <s v="Ant.Cob/123108"/>
    <s v="Banco Brb - Par. 123108(11-19)"/>
    <n v="0"/>
    <d v="2015-05-08T00:00:00"/>
    <d v="1899-12-30T16:27:42"/>
    <n v="1056.6199999999999"/>
    <n v="0"/>
    <n v="-2497648.0400002254"/>
    <m/>
    <m/>
    <m/>
    <n v="12310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1"/>
    <s v="Ant.Cob/123098"/>
    <s v="Banco Brb - Par. 123098(01-19)"/>
    <n v="0"/>
    <d v="2015-05-08T00:00:00"/>
    <d v="1899-12-30T16:27:42"/>
    <n v="1480.87"/>
    <n v="0"/>
    <n v="-2499128.9100002255"/>
    <m/>
    <m/>
    <m/>
    <n v="12309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4"/>
    <s v="Ant.Cob/123109"/>
    <s v="Banco Brb - Par. 123109(12-19)"/>
    <n v="0"/>
    <d v="2015-05-08T00:00:00"/>
    <d v="1899-12-30T16:27:42"/>
    <n v="1733.23"/>
    <n v="0"/>
    <n v="-2500862.1400002255"/>
    <m/>
    <m/>
    <m/>
    <n v="12310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3"/>
    <s v="Ant.Cob/123099"/>
    <s v="Banco Brb - Par. 123099(02-19)"/>
    <n v="0"/>
    <d v="2015-05-08T00:00:00"/>
    <d v="1899-12-30T16:27:42"/>
    <n v="1480.87"/>
    <n v="0"/>
    <n v="-2502343.0100002256"/>
    <m/>
    <m/>
    <m/>
    <n v="12309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8"/>
    <s v="Ant.Cob/123111"/>
    <s v="Banco Brb - Par. 123111(14-19)"/>
    <n v="0"/>
    <d v="2015-05-08T00:00:00"/>
    <d v="1899-12-30T16:27:43"/>
    <n v="1733.23"/>
    <n v="0"/>
    <n v="-2504076.2400002256"/>
    <m/>
    <m/>
    <m/>
    <n v="12311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9"/>
    <s v="Ant.Cob/123102"/>
    <s v="Banco Brb - Par. 123102(05-19)"/>
    <n v="0"/>
    <d v="2015-05-08T00:00:00"/>
    <d v="1899-12-30T16:27:43"/>
    <n v="1480.87"/>
    <n v="0"/>
    <n v="-2505557.1100002257"/>
    <m/>
    <m/>
    <m/>
    <n v="12310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0"/>
    <s v="Ant.Cob/123112"/>
    <s v="Banco Brb - Par. 123112(15-19)"/>
    <n v="0"/>
    <d v="2015-05-08T00:00:00"/>
    <d v="1899-12-30T16:27:43"/>
    <n v="173.32"/>
    <n v="0"/>
    <n v="-2505730.4300002255"/>
    <m/>
    <m/>
    <m/>
    <n v="12311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1"/>
    <s v="Ant.Cob/123103"/>
    <s v="Banco Brb - Par. 123103(06-19)"/>
    <n v="0"/>
    <d v="2015-05-08T00:00:00"/>
    <d v="1899-12-30T16:27:43"/>
    <n v="1158.32"/>
    <n v="0"/>
    <n v="-2506888.7500002254"/>
    <m/>
    <m/>
    <m/>
    <n v="12310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2"/>
    <s v="Ant.Cob/123113"/>
    <s v="Banco Brb - Par. 123113(16-19)"/>
    <n v="0"/>
    <d v="2015-05-08T00:00:00"/>
    <d v="1899-12-30T16:27:43"/>
    <n v="1733.23"/>
    <n v="0"/>
    <n v="-2508621.9800002254"/>
    <m/>
    <m/>
    <m/>
    <n v="12311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3"/>
    <s v="Ant.Cob/123104"/>
    <s v="Banco Brb - Par. 123104(07-19)"/>
    <n v="0"/>
    <d v="2015-05-08T00:00:00"/>
    <d v="1899-12-30T16:27:43"/>
    <n v="1480.86"/>
    <n v="0"/>
    <n v="-2510102.8400002252"/>
    <m/>
    <m/>
    <m/>
    <n v="12310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4"/>
    <s v="Ant.Cob/123114"/>
    <s v="Banco Brb - Par. 123114(17-19)"/>
    <n v="0"/>
    <d v="2015-05-08T00:00:00"/>
    <d v="1899-12-30T16:27:43"/>
    <n v="86.65"/>
    <n v="0"/>
    <n v="-2510189.4900002251"/>
    <m/>
    <m/>
    <m/>
    <n v="12311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5"/>
    <s v="Ant.Cob/123105"/>
    <s v="Banco Brb - Par. 123105(08-19)"/>
    <n v="0"/>
    <d v="2015-05-08T00:00:00"/>
    <d v="1899-12-30T16:27:43"/>
    <n v="1056.6199999999999"/>
    <n v="0"/>
    <n v="-2511246.1100002252"/>
    <m/>
    <m/>
    <m/>
    <n v="12310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6"/>
    <s v="Ant.Cob/123115"/>
    <s v="Banco Brb - Par. 123115(18-19)"/>
    <n v="0"/>
    <d v="2015-05-08T00:00:00"/>
    <d v="1899-12-30T16:27:43"/>
    <n v="173.32"/>
    <n v="0"/>
    <n v="-2511419.4300002251"/>
    <m/>
    <m/>
    <m/>
    <n v="12311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7"/>
    <s v="Ant.Cob/123106"/>
    <s v="Banco Brb - Par. 123106(09-19)"/>
    <n v="0"/>
    <d v="2015-05-08T00:00:00"/>
    <d v="1899-12-30T16:27:43"/>
    <n v="1056.6199999999999"/>
    <n v="0"/>
    <n v="-2512476.0500002252"/>
    <m/>
    <m/>
    <m/>
    <n v="12310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8"/>
    <s v="Ant.Cob/123116"/>
    <s v="Banco Brb - Par. 123116(19-19)"/>
    <n v="0"/>
    <d v="2015-05-08T00:00:00"/>
    <d v="1899-12-30T16:27:44"/>
    <n v="86.65"/>
    <n v="0"/>
    <n v="-2512562.7000002251"/>
    <m/>
    <m/>
    <m/>
    <n v="12311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67"/>
    <s v="Transferência Entre Conta"/>
    <s v="Transferência Entre Conta"/>
    <n v="0"/>
    <d v="2015-05-08T00:00:00"/>
    <d v="1899-12-30T16:47:07"/>
    <n v="15000"/>
    <n v="0"/>
    <n v="-2527562.7000002251"/>
    <m/>
    <m/>
    <m/>
    <m/>
    <n v="24"/>
    <s v="Emilly"/>
    <n v="1"/>
    <m/>
    <n v="1449"/>
    <d v="2015-05-11T00:00:00"/>
    <d v="2015-05-14T00:00:00"/>
    <m/>
    <m/>
    <n v="2015"/>
    <n v="24"/>
    <m/>
    <m/>
    <m/>
    <m/>
    <s v="Transferência entre contas"/>
    <x v="2"/>
    <s v="COLÉGIO OLIMPO LTDA"/>
    <m/>
    <n v="97"/>
    <n v="8"/>
    <s v="Transferência Bancária"/>
    <m/>
    <m/>
    <m/>
    <n v="0"/>
    <m/>
    <n v="123"/>
    <s v="BICBANCO [42.102673-4] [GYN] [CH]"/>
    <m/>
    <m/>
    <m/>
  </r>
  <r>
    <n v="269270"/>
    <s v="Transferência Entre Conta"/>
    <s v="Destino: 269267-Transferência Entre Conta"/>
    <n v="15000"/>
    <d v="2015-05-08T00:00:00"/>
    <d v="1899-12-30T16:47:07"/>
    <n v="0"/>
    <n v="0"/>
    <n v="-2512562.7000002251"/>
    <m/>
    <m/>
    <m/>
    <m/>
    <n v="24"/>
    <s v="Emilly"/>
    <n v="1"/>
    <m/>
    <n v="1449"/>
    <d v="2015-05-11T00:00:00"/>
    <d v="2015-05-14T00:00:00"/>
    <m/>
    <m/>
    <n v="2015"/>
    <n v="24"/>
    <m/>
    <m/>
    <n v="269267"/>
    <m/>
    <s v="Transferência entre contas"/>
    <x v="2"/>
    <s v="COLÉGIO OLIMPO LTDA"/>
    <m/>
    <n v="123"/>
    <n v="8"/>
    <s v="Transferência Bancária"/>
    <m/>
    <m/>
    <m/>
    <n v="0"/>
    <m/>
    <m/>
    <s v="SANTANDER SOL 3369-0"/>
    <m/>
    <m/>
    <m/>
  </r>
  <r>
    <n v="275896"/>
    <s v="Extrato/128446"/>
    <s v="Banco Brb - Par. 128446(09-12)"/>
    <n v="0"/>
    <d v="2015-05-08T00:00:00"/>
    <d v="1899-12-30T17:04:30"/>
    <n v="12.5"/>
    <n v="0"/>
    <n v="-2512575.2000002251"/>
    <m/>
    <m/>
    <m/>
    <n v="128446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2"/>
    <s v="COLÉGIO OLIMPO LTDA"/>
    <m/>
    <n v="13"/>
    <n v="9"/>
    <s v="Débito em conta"/>
    <m/>
    <n v="0"/>
    <m/>
    <n v="0"/>
    <m/>
    <m/>
    <s v="BRB [BER] [011851-1] [CC]"/>
    <m/>
    <m/>
    <m/>
  </r>
  <r>
    <n v="275984"/>
    <s v="Extrato/128528"/>
    <s v="Banco Brb - Cód. 128528"/>
    <n v="0"/>
    <d v="2015-05-08T00:00:00"/>
    <d v="1899-12-30T17:37:00"/>
    <n v="12.5"/>
    <n v="0"/>
    <n v="-2512587.7000002251"/>
    <m/>
    <m/>
    <m/>
    <n v="12852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s v="COLÉGIO OLIMPO LTDA"/>
    <m/>
    <n v="14"/>
    <n v="9"/>
    <s v="Débito em conta"/>
    <m/>
    <n v="0"/>
    <m/>
    <n v="0"/>
    <m/>
    <m/>
    <s v="BRB [MAR] [011852-0] [CC]"/>
    <m/>
    <m/>
    <m/>
  </r>
  <r>
    <n v="269755"/>
    <s v="442245/123260"/>
    <s v="Posto De Combustível - Cód. 123260"/>
    <n v="0"/>
    <d v="2015-05-09T00:00:00"/>
    <d v="1899-12-30T10:51:44"/>
    <n v="50"/>
    <n v="0"/>
    <n v="-2512637.7000002251"/>
    <m/>
    <m/>
    <m/>
    <n v="123260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9747"/>
    <s v="Recibo/123247"/>
    <s v="A Cristalina Piscinas Limpeza E Tratamen - Cód. 123247"/>
    <n v="0"/>
    <d v="2015-05-10T00:00:00"/>
    <d v="1899-12-30T10:37:20"/>
    <n v="150"/>
    <n v="0"/>
    <n v="-2512787.7000002251"/>
    <m/>
    <m/>
    <m/>
    <n v="123247"/>
    <n v="24"/>
    <s v="Emilly"/>
    <n v="1"/>
    <m/>
    <n v="547"/>
    <d v="2015-05-13T00:00:00"/>
    <d v="2015-05-13T00:00:00"/>
    <m/>
    <m/>
    <n v="2015"/>
    <n v="24"/>
    <m/>
    <m/>
    <m/>
    <m/>
    <s v="CA.Manutenção  Piscinas / Jardinagem (DESPESA)"/>
    <x v="1"/>
    <s v="COLÉGIO OLIMPO LTDA"/>
    <m/>
    <n v="56"/>
    <n v="1"/>
    <s v="Dinheiro"/>
    <m/>
    <n v="0"/>
    <m/>
    <n v="0"/>
    <m/>
    <m/>
    <s v="CAIXA TESOURARIA"/>
    <m/>
    <m/>
    <m/>
  </r>
  <r>
    <n v="269748"/>
    <s v="Recibo/123248"/>
    <s v="A Cristalina Piscinas Limpeza E Tratamen - Cód. 123248"/>
    <n v="0"/>
    <d v="2015-05-10T00:00:00"/>
    <d v="1899-12-30T10:37:20"/>
    <n v="150"/>
    <n v="0"/>
    <n v="-2512937.7000002251"/>
    <m/>
    <m/>
    <m/>
    <n v="123248"/>
    <n v="24"/>
    <s v="Emilly"/>
    <n v="1"/>
    <m/>
    <n v="155"/>
    <d v="2015-05-13T00:00:00"/>
    <d v="2015-05-13T00:00:00"/>
    <m/>
    <m/>
    <n v="2015"/>
    <n v="24"/>
    <m/>
    <m/>
    <m/>
    <m/>
    <s v="T-3.Manutenção  Piscinas / Jardinagem"/>
    <x v="1"/>
    <s v="COLÉGIO OLIMPO LTDA"/>
    <m/>
    <n v="56"/>
    <n v="1"/>
    <s v="Dinheiro"/>
    <m/>
    <n v="0"/>
    <m/>
    <n v="0"/>
    <m/>
    <m/>
    <s v="CAIXA TESOURARIA"/>
    <m/>
    <m/>
    <m/>
  </r>
  <r>
    <n v="269749"/>
    <s v="Recibo/123249"/>
    <s v="A Cristalina Piscinas Limpeza E Tratamen - Cód. 123249"/>
    <n v="0"/>
    <d v="2015-05-10T00:00:00"/>
    <d v="1899-12-30T10:37:20"/>
    <n v="150"/>
    <n v="0"/>
    <n v="-2513087.7000002251"/>
    <m/>
    <m/>
    <m/>
    <n v="123249"/>
    <n v="24"/>
    <s v="Emilly"/>
    <n v="1"/>
    <m/>
    <n v="352"/>
    <d v="2015-05-13T00:00:00"/>
    <d v="2015-05-13T00:00:00"/>
    <m/>
    <m/>
    <n v="2015"/>
    <n v="24"/>
    <m/>
    <m/>
    <m/>
    <m/>
    <s v="Marista.Manutenção  Piscinas / Jardinagem "/>
    <x v="1"/>
    <s v="COLÉGIO OLIMPO LTDA"/>
    <m/>
    <n v="56"/>
    <n v="1"/>
    <s v="Dinheiro"/>
    <m/>
    <n v="0"/>
    <m/>
    <n v="0"/>
    <m/>
    <m/>
    <s v="CAIXA TESOURARIA"/>
    <m/>
    <m/>
    <m/>
  </r>
  <r>
    <n v="272907"/>
    <s v="Fiscais/125107"/>
    <s v="Fiscais De Prova - Cód. 125107"/>
    <n v="0"/>
    <d v="2015-05-10T00:00:00"/>
    <d v="1899-12-30T15:48:26"/>
    <n v="630"/>
    <n v="0"/>
    <n v="-2513717.7000002251"/>
    <m/>
    <m/>
    <m/>
    <n v="125107"/>
    <n v="24"/>
    <s v="Emilly"/>
    <n v="1"/>
    <m/>
    <n v="139"/>
    <d v="2015-06-11T00:00:00"/>
    <d v="2015-06-11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0132"/>
    <s v="Abril/123491"/>
    <s v="Ronnie Carlos Lourenço - Cód. 123491"/>
    <n v="0"/>
    <d v="2015-05-11T00:00:00"/>
    <d v="1899-12-30T08:58:56"/>
    <n v="1680.01"/>
    <n v="0"/>
    <n v="-2515397.7100002249"/>
    <m/>
    <m/>
    <m/>
    <n v="12349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3"/>
    <s v="Abril/123494"/>
    <s v="Sirley Lino Marengão - Cód. 123494"/>
    <n v="0"/>
    <d v="2015-05-11T00:00:00"/>
    <d v="1899-12-30T08:59:15"/>
    <n v="1519.46"/>
    <n v="0"/>
    <n v="-2516917.1700002248"/>
    <m/>
    <m/>
    <m/>
    <n v="123494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4"/>
    <s v="Abril/123480"/>
    <s v="José Carlos Formoso Lima  - Cód. 123480"/>
    <n v="0"/>
    <d v="2015-05-11T00:00:00"/>
    <d v="1899-12-30T09:00:00"/>
    <n v="463.73"/>
    <n v="0"/>
    <n v="-2517380.9000002248"/>
    <m/>
    <m/>
    <m/>
    <n v="123480"/>
    <n v="24"/>
    <s v="Emilly"/>
    <n v="1"/>
    <m/>
    <n v="578"/>
    <d v="2015-05-18T00:00:00"/>
    <d v="2015-05-18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5"/>
    <s v="Abril/123481"/>
    <s v="Marcelo Miguel Martins Pelisson - Cód. 123481"/>
    <n v="0"/>
    <d v="2015-05-11T00:00:00"/>
    <d v="1899-12-30T09:00:28"/>
    <n v="846.15"/>
    <n v="0"/>
    <n v="-2518227.0500002247"/>
    <m/>
    <m/>
    <m/>
    <n v="12348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6"/>
    <s v="Abril/123488"/>
    <s v="Neilon Carlos Santos - Cód. 123488"/>
    <n v="0"/>
    <d v="2015-05-11T00:00:00"/>
    <d v="1899-12-30T09:00:48"/>
    <n v="4844.5600000000004"/>
    <n v="0"/>
    <n v="-2523071.6100002248"/>
    <m/>
    <m/>
    <m/>
    <n v="123488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7"/>
    <s v="Abril/123499"/>
    <s v="Paulo Eduardo Santos de Faria - Cód. 123499"/>
    <n v="0"/>
    <d v="2015-05-11T00:00:00"/>
    <d v="1899-12-30T09:01:02"/>
    <n v="1282.05"/>
    <n v="0"/>
    <n v="-2524353.6600002246"/>
    <m/>
    <m/>
    <m/>
    <n v="123499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8"/>
    <s v="Abril/123490"/>
    <s v="Rômulo José Rodrigues - Cód. 123490"/>
    <n v="0"/>
    <d v="2015-05-11T00:00:00"/>
    <d v="1899-12-30T09:01:17"/>
    <n v="2585.79"/>
    <n v="0"/>
    <n v="-2526939.4500002246"/>
    <m/>
    <m/>
    <m/>
    <n v="1234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9"/>
    <s v="Abril/123492"/>
    <s v="Rosselini Criistini Da Silva Albino - Cód. 123492"/>
    <n v="0"/>
    <d v="2015-05-11T00:00:00"/>
    <d v="1899-12-30T09:01:34"/>
    <n v="4838.1400000000003"/>
    <n v="0"/>
    <n v="-2531777.5900002248"/>
    <m/>
    <m/>
    <m/>
    <n v="123492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0"/>
    <s v="Abril/123493"/>
    <s v="Sidney Tadeu Santiago Costa - Cód. 123493"/>
    <n v="0"/>
    <d v="2015-05-11T00:00:00"/>
    <d v="1899-12-30T09:01:48"/>
    <n v="1282.05"/>
    <n v="0"/>
    <n v="-2533059.6400002246"/>
    <m/>
    <m/>
    <m/>
    <n v="123493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1"/>
    <s v="Abril/123495"/>
    <s v="Tasso César Azeredo - Cód. 123495"/>
    <n v="0"/>
    <d v="2015-05-11T00:00:00"/>
    <d v="1899-12-30T09:02:04"/>
    <n v="846.15"/>
    <n v="0"/>
    <n v="-2533905.7900002245"/>
    <m/>
    <m/>
    <m/>
    <n v="123495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2"/>
    <s v="Abril/123497"/>
    <s v="Wesley Pereira Nunes Da Silva - Cód. 123497"/>
    <n v="0"/>
    <d v="2015-05-11T00:00:00"/>
    <d v="1899-12-30T09:02:21"/>
    <n v="3044.57"/>
    <n v="0"/>
    <n v="-2536950.3600002243"/>
    <m/>
    <m/>
    <m/>
    <n v="123497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3"/>
    <s v="Abril/123498"/>
    <s v="Willian Juliano Dias Alencar - Cód. 123498"/>
    <n v="0"/>
    <d v="2015-05-11T00:00:00"/>
    <d v="1899-12-30T09:02:38"/>
    <n v="3423.47"/>
    <n v="0"/>
    <n v="-2540373.8300002245"/>
    <m/>
    <m/>
    <m/>
    <n v="123498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4"/>
    <s v="Abril/123486"/>
    <s v="Moisés Vinicius Silva Rodrigues Martins  - Cód. 123486"/>
    <n v="0"/>
    <d v="2015-05-11T00:00:00"/>
    <d v="1899-12-30T09:03:29"/>
    <n v="2101"/>
    <n v="0"/>
    <n v="-2542474.8300002245"/>
    <m/>
    <m/>
    <m/>
    <n v="12348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75"/>
    <s v="Abril/123418"/>
    <s v="Brenner Da Paixao Rodrigues - Cód. 123418"/>
    <n v="0"/>
    <d v="2015-05-11T00:00:00"/>
    <d v="1899-12-30T09:33:00"/>
    <n v="4628.66"/>
    <n v="0"/>
    <n v="-2547103.4900002247"/>
    <m/>
    <m/>
    <m/>
    <n v="12341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76"/>
    <s v="Abril/123446"/>
    <s v="Daniel Lemes De Souza  - Cód. 123446"/>
    <n v="0"/>
    <d v="2015-05-11T00:00:00"/>
    <d v="1899-12-30T09:33:19"/>
    <n v="5120.32"/>
    <n v="0"/>
    <n v="-2552223.8100002245"/>
    <m/>
    <m/>
    <m/>
    <n v="123446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77"/>
    <s v="Abril/123460"/>
    <s v="Francine Gisele Morelato Ferreira  - Cód. 123460"/>
    <n v="0"/>
    <d v="2015-05-11T00:00:00"/>
    <d v="1899-12-30T09:33:39"/>
    <n v="1650.77"/>
    <n v="0"/>
    <n v="-2553874.5800002245"/>
    <m/>
    <m/>
    <m/>
    <n v="12346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78"/>
    <s v="Abril/123462"/>
    <s v="Gabriel De Paula  - Cód. 123462"/>
    <n v="0"/>
    <d v="2015-05-11T00:00:00"/>
    <d v="1899-12-30T09:33:57"/>
    <n v="2225.37"/>
    <n v="0"/>
    <n v="-2556099.9500002246"/>
    <m/>
    <m/>
    <m/>
    <n v="123462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724"/>
    <s v="Fiscais/123238"/>
    <s v="Fiscais De Prova - Cód. 123238"/>
    <n v="0"/>
    <d v="2015-05-11T00:00:00"/>
    <d v="1899-12-30T09:39:27"/>
    <n v="1260"/>
    <n v="0"/>
    <n v="-2557359.9500002246"/>
    <m/>
    <m/>
    <m/>
    <n v="123238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0179"/>
    <s v="Abril /123423"/>
    <s v="Cássio Rodrigues Da Silveira - Cód. 123423"/>
    <n v="0"/>
    <d v="2015-05-11T00:00:00"/>
    <d v="1899-12-30T09:39:47"/>
    <n v="5709.52"/>
    <n v="0"/>
    <n v="-2563069.4700002247"/>
    <m/>
    <m/>
    <m/>
    <n v="123423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0"/>
    <s v="Abril/123425"/>
    <s v="Cecília Alves De Assis - Cód. 123425"/>
    <n v="0"/>
    <d v="2015-05-11T00:00:00"/>
    <d v="1899-12-30T09:40:01"/>
    <n v="1923.08"/>
    <n v="0"/>
    <n v="-2564992.5500002247"/>
    <m/>
    <m/>
    <m/>
    <n v="123425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1"/>
    <s v="Abril/123427"/>
    <s v="César Mendes De Alcântara - Cód. 123427"/>
    <n v="0"/>
    <d v="2015-05-11T00:00:00"/>
    <d v="1899-12-30T09:40:14"/>
    <n v="5717.85"/>
    <n v="0"/>
    <n v="-2570710.4000002248"/>
    <m/>
    <m/>
    <m/>
    <n v="12342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2"/>
    <s v="Abril/123438"/>
    <s v="Cleiton Duarte Ferreira - Cód. 123438"/>
    <n v="0"/>
    <d v="2015-05-11T00:00:00"/>
    <d v="1899-12-30T09:40:28"/>
    <n v="7937.8"/>
    <n v="0"/>
    <n v="-2578648.2000002246"/>
    <m/>
    <m/>
    <m/>
    <n v="12343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3"/>
    <s v="Abril/123444"/>
    <s v="Consuelo Goncalves Holanda - Cód. 123444"/>
    <n v="0"/>
    <d v="2015-05-11T00:00:00"/>
    <d v="1899-12-30T09:40:44"/>
    <n v="1944.45"/>
    <n v="0"/>
    <n v="-2580592.6500002248"/>
    <m/>
    <m/>
    <m/>
    <n v="123444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4"/>
    <s v="Abril/123448"/>
    <s v="Dênia Cristina De Paula Santos - Cód. 123448"/>
    <n v="0"/>
    <d v="2015-05-11T00:00:00"/>
    <d v="1899-12-30T09:40:59"/>
    <n v="4769.17"/>
    <n v="0"/>
    <n v="-2585361.8200002247"/>
    <m/>
    <m/>
    <m/>
    <n v="12344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5"/>
    <s v="Abril/123450"/>
    <s v="Divina Severina Batista De Morais  - Cód. 123450"/>
    <n v="0"/>
    <d v="2015-05-11T00:00:00"/>
    <d v="1899-12-30T09:41:14"/>
    <n v="3535"/>
    <n v="0"/>
    <n v="-2588896.8200002247"/>
    <m/>
    <m/>
    <m/>
    <n v="12345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6"/>
    <s v="Abril/123457"/>
    <s v="Fabrício Pacheco Costa - Cód. 123457"/>
    <n v="0"/>
    <d v="2015-05-11T00:00:00"/>
    <d v="1899-12-30T09:43:05"/>
    <n v="9999.2000000000007"/>
    <n v="0"/>
    <n v="-2598896.0200002249"/>
    <m/>
    <m/>
    <m/>
    <n v="12345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7"/>
    <s v="Abril/123459"/>
    <s v="Fernando Marinho Ferreira  - Cód. 123459"/>
    <n v="0"/>
    <d v="2015-05-11T00:00:00"/>
    <d v="1899-12-30T09:43:23"/>
    <n v="846.15"/>
    <n v="0"/>
    <n v="-2599742.1700002248"/>
    <m/>
    <m/>
    <m/>
    <n v="123459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8"/>
    <s v="Abril/123461"/>
    <s v="Francisco José  Bertrand Silva Thé  - Cód. 123461"/>
    <n v="0"/>
    <d v="2015-05-11T00:00:00"/>
    <d v="1899-12-30T09:43:40"/>
    <n v="11645.23"/>
    <n v="0"/>
    <n v="-2611387.4000002248"/>
    <m/>
    <m/>
    <m/>
    <n v="123461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9"/>
    <s v="Abril/123464"/>
    <s v="Gildo Ribeiro Da Silva Filho - Cód. 123464"/>
    <n v="0"/>
    <d v="2015-05-11T00:00:00"/>
    <d v="1899-12-30T09:43:54"/>
    <n v="2090.75"/>
    <n v="0"/>
    <n v="-2613478.1500002248"/>
    <m/>
    <m/>
    <m/>
    <n v="123464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0"/>
    <s v="Abril/123470"/>
    <s v="Gregorio Echeverria de Carvalho - Cód. 123470"/>
    <n v="0"/>
    <d v="2015-05-11T00:00:00"/>
    <d v="1899-12-30T09:44:09"/>
    <n v="3221.27"/>
    <n v="0"/>
    <n v="-2616699.4200002248"/>
    <m/>
    <m/>
    <m/>
    <n v="12347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1"/>
    <s v="Abril/123505"/>
    <s v="Hawley Ferreira Furtado - Cód. 123505"/>
    <n v="0"/>
    <d v="2015-05-11T00:00:00"/>
    <d v="1899-12-30T09:44:24"/>
    <n v="5285.21"/>
    <n v="0"/>
    <n v="-2621984.6300002248"/>
    <m/>
    <m/>
    <m/>
    <n v="123505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2"/>
    <s v="Abril/123506"/>
    <s v="Henrique Delano De Matos - Cód. 123506"/>
    <n v="0"/>
    <d v="2015-05-11T00:00:00"/>
    <d v="1899-12-30T09:44:41"/>
    <n v="2149.8200000000002"/>
    <n v="0"/>
    <n v="-2624134.4500002246"/>
    <m/>
    <m/>
    <m/>
    <n v="123506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3"/>
    <s v="Abril/123507"/>
    <s v="Ivan Lazzarini  Mendes - Cód. 123507"/>
    <n v="0"/>
    <d v="2015-05-11T00:00:00"/>
    <d v="1899-12-30T09:44:55"/>
    <n v="4095.44"/>
    <n v="0"/>
    <n v="-2628229.8900002246"/>
    <m/>
    <m/>
    <m/>
    <n v="12350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4"/>
    <s v="Abril/123509"/>
    <s v="José Carlos Formoso Lima  - Cód. 123509"/>
    <n v="0"/>
    <d v="2015-05-11T00:00:00"/>
    <d v="1899-12-30T09:45:30"/>
    <n v="2786.28"/>
    <n v="0"/>
    <n v="-2631016.1700002244"/>
    <m/>
    <m/>
    <m/>
    <n v="123509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5"/>
    <s v="Abril/123510"/>
    <s v="Júlio César Da Cunha - Cód. 123510"/>
    <n v="0"/>
    <d v="2015-05-11T00:00:00"/>
    <d v="1899-12-30T09:45:45"/>
    <n v="5728.28"/>
    <n v="0"/>
    <n v="-2636744.4500002242"/>
    <m/>
    <m/>
    <m/>
    <n v="12351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6"/>
    <s v="Abril/123511"/>
    <s v="Júlio César Lopes Azevedo - Cód. 123511"/>
    <n v="0"/>
    <d v="2015-05-11T00:00:00"/>
    <d v="1899-12-30T09:46:00"/>
    <n v="2525.9899999999998"/>
    <n v="0"/>
    <n v="-2639270.4400002244"/>
    <m/>
    <m/>
    <m/>
    <n v="123511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28"/>
    <s v="Abril/123294"/>
    <s v="Folha De Pagamento - Cantina - Cód. 123294"/>
    <n v="0"/>
    <d v="2015-05-11T00:00:00"/>
    <d v="1899-12-30T09:56:20"/>
    <n v="30894.9"/>
    <n v="0"/>
    <n v="-2670165.3400002243"/>
    <m/>
    <m/>
    <m/>
    <n v="123294"/>
    <n v="25"/>
    <s v="Marcela"/>
    <n v="1"/>
    <m/>
    <n v="408"/>
    <d v="2015-05-20T00:00:00"/>
    <d v="2015-05-20T00:00:00"/>
    <m/>
    <m/>
    <n v="2015"/>
    <n v="25"/>
    <m/>
    <m/>
    <m/>
    <m/>
    <s v="Cantina.Pagamento de Salário"/>
    <x v="1"/>
    <s v="COLÉGIO OLIMPO LTDA"/>
    <m/>
    <n v="42"/>
    <n v="9"/>
    <s v="Débito em conta"/>
    <m/>
    <n v="0"/>
    <m/>
    <n v="0"/>
    <m/>
    <m/>
    <s v="BRB [CAN] [012037-0] [CC]"/>
    <m/>
    <m/>
    <m/>
  </r>
  <r>
    <n v="270329"/>
    <s v="Abril/123517"/>
    <s v="Luciano Dorkas Fraga - Cód. 123517"/>
    <n v="0"/>
    <d v="2015-05-11T00:00:00"/>
    <d v="1899-12-30T09:56:53"/>
    <n v="2225.37"/>
    <n v="0"/>
    <n v="-2672390.7100002244"/>
    <m/>
    <m/>
    <m/>
    <n v="12351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1"/>
    <s v="Abril/123519"/>
    <s v="Lucio Costa Tovar - Cód. 123519"/>
    <n v="0"/>
    <d v="2015-05-11T00:00:00"/>
    <d v="1899-12-30T10:01:26"/>
    <n v="3446.3"/>
    <n v="0"/>
    <n v="-2675837.0100002242"/>
    <m/>
    <m/>
    <m/>
    <n v="12351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2"/>
    <s v="Abril/123552"/>
    <s v="Ronnie Carlos Lourenço - Cód. 123552"/>
    <n v="0"/>
    <d v="2015-05-11T00:00:00"/>
    <d v="1899-12-30T10:01:46"/>
    <n v="855.96"/>
    <n v="0"/>
    <n v="-2676692.9700002242"/>
    <m/>
    <m/>
    <m/>
    <n v="12355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3"/>
    <s v="Abril/123561"/>
    <s v="Sirley Lino Marengão - Cód. 123561"/>
    <n v="0"/>
    <d v="2015-05-11T00:00:00"/>
    <d v="1899-12-30T10:02:30"/>
    <n v="3396.58"/>
    <n v="0"/>
    <n v="-2680089.5500002243"/>
    <m/>
    <m/>
    <m/>
    <n v="12356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4"/>
    <s v="Abril/123512"/>
    <s v="Lafayette Spósito Goyano Jota - Cód. 123512"/>
    <n v="0"/>
    <d v="2015-05-11T00:00:00"/>
    <d v="1899-12-30T10:03:03"/>
    <n v="6068.32"/>
    <n v="0"/>
    <n v="-2686157.8700002241"/>
    <m/>
    <m/>
    <m/>
    <n v="12351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5"/>
    <s v="Abril/123513"/>
    <s v="Leandro Rocha Resende - Cód. 123513"/>
    <n v="0"/>
    <d v="2015-05-11T00:00:00"/>
    <d v="1899-12-30T10:03:25"/>
    <n v="4155.58"/>
    <n v="0"/>
    <n v="-2690313.4500002242"/>
    <m/>
    <m/>
    <m/>
    <n v="123513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8"/>
    <s v="Abril/123514"/>
    <s v="Leopoldo Alcântara De Jesus - Cód. 123514"/>
    <n v="0"/>
    <d v="2015-05-11T00:00:00"/>
    <d v="1899-12-30T10:03:55"/>
    <n v="3535"/>
    <n v="0"/>
    <n v="-2693848.4500002242"/>
    <m/>
    <m/>
    <m/>
    <n v="12351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9"/>
    <s v="Abril/123516"/>
    <s v="Luciana Christina De Oliveira E Silva  - Cód. 123516"/>
    <n v="0"/>
    <d v="2015-05-11T00:00:00"/>
    <d v="1899-12-30T10:04:12"/>
    <n v="4161.42"/>
    <n v="0"/>
    <n v="-2698009.8700002241"/>
    <m/>
    <m/>
    <m/>
    <n v="123516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0"/>
    <s v="Abril/123520"/>
    <s v="Luís Carlos Camacho  - Cód. 123520"/>
    <n v="0"/>
    <d v="2015-05-11T00:00:00"/>
    <d v="1899-12-30T10:04:52"/>
    <n v="1277.8499999999999"/>
    <n v="0"/>
    <n v="-2699287.7200002242"/>
    <m/>
    <m/>
    <m/>
    <n v="123520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1"/>
    <s v="Abril/123521"/>
    <s v="Luiz Henrique Mundim Aguiar  - Cód. 123521"/>
    <n v="0"/>
    <d v="2015-05-11T00:00:00"/>
    <d v="1899-12-30T10:05:14"/>
    <n v="9265.52"/>
    <n v="0"/>
    <n v="-2708553.2400002242"/>
    <m/>
    <m/>
    <m/>
    <n v="12352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2"/>
    <s v="Abril/123525"/>
    <s v="Marcello Salviano Mendonça Lopes - Cód. 123525"/>
    <n v="0"/>
    <d v="2015-05-11T00:00:00"/>
    <d v="1899-12-30T10:05:31"/>
    <n v="2486.2600000000002"/>
    <n v="0"/>
    <n v="-2711039.500000224"/>
    <m/>
    <m/>
    <m/>
    <n v="123525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3"/>
    <s v="Abril/123529"/>
    <s v="Marcelo Augusto De Lacerda Borges - Cód. 123529"/>
    <n v="0"/>
    <d v="2015-05-11T00:00:00"/>
    <d v="1899-12-30T10:05:50"/>
    <n v="4000.58"/>
    <n v="0"/>
    <n v="-2715040.0800002241"/>
    <m/>
    <m/>
    <m/>
    <n v="12352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4"/>
    <s v="Abril/123531"/>
    <s v="Marcelo Miguel Martins Pelisson - Cód. 123531"/>
    <n v="0"/>
    <d v="2015-05-11T00:00:00"/>
    <d v="1899-12-30T10:06:12"/>
    <n v="6377.83"/>
    <n v="0"/>
    <n v="-2721417.9100002241"/>
    <m/>
    <m/>
    <m/>
    <n v="12353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6"/>
    <s v="Abril/123536"/>
    <s v="Maria Lúcia Zambon Alves - Cód. 123536"/>
    <n v="0"/>
    <d v="2015-05-11T00:00:00"/>
    <d v="1899-12-30T10:07:07"/>
    <n v="7307.63"/>
    <n v="0"/>
    <n v="-2728725.540000224"/>
    <m/>
    <m/>
    <m/>
    <n v="123536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7"/>
    <s v="Abril/123538"/>
    <s v="Mariana Do Carmo Pacheco  - Cód. 123538"/>
    <n v="0"/>
    <d v="2015-05-11T00:00:00"/>
    <d v="1899-12-30T10:07:24"/>
    <n v="3301.62"/>
    <n v="0"/>
    <n v="-2732027.1600002241"/>
    <m/>
    <m/>
    <m/>
    <n v="12353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8"/>
    <s v="Abril/123539"/>
    <s v="Moacir Luciano Moreira Júnior - Cód. 123539"/>
    <n v="0"/>
    <d v="2015-05-11T00:00:00"/>
    <d v="1899-12-30T10:07:41"/>
    <n v="8392.0499999999993"/>
    <n v="0"/>
    <n v="-2740419.2100002239"/>
    <m/>
    <m/>
    <m/>
    <n v="12353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9"/>
    <s v="Abril/123541"/>
    <s v="Moisés Vinicius Silva Rodrigues Martins  - Cód. 123541"/>
    <n v="0"/>
    <d v="2015-05-11T00:00:00"/>
    <d v="1899-12-30T10:08:01"/>
    <n v="8508.49"/>
    <n v="0"/>
    <n v="-2748927.7000002242"/>
    <m/>
    <m/>
    <m/>
    <n v="12354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0"/>
    <s v="Abril/123542"/>
    <s v="Neilon Carlos Santos - Cód. 123542"/>
    <n v="0"/>
    <d v="2015-05-11T00:00:00"/>
    <d v="1899-12-30T10:08:17"/>
    <n v="5141.1000000000004"/>
    <n v="0"/>
    <n v="-2754068.8000002243"/>
    <m/>
    <m/>
    <m/>
    <n v="12354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2"/>
    <s v="Abril/123544"/>
    <s v="Paulo Eduardo Santos de Faria - Cód. 123544"/>
    <n v="0"/>
    <d v="2015-05-11T00:00:00"/>
    <d v="1899-12-30T10:08:33"/>
    <n v="3828.66"/>
    <n v="0"/>
    <n v="-2757897.4600002244"/>
    <m/>
    <m/>
    <m/>
    <n v="12354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3"/>
    <s v="Abril/123545"/>
    <s v="Raul de Sousa Majadas - Cód. 123545"/>
    <n v="0"/>
    <d v="2015-05-11T00:00:00"/>
    <d v="1899-12-30T10:08:48"/>
    <n v="3428.23"/>
    <n v="0"/>
    <n v="-2761325.6900002244"/>
    <m/>
    <m/>
    <m/>
    <n v="123545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4"/>
    <s v="Abril/123547"/>
    <s v="Rodrigo de Araujo Silveira - Cód. 123547"/>
    <n v="0"/>
    <d v="2015-05-11T00:00:00"/>
    <d v="1899-12-30T10:09:04"/>
    <n v="4364.62"/>
    <n v="0"/>
    <n v="-2765690.3100002245"/>
    <m/>
    <m/>
    <m/>
    <n v="12354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6"/>
    <s v="Abril/123548"/>
    <s v="Rogério Carlos Camargo Matias  - Cód. 123548"/>
    <n v="0"/>
    <d v="2015-05-11T00:00:00"/>
    <d v="1899-12-30T10:09:19"/>
    <n v="4564.1899999999996"/>
    <n v="0"/>
    <n v="-2770254.5000002244"/>
    <m/>
    <m/>
    <m/>
    <n v="12354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7"/>
    <s v="Abril/123549"/>
    <s v="Rogério Gonçalves - Cód. 123549"/>
    <n v="0"/>
    <d v="2015-05-11T00:00:00"/>
    <d v="1899-12-30T10:09:35"/>
    <n v="5074.7299999999996"/>
    <n v="0"/>
    <n v="-2775329.2300002244"/>
    <m/>
    <m/>
    <m/>
    <n v="12354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8"/>
    <s v="Abril/123551"/>
    <s v="Rômulo José Rodrigues - Cód. 123551"/>
    <n v="0"/>
    <d v="2015-05-11T00:00:00"/>
    <d v="1899-12-30T10:09:51"/>
    <n v="2610.36"/>
    <n v="0"/>
    <n v="-2777939.5900002243"/>
    <m/>
    <m/>
    <m/>
    <n v="12355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60"/>
    <s v="Abril/123553"/>
    <s v="Rosselini Criistini Da Silva Albino - Cód. 123553"/>
    <n v="0"/>
    <d v="2015-05-11T00:00:00"/>
    <d v="1899-12-30T10:10:06"/>
    <n v="3610.86"/>
    <n v="0"/>
    <n v="-2781550.4500002242"/>
    <m/>
    <m/>
    <m/>
    <n v="123553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61"/>
    <s v="Abril/123558"/>
    <s v="Sidney Tadeu Santiago Costa - Cód. 123558"/>
    <n v="0"/>
    <d v="2015-05-11T00:00:00"/>
    <d v="1899-12-30T10:10:23"/>
    <n v="5348.23"/>
    <n v="0"/>
    <n v="-2786898.6800002242"/>
    <m/>
    <m/>
    <m/>
    <n v="12355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69"/>
    <s v="Abril/123562"/>
    <s v="Tasso César Azeredo - Cód. 123562"/>
    <n v="0"/>
    <d v="2015-05-11T00:00:00"/>
    <d v="1899-12-30T10:11:24"/>
    <n v="4155.58"/>
    <n v="0"/>
    <n v="-2791054.2600002242"/>
    <m/>
    <m/>
    <m/>
    <n v="12356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0"/>
    <s v="Abril/123568"/>
    <s v="Umberto Malanga - Cód. 123568"/>
    <n v="0"/>
    <d v="2015-05-11T00:00:00"/>
    <d v="1899-12-30T10:11:54"/>
    <n v="4530"/>
    <n v="0"/>
    <n v="-2795584.2600002242"/>
    <m/>
    <m/>
    <m/>
    <n v="12356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1"/>
    <s v="Abril/123567"/>
    <s v="Vitor Rodrigues Braga De Souza - Cód. 123567"/>
    <n v="0"/>
    <d v="2015-05-11T00:00:00"/>
    <d v="1899-12-30T10:12:12"/>
    <n v="7927.29"/>
    <n v="0"/>
    <n v="-2803511.5500002243"/>
    <m/>
    <m/>
    <m/>
    <n v="12356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2"/>
    <s v="Abril/123570"/>
    <s v="Wellerson Miguel Da Cruz - Cód. 123570"/>
    <n v="0"/>
    <d v="2015-05-11T00:00:00"/>
    <d v="1899-12-30T10:12:29"/>
    <n v="2089.9299999999998"/>
    <n v="0"/>
    <n v="-2805601.4800002244"/>
    <m/>
    <m/>
    <m/>
    <n v="123570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3"/>
    <s v="Abril/123571"/>
    <s v="Welson Luiz Felipe - Cód. 123571"/>
    <n v="0"/>
    <d v="2015-05-11T00:00:00"/>
    <d v="1899-12-30T10:12:45"/>
    <n v="2486.2600000000002"/>
    <n v="0"/>
    <n v="-2808087.7400002242"/>
    <m/>
    <m/>
    <m/>
    <n v="12357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4"/>
    <s v="Abril/123572"/>
    <s v="Wesley Pereira Nunes Da Silva - Cód. 123572"/>
    <n v="0"/>
    <d v="2015-05-11T00:00:00"/>
    <d v="1899-12-30T10:13:02"/>
    <n v="4450.17"/>
    <n v="0"/>
    <n v="-2812537.9100002241"/>
    <m/>
    <m/>
    <m/>
    <n v="12357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5"/>
    <s v="Abril/123574"/>
    <s v="Willian Juliano Dias Alencar  - Cód. 123574"/>
    <n v="0"/>
    <d v="2015-05-11T00:00:00"/>
    <d v="1899-12-30T10:13:16"/>
    <n v="6171.61"/>
    <n v="0"/>
    <n v="-2818709.520000224"/>
    <m/>
    <m/>
    <m/>
    <n v="12357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1025"/>
    <s v="Extrato/124033"/>
    <s v="Caixa Econômica Federal - Cód. 124033"/>
    <n v="0"/>
    <d v="2015-05-11T00:00:00"/>
    <d v="1899-12-30T10:13:16"/>
    <n v="223.6"/>
    <n v="0"/>
    <n v="-2818933.1200002241"/>
    <m/>
    <m/>
    <m/>
    <n v="124033"/>
    <n v="7"/>
    <s v="Anapaula"/>
    <n v="1"/>
    <m/>
    <n v="575"/>
    <d v="2015-05-26T00:00:00"/>
    <d v="2015-05-26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386"/>
    <s v="Extrato"/>
    <s v="Remessa Olimpo Fundamental"/>
    <n v="1051"/>
    <d v="2015-05-11T00:00:00"/>
    <d v="1899-12-30T10:24:49"/>
    <n v="0"/>
    <n v="0"/>
    <n v="-2817882.1200002241"/>
    <m/>
    <m/>
    <m/>
    <m/>
    <n v="24"/>
    <s v="Emilly"/>
    <n v="1"/>
    <m/>
    <n v="1431"/>
    <d v="2015-05-20T00:00:00"/>
    <d v="2015-05-20T00:00:00"/>
    <m/>
    <m/>
    <n v="2015"/>
    <n v="24"/>
    <m/>
    <m/>
    <m/>
    <m/>
    <s v="Remessa Olimpo Fundamental"/>
    <x v="1"/>
    <s v="COLÉGIO OLIMPO LTDA"/>
    <m/>
    <n v="52"/>
    <n v="2"/>
    <s v="Cheque"/>
    <m/>
    <m/>
    <m/>
    <n v="0"/>
    <m/>
    <m/>
    <s v="BRB [SOL] [012052-4] [CC] [COB]"/>
    <m/>
    <m/>
    <m/>
  </r>
  <r>
    <n v="269893"/>
    <s v="Remessa Olimpo Anápolis"/>
    <s v="Remessa Olimpo Anápolis"/>
    <n v="3773.45"/>
    <d v="2015-05-11T00:00:00"/>
    <d v="1899-12-30T10:25:32"/>
    <n v="0"/>
    <n v="0"/>
    <n v="-2814108.6700002239"/>
    <m/>
    <m/>
    <m/>
    <m/>
    <n v="24"/>
    <s v="Emilly"/>
    <n v="1"/>
    <m/>
    <n v="1526"/>
    <d v="2015-05-14T00:00:00"/>
    <d v="2015-05-14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69894"/>
    <s v="DB20150511"/>
    <s v="Operação Desconto Boletos 2015.06.11"/>
    <n v="28013.9"/>
    <d v="2015-05-11T00:00:00"/>
    <d v="1899-12-30T10:26:43"/>
    <n v="0"/>
    <n v="0"/>
    <n v="-2786094.770000224"/>
    <m/>
    <m/>
    <m/>
    <m/>
    <n v="24"/>
    <s v="Emilly"/>
    <n v="1"/>
    <m/>
    <n v="1505"/>
    <d v="2015-05-14T00:00:00"/>
    <d v="2015-05-14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895"/>
    <s v="Juros20150611/123295"/>
    <s v="Banco Brb - Cód. 123295"/>
    <n v="0"/>
    <d v="2015-05-11T00:00:00"/>
    <d v="1899-12-30T10:28:57"/>
    <n v="3497.09"/>
    <n v="0"/>
    <n v="-2789591.8600002239"/>
    <m/>
    <m/>
    <m/>
    <n v="123295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896"/>
    <s v="Extrato/123296"/>
    <s v="Banco Brb - Cód. 123296"/>
    <n v="0"/>
    <d v="2015-05-11T00:00:00"/>
    <d v="1899-12-30T10:30:46"/>
    <n v="97.5"/>
    <n v="0"/>
    <n v="-2789689.3600002239"/>
    <m/>
    <m/>
    <m/>
    <n v="123296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742"/>
    <s v="1210520/36177"/>
    <s v="Bic Arrendamento Mercantil S/A - Par. 036177(24/33)"/>
    <n v="0"/>
    <d v="2015-05-11T00:00:00"/>
    <d v="1899-12-30T10:31:16"/>
    <n v="3882.55"/>
    <n v="0"/>
    <n v="-2793571.9100002237"/>
    <m/>
    <m/>
    <m/>
    <n v="36177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s v="COLÉGIO OLIMPO LTDA"/>
    <m/>
    <n v="96"/>
    <n v="9"/>
    <s v="Débito em conta"/>
    <m/>
    <n v="0"/>
    <m/>
    <n v="0"/>
    <m/>
    <m/>
    <s v="HSBC [MAR] [000338-39] [CC]"/>
    <m/>
    <m/>
    <m/>
  </r>
  <r>
    <n v="269745"/>
    <s v="1217495/123246"/>
    <s v="Bic Arrendamento Mercantil S/A - Cód. 123246"/>
    <n v="0"/>
    <d v="2015-05-11T00:00:00"/>
    <d v="1899-12-30T10:32:59"/>
    <n v="4228.6899999999996"/>
    <n v="0"/>
    <n v="-2797800.6000002236"/>
    <m/>
    <m/>
    <m/>
    <n v="123246"/>
    <n v="24"/>
    <s v="Emilly"/>
    <n v="1"/>
    <m/>
    <n v="990"/>
    <d v="2015-05-13T00:00:00"/>
    <d v="2015-05-13T00:00:00"/>
    <m/>
    <m/>
    <n v="2015"/>
    <n v="24"/>
    <m/>
    <m/>
    <m/>
    <m/>
    <s v="Bernadelli.Aquisição de Veículo"/>
    <x v="1"/>
    <s v="COLÉGIO OLIMPO LTDA"/>
    <m/>
    <n v="96"/>
    <n v="8"/>
    <s v="Transferência Bancária"/>
    <m/>
    <n v="0"/>
    <m/>
    <n v="0"/>
    <m/>
    <m/>
    <s v="HSBC [MAR] [000338-39] [CC]"/>
    <m/>
    <m/>
    <m/>
  </r>
  <r>
    <n v="269900"/>
    <s v="Ant.Cob/123300"/>
    <s v="Banco Brb - Par. 123300(04-6)"/>
    <n v="0"/>
    <d v="2015-05-11T00:00:00"/>
    <d v="1899-12-30T10:35:42"/>
    <n v="1473"/>
    <n v="0"/>
    <n v="-2799273.6000002236"/>
    <m/>
    <m/>
    <m/>
    <n v="123300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01"/>
    <s v="Ant.Cob/123301"/>
    <s v="Banco Brb - Par. 123301(05-6)"/>
    <n v="0"/>
    <d v="2015-05-11T00:00:00"/>
    <d v="1899-12-30T10:35:42"/>
    <n v="1724"/>
    <n v="0"/>
    <n v="-2800997.6000002236"/>
    <m/>
    <m/>
    <m/>
    <n v="123301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02"/>
    <s v="Ant.Cob/123302"/>
    <s v="Banco Brb - Par. 123302(06-6)"/>
    <n v="0"/>
    <d v="2015-05-11T00:00:00"/>
    <d v="1899-12-30T10:35:42"/>
    <n v="998.45"/>
    <n v="0"/>
    <n v="-2801996.0500002238"/>
    <m/>
    <m/>
    <m/>
    <n v="123302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897"/>
    <s v="Ant.Cob/123297"/>
    <s v="Banco Brb - Par. 123297(01-6)"/>
    <n v="0"/>
    <d v="2015-05-11T00:00:00"/>
    <d v="1899-12-30T10:35:42"/>
    <n v="1051"/>
    <n v="0"/>
    <n v="-2803047.0500002238"/>
    <m/>
    <m/>
    <m/>
    <n v="123297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898"/>
    <s v="Ant.Cob/123298"/>
    <s v="Banco Brb - Par. 123298(02-6)"/>
    <n v="0"/>
    <d v="2015-05-11T00:00:00"/>
    <d v="1899-12-30T10:35:42"/>
    <n v="1473"/>
    <n v="0"/>
    <n v="-2804520.0500002238"/>
    <m/>
    <m/>
    <m/>
    <n v="123298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899"/>
    <s v="Ant.Cob/123299"/>
    <s v="Banco Brb - Par. 123299(03-6)"/>
    <n v="0"/>
    <d v="2015-05-11T00:00:00"/>
    <d v="1899-12-30T10:35:42"/>
    <n v="1473"/>
    <n v="0"/>
    <n v="-2805993.0500002238"/>
    <m/>
    <m/>
    <m/>
    <n v="123299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037"/>
    <s v="Abril/123500"/>
    <s v="Orlandino Gonçalves Neto - Cód. 123500"/>
    <n v="0"/>
    <d v="2015-05-11T00:00:00"/>
    <d v="1899-12-30T10:35:46"/>
    <n v="2548.35"/>
    <n v="0"/>
    <n v="-2808541.4000002239"/>
    <m/>
    <m/>
    <m/>
    <n v="123500"/>
    <n v="24"/>
    <s v="Emilly"/>
    <n v="1"/>
    <m/>
    <n v="1414"/>
    <d v="2015-05-26T00:00:00"/>
    <d v="2015-05-26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89"/>
    <s v="DEPÓSITO 2015-05-11"/>
    <s v="PAGAMENTO DA MENSALIDADE DE ABRIL/2015, DO(A) ALUNO(A) LUIZ FERNANDO DAHER ROMANO FRANÇA_EF"/>
    <n v="1118"/>
    <d v="2015-05-11T00:00:00"/>
    <d v="1899-12-30T10:35:49"/>
    <n v="0"/>
    <n v="0"/>
    <n v="-2807423.4000002239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0390"/>
    <s v="Abril/123644"/>
    <s v="Folha De Pagamento - Administrativo Uber - Cód. 123644"/>
    <n v="0"/>
    <d v="2015-05-11T00:00:00"/>
    <d v="1899-12-30T10:37:13"/>
    <n v="28052.5"/>
    <n v="0"/>
    <n v="-2835475.9000002239"/>
    <m/>
    <m/>
    <m/>
    <n v="123644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69751"/>
    <s v="TFD/110883"/>
    <s v="Terezinha Ferreira Dantas - Par. 110883(05-12)"/>
    <n v="0"/>
    <d v="2015-05-11T00:00:00"/>
    <d v="1899-12-30T10:40:36"/>
    <n v="510"/>
    <n v="0"/>
    <n v="-2835985.9000002239"/>
    <m/>
    <m/>
    <m/>
    <n v="110883"/>
    <n v="24"/>
    <s v="Emilly"/>
    <n v="2"/>
    <m/>
    <n v="1450"/>
    <d v="2015-05-13T00:00:00"/>
    <d v="2015-05-13T00:00:00"/>
    <m/>
    <m/>
    <n v="2015"/>
    <n v="24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69752"/>
    <s v="ACT/110859"/>
    <s v="Anaides Claudino Toledo - Par. 110859(05-12)"/>
    <n v="0"/>
    <d v="2015-05-11T00:00:00"/>
    <d v="1899-12-30T10:43:08"/>
    <n v="240"/>
    <n v="0"/>
    <n v="-2836225.9000002239"/>
    <m/>
    <m/>
    <m/>
    <n v="110859"/>
    <n v="24"/>
    <s v="Emilly"/>
    <n v="1"/>
    <m/>
    <n v="1450"/>
    <d v="2015-05-13T00:00:00"/>
    <d v="2015-05-13T00:00:00"/>
    <m/>
    <m/>
    <n v="2015"/>
    <n v="24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69753"/>
    <s v="Recibo/123258"/>
    <s v="Matsuflora - Cód. 123258"/>
    <n v="0"/>
    <d v="2015-05-11T00:00:00"/>
    <d v="1899-12-30T10:50:22"/>
    <n v="5.4"/>
    <n v="0"/>
    <n v="-2836231.3000002238"/>
    <m/>
    <m/>
    <m/>
    <n v="123258"/>
    <n v="24"/>
    <s v="Emilly"/>
    <n v="1"/>
    <m/>
    <n v="1401"/>
    <d v="2015-05-13T00:00:00"/>
    <d v="2015-05-13T00:00:00"/>
    <m/>
    <m/>
    <n v="2015"/>
    <n v="24"/>
    <m/>
    <m/>
    <m/>
    <m/>
    <s v="T-27.Manutenção  Piscinas / Jardinagem"/>
    <x v="1"/>
    <s v="COLÉGIO OLIMPO LTDA"/>
    <m/>
    <n v="56"/>
    <n v="1"/>
    <s v="Dinheiro"/>
    <m/>
    <n v="0"/>
    <m/>
    <n v="0"/>
    <m/>
    <m/>
    <s v="CAIXA TESOURARIA"/>
    <m/>
    <m/>
    <m/>
  </r>
  <r>
    <n v="269754"/>
    <s v="423081/123259"/>
    <s v="Posto De Combustível - Cód. 123259"/>
    <n v="0"/>
    <d v="2015-05-11T00:00:00"/>
    <d v="1899-12-30T10:51:03"/>
    <n v="100"/>
    <n v="0"/>
    <n v="-2836331.3000002238"/>
    <m/>
    <m/>
    <m/>
    <n v="123259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9907"/>
    <s v="Extrato"/>
    <s v="Rend Aplic Aut Mais"/>
    <n v="0.01"/>
    <d v="2015-05-11T00:00:00"/>
    <d v="1899-12-30T10:51:12"/>
    <n v="0"/>
    <n v="0"/>
    <n v="-2836331.290000224"/>
    <m/>
    <m/>
    <m/>
    <m/>
    <n v="60"/>
    <s v="Francielly"/>
    <n v="1"/>
    <m/>
    <n v="1471"/>
    <d v="2015-05-14T00:00:00"/>
    <d v="2015-05-14T00:00:00"/>
    <m/>
    <m/>
    <n v="2015"/>
    <n v="60"/>
    <m/>
    <m/>
    <m/>
    <m/>
    <s v="Transferência Entre Contas"/>
    <x v="2"/>
    <s v="COLÉGIO OLIMPO LTDA"/>
    <m/>
    <n v="8"/>
    <n v="9"/>
    <s v="Débito em conta"/>
    <m/>
    <m/>
    <m/>
    <n v="0"/>
    <m/>
    <m/>
    <s v="ITAÚ [GYN] [026016-5] []"/>
    <m/>
    <m/>
    <m/>
  </r>
  <r>
    <n v="269756"/>
    <s v="090150/123261"/>
    <s v="Ferragista Marista - Cód. 123261"/>
    <n v="0"/>
    <d v="2015-05-11T00:00:00"/>
    <d v="1899-12-30T10:52:42"/>
    <n v="6.7"/>
    <n v="0"/>
    <n v="-2836337.9900002242"/>
    <m/>
    <m/>
    <m/>
    <n v="123261"/>
    <n v="24"/>
    <s v="Emilly"/>
    <n v="1"/>
    <m/>
    <n v="1392"/>
    <d v="2015-05-13T00:00:00"/>
    <d v="2015-05-13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69912"/>
    <s v="Extrato/123308"/>
    <s v="Banco Itaú Unibanco S.A. - Cód. 123308"/>
    <n v="0"/>
    <d v="2015-05-11T00:00:00"/>
    <d v="1899-12-30T10:54:16"/>
    <n v="2800.05"/>
    <n v="0"/>
    <n v="-2839138.040000224"/>
    <m/>
    <m/>
    <m/>
    <n v="123308"/>
    <n v="60"/>
    <s v="Francielly"/>
    <n v="1"/>
    <m/>
    <n v="524"/>
    <d v="2015-05-14T00:00:00"/>
    <d v="2015-05-14T00:00:00"/>
    <m/>
    <m/>
    <n v="2015"/>
    <n v="60"/>
    <m/>
    <m/>
    <m/>
    <m/>
    <s v="CA.Empréstimos Bancários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70439"/>
    <n v="216512"/>
    <s v="Par.(04-12) 014012/ISADORA REZENDE MENDONÇA - PAGAMENTO CHE"/>
    <n v="2180.06"/>
    <d v="2015-05-11T00:00:00"/>
    <d v="1899-12-30T11:02:29"/>
    <n v="0"/>
    <n v="0"/>
    <n v="-2836957.980000224"/>
    <m/>
    <m/>
    <n v="216512"/>
    <m/>
    <n v="8"/>
    <s v="Vinicius"/>
    <n v="1"/>
    <m/>
    <n v="1378"/>
    <d v="2015-05-20T00:00:00"/>
    <d v="2015-05-20T00:00:00"/>
    <m/>
    <m/>
    <n v="2014"/>
    <n v="8"/>
    <m/>
    <m/>
    <m/>
    <m/>
    <s v="Pagamento de cheque devolvido"/>
    <x v="1"/>
    <s v="COLÉGIO OLIMPO LTDA"/>
    <m/>
    <n v="35"/>
    <n v="2"/>
    <s v="Cheque"/>
    <m/>
    <n v="0"/>
    <m/>
    <n v="0"/>
    <m/>
    <m/>
    <s v="[OUTRAS] ESCRITÓRIO COBRANÇA"/>
    <m/>
    <m/>
    <m/>
  </r>
  <r>
    <n v="269917"/>
    <s v="Extrato/123310"/>
    <s v="Caixa Econômica Federal - Cód. 123310"/>
    <n v="0"/>
    <d v="2015-05-11T00:00:00"/>
    <d v="1899-12-30T11:06:03"/>
    <n v="2.95"/>
    <n v="0"/>
    <n v="-2836960.9300002242"/>
    <m/>
    <m/>
    <m/>
    <n v="123310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918"/>
    <s v="Extrato/123311"/>
    <s v="Caixa Econômica Federal - Cód. 123311"/>
    <n v="0"/>
    <d v="2015-05-11T00:00:00"/>
    <d v="1899-12-30T11:06:03"/>
    <n v="2.95"/>
    <n v="0"/>
    <n v="-2836963.8800002243"/>
    <m/>
    <m/>
    <m/>
    <n v="12331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919"/>
    <s v="Extrato/123312"/>
    <s v="Caixa Econômica Federal - Cód. 123312"/>
    <n v="0"/>
    <d v="2015-05-11T00:00:00"/>
    <d v="1899-12-30T11:06:47"/>
    <n v="3.1"/>
    <n v="0"/>
    <n v="-2836966.9800002244"/>
    <m/>
    <m/>
    <m/>
    <n v="123312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61"/>
    <s v="Transferência Entre Conta"/>
    <s v="Transferência Entre Conta"/>
    <n v="30000"/>
    <d v="2015-05-11T00:00:00"/>
    <d v="1899-12-30T11:09:13"/>
    <n v="0"/>
    <n v="0"/>
    <n v="-2806966.980000224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962"/>
    <s v="Transferência Entre Conta"/>
    <s v="Transferência Entre Conta"/>
    <n v="30000"/>
    <d v="2015-05-11T00:00:00"/>
    <d v="1899-12-30T11:09:38"/>
    <n v="0"/>
    <n v="0"/>
    <n v="-2776966.980000224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659"/>
    <s v="Extrato/123810"/>
    <s v="Banco Santander  - Cód. 123810"/>
    <n v="0"/>
    <d v="2015-05-11T00:00:00"/>
    <d v="1899-12-30T11:16:42"/>
    <n v="5.17"/>
    <n v="0"/>
    <n v="-2776972.1500002244"/>
    <m/>
    <m/>
    <m/>
    <n v="123810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122"/>
    <n v="9"/>
    <s v="Débito em conta"/>
    <m/>
    <n v="0"/>
    <m/>
    <n v="0"/>
    <m/>
    <m/>
    <s v="SANTANDER SOL 3381-0"/>
    <m/>
    <m/>
    <m/>
  </r>
  <r>
    <n v="270660"/>
    <s v="Extrato/123811"/>
    <s v="Banco Santander  - Cód. 123811"/>
    <n v="0"/>
    <d v="2015-05-11T00:00:00"/>
    <d v="1899-12-30T11:16:42"/>
    <n v="78"/>
    <n v="0"/>
    <n v="-2777050.1500002244"/>
    <m/>
    <m/>
    <m/>
    <n v="123811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122"/>
    <n v="9"/>
    <s v="Débito em conta"/>
    <m/>
    <n v="0"/>
    <m/>
    <n v="0"/>
    <m/>
    <m/>
    <s v="SANTANDER SOL 3381-0"/>
    <m/>
    <m/>
    <m/>
  </r>
  <r>
    <n v="270661"/>
    <s v="Extrato/123812"/>
    <s v="Banco Santander  - Cód. 123812"/>
    <n v="0"/>
    <d v="2015-05-11T00:00:00"/>
    <d v="1899-12-30T11:16:42"/>
    <n v="78"/>
    <n v="0"/>
    <n v="-2777128.1500002244"/>
    <m/>
    <m/>
    <m/>
    <n v="123812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122"/>
    <n v="9"/>
    <s v="Débito em conta"/>
    <m/>
    <n v="0"/>
    <m/>
    <n v="0"/>
    <m/>
    <m/>
    <s v="SANTANDER SOL 3381-0"/>
    <m/>
    <m/>
    <m/>
  </r>
  <r>
    <n v="269559"/>
    <n v="190011"/>
    <s v="Retorno: Par. 190011(04/12) - 018200/GIO - Mensalidades"/>
    <n v="1507.85"/>
    <d v="2015-05-11T00:00:00"/>
    <d v="1899-12-30T11:24:36"/>
    <n v="0"/>
    <n v="0"/>
    <n v="-2775620.3000002243"/>
    <m/>
    <m/>
    <n v="190011"/>
    <m/>
    <n v="1"/>
    <s v="Andre"/>
    <n v="1"/>
    <m/>
    <n v="2"/>
    <d v="2015-05-12T00:00:00"/>
    <d v="2015-05-12T00:00:00"/>
    <n v="28378"/>
    <n v="20150511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556"/>
    <n v="192953"/>
    <s v="Retorno: Par. 192953(05/12) - 018198/THA - Mensalidades"/>
    <n v="1473"/>
    <d v="2015-05-11T00:00:00"/>
    <d v="1899-12-30T11:24:36"/>
    <n v="0"/>
    <n v="0"/>
    <n v="-2774147.3000002243"/>
    <m/>
    <m/>
    <n v="192953"/>
    <m/>
    <n v="1"/>
    <s v="Andre"/>
    <n v="1"/>
    <m/>
    <n v="2"/>
    <d v="2015-05-12T00:00:00"/>
    <d v="2015-05-12T00:00:00"/>
    <n v="28372"/>
    <n v="20150511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557"/>
    <n v="192575"/>
    <s v="Retorno: Par. 192575(05/12) - 019375/MAR - Mensalidades"/>
    <n v="1473"/>
    <d v="2015-05-11T00:00:00"/>
    <d v="1899-12-30T11:24:36"/>
    <n v="0"/>
    <n v="0"/>
    <n v="-2772674.3000002243"/>
    <m/>
    <m/>
    <n v="192575"/>
    <m/>
    <n v="1"/>
    <s v="Andre"/>
    <n v="1"/>
    <m/>
    <n v="2"/>
    <d v="2015-05-12T00:00:00"/>
    <d v="2015-05-12T00:00:00"/>
    <n v="28373"/>
    <n v="20150511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558"/>
    <n v="192887"/>
    <s v="Retorno: Par. 192887(05/12) - 018181/ANA - Mensalidades"/>
    <n v="1473"/>
    <d v="2015-05-11T00:00:00"/>
    <d v="1899-12-30T11:24:36"/>
    <n v="0"/>
    <n v="0"/>
    <n v="-2771201.3000002243"/>
    <m/>
    <m/>
    <n v="192887"/>
    <m/>
    <n v="1"/>
    <s v="Andre"/>
    <n v="1"/>
    <m/>
    <n v="2"/>
    <d v="2015-05-12T00:00:00"/>
    <d v="2015-05-12T00:00:00"/>
    <n v="28374"/>
    <n v="20150511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780"/>
    <s v="Transferência Entre Conta"/>
    <s v="Transferência Entre Conta"/>
    <n v="0"/>
    <d v="2015-05-11T00:00:00"/>
    <d v="1899-12-30T11:26:53"/>
    <n v="11000"/>
    <n v="0"/>
    <n v="-27822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69781"/>
    <s v="Transferência Entre Conta"/>
    <s v="Destino: 269780-Transferência Entre Conta"/>
    <n v="11000"/>
    <d v="2015-05-11T00:00:00"/>
    <d v="1899-12-30T11:26:53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0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9782"/>
    <s v="Transferência Entre Conta"/>
    <s v="Transferência Entre Conta"/>
    <n v="0"/>
    <d v="2015-05-11T00:00:00"/>
    <d v="1899-12-30T11:27:27"/>
    <n v="11500"/>
    <n v="0"/>
    <n v="-27827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69783"/>
    <s v="Transferência Entre Conta"/>
    <s v="Destino: 269782-Transferência Entre Conta"/>
    <n v="11500"/>
    <d v="2015-05-11T00:00:00"/>
    <d v="1899-12-30T11:27:27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9784"/>
    <s v="Transferência Entre Conta"/>
    <s v="Transferência Entre Conta"/>
    <n v="0"/>
    <d v="2015-05-11T00:00:00"/>
    <d v="1899-12-30T11:27:53"/>
    <n v="14000"/>
    <n v="0"/>
    <n v="-27852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69785"/>
    <s v="Transferência Entre Conta"/>
    <s v="Destino: 269784-Transferência Entre Conta"/>
    <n v="14000"/>
    <d v="2015-05-11T00:00:00"/>
    <d v="1899-12-30T11:27:53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4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69786"/>
    <s v="Transferência Entre Conta"/>
    <s v="Transferência Entre Conta"/>
    <n v="0"/>
    <d v="2015-05-11T00:00:00"/>
    <d v="1899-12-30T11:28:18"/>
    <n v="7850"/>
    <n v="0"/>
    <n v="-277905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69787"/>
    <s v="Transferência Entre Conta"/>
    <s v="Destino: 269786-Transferência Entre Conta"/>
    <n v="7850"/>
    <d v="2015-05-11T00:00:00"/>
    <d v="1899-12-30T11:28:18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6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9788"/>
    <s v="Transferência Entre Conta"/>
    <s v="Transferência Entre Conta"/>
    <n v="0"/>
    <d v="2015-05-11T00:00:00"/>
    <d v="1899-12-30T11:28:45"/>
    <n v="27000"/>
    <n v="0"/>
    <n v="-27982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69789"/>
    <s v="Transferência Entre Conta"/>
    <s v="Destino: 269788-Transferência Entre Conta"/>
    <n v="27000"/>
    <d v="2015-05-11T00:00:00"/>
    <d v="1899-12-30T11:28:45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8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69798"/>
    <s v="Transferência Entre Conta"/>
    <s v="Transferência Entre Conta"/>
    <n v="0"/>
    <d v="2015-05-11T00:00:00"/>
    <d v="1899-12-30T11:31:05"/>
    <n v="15000"/>
    <n v="0"/>
    <n v="-27862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[GYN] [011616-0] [CC] [COB]"/>
    <m/>
    <m/>
    <m/>
  </r>
  <r>
    <n v="269799"/>
    <s v="Transferência Entre Conta"/>
    <s v="Destino: 269798-Transferência Entre Conta"/>
    <n v="15000"/>
    <d v="2015-05-11T00:00:00"/>
    <d v="1899-12-30T11:31:05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98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800"/>
    <s v="Transferência Entre Conta"/>
    <s v="Transferência Entre Conta"/>
    <n v="0"/>
    <d v="2015-05-11T00:00:00"/>
    <d v="1899-12-30T11:31:32"/>
    <n v="24500"/>
    <n v="0"/>
    <n v="-27957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4"/>
    <s v="BRB [GYN] [011616-0] [CC] [COB]"/>
    <m/>
    <m/>
    <m/>
  </r>
  <r>
    <n v="269801"/>
    <s v="Transferência Entre Conta"/>
    <s v="Destino: 269800-Transferência Entre Conta"/>
    <n v="24500"/>
    <d v="2015-05-11T00:00:00"/>
    <d v="1899-12-30T11:31:32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800"/>
    <m/>
    <s v="Transferência entre contas"/>
    <x v="2"/>
    <s v="COLÉGIO OLIMPO LTDA"/>
    <m/>
    <n v="4"/>
    <n v="8"/>
    <s v="Transferência Bancária"/>
    <m/>
    <m/>
    <m/>
    <n v="0"/>
    <m/>
    <m/>
    <s v="BB [022382-4] [GYN] [CC]"/>
    <m/>
    <m/>
    <m/>
  </r>
  <r>
    <n v="269939"/>
    <s v="Extrato/123321"/>
    <s v="Banco Santander  - Cód. 123321"/>
    <n v="0"/>
    <d v="2015-05-11T00:00:00"/>
    <d v="1899-12-30T11:32:49"/>
    <n v="78"/>
    <n v="0"/>
    <n v="-2771279.3000002243"/>
    <m/>
    <m/>
    <m/>
    <n v="12332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23"/>
    <n v="9"/>
    <s v="Débito em conta"/>
    <m/>
    <n v="0"/>
    <m/>
    <n v="0"/>
    <m/>
    <m/>
    <s v="SANTANDER SOL 3369-0"/>
    <m/>
    <m/>
    <m/>
  </r>
  <r>
    <n v="269566"/>
    <s v="Extrato/123202"/>
    <s v="Banco Santander  - Cód. 123202"/>
    <n v="0"/>
    <d v="2015-05-11T00:00:00"/>
    <d v="1899-12-30T11:46:26"/>
    <n v="1491.02"/>
    <n v="0"/>
    <n v="-2772770.3200002243"/>
    <m/>
    <m/>
    <m/>
    <n v="123202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69567"/>
    <s v="Extrato/123203"/>
    <s v="Banco Santander  - Cód. 123203"/>
    <n v="0"/>
    <d v="2015-05-11T00:00:00"/>
    <d v="1899-12-30T11:46:26"/>
    <n v="78"/>
    <n v="0"/>
    <n v="-2772848.3200002243"/>
    <m/>
    <m/>
    <m/>
    <n v="12320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7"/>
    <n v="9"/>
    <s v="Débito em conta"/>
    <m/>
    <n v="0"/>
    <m/>
    <n v="0"/>
    <m/>
    <m/>
    <s v="SANT 936-9 GOIANIA"/>
    <m/>
    <m/>
    <m/>
  </r>
  <r>
    <n v="269568"/>
    <s v="Extrato/123204"/>
    <s v="Banco Santander  - Cód. 123204"/>
    <n v="0"/>
    <d v="2015-05-11T00:00:00"/>
    <d v="1899-12-30T11:46:26"/>
    <n v="5.17"/>
    <n v="0"/>
    <n v="-2772853.4900002242"/>
    <m/>
    <m/>
    <m/>
    <n v="12320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7"/>
    <n v="9"/>
    <s v="Débito em conta"/>
    <m/>
    <n v="0"/>
    <m/>
    <n v="0"/>
    <m/>
    <m/>
    <s v="SANT 936-9 GOIANIA"/>
    <m/>
    <m/>
    <m/>
  </r>
  <r>
    <n v="269624"/>
    <n v="192229"/>
    <s v="Retorno: Par. 192229(04/12) - 18556/BIA - Mensalidades"/>
    <n v="1779.12"/>
    <d v="2015-05-11T00:00:00"/>
    <d v="1899-12-30T12:00:00"/>
    <n v="0"/>
    <n v="0"/>
    <n v="-2771074.3700002241"/>
    <m/>
    <m/>
    <n v="192229"/>
    <m/>
    <n v="1"/>
    <s v="Andre"/>
    <n v="1"/>
    <m/>
    <n v="2"/>
    <d v="2015-05-12T00:00:00"/>
    <d v="2015-05-12T00:00:00"/>
    <n v="2843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812"/>
    <s v="Transferência Entre Conta"/>
    <s v="Transferência Entre Conta"/>
    <n v="0"/>
    <d v="2015-05-11T00:00:00"/>
    <d v="1899-12-30T12:44:44"/>
    <n v="3000"/>
    <n v="0"/>
    <n v="-2774074.3700002241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26"/>
    <s v="ITAÚ [GYN] [026016-5] []"/>
    <m/>
    <m/>
    <m/>
  </r>
  <r>
    <n v="269813"/>
    <s v="Transferência Entre Conta"/>
    <s v="Destino: 269812-Transferência Entre Conta"/>
    <n v="3000"/>
    <d v="2015-05-11T00:00:00"/>
    <d v="1899-12-30T12:44:44"/>
    <n v="0"/>
    <n v="0"/>
    <n v="-2771074.3700002241"/>
    <m/>
    <m/>
    <m/>
    <m/>
    <n v="24"/>
    <s v="Emilly"/>
    <n v="1"/>
    <m/>
    <n v="1449"/>
    <d v="2015-05-13T00:00:00"/>
    <d v="2015-05-13T00:00:00"/>
    <m/>
    <m/>
    <n v="2015"/>
    <n v="24"/>
    <m/>
    <m/>
    <n v="26981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9814"/>
    <s v="Transferência Entre Conta"/>
    <s v="Transferência Entre Conta"/>
    <n v="0"/>
    <d v="2015-05-11T00:00:00"/>
    <d v="1899-12-30T12:45:19"/>
    <n v="8000"/>
    <n v="0"/>
    <n v="-2779074.3700002241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26"/>
    <s v="ITAÚ [GYN] [026016-5] []"/>
    <m/>
    <m/>
    <m/>
  </r>
  <r>
    <n v="269815"/>
    <s v="Transferência Entre Conta"/>
    <s v="Destino: 269814-Transferência Entre Conta"/>
    <n v="8000"/>
    <d v="2015-05-11T00:00:00"/>
    <d v="1899-12-30T12:45:19"/>
    <n v="0"/>
    <n v="0"/>
    <n v="-2771074.3700002241"/>
    <m/>
    <m/>
    <m/>
    <m/>
    <n v="24"/>
    <s v="Emilly"/>
    <n v="1"/>
    <m/>
    <n v="1449"/>
    <d v="2015-05-13T00:00:00"/>
    <d v="2015-05-13T00:00:00"/>
    <m/>
    <m/>
    <n v="2015"/>
    <n v="24"/>
    <m/>
    <m/>
    <n v="269814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3873"/>
    <s v="ECRO/127284"/>
    <s v="Brb - Credito Financiamento - Par. 127284(07-7)"/>
    <n v="0"/>
    <d v="2015-05-11T00:00:00"/>
    <d v="1899-12-30T13:58:09"/>
    <n v="10087.790000000001"/>
    <n v="0"/>
    <n v="-2781162.1600002241"/>
    <m/>
    <m/>
    <m/>
    <n v="127284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s v="COLÉGIO OLIMPO LTDA"/>
    <m/>
    <n v="8"/>
    <n v="9"/>
    <s v="Débito em conta"/>
    <m/>
    <n v="0"/>
    <m/>
    <n v="0"/>
    <m/>
    <m/>
    <s v="ITAÚ [GYN] [026016-5] []"/>
    <m/>
    <m/>
    <m/>
  </r>
  <r>
    <n v="273872"/>
    <s v="Abril/109710"/>
    <s v="Brb - Credito Financiamento - Par. 109710(03-11)"/>
    <n v="0"/>
    <d v="2015-05-11T00:00:00"/>
    <d v="1899-12-30T13:58:09"/>
    <n v="18194.32"/>
    <n v="0"/>
    <n v="-2799356.480000224"/>
    <m/>
    <m/>
    <m/>
    <n v="109710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3301"/>
    <s v="DEPÓSITO 2015-05-11"/>
    <s v="PAGAMENTO DA MENSALIDADE DE ABRIL/2015, DO(A) ALUNO(A) ARTHUR MARIANO MARTINS_ESN"/>
    <n v="353.13"/>
    <d v="2015-05-11T00:00:00"/>
    <d v="1899-12-30T14:11:55"/>
    <n v="0"/>
    <n v="0"/>
    <n v="-2799003.3500002241"/>
    <m/>
    <m/>
    <m/>
    <m/>
    <n v="8"/>
    <s v="Vinicius"/>
    <n v="1"/>
    <m/>
    <n v="1434"/>
    <d v="2015-06-17T00:00:00"/>
    <d v="2015-06-17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69972"/>
    <s v="Abril/123324"/>
    <s v="Araceli Camargo Martins - Cód. 123324"/>
    <n v="0"/>
    <d v="2015-05-11T00:00:00"/>
    <d v="1899-12-30T14:14:01"/>
    <n v="4913.25"/>
    <n v="0"/>
    <n v="-2803916.6000002241"/>
    <m/>
    <m/>
    <m/>
    <n v="12332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3"/>
    <s v="Abril/123327"/>
    <s v="Carlos Roberto Lisboa - Cód. 123327"/>
    <n v="0"/>
    <d v="2015-05-11T00:00:00"/>
    <d v="1899-12-30T14:14:17"/>
    <n v="1946.36"/>
    <n v="0"/>
    <n v="-2805862.9600002239"/>
    <m/>
    <m/>
    <m/>
    <n v="12332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4"/>
    <s v="Abril/123328"/>
    <s v="Daniel Lemes De Souza  - Cód. 123328"/>
    <n v="0"/>
    <d v="2015-05-11T00:00:00"/>
    <d v="1899-12-30T14:14:32"/>
    <n v="4581.28"/>
    <n v="0"/>
    <n v="-2810444.2400002237"/>
    <m/>
    <m/>
    <m/>
    <n v="12332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5"/>
    <s v="Abril/123350"/>
    <s v="Herculano Vasconcelos Filho - Cód. 123350"/>
    <n v="0"/>
    <d v="2015-05-11T00:00:00"/>
    <d v="1899-12-30T14:14:48"/>
    <n v="3725.34"/>
    <n v="0"/>
    <n v="-2814169.5800002236"/>
    <m/>
    <m/>
    <m/>
    <n v="123350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6"/>
    <s v="Abril/123356"/>
    <s v="João Paulo Ferreira Fornazier - Cód. 123356"/>
    <n v="0"/>
    <d v="2015-05-11T00:00:00"/>
    <d v="1899-12-30T14:15:06"/>
    <n v="1563.2"/>
    <n v="0"/>
    <n v="-2815732.7800002238"/>
    <m/>
    <m/>
    <m/>
    <n v="12335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7"/>
    <s v="Abril/123368"/>
    <s v="Luciano Dorkas Fraga - Cód. 123368"/>
    <n v="0"/>
    <d v="2015-05-11T00:00:00"/>
    <d v="1899-12-30T14:15:22"/>
    <n v="3578.92"/>
    <n v="0"/>
    <n v="-2819311.7000002237"/>
    <m/>
    <m/>
    <m/>
    <n v="12336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8"/>
    <s v="Abril/123369"/>
    <s v="Lucio Costa Tovar - Cód. 123369"/>
    <n v="0"/>
    <d v="2015-05-11T00:00:00"/>
    <d v="1899-12-30T14:15:41"/>
    <n v="5544.57"/>
    <n v="0"/>
    <n v="-2824856.2700002235"/>
    <m/>
    <m/>
    <m/>
    <n v="12336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9"/>
    <s v="Abril/123391"/>
    <s v="Stefânia Vieira De Melo - Cód. 123391"/>
    <n v="0"/>
    <d v="2015-05-11T00:00:00"/>
    <d v="1899-12-30T14:16:09"/>
    <n v="3908.05"/>
    <n v="0"/>
    <n v="-2828764.3200002233"/>
    <m/>
    <m/>
    <m/>
    <n v="12339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0"/>
    <s v="Abril/123393"/>
    <s v="Tatiane Pereira Costa  - Cód. 123393"/>
    <n v="0"/>
    <d v="2015-05-11T00:00:00"/>
    <d v="1899-12-30T14:16:32"/>
    <n v="2626.32"/>
    <n v="0"/>
    <n v="-2831390.6400002232"/>
    <m/>
    <m/>
    <m/>
    <n v="12339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1"/>
    <s v="Abril/123322"/>
    <s v="André Luiz Cavalcanti de Albuquerque Rei - Cód. 123322"/>
    <n v="0"/>
    <d v="2015-05-11T00:00:00"/>
    <d v="1899-12-30T14:17:43"/>
    <n v="864.55"/>
    <n v="0"/>
    <n v="-2832255.190000223"/>
    <m/>
    <m/>
    <m/>
    <n v="12332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2"/>
    <s v="Abril/123323"/>
    <s v="Antônio Renato Donizetti Fernandes - Cód. 123323"/>
    <n v="0"/>
    <d v="2015-05-11T00:00:00"/>
    <d v="1899-12-30T14:17:57"/>
    <n v="4077.74"/>
    <n v="0"/>
    <n v="-2836332.9300002232"/>
    <m/>
    <m/>
    <m/>
    <n v="12332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3"/>
    <s v="Abril/123325"/>
    <s v="Argemiro De Pina Amorim - Cód. 123325"/>
    <n v="0"/>
    <d v="2015-05-11T00:00:00"/>
    <d v="1899-12-30T14:18:12"/>
    <n v="2811.9"/>
    <n v="0"/>
    <n v="-2839144.8300002231"/>
    <m/>
    <m/>
    <m/>
    <n v="12332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4"/>
    <s v="Abril/123326"/>
    <s v="Brenner Da Paixao Rodrigues - Cód. 123326"/>
    <n v="0"/>
    <d v="2015-05-11T00:00:00"/>
    <d v="1899-12-30T14:18:29"/>
    <n v="1713.6"/>
    <n v="0"/>
    <n v="-2840858.4300002232"/>
    <m/>
    <m/>
    <m/>
    <n v="12332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5"/>
    <s v="Abril/123329"/>
    <s v="Danilo Siqueira dos Santos Souza - Cód. 123329"/>
    <n v="0"/>
    <d v="2015-05-11T00:00:00"/>
    <d v="1899-12-30T14:18:43"/>
    <n v="2251.0100000000002"/>
    <n v="0"/>
    <n v="-2843109.440000223"/>
    <m/>
    <m/>
    <m/>
    <n v="12332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6"/>
    <s v="Abril/123330"/>
    <s v="Everton De Almeida Menezes - Cód. 123330"/>
    <n v="0"/>
    <d v="2015-05-11T00:00:00"/>
    <d v="1899-12-30T14:18:58"/>
    <n v="12964.93"/>
    <n v="0"/>
    <n v="-2856074.3700002232"/>
    <m/>
    <m/>
    <m/>
    <n v="123330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7"/>
    <s v="Abril/123331"/>
    <s v="Fabrício Lucena De Freitas - Cód. 123331"/>
    <n v="0"/>
    <d v="2015-05-11T00:00:00"/>
    <d v="1899-12-30T14:19:12"/>
    <n v="4838.1400000000003"/>
    <n v="0"/>
    <n v="-2860912.5100002233"/>
    <m/>
    <m/>
    <m/>
    <n v="12333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8"/>
    <s v="Abril/123332"/>
    <s v="Fabrício Pacheco Costa - Cód. 123332"/>
    <n v="0"/>
    <d v="2015-05-11T00:00:00"/>
    <d v="1899-12-30T14:19:31"/>
    <n v="3912.48"/>
    <n v="0"/>
    <n v="-2864824.9900002233"/>
    <m/>
    <m/>
    <m/>
    <n v="12333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9"/>
    <s v="Abril/123333"/>
    <s v="Fernando Marinho Ferreira  - Cód. 123333"/>
    <n v="0"/>
    <d v="2015-05-11T00:00:00"/>
    <d v="1899-12-30T14:19:49"/>
    <n v="3461.32"/>
    <n v="0"/>
    <n v="-2868286.3100002231"/>
    <m/>
    <m/>
    <m/>
    <n v="12333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0"/>
    <s v="Abril/123335"/>
    <s v="Gerlane Aparecida Paixão Crispim - Cód. 123335"/>
    <n v="0"/>
    <d v="2015-05-11T00:00:00"/>
    <d v="1899-12-30T14:20:04"/>
    <n v="790.19"/>
    <n v="0"/>
    <n v="-2869076.5000002231"/>
    <m/>
    <m/>
    <m/>
    <n v="12333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1"/>
    <s v="Abril/123336"/>
    <s v="Gregório Echeverria de Carvalho - Cód. 123336"/>
    <n v="0"/>
    <d v="2015-05-11T00:00:00"/>
    <d v="1899-12-30T14:20:19"/>
    <n v="2618.5500000000002"/>
    <n v="0"/>
    <n v="-2871695.0500002229"/>
    <m/>
    <m/>
    <m/>
    <n v="12333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827"/>
    <s v="Extrato/123280"/>
    <s v="Bradesco - Par. 123280(03-3)"/>
    <n v="0"/>
    <d v="2015-05-11T00:00:00"/>
    <d v="1899-12-30T14:24:52"/>
    <n v="7.9"/>
    <n v="0"/>
    <n v="-2871702.9500002228"/>
    <m/>
    <m/>
    <m/>
    <n v="123280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69825"/>
    <s v="Extrato/123278"/>
    <s v="Bradesco - Par. 123278(01-3)"/>
    <n v="0"/>
    <d v="2015-05-11T00:00:00"/>
    <d v="1899-12-30T14:24:52"/>
    <n v="7.9"/>
    <n v="0"/>
    <n v="-2871710.8500002227"/>
    <m/>
    <m/>
    <m/>
    <n v="123278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69826"/>
    <s v="Extrato/123279"/>
    <s v="Bradesco - Par. 123279(02-3)"/>
    <n v="0"/>
    <d v="2015-05-11T00:00:00"/>
    <d v="1899-12-30T14:24:52"/>
    <n v="7.9"/>
    <n v="0"/>
    <n v="-2871718.7500002226"/>
    <m/>
    <m/>
    <m/>
    <n v="123279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69992"/>
    <s v="Abril/123337"/>
    <s v="Hawley Ferreira Furtado - Cód. 123337"/>
    <n v="0"/>
    <d v="2015-05-11T00:00:00"/>
    <d v="1899-12-30T14:27:38"/>
    <n v="4242.05"/>
    <n v="0"/>
    <n v="-2875960.8000002224"/>
    <m/>
    <m/>
    <m/>
    <n v="12333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3"/>
    <s v="Abril/123338"/>
    <s v="Henrique Soares Landim  - Cód. 123338"/>
    <n v="0"/>
    <d v="2015-05-11T00:00:00"/>
    <d v="1899-12-30T14:28:03"/>
    <n v="3577.74"/>
    <n v="0"/>
    <n v="-2879538.5400002226"/>
    <m/>
    <m/>
    <m/>
    <n v="12333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4"/>
    <s v="Abril/123351"/>
    <s v="Ivan Lazzarini  Mendes - Cód. 123351"/>
    <n v="0"/>
    <d v="2015-05-11T00:00:00"/>
    <d v="1899-12-30T14:28:28"/>
    <n v="3292.84"/>
    <n v="0"/>
    <n v="-2882831.3800002225"/>
    <m/>
    <m/>
    <m/>
    <n v="12335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5"/>
    <s v="Abril/123353"/>
    <s v="João Carlos Oliveira Cavalcante  - Cód. 123353"/>
    <n v="0"/>
    <d v="2015-05-11T00:00:00"/>
    <d v="1899-12-30T14:28:53"/>
    <n v="3228.92"/>
    <n v="0"/>
    <n v="-2886060.3000002224"/>
    <m/>
    <m/>
    <m/>
    <n v="12335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6"/>
    <s v="Abril /123358"/>
    <s v="José Carlos Formoso Lima  - Cód. 123358"/>
    <n v="0"/>
    <d v="2015-05-11T00:00:00"/>
    <d v="1899-12-30T14:34:13"/>
    <n v="3011.9"/>
    <n v="0"/>
    <n v="-2889072.2000002223"/>
    <m/>
    <m/>
    <m/>
    <n v="12335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7"/>
    <s v="Abril/123359"/>
    <s v="Kellen Cardeal  - Cód. 123359"/>
    <n v="0"/>
    <d v="2015-05-11T00:00:00"/>
    <d v="1899-12-30T14:34:43"/>
    <n v="3078.76"/>
    <n v="0"/>
    <n v="-2892150.9600002221"/>
    <m/>
    <m/>
    <m/>
    <n v="12335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8"/>
    <s v="Abril/123362"/>
    <s v="Lafayette Spósito Goyano Jota - Cód. 123362"/>
    <n v="0"/>
    <d v="2015-05-11T00:00:00"/>
    <d v="1899-12-30T14:34:57"/>
    <n v="3556.09"/>
    <n v="0"/>
    <n v="-2895707.0500002219"/>
    <m/>
    <m/>
    <m/>
    <n v="12336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9"/>
    <s v="Abril/123364"/>
    <s v="Leandro Rocha Resende - Cód. 123364"/>
    <n v="0"/>
    <d v="2015-05-11T00:00:00"/>
    <d v="1899-12-30T14:35:12"/>
    <n v="1288.3499999999999"/>
    <n v="0"/>
    <n v="-2896995.400000222"/>
    <m/>
    <m/>
    <m/>
    <n v="12336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0"/>
    <s v="Abril/123365"/>
    <s v="Lucia Maria De Oliveira  - Cód. 123365"/>
    <n v="0"/>
    <d v="2015-05-11T00:00:00"/>
    <d v="1899-12-30T14:35:25"/>
    <n v="2626.32"/>
    <n v="0"/>
    <n v="-2899621.7200002219"/>
    <m/>
    <m/>
    <m/>
    <n v="12336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1"/>
    <s v="Abril/123371"/>
    <s v="Luiz Henrique Mundim Aguiar  - Cód. 123371"/>
    <n v="0"/>
    <d v="2015-05-11T00:00:00"/>
    <d v="1899-12-30T14:35:40"/>
    <n v="4442.05"/>
    <n v="0"/>
    <n v="-2904063.7700002217"/>
    <m/>
    <m/>
    <m/>
    <n v="12337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2"/>
    <s v="Abril/123375"/>
    <s v="Moacir Luciano Moreira Júnior - Cód. 123375"/>
    <n v="0"/>
    <d v="2015-05-11T00:00:00"/>
    <d v="1899-12-30T14:35:52"/>
    <n v="3640.6"/>
    <n v="0"/>
    <n v="-2907704.3700002218"/>
    <m/>
    <m/>
    <m/>
    <n v="12337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3"/>
    <s v="Abril/123376"/>
    <s v="Moisés Vinicius Silva Rodrigues Martins  - Cód. 123376"/>
    <n v="0"/>
    <d v="2015-05-11T00:00:00"/>
    <d v="1899-12-30T14:36:24"/>
    <n v="2211.5"/>
    <n v="0"/>
    <n v="-2909915.8700002218"/>
    <m/>
    <m/>
    <m/>
    <n v="12337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4"/>
    <s v="Abril/123379"/>
    <s v="Osvaldo Machado da Silva Neto - Cód. 123379"/>
    <n v="0"/>
    <d v="2015-05-11T00:00:00"/>
    <d v="1899-12-30T14:36:38"/>
    <n v="2701.01"/>
    <n v="0"/>
    <n v="-2912616.8800002215"/>
    <m/>
    <m/>
    <m/>
    <n v="12337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5"/>
    <s v="Abril/123381"/>
    <s v="Paulo Eduardo Santos de Faria - Cód. 123381"/>
    <n v="0"/>
    <d v="2015-05-11T00:00:00"/>
    <d v="1899-12-30T14:36:56"/>
    <n v="2511.9"/>
    <n v="0"/>
    <n v="-2915128.7800002214"/>
    <m/>
    <m/>
    <m/>
    <n v="12338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6"/>
    <s v="Abril/123383"/>
    <s v="Rogério Gonçalves - Cód. 123383"/>
    <n v="0"/>
    <d v="2015-05-11T00:00:00"/>
    <d v="1899-12-30T14:37:09"/>
    <n v="3192.84"/>
    <n v="0"/>
    <n v="-2918321.6200002213"/>
    <m/>
    <m/>
    <m/>
    <n v="12338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7"/>
    <s v="Abril/123384"/>
    <s v="Rômulo José Rodrigues - Cód. 123384"/>
    <n v="0"/>
    <d v="2015-05-11T00:00:00"/>
    <d v="1899-12-30T14:37:30"/>
    <n v="2618.5500000000002"/>
    <n v="0"/>
    <n v="-2920940.1700002211"/>
    <m/>
    <m/>
    <m/>
    <n v="12338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8"/>
    <s v="Abril/123385"/>
    <s v="Rosselini Criistini Da Silva Albino - Cód. 123385"/>
    <n v="0"/>
    <d v="2015-05-11T00:00:00"/>
    <d v="1899-12-30T14:37:45"/>
    <n v="2815.79"/>
    <n v="0"/>
    <n v="-2923755.9600002212"/>
    <m/>
    <m/>
    <m/>
    <n v="12338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9"/>
    <s v="Abril/123386"/>
    <s v="Shayene Fernandes Borges - Cód. 123386"/>
    <n v="0"/>
    <d v="2015-05-11T00:00:00"/>
    <d v="1899-12-30T14:38:01"/>
    <n v="1185.29"/>
    <n v="0"/>
    <n v="-2924941.2500002212"/>
    <m/>
    <m/>
    <m/>
    <n v="12338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0"/>
    <s v="Abril/123387"/>
    <s v="Sidney Tadeu Santiago Costa - Cód. 123387"/>
    <n v="0"/>
    <d v="2015-05-11T00:00:00"/>
    <d v="1899-12-30T14:39:26"/>
    <n v="6734.99"/>
    <n v="0"/>
    <n v="-2931676.2400002214"/>
    <m/>
    <m/>
    <m/>
    <n v="12338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1"/>
    <s v="Abril/123388"/>
    <s v="Silvio Roberto Dos Santos - Cód. 123388"/>
    <n v="0"/>
    <d v="2015-05-11T00:00:00"/>
    <d v="1899-12-30T14:39:44"/>
    <n v="4617.3900000000003"/>
    <n v="0"/>
    <n v="-2936293.6300002215"/>
    <m/>
    <m/>
    <m/>
    <n v="12338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2"/>
    <s v="Abril/123392"/>
    <s v="Tainá Teixeira da Mata - Cód. 123392"/>
    <n v="0"/>
    <d v="2015-05-11T00:00:00"/>
    <d v="1899-12-30T14:39:58"/>
    <n v="1185.29"/>
    <n v="0"/>
    <n v="-2937478.9200002216"/>
    <m/>
    <m/>
    <m/>
    <n v="12339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3"/>
    <s v="Abril/123394"/>
    <s v="Valcy Correa - Cód. 123394"/>
    <n v="0"/>
    <d v="2015-05-11T00:00:00"/>
    <d v="1899-12-30T14:40:21"/>
    <n v="2257.9299999999998"/>
    <n v="0"/>
    <n v="-2939736.8500002217"/>
    <m/>
    <m/>
    <m/>
    <n v="12339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4"/>
    <s v="Abril/123395"/>
    <s v="Welson Luiz Felipe  - Cód. 123395"/>
    <n v="0"/>
    <d v="2015-05-11T00:00:00"/>
    <d v="1899-12-30T14:40:35"/>
    <n v="2811.9"/>
    <n v="0"/>
    <n v="-2942548.7500002217"/>
    <m/>
    <m/>
    <m/>
    <n v="12339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5"/>
    <s v="Abril/123396"/>
    <s v="Willian Juliano Dias Alencar  - Cód. 123396"/>
    <n v="0"/>
    <d v="2015-05-11T00:00:00"/>
    <d v="1899-12-30T14:40:48"/>
    <n v="3559.66"/>
    <n v="0"/>
    <n v="-2946108.4100002218"/>
    <m/>
    <m/>
    <m/>
    <n v="12339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6"/>
    <s v="Abril/123407"/>
    <s v="Alisson Riceto - Cód. 123407"/>
    <n v="0"/>
    <d v="2015-05-11T00:00:00"/>
    <d v="1899-12-30T14:41:03"/>
    <n v="6366.55"/>
    <n v="0"/>
    <n v="-2952474.9600002216"/>
    <m/>
    <m/>
    <m/>
    <n v="123407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7"/>
    <s v="Abril /123412"/>
    <s v="André Luiz Alves Villar - Cód. 123412"/>
    <n v="0"/>
    <d v="2015-05-11T00:00:00"/>
    <d v="1899-12-30T14:41:17"/>
    <n v="4829"/>
    <n v="0"/>
    <n v="-2957303.9600002216"/>
    <m/>
    <m/>
    <m/>
    <n v="123412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8"/>
    <s v="Abril/123416"/>
    <s v="Argemiro De Pina Amorim - Cód. 123416"/>
    <n v="0"/>
    <d v="2015-05-11T00:00:00"/>
    <d v="1899-12-30T14:41:52"/>
    <n v="5991.4"/>
    <n v="0"/>
    <n v="-2963295.3600002215"/>
    <m/>
    <m/>
    <m/>
    <n v="123416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9"/>
    <s v="Abril/123420"/>
    <s v="Bruno Fraga Ferreira - Cód. 123420"/>
    <n v="0"/>
    <d v="2015-05-11T00:00:00"/>
    <d v="1899-12-30T14:42:08"/>
    <n v="5810.1"/>
    <n v="0"/>
    <n v="-2969105.4600002216"/>
    <m/>
    <m/>
    <m/>
    <n v="123420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20"/>
    <s v="Abril/123421"/>
    <s v="CARLOS ANDRÉ PEREIRA NUNES - Cód. 123421"/>
    <n v="0"/>
    <d v="2015-05-11T00:00:00"/>
    <d v="1899-12-30T14:42:23"/>
    <n v="2225.37"/>
    <n v="0"/>
    <n v="-2971330.8300002217"/>
    <m/>
    <m/>
    <m/>
    <n v="123421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830"/>
    <n v="216729"/>
    <s v="Par.(04/12) 020783/LEANDRO LAMARTINE TRISTÃO - Parcelas"/>
    <n v="1386"/>
    <d v="2015-05-11T00:00:00"/>
    <d v="1899-12-30T14:44:00"/>
    <n v="0"/>
    <n v="0"/>
    <n v="-2969944.8300002217"/>
    <m/>
    <m/>
    <n v="216729"/>
    <m/>
    <n v="24"/>
    <s v="Emilly"/>
    <n v="2"/>
    <m/>
    <n v="6"/>
    <d v="2015-05-13T00:00:00"/>
    <d v="2015-05-13T00:00:00"/>
    <m/>
    <m/>
    <n v="2015"/>
    <n v="24"/>
    <m/>
    <m/>
    <m/>
    <m/>
    <s v="Mensalidade Pré-Vestibular"/>
    <x v="1"/>
    <s v="COLÉGIO OLIMPO LTDA"/>
    <m/>
    <n v="27"/>
    <n v="2"/>
    <s v="Cheque"/>
    <m/>
    <n v="0"/>
    <m/>
    <n v="0"/>
    <m/>
    <m/>
    <s v="BRADESCO [008378-0] [SOL] [CC]"/>
    <m/>
    <m/>
    <m/>
  </r>
  <r>
    <n v="269831"/>
    <s v="Extrato/123283"/>
    <s v="Bradesco - Cód. 123283"/>
    <n v="0"/>
    <d v="2015-05-11T00:00:00"/>
    <d v="1899-12-30T14:46:31"/>
    <n v="1352.19"/>
    <n v="0"/>
    <n v="-2971297.0200002217"/>
    <m/>
    <m/>
    <m/>
    <n v="123283"/>
    <n v="24"/>
    <s v="Emilly"/>
    <n v="1"/>
    <m/>
    <n v="506"/>
    <d v="2015-05-13T00:00:00"/>
    <d v="2015-05-13T00:00:00"/>
    <m/>
    <m/>
    <n v="2015"/>
    <n v="24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9832"/>
    <s v="Extrato/123284"/>
    <s v="Bradesco - Cód. 123284"/>
    <n v="0"/>
    <d v="2015-05-11T00:00:00"/>
    <d v="1899-12-30T14:46:31"/>
    <n v="33.81"/>
    <n v="0"/>
    <n v="-2971330.8300002217"/>
    <m/>
    <m/>
    <m/>
    <n v="123284"/>
    <n v="24"/>
    <s v="Emilly"/>
    <n v="1"/>
    <m/>
    <n v="1599"/>
    <d v="2015-05-13T00:00:00"/>
    <d v="2015-05-13T00:00:00"/>
    <m/>
    <m/>
    <n v="2015"/>
    <n v="24"/>
    <m/>
    <m/>
    <m/>
    <m/>
    <s v="CA.Encargos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0047"/>
    <n v="216506"/>
    <s v="Par.(04-6) 020334/GUSTAVO MARTINS BORGES  - PAGAMENTO CHE"/>
    <n v="1386"/>
    <d v="2015-05-11T00:00:00"/>
    <d v="1899-12-30T15:54:50"/>
    <n v="0"/>
    <n v="0"/>
    <n v="-2969944.8300002217"/>
    <m/>
    <m/>
    <n v="216506"/>
    <m/>
    <n v="24"/>
    <s v="Emilly"/>
    <n v="2"/>
    <m/>
    <n v="1378"/>
    <d v="2015-05-15T00:00:00"/>
    <d v="2015-05-15T00:00:00"/>
    <m/>
    <m/>
    <n v="2015"/>
    <n v="24"/>
    <m/>
    <m/>
    <m/>
    <m/>
    <s v="Pagamento de cheque devolvido"/>
    <x v="1"/>
    <s v="COLÉGIO OLIMPO LTDA"/>
    <m/>
    <n v="52"/>
    <n v="2"/>
    <s v="Cheque"/>
    <m/>
    <n v="0"/>
    <m/>
    <n v="0"/>
    <m/>
    <m/>
    <s v="BRB [SOL] [012052-4] [CC] [COB]"/>
    <m/>
    <m/>
    <m/>
  </r>
  <r>
    <n v="269958"/>
    <s v="Entrada"/>
    <s v="Marconi Faria Consignado"/>
    <n v="1097.72"/>
    <d v="2015-05-11T00:00:00"/>
    <d v="1899-12-30T15:59:41"/>
    <n v="0"/>
    <n v="0"/>
    <n v="-2968847.1100002215"/>
    <m/>
    <m/>
    <m/>
    <m/>
    <n v="7"/>
    <s v="Anapaula"/>
    <n v="1"/>
    <m/>
    <n v="95"/>
    <d v="2015-05-14T00:00:00"/>
    <d v="2015-06-02T00:00:00"/>
    <m/>
    <m/>
    <n v="2015"/>
    <n v="24"/>
    <m/>
    <m/>
    <m/>
    <m/>
    <s v="Recebimento Diversos"/>
    <x v="1"/>
    <s v="COLÉGIO OLIMPO LTDA"/>
    <m/>
    <n v="4"/>
    <n v="8"/>
    <s v="Transferência Bancária"/>
    <m/>
    <m/>
    <m/>
    <n v="0"/>
    <m/>
    <m/>
    <s v="BB [022382-4] [GYN] [CC]"/>
    <m/>
    <m/>
    <m/>
  </r>
  <r>
    <n v="270048"/>
    <n v="188778"/>
    <s v="Par.(03/12) 018055/FELIPE GUEDES DA SILVA - Mensalidades"/>
    <n v="1580"/>
    <d v="2015-05-11T00:00:00"/>
    <d v="1899-12-30T16:01:29"/>
    <n v="0"/>
    <n v="0"/>
    <n v="-2967267.1100002215"/>
    <m/>
    <m/>
    <n v="188778"/>
    <m/>
    <n v="24"/>
    <s v="Emilly"/>
    <n v="1"/>
    <m/>
    <n v="2"/>
    <d v="2015-05-15T00:00:00"/>
    <d v="2015-05-15T00:00:00"/>
    <m/>
    <m/>
    <n v="2015"/>
    <n v="24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69960"/>
    <s v="Extrato/123339"/>
    <s v="Banco Do Brasil - Cód. 123339"/>
    <n v="0"/>
    <d v="2015-05-11T00:00:00"/>
    <d v="1899-12-30T16:02:14"/>
    <n v="7.8"/>
    <n v="0"/>
    <n v="-2967274.9100002213"/>
    <m/>
    <m/>
    <m/>
    <n v="123339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69961"/>
    <s v="Extrato/123340"/>
    <s v="Banco Do Brasil - Cód. 123340"/>
    <n v="0"/>
    <d v="2015-05-11T00:00:00"/>
    <d v="1899-12-30T16:02:14"/>
    <n v="7.8"/>
    <n v="0"/>
    <n v="-2967282.7100002212"/>
    <m/>
    <m/>
    <m/>
    <n v="123340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69962"/>
    <s v="Extrato/123341"/>
    <s v="Banco Do Brasil - Cód. 123341"/>
    <n v="0"/>
    <d v="2015-05-11T00:00:00"/>
    <d v="1899-12-30T16:02:14"/>
    <n v="77"/>
    <n v="0"/>
    <n v="-2967359.7100002212"/>
    <m/>
    <m/>
    <m/>
    <n v="12334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4"/>
    <n v="9"/>
    <s v="Débito em conta"/>
    <m/>
    <n v="0"/>
    <m/>
    <n v="0"/>
    <m/>
    <m/>
    <s v="BB [022382-4] [GYN] [CC]"/>
    <m/>
    <m/>
    <m/>
  </r>
  <r>
    <n v="270049"/>
    <n v="191961"/>
    <s v="Par.(03/12) 018557/LAURA RODRIGUES E SILVA T - Mensalidades"/>
    <n v="1848.15"/>
    <d v="2015-05-11T00:00:00"/>
    <d v="1899-12-30T16:03:08"/>
    <n v="0"/>
    <n v="0"/>
    <n v="-2965511.5600002212"/>
    <m/>
    <m/>
    <n v="191961"/>
    <m/>
    <n v="24"/>
    <s v="Emilly"/>
    <n v="1"/>
    <m/>
    <n v="2"/>
    <d v="2015-05-15T00:00:00"/>
    <d v="2015-05-15T00:00:00"/>
    <m/>
    <m/>
    <n v="2015"/>
    <n v="24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50"/>
    <s v="Remessa Olimpo Fundamental"/>
    <s v="Remessa Olimpo Fundamental"/>
    <n v="945"/>
    <d v="2015-05-11T00:00:00"/>
    <d v="1899-12-30T16:04:11"/>
    <n v="0"/>
    <n v="0"/>
    <n v="-2964566.5600002212"/>
    <m/>
    <m/>
    <m/>
    <m/>
    <n v="24"/>
    <s v="Emilly"/>
    <n v="1"/>
    <m/>
    <n v="1431"/>
    <d v="2015-05-15T00:00:00"/>
    <d v="2015-05-15T00:00:00"/>
    <m/>
    <m/>
    <n v="2015"/>
    <n v="24"/>
    <m/>
    <m/>
    <m/>
    <m/>
    <s v="Remessa Olimpo Fundamental"/>
    <x v="1"/>
    <s v="COLÉGIO OLIMPO LTDA"/>
    <m/>
    <n v="52"/>
    <n v="2"/>
    <s v="Cheque"/>
    <m/>
    <m/>
    <m/>
    <n v="0"/>
    <m/>
    <m/>
    <s v="BRB [SOL] [012052-4] [CC] [COB]"/>
    <m/>
    <m/>
    <m/>
  </r>
  <r>
    <n v="270051"/>
    <s v="Extrato/123471"/>
    <s v="Banco Brb - Par. 123471(01-5)"/>
    <n v="0"/>
    <d v="2015-05-11T00:00:00"/>
    <d v="1899-12-30T16:06:20"/>
    <n v="15.4"/>
    <n v="0"/>
    <n v="-2964581.9600002212"/>
    <m/>
    <m/>
    <m/>
    <n v="123471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2"/>
    <s v="Extrato/123472"/>
    <s v="Banco Brb - Par. 123472(02-5)"/>
    <n v="0"/>
    <d v="2015-05-11T00:00:00"/>
    <d v="1899-12-30T16:06:20"/>
    <n v="11"/>
    <n v="0"/>
    <n v="-2964592.9600002212"/>
    <m/>
    <m/>
    <m/>
    <n v="123472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3"/>
    <s v="Extrato/123473"/>
    <s v="Banco Brb - Par. 123473(03-5)"/>
    <n v="0"/>
    <d v="2015-05-11T00:00:00"/>
    <d v="1899-12-30T16:06:20"/>
    <n v="6.05"/>
    <n v="0"/>
    <n v="-2964599.010000221"/>
    <m/>
    <m/>
    <m/>
    <n v="123473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4"/>
    <s v="Extrato/123474"/>
    <s v="Banco Brb - Par. 123474(04-5)"/>
    <n v="0"/>
    <d v="2015-05-11T00:00:00"/>
    <d v="1899-12-30T16:06:21"/>
    <n v="15"/>
    <n v="0"/>
    <n v="-2964614.010000221"/>
    <m/>
    <m/>
    <m/>
    <n v="123474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5"/>
    <s v="Extrato/123475"/>
    <s v="Banco Brb - Par. 123475(05-5)"/>
    <n v="0"/>
    <d v="2015-05-11T00:00:00"/>
    <d v="1899-12-30T16:06:21"/>
    <n v="15"/>
    <n v="0"/>
    <n v="-2964629.010000221"/>
    <m/>
    <m/>
    <m/>
    <n v="123475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6"/>
    <s v="Abril/123355"/>
    <s v="Anna Christina Guimaraes Nalini  - Cód. 123355"/>
    <n v="0"/>
    <d v="2015-05-11T00:00:00"/>
    <d v="1899-12-30T16:07:10"/>
    <n v="4110.32"/>
    <n v="0"/>
    <n v="-2968739.3300002208"/>
    <m/>
    <m/>
    <m/>
    <n v="12335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57"/>
    <s v="Abril/123363"/>
    <s v="Brenner Da Paixao Rodrigues - Cód. 123363"/>
    <n v="0"/>
    <d v="2015-05-11T00:00:00"/>
    <d v="1899-12-30T16:07:25"/>
    <n v="423.08"/>
    <n v="0"/>
    <n v="-2969162.4100002209"/>
    <m/>
    <m/>
    <m/>
    <n v="12336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58"/>
    <s v="Abril/123366"/>
    <s v="Bruno Fraga Ferreira - Cód. 123366"/>
    <n v="0"/>
    <d v="2015-05-11T00:00:00"/>
    <d v="1899-12-30T16:07:39"/>
    <n v="2892.84"/>
    <n v="0"/>
    <n v="-2972055.2500002207"/>
    <m/>
    <m/>
    <m/>
    <n v="12336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59"/>
    <s v="Abril/123428"/>
    <s v="Carlos Rodolfo Vergara Modehouse - Cód. 123428"/>
    <n v="0"/>
    <d v="2015-05-11T00:00:00"/>
    <d v="1899-12-30T16:07:53"/>
    <n v="3221.27"/>
    <n v="0"/>
    <n v="-2975276.5200002207"/>
    <m/>
    <m/>
    <m/>
    <n v="12342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0"/>
    <s v="Abril/123380"/>
    <s v="Daniel Lemes De Souza  - Cód. 123380"/>
    <n v="0"/>
    <d v="2015-05-11T00:00:00"/>
    <d v="1899-12-30T16:08:05"/>
    <n v="2209.2800000000002"/>
    <n v="0"/>
    <n v="-2977485.8000002205"/>
    <m/>
    <m/>
    <m/>
    <n v="12338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1"/>
    <s v="Abril/123399"/>
    <s v="Francine Gisele Morelato Ferreira  - Cód. 123399"/>
    <n v="0"/>
    <d v="2015-05-11T00:00:00"/>
    <d v="1899-12-30T16:09:42"/>
    <n v="2631.79"/>
    <n v="0"/>
    <n v="-2980117.5900002206"/>
    <m/>
    <m/>
    <m/>
    <n v="12339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2"/>
    <s v="Abril/123402"/>
    <s v="Gildo Ribeiro Da Silva Filho - Cód. 123402"/>
    <n v="0"/>
    <d v="2015-05-11T00:00:00"/>
    <d v="1899-12-30T16:10:30"/>
    <n v="2862.93"/>
    <n v="0"/>
    <n v="-2982980.5200002207"/>
    <m/>
    <m/>
    <m/>
    <n v="12340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3"/>
    <s v="Abril/123403"/>
    <s v="Gustavo Batista Da Cruz Alves Dos Santos - Cód. 123403"/>
    <n v="0"/>
    <d v="2015-05-11T00:00:00"/>
    <d v="1899-12-30T16:10:45"/>
    <n v="3395.66"/>
    <n v="0"/>
    <n v="-2986376.1800002209"/>
    <m/>
    <m/>
    <m/>
    <n v="12340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4"/>
    <s v="Abril/123413"/>
    <s v="Jose Anthony Novar Faria - Cód. 123413"/>
    <n v="0"/>
    <d v="2015-05-11T00:00:00"/>
    <d v="1899-12-30T16:10:57"/>
    <n v="4174.8599999999997"/>
    <n v="0"/>
    <n v="-2990551.0400002208"/>
    <m/>
    <m/>
    <m/>
    <n v="12341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5"/>
    <s v="Abril/123415"/>
    <s v="Júlio César Da Cunha - Cód. 123415"/>
    <n v="0"/>
    <d v="2015-05-11T00:00:00"/>
    <d v="1899-12-30T16:11:09"/>
    <n v="2095.23"/>
    <n v="0"/>
    <n v="-2992646.2700002207"/>
    <m/>
    <m/>
    <m/>
    <n v="12341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6"/>
    <s v="Abril/123443"/>
    <s v="Luciano Dorkas Fraga - Cód. 123443"/>
    <n v="0"/>
    <d v="2015-05-11T00:00:00"/>
    <d v="1899-12-30T16:11:23"/>
    <n v="3254.88"/>
    <n v="0"/>
    <n v="-2995901.1500002206"/>
    <m/>
    <m/>
    <m/>
    <n v="12344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7"/>
    <s v="Abril/123445"/>
    <s v="Lucio Costa Tovar - Cód. 123445"/>
    <n v="0"/>
    <d v="2015-05-11T00:00:00"/>
    <d v="1899-12-30T16:20:47"/>
    <n v="3866.04"/>
    <n v="0"/>
    <n v="-2999767.1900002207"/>
    <m/>
    <m/>
    <m/>
    <n v="12344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8"/>
    <s v="Abril/123465"/>
    <s v="Rodrigo De Oliveira Barsi - Cód. 123465"/>
    <n v="0"/>
    <d v="2015-05-11T00:00:00"/>
    <d v="1899-12-30T16:21:00"/>
    <n v="3472.89"/>
    <n v="0"/>
    <n v="-3003240.0800002208"/>
    <m/>
    <m/>
    <m/>
    <n v="12346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9"/>
    <s v="Abril/123467"/>
    <s v="Stefânia Vieira De Melo - Cód. 123467"/>
    <n v="0"/>
    <d v="2015-05-11T00:00:00"/>
    <d v="1899-12-30T16:21:26"/>
    <n v="2736.33"/>
    <n v="0"/>
    <n v="-3005976.4100002209"/>
    <m/>
    <m/>
    <m/>
    <n v="12346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70"/>
    <s v="MO/103016"/>
    <s v="Marcelo Oliveira - Cód. 103016"/>
    <n v="0"/>
    <d v="2015-05-11T00:00:00"/>
    <d v="1899-12-30T16:23:08"/>
    <n v="3750"/>
    <n v="0"/>
    <n v="-3009726.4100002209"/>
    <m/>
    <m/>
    <m/>
    <n v="103016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071"/>
    <s v="MAFR/111005"/>
    <s v="Marco Antônio Ferreira Rios - Cód. 111005"/>
    <n v="0"/>
    <d v="2015-05-11T00:00:00"/>
    <d v="1899-12-30T16:23:24"/>
    <n v="32000"/>
    <n v="0"/>
    <n v="-3041726.4100002209"/>
    <m/>
    <m/>
    <m/>
    <n v="111005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072"/>
    <s v="HN/115641"/>
    <s v="Henrique Nogueira - Fornecedores - Cód. 115641"/>
    <n v="0"/>
    <d v="2015-05-11T00:00:00"/>
    <d v="1899-12-30T16:23:50"/>
    <n v="2500"/>
    <n v="0"/>
    <n v="-3044226.4100002209"/>
    <m/>
    <m/>
    <m/>
    <n v="115641"/>
    <n v="24"/>
    <s v="Emilly"/>
    <n v="1"/>
    <m/>
    <n v="1448"/>
    <d v="2015-05-15T00:00:00"/>
    <d v="2015-05-15T00:00:00"/>
    <m/>
    <m/>
    <n v="2015"/>
    <n v="24"/>
    <m/>
    <m/>
    <m/>
    <m/>
    <s v="Juros de cheque especial"/>
    <x v="2"/>
    <s v="COLÉGIO OLIMPO LTDA"/>
    <m/>
    <n v="52"/>
    <n v="2"/>
    <s v="Cheque"/>
    <m/>
    <n v="0"/>
    <m/>
    <n v="0"/>
    <m/>
    <m/>
    <s v="BRB [SOL] [012052-4] [CC] [COB]"/>
    <m/>
    <m/>
    <m/>
  </r>
  <r>
    <n v="270073"/>
    <s v="Brb Sol 3322/118019"/>
    <s v="Rodrigo Bernadelli Dos Santos - Cód. 118019"/>
    <n v="0"/>
    <d v="2015-05-11T00:00:00"/>
    <d v="1899-12-30T16:24:05"/>
    <n v="6952"/>
    <n v="0"/>
    <n v="-3051178.4100002209"/>
    <m/>
    <m/>
    <m/>
    <n v="118019"/>
    <n v="24"/>
    <s v="Emilly"/>
    <n v="1"/>
    <m/>
    <n v="1071"/>
    <d v="2015-05-15T00:00:00"/>
    <d v="2015-05-15T00:00:00"/>
    <m/>
    <m/>
    <n v="2015"/>
    <n v="24"/>
    <m/>
    <m/>
    <m/>
    <m/>
    <s v="Bernadelli.Despesas particulares "/>
    <x v="1"/>
    <s v="COLÉGIO OLIMPO LTDA"/>
    <m/>
    <n v="52"/>
    <n v="2"/>
    <s v="Cheque"/>
    <m/>
    <n v="0"/>
    <m/>
    <n v="0"/>
    <m/>
    <m/>
    <s v="BRB [SOL] [012052-4] [CC] [COB]"/>
    <m/>
    <m/>
    <m/>
  </r>
  <r>
    <n v="270074"/>
    <s v="ZWB/119853"/>
    <s v="Zelice Wanderley Barbosa - Cód. 119853"/>
    <n v="0"/>
    <d v="2015-05-11T00:00:00"/>
    <d v="1899-12-30T16:24:20"/>
    <n v="300"/>
    <n v="0"/>
    <n v="-3051478.4100002209"/>
    <m/>
    <m/>
    <m/>
    <n v="119853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075"/>
    <s v="Exitus/122366"/>
    <s v="Olimpo Uberlândia - Cód. 122366"/>
    <n v="0"/>
    <d v="2015-05-11T00:00:00"/>
    <d v="1899-12-30T16:26:28"/>
    <n v="15378"/>
    <n v="0"/>
    <n v="-3066856.4100002209"/>
    <m/>
    <m/>
    <m/>
    <n v="122366"/>
    <n v="24"/>
    <s v="Emilly"/>
    <n v="1"/>
    <m/>
    <n v="1532"/>
    <d v="2015-05-15T00:00:00"/>
    <d v="2015-05-15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77"/>
    <s v="Recibo/123266"/>
    <s v="Jr Paixão - Cód. 123266"/>
    <n v="0"/>
    <d v="2015-05-11T00:00:00"/>
    <d v="1899-12-30T16:27:35"/>
    <n v="1500"/>
    <n v="0"/>
    <n v="-3068356.4100002209"/>
    <m/>
    <m/>
    <m/>
    <n v="123266"/>
    <n v="24"/>
    <s v="Emilly"/>
    <n v="1"/>
    <m/>
    <n v="1609"/>
    <d v="2015-05-15T00:00:00"/>
    <d v="2015-05-15T00:00:00"/>
    <m/>
    <m/>
    <n v="2015"/>
    <n v="24"/>
    <m/>
    <m/>
    <m/>
    <m/>
    <s v="Uber.Honorários"/>
    <x v="1"/>
    <s v="COLÉGIO OLIMPO LTDA"/>
    <m/>
    <n v="52"/>
    <n v="2"/>
    <s v="Cheque"/>
    <m/>
    <n v="0"/>
    <m/>
    <n v="0"/>
    <m/>
    <m/>
    <s v="BRB [SOL] [012052-4] [CC] [COB]"/>
    <m/>
    <m/>
    <m/>
  </r>
  <r>
    <n v="270078"/>
    <s v="Recibo/109893"/>
    <s v="Jr Paixão - Par. 109893(05-12)"/>
    <n v="0"/>
    <d v="2015-05-11T00:00:00"/>
    <d v="1899-12-30T16:27:49"/>
    <n v="3200"/>
    <n v="0"/>
    <n v="-3071556.4100002209"/>
    <m/>
    <m/>
    <m/>
    <n v="109893"/>
    <n v="24"/>
    <s v="Emilly"/>
    <n v="1"/>
    <m/>
    <n v="534"/>
    <d v="2015-05-15T00:00:00"/>
    <d v="2015-05-15T00:00:00"/>
    <m/>
    <m/>
    <n v="2015"/>
    <n v="24"/>
    <m/>
    <m/>
    <m/>
    <m/>
    <s v="CA.Honorários (DESPESA)"/>
    <x v="1"/>
    <s v="COLÉGIO OLIMPO LTDA"/>
    <m/>
    <n v="52"/>
    <n v="2"/>
    <s v="Cheque"/>
    <m/>
    <n v="0"/>
    <m/>
    <n v="0"/>
    <m/>
    <m/>
    <s v="BRB [SOL] [012052-4] [CC] [COB]"/>
    <m/>
    <m/>
    <m/>
  </r>
  <r>
    <n v="270079"/>
    <s v="Recibo/109881"/>
    <s v="Jr Paixão - Par. 109881(05-12)"/>
    <n v="0"/>
    <d v="2015-05-11T00:00:00"/>
    <d v="1899-12-30T16:28:02"/>
    <n v="6000"/>
    <n v="0"/>
    <n v="-3077556.4100002209"/>
    <m/>
    <m/>
    <m/>
    <n v="109881"/>
    <n v="24"/>
    <s v="Emilly"/>
    <n v="1"/>
    <m/>
    <n v="534"/>
    <d v="2015-05-15T00:00:00"/>
    <d v="2015-05-15T00:00:00"/>
    <m/>
    <m/>
    <n v="2015"/>
    <n v="24"/>
    <m/>
    <m/>
    <m/>
    <m/>
    <s v="CA.Honorários (DESPESA)"/>
    <x v="1"/>
    <s v="COLÉGIO OLIMPO LTDA"/>
    <m/>
    <n v="52"/>
    <n v="2"/>
    <s v="Cheque"/>
    <m/>
    <n v="0"/>
    <m/>
    <n v="0"/>
    <m/>
    <m/>
    <s v="BRB [SOL] [012052-4] [CC] [COB]"/>
    <m/>
    <m/>
    <m/>
  </r>
  <r>
    <n v="270080"/>
    <s v="Abril/123424"/>
    <s v="Ádino José Cardoso - Cód. 123424"/>
    <n v="0"/>
    <d v="2015-05-11T00:00:00"/>
    <d v="1899-12-30T16:28:21"/>
    <n v="1878.47"/>
    <n v="0"/>
    <n v="-3079434.8800002211"/>
    <m/>
    <m/>
    <m/>
    <n v="12342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1"/>
    <s v="Abril/123352"/>
    <s v="Alisson Riceto - Cód. 123352"/>
    <n v="0"/>
    <d v="2015-05-11T00:00:00"/>
    <d v="1899-12-30T16:28:49"/>
    <n v="3256.09"/>
    <n v="0"/>
    <n v="-3082690.9700002209"/>
    <m/>
    <m/>
    <m/>
    <n v="12335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239"/>
    <s v="Abril/123463"/>
    <s v="Moacir Luciano Moreira Júnior - Cód. 123463"/>
    <n v="0"/>
    <d v="2015-05-11T00:00:00"/>
    <d v="1899-12-30T16:29:54"/>
    <n v="2919.55"/>
    <n v="0"/>
    <n v="-3085610.5200002207"/>
    <m/>
    <m/>
    <m/>
    <n v="123463"/>
    <n v="24"/>
    <s v="Emilly"/>
    <n v="1"/>
    <m/>
    <n v="1414"/>
    <d v="2015-05-26T00:00:00"/>
    <d v="2015-05-26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2"/>
    <s v="Abril/123357"/>
    <s v="Antônio Renato Donizetti Fernandes - Cód. 123357"/>
    <n v="0"/>
    <d v="2015-05-11T00:00:00"/>
    <d v="1899-12-30T16:35:06"/>
    <n v="1649.38"/>
    <n v="0"/>
    <n v="-3087259.9000002206"/>
    <m/>
    <m/>
    <m/>
    <n v="12335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3"/>
    <s v="Abril/123360"/>
    <s v="Argemiro De Pina Amorim - Cód. 123360"/>
    <n v="0"/>
    <d v="2015-05-11T00:00:00"/>
    <d v="1899-12-30T16:35:19"/>
    <n v="2095.23"/>
    <n v="0"/>
    <n v="-3089355.1300002206"/>
    <m/>
    <m/>
    <m/>
    <n v="12336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4"/>
    <s v="Abril/123367"/>
    <s v="Camilla Felipe De Sousa  - Cód. 123367"/>
    <n v="0"/>
    <d v="2015-05-11T00:00:00"/>
    <d v="1899-12-30T16:35:32"/>
    <n v="2235.61"/>
    <n v="0"/>
    <n v="-3091590.7400002205"/>
    <m/>
    <m/>
    <m/>
    <n v="12336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5"/>
    <s v="Abril/123426"/>
    <s v="Carlos Antonio De Araujo Mamede - Cód. 123426"/>
    <n v="0"/>
    <d v="2015-05-11T00:00:00"/>
    <d v="1899-12-30T16:35:45"/>
    <n v="700.89"/>
    <n v="0"/>
    <n v="-3092291.6300002206"/>
    <m/>
    <m/>
    <m/>
    <n v="12342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6"/>
    <s v="Abril/123370"/>
    <s v="Carlos Eduardo Alves De Sousa  - Cód. 123370"/>
    <n v="0"/>
    <d v="2015-05-11T00:00:00"/>
    <d v="1899-12-30T16:35:57"/>
    <n v="3274.02"/>
    <n v="0"/>
    <n v="-3095565.6500002206"/>
    <m/>
    <m/>
    <m/>
    <n v="12337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7"/>
    <s v="Abril/123373"/>
    <s v="Cássio Rodrigues Da Silveira - Cód. 123373"/>
    <n v="0"/>
    <d v="2015-05-11T00:00:00"/>
    <d v="1899-12-30T16:36:09"/>
    <n v="1709.4"/>
    <n v="0"/>
    <n v="-3097275.0500002205"/>
    <m/>
    <m/>
    <m/>
    <n v="12337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8"/>
    <s v="Abril/123377"/>
    <s v="Cecília Alves De Assis - Cód. 123377"/>
    <n v="0"/>
    <d v="2015-05-11T00:00:00"/>
    <d v="1899-12-30T16:36:21"/>
    <n v="2199.08"/>
    <n v="0"/>
    <n v="-3099474.1300002206"/>
    <m/>
    <m/>
    <m/>
    <n v="12337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9"/>
    <s v="Abril/123378"/>
    <s v="César Mendes De Alcântara - Cód. 123378"/>
    <n v="0"/>
    <d v="2015-05-11T00:00:00"/>
    <d v="1899-12-30T16:36:34"/>
    <n v="2511.9"/>
    <n v="0"/>
    <n v="-3101986.0300002205"/>
    <m/>
    <m/>
    <m/>
    <n v="12337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0"/>
    <s v="Abril/123430"/>
    <s v="Cleiton Duarte Ferreira - Cód. 123430"/>
    <n v="0"/>
    <d v="2015-05-11T00:00:00"/>
    <d v="1899-12-30T16:36:47"/>
    <n v="846.15"/>
    <n v="0"/>
    <n v="-3102832.1800002204"/>
    <m/>
    <m/>
    <m/>
    <n v="12343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1"/>
    <s v="Abril/123382"/>
    <s v="Dênia Cristina De Paula Santos - Cód. 123382"/>
    <n v="0"/>
    <d v="2015-05-11T00:00:00"/>
    <d v="1899-12-30T16:36:59"/>
    <n v="2873.51"/>
    <n v="0"/>
    <n v="-3105705.6900002202"/>
    <m/>
    <m/>
    <m/>
    <n v="12338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2"/>
    <s v="Abril/123389"/>
    <s v="Divina Severina Batista De Morais  - Cód. 123389"/>
    <n v="0"/>
    <d v="2015-05-11T00:00:00"/>
    <d v="1899-12-30T16:37:12"/>
    <n v="2492.0300000000002"/>
    <n v="0"/>
    <n v="-3108197.72000022"/>
    <m/>
    <m/>
    <m/>
    <n v="12338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3"/>
    <s v="Abril/123397"/>
    <s v="Fabrício Pacheco Costa - Cód. 123397"/>
    <n v="0"/>
    <d v="2015-05-11T00:00:00"/>
    <d v="1899-12-30T16:37:24"/>
    <n v="1709.4"/>
    <n v="0"/>
    <n v="-3109907.1200002199"/>
    <m/>
    <m/>
    <m/>
    <n v="12339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4"/>
    <s v="Abril/123398"/>
    <s v="Fernando Marinho Ferreira  - Cód. 123398"/>
    <n v="0"/>
    <d v="2015-05-11T00:00:00"/>
    <d v="1899-12-30T16:37:43"/>
    <n v="2018.02"/>
    <n v="0"/>
    <n v="-3111925.1400002199"/>
    <m/>
    <m/>
    <m/>
    <n v="12339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5"/>
    <s v="Abril/123401"/>
    <s v="Francisco José  Bertrand Silva Thé  - Cód. 123401"/>
    <n v="0"/>
    <d v="2015-05-11T00:00:00"/>
    <d v="1899-12-30T16:38:04"/>
    <n v="1709.4"/>
    <n v="0"/>
    <n v="-3113634.5400002198"/>
    <m/>
    <m/>
    <m/>
    <n v="12340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6"/>
    <s v="Abril/123404"/>
    <s v="Gregório Echeverria de Carvalho - Cód. 123404"/>
    <n v="0"/>
    <d v="2015-05-11T00:00:00"/>
    <d v="1899-12-30T16:38:16"/>
    <n v="1813.9"/>
    <n v="0"/>
    <n v="-3115448.4400002197"/>
    <m/>
    <m/>
    <m/>
    <n v="12340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7"/>
    <s v="Abril/123408"/>
    <s v="Helder Gaioso Pinto  - Cód. 123408"/>
    <n v="0"/>
    <d v="2015-05-11T00:00:00"/>
    <d v="1899-12-30T16:38:28"/>
    <n v="390.81"/>
    <n v="0"/>
    <n v="-3115839.2500002198"/>
    <m/>
    <m/>
    <m/>
    <n v="12340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8"/>
    <s v="Abril/123410"/>
    <s v="Henrique Delano De Matos - Cód. 123410"/>
    <n v="0"/>
    <d v="2015-05-11T00:00:00"/>
    <d v="1899-12-30T16:38:41"/>
    <n v="3233.81"/>
    <n v="0"/>
    <n v="-3119073.0600002198"/>
    <m/>
    <m/>
    <m/>
    <n v="12341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9"/>
    <s v="Abril/123411"/>
    <s v="Ivan Lazzarini  Mendes - Cód. 123411"/>
    <n v="0"/>
    <d v="2015-05-11T00:00:00"/>
    <d v="1899-12-30T16:38:53"/>
    <n v="664.76"/>
    <n v="0"/>
    <n v="-3119737.8200002196"/>
    <m/>
    <m/>
    <m/>
    <n v="12341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0"/>
    <s v="Abril/123414"/>
    <s v="Juliano Rodrigues Miranda  - Cód. 123414"/>
    <n v="0"/>
    <d v="2015-05-11T00:00:00"/>
    <d v="1899-12-30T16:39:07"/>
    <n v="1696.46"/>
    <n v="0"/>
    <n v="-3121434.2800002196"/>
    <m/>
    <m/>
    <m/>
    <n v="12341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1"/>
    <s v="Abril/123417"/>
    <s v="Kellen Cardeal  - Cód. 123417"/>
    <n v="0"/>
    <d v="2015-05-11T00:00:00"/>
    <d v="1899-12-30T16:39:22"/>
    <n v="2557.91"/>
    <n v="0"/>
    <n v="-3123992.1900002197"/>
    <m/>
    <m/>
    <m/>
    <n v="12341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2"/>
    <s v="Abril/123419"/>
    <s v="Lafayette Spósito Goyano Jota - Cód. 123419"/>
    <n v="0"/>
    <d v="2015-05-11T00:00:00"/>
    <d v="1899-12-30T16:39:34"/>
    <n v="2116.6"/>
    <n v="0"/>
    <n v="-3126108.7900002198"/>
    <m/>
    <m/>
    <m/>
    <n v="12341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3"/>
    <s v="Abril/123436"/>
    <s v="Leandro Rocha Resende - Cód. 123436"/>
    <n v="0"/>
    <d v="2015-05-11T00:00:00"/>
    <d v="1899-12-30T16:39:46"/>
    <n v="1099.8499999999999"/>
    <n v="0"/>
    <n v="-3127208.6400002199"/>
    <m/>
    <m/>
    <m/>
    <n v="12343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4"/>
    <s v="Abril/123439"/>
    <s v="Liege Fernandes - Cód. 123439"/>
    <n v="0"/>
    <d v="2015-05-11T00:00:00"/>
    <d v="1899-12-30T16:39:57"/>
    <n v="1172.4100000000001"/>
    <n v="0"/>
    <n v="-3128381.0500002201"/>
    <m/>
    <m/>
    <m/>
    <n v="12343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5"/>
    <s v="Abril/123422"/>
    <s v="Lucia Maria De Oliveira  - Cód. 123422"/>
    <n v="0"/>
    <d v="2015-05-11T00:00:00"/>
    <d v="1899-12-30T16:40:09"/>
    <n v="5891.85"/>
    <n v="0"/>
    <n v="-3134272.9000002202"/>
    <m/>
    <m/>
    <m/>
    <n v="12342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6"/>
    <s v="Abril/123447"/>
    <s v="Luiz Henrique Mundim Aguiar  - Cód. 123447"/>
    <n v="0"/>
    <d v="2015-05-11T00:00:00"/>
    <d v="1899-12-30T16:40:21"/>
    <n v="4588.8900000000003"/>
    <n v="0"/>
    <n v="-3138861.7900002203"/>
    <m/>
    <m/>
    <m/>
    <n v="12344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7"/>
    <s v="Abril/123451"/>
    <s v="Marco Aurelio Correa de Araujo - Cód. 123451"/>
    <n v="0"/>
    <d v="2015-05-11T00:00:00"/>
    <d v="1899-12-30T16:42:29"/>
    <n v="2105.1999999999998"/>
    <n v="0"/>
    <n v="-3140966.9900002205"/>
    <m/>
    <m/>
    <m/>
    <n v="12345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8"/>
    <s v="Abril/123456"/>
    <s v="Maria Lúcia Zambon Alves - Cód. 123456"/>
    <n v="0"/>
    <d v="2015-05-11T00:00:00"/>
    <d v="1899-12-30T16:42:42"/>
    <n v="2511.9"/>
    <n v="0"/>
    <n v="-3143478.8900002204"/>
    <m/>
    <m/>
    <m/>
    <n v="12345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9"/>
    <s v="Abril/123458"/>
    <s v="Mario Jonas da Silva Santos - Cód. 123458"/>
    <n v="0"/>
    <d v="2015-05-11T00:00:00"/>
    <d v="1899-12-30T16:42:54"/>
    <n v="6846.11"/>
    <n v="0"/>
    <n v="-3150325.0000002203"/>
    <m/>
    <m/>
    <m/>
    <n v="12345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10"/>
    <s v="Abril/123466"/>
    <s v="Rogério Carlos Camargo Matias  - Cód. 123466"/>
    <n v="0"/>
    <d v="2015-05-11T00:00:00"/>
    <d v="1899-12-30T16:43:13"/>
    <n v="10083.5"/>
    <n v="0"/>
    <n v="-3160408.5000002203"/>
    <m/>
    <m/>
    <m/>
    <n v="12346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11"/>
    <s v="MV/123222"/>
    <s v="Max Vieira  - Cód. 123222"/>
    <n v="0"/>
    <d v="2015-05-11T00:00:00"/>
    <d v="1899-12-30T16:43:29"/>
    <n v="2100"/>
    <n v="0"/>
    <n v="-3162508.5000002203"/>
    <m/>
    <m/>
    <m/>
    <n v="123222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12"/>
    <s v="LK/110056"/>
    <s v="Lilian Karaguilla / Lécio Moraes - Par. 110056(05-12)"/>
    <n v="0"/>
    <d v="2015-05-11T00:00:00"/>
    <d v="1899-12-30T16:43:44"/>
    <n v="1200"/>
    <n v="0"/>
    <n v="-3163708.5000002203"/>
    <m/>
    <m/>
    <m/>
    <n v="110056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471"/>
    <n v="191361"/>
    <s v="Par.(03/12) 019796/MARIA EDUARDA DE OLIVEIRA - Mensalidades"/>
    <n v="1583.5"/>
    <d v="2015-05-11T00:00:00"/>
    <d v="1899-12-30T16:43:49"/>
    <n v="0"/>
    <n v="0"/>
    <n v="-3162125.0000002203"/>
    <m/>
    <m/>
    <n v="191361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113"/>
    <s v="Abril/123468"/>
    <s v="Synara Maria dos Santos Chagas - Cód. 123468"/>
    <n v="0"/>
    <d v="2015-05-11T00:00:00"/>
    <d v="1899-12-30T16:43:58"/>
    <n v="2540.41"/>
    <n v="0"/>
    <n v="-3164665.4100002204"/>
    <m/>
    <m/>
    <m/>
    <n v="12346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14"/>
    <s v="Abril/123469"/>
    <s v="Vitor Rodrigues Braga De Souza - Cód. 123469"/>
    <n v="0"/>
    <d v="2015-05-11T00:00:00"/>
    <d v="1899-12-30T16:44:53"/>
    <n v="3065.75"/>
    <n v="0"/>
    <n v="-3167731.1600002204"/>
    <m/>
    <m/>
    <m/>
    <n v="12346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15"/>
    <s v="Ant.Cob/123479"/>
    <s v="Banco Brb - Cód. 123479"/>
    <n v="0"/>
    <d v="2015-05-11T00:00:00"/>
    <d v="1899-12-30T16:46:34"/>
    <n v="1051"/>
    <n v="0"/>
    <n v="-3168782.1600002204"/>
    <m/>
    <m/>
    <m/>
    <n v="123479"/>
    <n v="24"/>
    <s v="Emilly"/>
    <n v="1"/>
    <m/>
    <n v="1579"/>
    <d v="2015-05-15T00:00:00"/>
    <d v="2015-05-15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116"/>
    <s v="Abril/123449"/>
    <s v="Marcelo Cardoso Pedrosa - Cód. 123449"/>
    <n v="0"/>
    <d v="2015-05-11T00:00:00"/>
    <d v="1899-12-30T16:56:53"/>
    <n v="2235.61"/>
    <n v="0"/>
    <n v="-3171017.7700002203"/>
    <m/>
    <m/>
    <m/>
    <n v="12344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5895"/>
    <s v="Extrato/128468"/>
    <s v="Banco Brb - Par. 128468(05-6)"/>
    <n v="0"/>
    <d v="2015-05-11T00:00:00"/>
    <d v="1899-12-30T17:04:18"/>
    <n v="1040.77"/>
    <n v="0"/>
    <n v="-3172058.5400002203"/>
    <m/>
    <m/>
    <m/>
    <n v="128468"/>
    <n v="7"/>
    <s v="Anapaula"/>
    <n v="2"/>
    <m/>
    <n v="1599"/>
    <d v="2015-07-02T00:00:00"/>
    <d v="2015-07-02T00:00:00"/>
    <m/>
    <m/>
    <n v="2015"/>
    <n v="7"/>
    <m/>
    <m/>
    <m/>
    <m/>
    <s v="CA.Encargos"/>
    <x v="2"/>
    <s v="COLÉGIO OLIMPO LTDA"/>
    <m/>
    <n v="13"/>
    <n v="8"/>
    <s v="Transferência Bancária"/>
    <m/>
    <n v="0"/>
    <m/>
    <n v="0"/>
    <m/>
    <m/>
    <s v="BRB [BER] [011851-1] [CC]"/>
    <m/>
    <m/>
    <m/>
  </r>
  <r>
    <n v="275985"/>
    <s v="Extrato/128529"/>
    <s v="Banco Brb - Cód. 128529"/>
    <n v="0"/>
    <d v="2015-05-11T00:00:00"/>
    <d v="1899-12-30T17:37:19"/>
    <n v="1370.41"/>
    <n v="0"/>
    <n v="-3173428.9500002204"/>
    <m/>
    <m/>
    <m/>
    <n v="128529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s v="COLÉGIO OLIMPO LTDA"/>
    <m/>
    <n v="14"/>
    <n v="9"/>
    <s v="Débito em conta"/>
    <m/>
    <n v="0"/>
    <m/>
    <n v="0"/>
    <m/>
    <m/>
    <s v="BRB [MAR] [011852-0] [CC]"/>
    <m/>
    <m/>
    <m/>
  </r>
  <r>
    <n v="270125"/>
    <s v="Abril /121393"/>
    <s v="Folha De Pagamento - Sol Nascente  - Cód. 121393"/>
    <n v="0"/>
    <d v="2015-05-11T00:00:00"/>
    <d v="1899-12-30T17:38:59"/>
    <n v="40714.14"/>
    <n v="0"/>
    <n v="-3214143.0900002206"/>
    <m/>
    <m/>
    <m/>
    <n v="121393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126"/>
    <s v="Abril /123501"/>
    <s v="Folha De Pagamento - Sol Nascente  - Cód. 123501"/>
    <n v="0"/>
    <d v="2015-05-11T00:00:00"/>
    <d v="1899-12-30T17:43:04"/>
    <n v="2416.61"/>
    <n v="0"/>
    <n v="-3216559.7000002204"/>
    <m/>
    <m/>
    <m/>
    <n v="123501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127"/>
    <s v="Abril/121403"/>
    <s v="Luana Pires Barbosa - Cód. 121403"/>
    <n v="0"/>
    <d v="2015-05-11T00:00:00"/>
    <d v="1899-12-30T17:46:38"/>
    <n v="195.22"/>
    <n v="0"/>
    <n v="-3216754.9200002206"/>
    <m/>
    <m/>
    <m/>
    <n v="121403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28"/>
    <s v="Abril/121406"/>
    <s v="Henrique Silva - Cód. 121406"/>
    <n v="0"/>
    <d v="2015-05-11T00:00:00"/>
    <d v="1899-12-30T17:46:56"/>
    <n v="156.15"/>
    <n v="0"/>
    <n v="-3216911.0700002206"/>
    <m/>
    <m/>
    <m/>
    <n v="121406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29"/>
    <s v="Abril/121409"/>
    <s v="Deusiana Pereira Da Silva  - Cód. 121409"/>
    <n v="0"/>
    <d v="2015-05-11T00:00:00"/>
    <d v="1899-12-30T17:47:18"/>
    <n v="390.6"/>
    <n v="0"/>
    <n v="-3217301.6700002206"/>
    <m/>
    <m/>
    <m/>
    <n v="121409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30"/>
    <s v="Abril/121415"/>
    <s v="Patricia Elias Monteiro  - Cód. 121415"/>
    <n v="0"/>
    <d v="2015-05-11T00:00:00"/>
    <d v="1899-12-30T17:47:35"/>
    <n v="290.56"/>
    <n v="0"/>
    <n v="-3217592.2300002207"/>
    <m/>
    <m/>
    <m/>
    <n v="121415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31"/>
    <s v="Abril /123502"/>
    <s v="Lucas Dias Da Silva - Cód. 123502"/>
    <n v="0"/>
    <d v="2015-05-11T00:00:00"/>
    <d v="1899-12-30T17:49:59"/>
    <n v="182.69"/>
    <n v="0"/>
    <n v="-3217774.9200002206"/>
    <m/>
    <m/>
    <m/>
    <n v="123502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45"/>
    <s v="Abril/123496"/>
    <s v="Tatiane Pereira Costa  - Cód. 123496"/>
    <n v="0"/>
    <d v="2015-05-12T00:00:00"/>
    <d v="1899-12-30T09:04:01"/>
    <n v="3846.33"/>
    <n v="0"/>
    <n v="-3221621.2500002207"/>
    <m/>
    <m/>
    <m/>
    <n v="12349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7"/>
    <s v="EVMM/116500"/>
    <s v="Elvira Vieira M. Melo - Par. 116500(02-9)"/>
    <n v="0"/>
    <d v="2015-05-12T00:00:00"/>
    <d v="1899-12-30T09:07:08"/>
    <n v="1560"/>
    <n v="0"/>
    <n v="-3223181.2500002207"/>
    <m/>
    <m/>
    <m/>
    <n v="116500"/>
    <n v="24"/>
    <s v="Emilly"/>
    <n v="1"/>
    <m/>
    <n v="1450"/>
    <d v="2015-05-18T00:00:00"/>
    <d v="2015-05-18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48"/>
    <s v="Abril/123390"/>
    <s v="Eduardo De Assis Iasbeck - Cód. 123390"/>
    <n v="0"/>
    <d v="2015-05-12T00:00:00"/>
    <d v="1899-12-30T09:07:34"/>
    <n v="1068.3699999999999"/>
    <n v="0"/>
    <n v="-3224249.6200002208"/>
    <m/>
    <m/>
    <m/>
    <n v="1233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9"/>
    <s v="Abril/123441"/>
    <s v="Luciana Christina De Oliveira E Silva  - Cód. 123441"/>
    <n v="0"/>
    <d v="2015-05-12T00:00:00"/>
    <d v="1899-12-30T09:07:51"/>
    <n v="1658.16"/>
    <n v="0"/>
    <n v="-3225907.780000221"/>
    <m/>
    <m/>
    <m/>
    <n v="12344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50"/>
    <s v="Abril/123482"/>
    <s v="Leopoldo Alcântara De Jesus - Cód. 123482"/>
    <n v="0"/>
    <d v="2015-05-12T00:00:00"/>
    <d v="1899-12-30T09:08:05"/>
    <n v="786.33"/>
    <n v="0"/>
    <n v="-3226694.1100002211"/>
    <m/>
    <m/>
    <m/>
    <n v="123482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51"/>
    <s v="Abril/123489"/>
    <s v="Rodrigo de Araujo Silveira - Cód. 123489"/>
    <n v="0"/>
    <d v="2015-05-12T00:00:00"/>
    <d v="1899-12-30T09:08:19"/>
    <n v="846.15"/>
    <n v="0"/>
    <n v="-3227540.260000221"/>
    <m/>
    <m/>
    <m/>
    <n v="123489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52"/>
    <s v="Abril/122911"/>
    <s v="Edilson Pimenta - Cód. 122911"/>
    <n v="0"/>
    <d v="2015-05-12T00:00:00"/>
    <d v="1899-12-30T09:08:40"/>
    <n v="8547"/>
    <n v="0"/>
    <n v="-3236087.260000221"/>
    <m/>
    <m/>
    <m/>
    <n v="122911"/>
    <n v="24"/>
    <s v="Emilly"/>
    <n v="1"/>
    <m/>
    <n v="578"/>
    <d v="2015-05-18T00:00:00"/>
    <d v="2015-05-18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53"/>
    <s v="Abril/123286"/>
    <s v="Edilson Mendes De Sousa  - Cód. 123286"/>
    <n v="0"/>
    <d v="2015-05-12T00:00:00"/>
    <d v="1899-12-30T09:09:27"/>
    <n v="1606.08"/>
    <n v="0"/>
    <n v="-3237693.340000221"/>
    <m/>
    <m/>
    <m/>
    <n v="12328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97"/>
    <s v="Abril/123453"/>
    <s v="Eduardo De Assis Iasbeck - Cód. 123453"/>
    <n v="0"/>
    <d v="2015-05-12T00:00:00"/>
    <d v="1899-12-30T09:49:34"/>
    <n v="5983.5"/>
    <n v="0"/>
    <n v="-3243676.840000221"/>
    <m/>
    <m/>
    <m/>
    <n v="123453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8"/>
    <s v="Abril/123508"/>
    <s v="João Correa De Carvalho - Cód. 123508"/>
    <n v="0"/>
    <d v="2015-05-12T00:00:00"/>
    <d v="1899-12-30T09:49:54"/>
    <n v="6068.32"/>
    <n v="0"/>
    <n v="-3249745.1600002209"/>
    <m/>
    <m/>
    <m/>
    <n v="12350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2346"/>
    <s v="Acerto/124925"/>
    <s v="Leomar Augusto Povoa Da Cruz - Cód. 124925"/>
    <n v="0"/>
    <d v="2015-05-12T00:00:00"/>
    <d v="1899-12-30T10:01:43"/>
    <n v="244.55"/>
    <n v="0"/>
    <n v="-3249989.7100002207"/>
    <m/>
    <m/>
    <m/>
    <n v="124925"/>
    <n v="25"/>
    <s v="Marcela"/>
    <n v="1"/>
    <m/>
    <n v="371"/>
    <d v="2015-06-09T00:00:00"/>
    <d v="2015-06-09T00:00:00"/>
    <m/>
    <m/>
    <n v="2015"/>
    <n v="25"/>
    <m/>
    <m/>
    <m/>
    <m/>
    <s v="Marista.Rescisão de contrato de trabalho"/>
    <x v="1"/>
    <s v="COLÉGIO OLIMPO LTDA"/>
    <m/>
    <n v="56"/>
    <n v="1"/>
    <s v="Dinheiro"/>
    <m/>
    <n v="0"/>
    <m/>
    <n v="0"/>
    <m/>
    <m/>
    <s v="CAIXA TESOURARIA"/>
    <m/>
    <m/>
    <m/>
  </r>
  <r>
    <n v="271240"/>
    <s v="Acerto/121421"/>
    <s v="Lidiane Martins Tavares  - Cód. 121421"/>
    <n v="0"/>
    <d v="2015-05-12T00:00:00"/>
    <d v="1899-12-30T10:04:22"/>
    <n v="2379.9699999999998"/>
    <n v="0"/>
    <n v="-3252369.6800002209"/>
    <m/>
    <m/>
    <m/>
    <n v="121421"/>
    <n v="24"/>
    <s v="Emilly"/>
    <n v="1"/>
    <m/>
    <n v="1510"/>
    <d v="2015-05-27T00:00:00"/>
    <d v="2015-05-27T00:00:00"/>
    <m/>
    <m/>
    <n v="2015"/>
    <n v="24"/>
    <m/>
    <m/>
    <m/>
    <m/>
    <s v="SolNascente.Rescisão de Contrato de Trabalho"/>
    <x v="1"/>
    <s v="COLÉGIO OLIMPO LTDA"/>
    <m/>
    <n v="52"/>
    <n v="2"/>
    <s v="Cheque"/>
    <m/>
    <n v="0"/>
    <m/>
    <n v="0"/>
    <m/>
    <m/>
    <s v="BRB [SOL] [012052-4] [CC] [COB]"/>
    <m/>
    <m/>
    <m/>
  </r>
  <r>
    <n v="271241"/>
    <s v="Abril/121416"/>
    <s v="Alessandra Elias Monteiro  - Cód. 121416"/>
    <n v="0"/>
    <d v="2015-05-12T00:00:00"/>
    <d v="1899-12-30T10:04:40"/>
    <n v="650.41999999999996"/>
    <n v="0"/>
    <n v="-3253020.1000002208"/>
    <m/>
    <m/>
    <m/>
    <n v="121416"/>
    <n v="24"/>
    <s v="Emilly"/>
    <n v="1"/>
    <m/>
    <n v="877"/>
    <d v="2015-05-27T00:00:00"/>
    <d v="2015-05-27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242"/>
    <s v="Abril/121413"/>
    <s v="Adarci Dias Ribeiro  - Cód. 121413"/>
    <n v="0"/>
    <d v="2015-05-12T00:00:00"/>
    <d v="1899-12-30T10:04:54"/>
    <n v="541"/>
    <n v="0"/>
    <n v="-3253561.1000002208"/>
    <m/>
    <m/>
    <m/>
    <n v="121413"/>
    <n v="24"/>
    <s v="Emilly"/>
    <n v="1"/>
    <m/>
    <n v="877"/>
    <d v="2015-05-27T00:00:00"/>
    <d v="2015-05-27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76"/>
    <s v="Rescisão/123524"/>
    <s v="Rescisão - Grupo Olimpo - Cód. 123524"/>
    <n v="0"/>
    <d v="2015-05-12T00:00:00"/>
    <d v="1899-12-30T10:15:05"/>
    <n v="693"/>
    <n v="0"/>
    <n v="-3254254.1000002208"/>
    <m/>
    <m/>
    <m/>
    <n v="123524"/>
    <n v="24"/>
    <s v="Emilly"/>
    <n v="1"/>
    <m/>
    <n v="175"/>
    <d v="2015-05-20T00:00:00"/>
    <d v="2015-05-20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71028"/>
    <s v="Remessa Olimpo Anápolis"/>
    <s v="Remessa Olimpo Anápolis"/>
    <n v="1637.8"/>
    <d v="2015-05-12T00:00:00"/>
    <d v="1899-12-30T10:22:56"/>
    <n v="0"/>
    <n v="0"/>
    <n v="-3252616.300000221"/>
    <m/>
    <m/>
    <m/>
    <m/>
    <n v="24"/>
    <s v="Emilly"/>
    <n v="1"/>
    <m/>
    <n v="1526"/>
    <d v="2015-05-26T00:00:00"/>
    <d v="2015-06-11T00:00:00"/>
    <m/>
    <m/>
    <n v="2015"/>
    <n v="7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632"/>
    <n v="192866"/>
    <s v="Retorno: Par. 192866(05/12) - 018272/RIC - Mensalidades"/>
    <n v="1473"/>
    <d v="2015-05-12T00:00:00"/>
    <d v="1899-12-30T10:31:07"/>
    <n v="0"/>
    <n v="0"/>
    <n v="-3251143.300000221"/>
    <m/>
    <m/>
    <n v="192866"/>
    <m/>
    <n v="14"/>
    <s v="Renato"/>
    <n v="1"/>
    <m/>
    <n v="2"/>
    <d v="2015-06-09T00:00:00"/>
    <d v="2015-06-09T00:00:00"/>
    <n v="28954"/>
    <n v="20150512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33"/>
    <n v="192868"/>
    <s v="Retorno: Par. 192868(05/12) - 018156/JUL - Mensalidades"/>
    <n v="1473"/>
    <d v="2015-05-12T00:00:00"/>
    <d v="1899-12-30T10:31:08"/>
    <n v="0"/>
    <n v="0"/>
    <n v="-3249670.300000221"/>
    <m/>
    <m/>
    <n v="192868"/>
    <m/>
    <n v="14"/>
    <s v="Renato"/>
    <n v="1"/>
    <m/>
    <n v="2"/>
    <d v="2015-06-09T00:00:00"/>
    <d v="2015-06-09T00:00:00"/>
    <n v="28955"/>
    <n v="20150512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391"/>
    <s v="Abril/122931"/>
    <s v="Michelle Gonçalves Almeida - Cód. 122931"/>
    <n v="0"/>
    <d v="2015-05-12T00:00:00"/>
    <d v="1899-12-30T10:37:59"/>
    <n v="1150"/>
    <n v="0"/>
    <n v="-3250820.300000221"/>
    <m/>
    <m/>
    <m/>
    <n v="122931"/>
    <n v="24"/>
    <s v="Emilly"/>
    <n v="1"/>
    <m/>
    <n v="1419"/>
    <d v="2015-05-20T00:00:00"/>
    <d v="2015-05-20T00:00:00"/>
    <m/>
    <m/>
    <n v="2015"/>
    <n v="24"/>
    <m/>
    <m/>
    <m/>
    <m/>
    <s v="T-27.Fiscais de Provas e Simulados"/>
    <x v="1"/>
    <s v="COLÉGIO OLIMPO LTDA"/>
    <m/>
    <n v="52"/>
    <n v="2"/>
    <s v="Cheque"/>
    <m/>
    <n v="0"/>
    <m/>
    <n v="0"/>
    <m/>
    <m/>
    <s v="BRB [SOL] [012052-4] [CC] [COB]"/>
    <m/>
    <m/>
    <m/>
  </r>
  <r>
    <n v="270392"/>
    <s v="Abril/123647"/>
    <s v="Folha De Pagamento - Professores Uberlân - Cód. 123647"/>
    <n v="0"/>
    <d v="2015-05-12T00:00:00"/>
    <d v="1899-12-30T10:38:18"/>
    <n v="5985"/>
    <n v="0"/>
    <n v="-3256805.300000221"/>
    <m/>
    <m/>
    <m/>
    <n v="123647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93"/>
    <s v="Abril/123646"/>
    <s v="Folha De Pagamento - Professores Uberlân - Cód. 123646"/>
    <n v="0"/>
    <d v="2015-05-12T00:00:00"/>
    <d v="1899-12-30T10:38:38"/>
    <n v="5670"/>
    <n v="0"/>
    <n v="-3262475.300000221"/>
    <m/>
    <m/>
    <m/>
    <n v="123646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94"/>
    <s v="Abril/123650"/>
    <s v="Folha De Pagamento - Professores Uberlân - Cód. 123650"/>
    <n v="0"/>
    <d v="2015-05-12T00:00:00"/>
    <d v="1899-12-30T10:38:55"/>
    <n v="4410"/>
    <n v="0"/>
    <n v="-3266885.300000221"/>
    <m/>
    <m/>
    <m/>
    <n v="123650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95"/>
    <s v="Abril/123648"/>
    <s v="Henrique Nogueira De Carvalho - Cód. 123648"/>
    <n v="0"/>
    <d v="2015-05-12T00:00:00"/>
    <d v="1899-12-30T10:39:18"/>
    <n v="38461.5"/>
    <n v="0"/>
    <n v="-3305346.800000221"/>
    <m/>
    <m/>
    <m/>
    <n v="123648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96"/>
    <s v="LKLM/116510"/>
    <s v="Lilian Karaguilla / Lécio Moraes - Par. 116510(03-10)"/>
    <n v="0"/>
    <d v="2015-05-12T00:00:00"/>
    <d v="1899-12-30T10:39:47"/>
    <n v="4800"/>
    <n v="0"/>
    <n v="-3310146.800000221"/>
    <m/>
    <m/>
    <m/>
    <n v="11651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397"/>
    <s v="RFC/123526"/>
    <s v="Roberto Ferreira / Maria Zirlene  - Cód. 123526"/>
    <n v="0"/>
    <d v="2015-05-12T00:00:00"/>
    <d v="1899-12-30T10:40:39"/>
    <n v="4590"/>
    <n v="0"/>
    <n v="-3314736.800000221"/>
    <m/>
    <m/>
    <m/>
    <n v="123526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398"/>
    <s v="GFS/110101"/>
    <s v="Gustavo Franco Schaper / Deborah Do  - Par. 110101(05-12)"/>
    <n v="0"/>
    <d v="2015-05-12T00:00:00"/>
    <d v="1899-12-30T10:41:24"/>
    <n v="1500"/>
    <n v="0"/>
    <n v="-3316236.800000221"/>
    <m/>
    <m/>
    <m/>
    <n v="110101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399"/>
    <s v="WAS/110920"/>
    <s v="Waldivino Alves Sobrinho - Par. 110920(05-12)"/>
    <n v="0"/>
    <d v="2015-05-12T00:00:00"/>
    <d v="1899-12-30T10:41:41"/>
    <n v="2600"/>
    <n v="0"/>
    <n v="-3318836.800000221"/>
    <m/>
    <m/>
    <m/>
    <n v="11092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903"/>
    <s v="Remessa Olimpo Fundamental"/>
    <s v="Remessa Olimpo Fundamental"/>
    <n v="3110.8"/>
    <d v="2015-05-12T00:00:00"/>
    <d v="1899-12-30T10:46:30"/>
    <n v="0"/>
    <n v="0"/>
    <n v="-3315726.0000002212"/>
    <m/>
    <m/>
    <m/>
    <m/>
    <n v="24"/>
    <s v="Emilly"/>
    <n v="1"/>
    <m/>
    <n v="1431"/>
    <d v="2015-05-14T00:00:00"/>
    <d v="2015-05-14T00:00:00"/>
    <m/>
    <m/>
    <n v="2015"/>
    <n v="24"/>
    <m/>
    <m/>
    <m/>
    <m/>
    <s v="Remessa Olimpo Fundamental"/>
    <x v="1"/>
    <s v="COLÉGIO OLIMPO LTDA"/>
    <m/>
    <n v="12"/>
    <n v="2"/>
    <s v="Cheque"/>
    <m/>
    <m/>
    <m/>
    <n v="0"/>
    <m/>
    <m/>
    <s v="BRB [GYN] [011616-0] [CC] [COB]"/>
    <m/>
    <m/>
    <m/>
  </r>
  <r>
    <n v="269904"/>
    <s v="DB20150612"/>
    <s v="Operação Desconto Boletos 2015.06.12"/>
    <n v="33440.050000000003"/>
    <d v="2015-05-12T00:00:00"/>
    <d v="1899-12-30T10:48:26"/>
    <n v="0"/>
    <n v="0"/>
    <n v="-3282285.9500002214"/>
    <m/>
    <m/>
    <m/>
    <m/>
    <n v="24"/>
    <s v="Emilly"/>
    <n v="1"/>
    <m/>
    <n v="1505"/>
    <d v="2015-05-14T00:00:00"/>
    <d v="2015-05-14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905"/>
    <s v="Juros20150512/123303"/>
    <s v="Banco Brb - Cód. 123303"/>
    <n v="0"/>
    <d v="2015-05-12T00:00:00"/>
    <d v="1899-12-30T10:50:37"/>
    <n v="3779.25"/>
    <n v="0"/>
    <n v="-3286065.2000002214"/>
    <m/>
    <m/>
    <m/>
    <n v="123303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08"/>
    <s v="Extrato/123304"/>
    <s v="Banco Brb - Cód. 123304"/>
    <n v="0"/>
    <d v="2015-05-12T00:00:00"/>
    <d v="1899-12-30T10:51:48"/>
    <n v="82.5"/>
    <n v="0"/>
    <n v="-3286147.7000002214"/>
    <m/>
    <m/>
    <m/>
    <n v="123304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909"/>
    <s v="Ant.Cob/123305"/>
    <s v="Banco Brb - Par. 123305(01-3)"/>
    <n v="0"/>
    <d v="2015-05-12T00:00:00"/>
    <d v="1899-12-30T10:53:20"/>
    <n v="1637.8"/>
    <n v="0"/>
    <n v="-3287785.5000002212"/>
    <m/>
    <m/>
    <m/>
    <n v="123305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10"/>
    <s v="Ant.Cob/123306"/>
    <s v="Banco Brb - Par. 123306(02-3)"/>
    <n v="0"/>
    <d v="2015-05-12T00:00:00"/>
    <d v="1899-12-30T10:53:20"/>
    <n v="1473"/>
    <n v="0"/>
    <n v="-3289258.5000002212"/>
    <m/>
    <m/>
    <m/>
    <n v="123306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11"/>
    <s v="Ant.Cob/123307"/>
    <s v="Banco Brb - Par. 123307(03-3)"/>
    <n v="0"/>
    <d v="2015-05-12T00:00:00"/>
    <d v="1899-12-30T10:53:20"/>
    <n v="1473"/>
    <n v="0"/>
    <n v="-3290731.5000002212"/>
    <m/>
    <m/>
    <m/>
    <n v="123307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426"/>
    <n v="181316"/>
    <s v="Par.(12/12) 015285/CAROLINNA BAIOCCHI DE OLI - Mensalidades"/>
    <n v="1476.68"/>
    <d v="2015-05-12T00:00:00"/>
    <d v="1899-12-30T10:55:24"/>
    <n v="0"/>
    <n v="0"/>
    <n v="-3289254.820000221"/>
    <m/>
    <m/>
    <n v="181316"/>
    <m/>
    <n v="8"/>
    <s v="Vinicius"/>
    <n v="1"/>
    <m/>
    <n v="2"/>
    <d v="2015-05-20T00:00:00"/>
    <d v="2015-05-2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9920"/>
    <s v="Extrato/123313"/>
    <s v="Caixa Econômica Federal - Cód. 123313"/>
    <n v="0"/>
    <d v="2015-05-12T00:00:00"/>
    <d v="1899-12-30T11:07:33"/>
    <n v="7.75"/>
    <n v="0"/>
    <n v="-3289262.570000221"/>
    <m/>
    <m/>
    <m/>
    <n v="123313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921"/>
    <s v="Extrato/123314"/>
    <s v="Caixa Econômica Federal - Cód. 123314"/>
    <n v="0"/>
    <d v="2015-05-12T00:00:00"/>
    <d v="1899-12-30T11:07:33"/>
    <n v="2.95"/>
    <n v="0"/>
    <n v="-3289265.5200002212"/>
    <m/>
    <m/>
    <m/>
    <n v="123314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63"/>
    <s v="Transferência Entre Conta"/>
    <s v="Transferência Entre Conta"/>
    <n v="65000"/>
    <d v="2015-05-12T00:00:00"/>
    <d v="1899-12-30T11:10:59"/>
    <n v="0"/>
    <n v="0"/>
    <n v="-3224265.5200002212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966"/>
    <s v="Extrato/124016"/>
    <s v="Mercantil Do Brasil - Cód. 124016"/>
    <n v="0"/>
    <d v="2015-05-12T00:00:00"/>
    <d v="1899-12-30T11:16:00"/>
    <n v="760.63"/>
    <n v="0"/>
    <n v="-3225026.1500002211"/>
    <m/>
    <m/>
    <m/>
    <n v="124016"/>
    <n v="7"/>
    <s v="Anapaula"/>
    <n v="2"/>
    <m/>
    <n v="1577"/>
    <d v="2015-05-25T00:00:00"/>
    <d v="2015-05-25T00:00:00"/>
    <m/>
    <m/>
    <n v="2015"/>
    <n v="7"/>
    <m/>
    <m/>
    <m/>
    <m/>
    <s v="CA.Pre-seguro de vida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69932"/>
    <s v="Extrato"/>
    <s v="Rend Aplic Auto Mais"/>
    <n v="0.01"/>
    <d v="2015-05-12T00:00:00"/>
    <d v="1899-12-30T11:19:48"/>
    <n v="0"/>
    <n v="0"/>
    <n v="-3225026.1400002213"/>
    <m/>
    <m/>
    <m/>
    <m/>
    <n v="60"/>
    <s v="Francielly"/>
    <n v="1"/>
    <m/>
    <n v="1471"/>
    <d v="2015-05-14T00:00:00"/>
    <d v="2015-05-14T00:00:00"/>
    <m/>
    <m/>
    <n v="2015"/>
    <n v="60"/>
    <m/>
    <m/>
    <m/>
    <m/>
    <s v="Transferência Entre Contas"/>
    <x v="2"/>
    <s v="COLÉGIO OLIMPO LTDA"/>
    <m/>
    <n v="26"/>
    <n v="3"/>
    <s v="Dep. Bancário"/>
    <m/>
    <m/>
    <m/>
    <n v="0"/>
    <m/>
    <m/>
    <s v="ITAÚ [SOL] [001691-4] [CC]"/>
    <m/>
    <m/>
    <m/>
  </r>
  <r>
    <n v="269934"/>
    <s v="Extrato/123316"/>
    <s v="Banco Itaú Unibanco S.A. - Cód. 123316"/>
    <n v="0"/>
    <d v="2015-05-12T00:00:00"/>
    <d v="1899-12-30T11:21:45"/>
    <n v="7.95"/>
    <n v="0"/>
    <n v="-3225034.0900002215"/>
    <m/>
    <m/>
    <m/>
    <n v="123316"/>
    <n v="60"/>
    <s v="Francielly"/>
    <n v="1"/>
    <m/>
    <n v="575"/>
    <d v="2015-05-14T00:00:00"/>
    <d v="2015-05-14T00:00:00"/>
    <m/>
    <m/>
    <n v="2015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9777"/>
    <s v="Transferência Entre Conta"/>
    <s v="Sacar P/ Pagar Func Sol"/>
    <n v="0"/>
    <d v="2015-05-12T00:00:00"/>
    <d v="1899-12-30T11:24:11"/>
    <n v="1500"/>
    <n v="0"/>
    <n v="-3226534.0900002215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6"/>
    <s v="ITAÚ [SOL] [001691-4] [CC]"/>
    <m/>
    <m/>
    <m/>
  </r>
  <r>
    <n v="269779"/>
    <s v="Transferência Entre Conta"/>
    <s v="Destino: 269777-Sacar P/ Pagar Func Sol"/>
    <n v="1500"/>
    <d v="2015-05-12T00:00:00"/>
    <d v="1899-12-30T11:24:11"/>
    <n v="0"/>
    <n v="0"/>
    <n v="-3225034.0900002215"/>
    <m/>
    <m/>
    <m/>
    <m/>
    <n v="24"/>
    <s v="Emilly"/>
    <n v="1"/>
    <m/>
    <n v="1449"/>
    <d v="2015-05-13T00:00:00"/>
    <d v="2015-05-13T00:00:00"/>
    <m/>
    <m/>
    <n v="2015"/>
    <n v="24"/>
    <m/>
    <m/>
    <n v="269777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69625"/>
    <n v="205127"/>
    <s v="Retorno: Par. 205127(04/12) - 20106/ANA - Mensalidades"/>
    <n v="1507.85"/>
    <d v="2015-05-12T00:00:00"/>
    <d v="1899-12-30T12:00:00"/>
    <n v="0"/>
    <n v="0"/>
    <n v="-3223526.2400002214"/>
    <m/>
    <m/>
    <n v="205127"/>
    <m/>
    <n v="1"/>
    <s v="Andre"/>
    <n v="1"/>
    <m/>
    <n v="2"/>
    <d v="2015-05-12T00:00:00"/>
    <d v="2015-05-12T00:00:00"/>
    <n v="2843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0021"/>
    <s v="Abril/123354"/>
    <s v="João Correa De Carvalho - Cód. 123354"/>
    <n v="0"/>
    <d v="2015-05-12T00:00:00"/>
    <d v="1899-12-30T14:48:02"/>
    <n v="2424.13"/>
    <n v="0"/>
    <n v="-3225950.3700002213"/>
    <m/>
    <m/>
    <m/>
    <n v="12335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36"/>
    <s v="Extrato/123440"/>
    <s v="Banco Daycoval S/A  - Cód. 123440"/>
    <n v="0"/>
    <d v="2015-05-12T00:00:00"/>
    <d v="1899-12-30T15:02:05"/>
    <n v="580"/>
    <n v="0"/>
    <n v="-3226530.3700002213"/>
    <m/>
    <m/>
    <m/>
    <n v="123440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69"/>
    <n v="9"/>
    <s v="Débito em conta"/>
    <m/>
    <n v="0"/>
    <m/>
    <n v="0"/>
    <m/>
    <m/>
    <s v="DAYCOVAL [GYN] [6964461] [COB]"/>
    <m/>
    <m/>
    <m/>
  </r>
  <r>
    <n v="269836"/>
    <n v="206191"/>
    <s v="Par.(04/6) 020301/MARTINA ASCARI - Parcelas"/>
    <n v="1420"/>
    <d v="2015-05-12T00:00:00"/>
    <d v="1899-12-30T15:12:54"/>
    <n v="0"/>
    <n v="0"/>
    <n v="-3225110.3700002213"/>
    <m/>
    <m/>
    <n v="206191"/>
    <m/>
    <n v="8"/>
    <s v="Vinicius"/>
    <n v="2"/>
    <m/>
    <n v="6"/>
    <d v="2015-05-13T00:00:00"/>
    <d v="2015-05-13T00:00:00"/>
    <m/>
    <m/>
    <n v="2015"/>
    <n v="8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270043"/>
    <s v="Extrato/123452"/>
    <s v="Mercantil Do Brasil - Cód. 123452"/>
    <n v="0"/>
    <d v="2015-05-12T00:00:00"/>
    <d v="1899-12-30T15:17:29"/>
    <n v="1386"/>
    <n v="0"/>
    <n v="-3226496.3700002213"/>
    <m/>
    <m/>
    <m/>
    <n v="123452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1472"/>
    <s v="DEPÓSITO 2015-05-12"/>
    <s v="PAGAMENTO DA MENSALIDADE DE MARÇO/2015, DO(A) ALUNO(A) GIOVANNA DE OLIVEIRA NAJAR_EF"/>
    <n v="1130.42"/>
    <d v="2015-05-12T00:00:00"/>
    <d v="1899-12-30T16:46:07"/>
    <n v="0"/>
    <n v="0"/>
    <n v="-3225365.9500002214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0117"/>
    <s v="JVL/109361"/>
    <s v="Jaquellyne Vilela E Lima - Cód. 109361"/>
    <n v="0"/>
    <d v="2015-05-12T00:00:00"/>
    <d v="1899-12-30T16:57:14"/>
    <n v="1400"/>
    <n v="0"/>
    <n v="-3226765.9500002214"/>
    <m/>
    <m/>
    <m/>
    <n v="109361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18"/>
    <s v="Brb Sol 2910/114223"/>
    <s v="Rodrigo Do Petrônio - Cód. 114223"/>
    <n v="0"/>
    <d v="2015-05-12T00:00:00"/>
    <d v="1899-12-30T16:57:28"/>
    <n v="4000"/>
    <n v="0"/>
    <n v="-3230765.9500002214"/>
    <m/>
    <m/>
    <m/>
    <n v="114223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19"/>
    <s v="Ch Brb Sol 3004/114197"/>
    <s v="Fábio Villa Verde Moreno - Cód. 114197"/>
    <n v="0"/>
    <d v="2015-05-12T00:00:00"/>
    <d v="1899-12-30T17:01:55"/>
    <n v="10837"/>
    <n v="0"/>
    <n v="-3241602.9500002214"/>
    <m/>
    <m/>
    <m/>
    <n v="114197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20"/>
    <s v="Abril /120575"/>
    <s v="Mauricio Vieira De Melo - Cód. 120575"/>
    <n v="0"/>
    <d v="2015-05-12T00:00:00"/>
    <d v="1899-12-30T17:02:10"/>
    <n v="2350"/>
    <n v="0"/>
    <n v="-3243952.9500002214"/>
    <m/>
    <m/>
    <m/>
    <n v="120575"/>
    <n v="24"/>
    <s v="Emilly"/>
    <n v="1"/>
    <m/>
    <n v="877"/>
    <d v="2015-05-15T00:00:00"/>
    <d v="2015-05-15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21"/>
    <s v="Recibo/121955"/>
    <s v="Educandário Sol Nascente  - Cód. 121955"/>
    <n v="0"/>
    <d v="2015-05-12T00:00:00"/>
    <d v="1899-12-30T17:02:24"/>
    <n v="500"/>
    <n v="0"/>
    <n v="-3244452.9500002214"/>
    <m/>
    <m/>
    <m/>
    <n v="121955"/>
    <n v="24"/>
    <s v="Emilly"/>
    <n v="1"/>
    <m/>
    <n v="1499"/>
    <d v="2015-05-15T00:00:00"/>
    <d v="2015-05-15T00:00:00"/>
    <m/>
    <m/>
    <n v="2015"/>
    <n v="24"/>
    <m/>
    <m/>
    <m/>
    <m/>
    <s v="SolNascente. Despesas Diversas"/>
    <x v="1"/>
    <s v="COLÉGIO OLIMPO LTDA"/>
    <m/>
    <n v="52"/>
    <n v="2"/>
    <s v="Cheque"/>
    <m/>
    <n v="0"/>
    <m/>
    <n v="0"/>
    <m/>
    <m/>
    <s v="BRB [SOL] [012052-4] [CC] [COB]"/>
    <m/>
    <m/>
    <m/>
  </r>
  <r>
    <n v="270914"/>
    <s v="111980/123960"/>
    <s v="Cartório 3º Tabelionato De Notas - Cód. 123960"/>
    <n v="0"/>
    <d v="2015-05-13T00:00:00"/>
    <d v="1899-12-30T08:42:55"/>
    <n v="73.760000000000005"/>
    <n v="0"/>
    <n v="-3244526.7100002212"/>
    <m/>
    <m/>
    <m/>
    <n v="123960"/>
    <n v="24"/>
    <s v="Emilly"/>
    <n v="1"/>
    <m/>
    <n v="522"/>
    <d v="2015-05-25T00:00:00"/>
    <d v="2015-05-25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70459"/>
    <s v="Abril/122932"/>
    <s v="Carolina Chaveiro Da Silva  - Cód. 122932"/>
    <n v="0"/>
    <d v="2015-05-13T00:00:00"/>
    <d v="1899-12-30T08:59:33"/>
    <n v="1100"/>
    <n v="0"/>
    <n v="-3245626.7100002212"/>
    <m/>
    <m/>
    <m/>
    <n v="122932"/>
    <n v="24"/>
    <s v="Emilly"/>
    <n v="1"/>
    <m/>
    <n v="336"/>
    <d v="2015-05-21T00:00:00"/>
    <d v="2015-05-21T00:00:00"/>
    <m/>
    <m/>
    <n v="2015"/>
    <n v="24"/>
    <m/>
    <m/>
    <m/>
    <m/>
    <s v="Marista.Fiscais de Provas e Simulados "/>
    <x v="1"/>
    <s v="COLÉGIO OLIMPO LTDA"/>
    <m/>
    <n v="52"/>
    <n v="2"/>
    <s v="Cheque"/>
    <m/>
    <n v="0"/>
    <m/>
    <n v="0"/>
    <m/>
    <m/>
    <s v="BRB [SOL] [012052-4] [CC] [COB]"/>
    <m/>
    <m/>
    <m/>
  </r>
  <r>
    <n v="270154"/>
    <s v="VML/116412"/>
    <s v="Vandré Moura Lopes - Cód. 116412"/>
    <n v="0"/>
    <d v="2015-05-13T00:00:00"/>
    <d v="1899-12-30T09:11:10"/>
    <n v="6000"/>
    <n v="0"/>
    <n v="-3251626.7100002212"/>
    <m/>
    <m/>
    <m/>
    <n v="116412"/>
    <n v="24"/>
    <s v="Emilly"/>
    <n v="1"/>
    <m/>
    <n v="1450"/>
    <d v="2015-05-18T00:00:00"/>
    <d v="2015-05-18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56"/>
    <s v="Abril/123290"/>
    <s v="Willian Rodrigues Moreira - Cód. 123290"/>
    <n v="0"/>
    <d v="2015-05-13T00:00:00"/>
    <d v="1899-12-30T09:12:00"/>
    <n v="3885.43"/>
    <n v="0"/>
    <n v="-3255512.1400002213"/>
    <m/>
    <m/>
    <m/>
    <n v="1232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928"/>
    <s v="Extrato/123966"/>
    <s v="Caixa Econômica Federal - Cód. 123966"/>
    <n v="0"/>
    <d v="2015-05-13T00:00:00"/>
    <d v="1899-12-30T09:28:01"/>
    <n v="3.1"/>
    <n v="0"/>
    <n v="-3255515.2400002214"/>
    <m/>
    <m/>
    <m/>
    <n v="123966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528"/>
    <s v="Extrato/123726"/>
    <s v="Automaticket Impressos Publicitarios - Cód. 123726"/>
    <n v="0"/>
    <d v="2015-05-13T00:00:00"/>
    <d v="1899-12-30T09:36:01"/>
    <n v="300.05"/>
    <n v="0"/>
    <n v="-3255815.2900002212"/>
    <m/>
    <m/>
    <m/>
    <n v="123726"/>
    <n v="7"/>
    <s v="Anapaula"/>
    <n v="1"/>
    <m/>
    <n v="491"/>
    <d v="2015-05-21T00:00:00"/>
    <d v="2015-05-21T00:00:00"/>
    <m/>
    <m/>
    <n v="2015"/>
    <n v="7"/>
    <m/>
    <m/>
    <m/>
    <m/>
    <s v="CA.Eventos e Festa de Confraternização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529"/>
    <s v="Extrato/123727"/>
    <s v="Automaticket Impressos Publicitarios - Cód. 123727"/>
    <n v="0"/>
    <d v="2015-05-13T00:00:00"/>
    <d v="1899-12-30T09:36:14"/>
    <n v="184.89"/>
    <n v="0"/>
    <n v="-3256000.1800002214"/>
    <m/>
    <m/>
    <m/>
    <n v="123727"/>
    <n v="7"/>
    <s v="Anapaula"/>
    <n v="1"/>
    <m/>
    <n v="1659"/>
    <d v="2015-05-21T00:00:00"/>
    <d v="2015-05-21T00:00:00"/>
    <m/>
    <m/>
    <n v="2015"/>
    <n v="7"/>
    <m/>
    <m/>
    <m/>
    <m/>
    <s v="Aná. Eventos e Festa de Confraternização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939"/>
    <s v="Liberação de Garantia "/>
    <s v="Liberação de Garantia "/>
    <n v="0"/>
    <d v="2015-05-13T00:00:00"/>
    <d v="1899-12-30T09:54:19"/>
    <n v="1000"/>
    <n v="0"/>
    <n v="-3257000.180000221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0940"/>
    <s v="Liberação de Garantia "/>
    <s v="Destino: 270939-Liberação de Garantia "/>
    <n v="1000"/>
    <d v="2015-05-13T00:00:00"/>
    <d v="1899-12-30T09:54:19"/>
    <n v="0"/>
    <n v="0"/>
    <n v="-3256000.1800002214"/>
    <m/>
    <m/>
    <m/>
    <m/>
    <n v="7"/>
    <s v="Anapaula"/>
    <n v="1"/>
    <m/>
    <n v="1449"/>
    <d v="2015-05-25T00:00:00"/>
    <d v="2015-05-25T00:00:00"/>
    <m/>
    <m/>
    <n v="2015"/>
    <n v="7"/>
    <m/>
    <m/>
    <n v="270939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0327"/>
    <n v="191301"/>
    <s v="Par.(04/12) 019774/JOÃO VITOR CARVALHO FILAR - Mensalidades"/>
    <n v="1508.83"/>
    <d v="2015-05-13T00:00:00"/>
    <d v="1899-12-30T09:55:56"/>
    <n v="0"/>
    <n v="0"/>
    <n v="-3254491.3500002213"/>
    <m/>
    <m/>
    <n v="191301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946"/>
    <s v="Extrato/123989"/>
    <s v="Mercantil Do Brasil - Cód. 123989"/>
    <n v="0"/>
    <d v="2015-05-13T00:00:00"/>
    <d v="1899-12-30T10:00:57"/>
    <n v="1000"/>
    <n v="0"/>
    <n v="-3255491.3500002213"/>
    <m/>
    <m/>
    <m/>
    <n v="123989"/>
    <n v="7"/>
    <s v="Anapaula"/>
    <n v="2"/>
    <m/>
    <n v="524"/>
    <d v="2015-05-25T00:00:00"/>
    <d v="2015-05-25T00:00:00"/>
    <m/>
    <m/>
    <n v="2015"/>
    <n v="7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0607"/>
    <s v="Entrada"/>
    <s v="Empréstimo Cifra Fomento"/>
    <n v="52102.720000000001"/>
    <d v="2015-05-13T00:00:00"/>
    <d v="1899-12-30T10:04:45"/>
    <n v="0"/>
    <n v="0"/>
    <n v="-3203388.6300002211"/>
    <m/>
    <m/>
    <m/>
    <m/>
    <n v="24"/>
    <s v="Emilly"/>
    <n v="1"/>
    <m/>
    <n v="1372"/>
    <d v="2015-05-21T00:00:00"/>
    <d v="2015-05-21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70608"/>
    <s v="Entrada"/>
    <s v="Empréstimo Cifra Fomento"/>
    <n v="28708.18"/>
    <d v="2015-05-13T00:00:00"/>
    <d v="1899-12-30T10:05:51"/>
    <n v="0"/>
    <n v="0"/>
    <n v="-3174680.4500002209"/>
    <m/>
    <m/>
    <m/>
    <m/>
    <n v="24"/>
    <s v="Emilly"/>
    <n v="1"/>
    <m/>
    <n v="1372"/>
    <d v="2015-05-21T00:00:00"/>
    <d v="2015-05-21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70609"/>
    <s v="Transferência Entre Conta"/>
    <s v="Transferência Entre Conta"/>
    <n v="0"/>
    <d v="2015-05-13T00:00:00"/>
    <d v="1899-12-30T10:06:45"/>
    <n v="1000"/>
    <n v="0"/>
    <n v="-3175680.4500002209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6"/>
    <s v="BB [022382-4] [GYN] [CC]"/>
    <m/>
    <m/>
    <m/>
  </r>
  <r>
    <n v="270610"/>
    <s v="Transferência Entre Conta"/>
    <s v="Destino: 270609-Transferência Entre Conta"/>
    <n v="1000"/>
    <d v="2015-05-13T00:00:00"/>
    <d v="1899-12-30T10:06:45"/>
    <n v="0"/>
    <n v="0"/>
    <n v="-3174680.4500002209"/>
    <m/>
    <m/>
    <m/>
    <m/>
    <n v="24"/>
    <s v="Emilly"/>
    <n v="1"/>
    <m/>
    <n v="1449"/>
    <d v="2015-05-21T00:00:00"/>
    <d v="2015-05-21T00:00:00"/>
    <m/>
    <m/>
    <n v="2015"/>
    <n v="24"/>
    <m/>
    <m/>
    <n v="270609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2785"/>
    <s v="Extrato/125047"/>
    <s v="Banco Brb - Cód. 125047"/>
    <n v="0"/>
    <d v="2015-05-13T00:00:00"/>
    <d v="1899-12-30T10:12:17"/>
    <n v="1489.76"/>
    <n v="0"/>
    <n v="-3176170.2100002207"/>
    <m/>
    <m/>
    <m/>
    <n v="125047"/>
    <n v="24"/>
    <s v="Emilly"/>
    <n v="1"/>
    <m/>
    <n v="544"/>
    <d v="2015-06-11T00:00:00"/>
    <d v="2015-06-11T00:00:00"/>
    <m/>
    <m/>
    <n v="2015"/>
    <n v="24"/>
    <m/>
    <m/>
    <m/>
    <m/>
    <s v="CA.Desconto de cheque (FINANCIMENTO)"/>
    <x v="1"/>
    <s v="COLÉGIO OLIMPO LTDA"/>
    <m/>
    <n v="12"/>
    <n v="2"/>
    <s v="Cheque"/>
    <m/>
    <n v="0"/>
    <m/>
    <n v="0"/>
    <m/>
    <m/>
    <s v="BRB [GYN] [011616-0] [CC] [COB]"/>
    <m/>
    <m/>
    <m/>
  </r>
  <r>
    <n v="270385"/>
    <s v="Abril/123586"/>
    <s v="Carlos Antonio Moreira - Cód. 123586"/>
    <n v="0"/>
    <d v="2015-05-13T00:00:00"/>
    <d v="1899-12-30T10:18:40"/>
    <n v="3197.3"/>
    <n v="0"/>
    <n v="-3179367.5100002205"/>
    <m/>
    <m/>
    <m/>
    <n v="123586"/>
    <n v="24"/>
    <s v="Emilly"/>
    <n v="1"/>
    <m/>
    <n v="1557"/>
    <d v="2015-05-20T00:00:00"/>
    <d v="2015-05-20T00:00:00"/>
    <m/>
    <m/>
    <n v="2015"/>
    <n v="24"/>
    <m/>
    <m/>
    <m/>
    <m/>
    <s v="Aná.Honorários"/>
    <x v="1"/>
    <s v="COLÉGIO OLIMPO LTDA"/>
    <m/>
    <n v="12"/>
    <n v="2"/>
    <s v="Cheque"/>
    <m/>
    <n v="0"/>
    <m/>
    <n v="0"/>
    <m/>
    <m/>
    <s v="BRB [GYN] [011616-0] [CC] [COB]"/>
    <m/>
    <m/>
    <m/>
  </r>
  <r>
    <n v="271030"/>
    <s v="Remessa Olimpo Anápolis"/>
    <s v="Remessa Olimpo Anápolis"/>
    <n v="2688.8"/>
    <d v="2015-05-13T00:00:00"/>
    <d v="1899-12-30T10:25:09"/>
    <n v="0"/>
    <n v="0"/>
    <n v="-3176678.7100002207"/>
    <m/>
    <m/>
    <m/>
    <m/>
    <n v="24"/>
    <s v="Emilly"/>
    <n v="1"/>
    <m/>
    <n v="1526"/>
    <d v="2015-05-26T00:00:00"/>
    <d v="2015-06-11T00:00:00"/>
    <m/>
    <m/>
    <n v="2015"/>
    <n v="7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631"/>
    <n v="192962"/>
    <s v="Retorno: Par. 192962(05/12) - 018343/LET - Mensalidades"/>
    <n v="1473"/>
    <d v="2015-05-13T00:00:00"/>
    <d v="1899-12-30T10:30:01"/>
    <n v="0"/>
    <n v="0"/>
    <n v="-3175205.7100002207"/>
    <m/>
    <m/>
    <n v="192962"/>
    <m/>
    <n v="14"/>
    <s v="Renato"/>
    <n v="1"/>
    <m/>
    <n v="2"/>
    <d v="2015-06-09T00:00:00"/>
    <d v="2015-06-09T00:00:00"/>
    <n v="28952"/>
    <n v="20150513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30"/>
    <n v="217311"/>
    <s v="Retorno: Par. 217311(05/12) - 019745/HIZ - (BOLETO DUPLICADO"/>
    <n v="1473"/>
    <d v="2015-05-13T00:00:00"/>
    <d v="1899-12-30T10:30:01"/>
    <n v="0"/>
    <n v="0"/>
    <n v="-3173732.7100002207"/>
    <m/>
    <m/>
    <n v="217311"/>
    <m/>
    <n v="14"/>
    <s v="Renato"/>
    <n v="1"/>
    <m/>
    <n v="2"/>
    <d v="2015-06-09T00:00:00"/>
    <d v="2015-06-09T00:00:00"/>
    <n v="28951"/>
    <n v="20150513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403"/>
    <s v="Abril/123645"/>
    <s v="Folha De Pagamento - Professores Uberlân - Cód. 123645"/>
    <n v="0"/>
    <d v="2015-05-13T00:00:00"/>
    <d v="1899-12-30T10:48:25"/>
    <n v="6300"/>
    <n v="0"/>
    <n v="-3180032.7100002207"/>
    <m/>
    <m/>
    <m/>
    <n v="123645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04"/>
    <s v="Abril/123649"/>
    <s v="Folha De Pagamento - Professores Uberlân - Cód. 123649"/>
    <n v="0"/>
    <d v="2015-05-13T00:00:00"/>
    <d v="1899-12-30T10:48:40"/>
    <n v="4000"/>
    <n v="0"/>
    <n v="-3184032.7100002207"/>
    <m/>
    <m/>
    <m/>
    <n v="123649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05"/>
    <s v="Despesa/123528"/>
    <s v="Marcelo De Moraes Melo - Cód. 123528"/>
    <n v="0"/>
    <d v="2015-05-13T00:00:00"/>
    <d v="1899-12-30T10:49:12"/>
    <n v="2150"/>
    <n v="0"/>
    <n v="-3186182.7100002207"/>
    <m/>
    <m/>
    <m/>
    <n v="123528"/>
    <n v="24"/>
    <s v="Emilly"/>
    <n v="1"/>
    <m/>
    <n v="1455"/>
    <d v="2015-05-20T00:00:00"/>
    <d v="2015-05-20T00:00:00"/>
    <m/>
    <m/>
    <n v="2015"/>
    <n v="24"/>
    <m/>
    <m/>
    <m/>
    <m/>
    <s v="Marcelo.Despesas Particulares"/>
    <x v="1"/>
    <s v="COLÉGIO OLIMPO LTDA"/>
    <m/>
    <n v="52"/>
    <n v="2"/>
    <s v="Cheque"/>
    <m/>
    <n v="0"/>
    <m/>
    <n v="0"/>
    <m/>
    <m/>
    <s v="BRB [SOL] [012052-4] [CC] [COB]"/>
    <m/>
    <m/>
    <m/>
  </r>
  <r>
    <n v="270406"/>
    <s v="Abril/122933"/>
    <s v="Liege Fernandes - Cód. 122933"/>
    <n v="0"/>
    <d v="2015-05-13T00:00:00"/>
    <d v="1899-12-30T10:49:44"/>
    <n v="854.7"/>
    <n v="0"/>
    <n v="-3187037.4100002209"/>
    <m/>
    <m/>
    <m/>
    <n v="122933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07"/>
    <s v="Abril/122917"/>
    <s v="Marcelo Silva - Cód. 122917"/>
    <n v="0"/>
    <d v="2015-05-13T00:00:00"/>
    <d v="1899-12-30T10:50:06"/>
    <n v="759.76"/>
    <n v="0"/>
    <n v="-3187797.1700002206"/>
    <m/>
    <m/>
    <m/>
    <n v="122917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08"/>
    <s v="Abril/122909"/>
    <s v="Marcelo Silva - Cód. 122909"/>
    <n v="0"/>
    <d v="2015-05-13T00:00:00"/>
    <d v="1899-12-30T10:50:20"/>
    <n v="4273.5"/>
    <n v="0"/>
    <n v="-3192070.6700002206"/>
    <m/>
    <m/>
    <m/>
    <n v="122909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09"/>
    <s v="Abril/122915"/>
    <s v="Diego Bernadelli Santos - Cód. 122915"/>
    <n v="0"/>
    <d v="2015-05-13T00:00:00"/>
    <d v="1899-12-30T10:50:39"/>
    <n v="2576.6999999999998"/>
    <n v="0"/>
    <n v="-3194647.3700002208"/>
    <m/>
    <m/>
    <m/>
    <n v="122915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11"/>
    <s v="Abril/122922"/>
    <s v="Fabiano Aquila Fernandes  - Cód. 122922"/>
    <n v="0"/>
    <d v="2015-05-13T00:00:00"/>
    <d v="1899-12-30T10:51:12"/>
    <n v="2279.2800000000002"/>
    <n v="0"/>
    <n v="-3196926.6500002206"/>
    <m/>
    <m/>
    <m/>
    <n v="122922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12"/>
    <s v="Abril/122912"/>
    <s v="João Correa De Carvalho - Cód. 122912"/>
    <n v="0"/>
    <d v="2015-05-13T00:00:00"/>
    <d v="1899-12-30T10:51:29"/>
    <n v="2704.07"/>
    <n v="0"/>
    <n v="-3199630.7200002205"/>
    <m/>
    <m/>
    <m/>
    <n v="122912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13"/>
    <s v="Abril/122906"/>
    <s v="Lethicia Jamille Machado Amorim - Cód. 122906"/>
    <n v="0"/>
    <d v="2015-05-13T00:00:00"/>
    <d v="1899-12-30T10:51:43"/>
    <n v="3246"/>
    <n v="0"/>
    <n v="-3202876.7200002205"/>
    <m/>
    <m/>
    <m/>
    <n v="122906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15"/>
    <s v="Abril/122923"/>
    <s v="Cinara Itagiba Nunes Lopes Leite - Cód. 122923"/>
    <n v="0"/>
    <d v="2015-05-13T00:00:00"/>
    <d v="1899-12-30T10:52:14"/>
    <n v="1899.4"/>
    <n v="0"/>
    <n v="-3204776.1200002204"/>
    <m/>
    <m/>
    <m/>
    <n v="122923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17"/>
    <s v="Abril/122902"/>
    <s v="José Mendes De Souza - Cód. 122902"/>
    <n v="0"/>
    <d v="2015-05-13T00:00:00"/>
    <d v="1899-12-30T10:53:03"/>
    <n v="3630"/>
    <n v="0"/>
    <n v="-3208406.1200002204"/>
    <m/>
    <m/>
    <m/>
    <n v="122902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18"/>
    <s v="Abril/122934"/>
    <s v="Juliana Helena Alves (Teatro) - Cód. 122934"/>
    <n v="0"/>
    <d v="2015-05-13T00:00:00"/>
    <d v="1899-12-30T10:53:27"/>
    <n v="1709.46"/>
    <n v="0"/>
    <n v="-3210115.5800002203"/>
    <m/>
    <m/>
    <m/>
    <n v="122934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19"/>
    <s v="Abril/122913"/>
    <s v="Vicente Aparecido da Silva - Cód. 122913"/>
    <n v="0"/>
    <d v="2015-05-13T00:00:00"/>
    <d v="1899-12-30T10:53:42"/>
    <n v="6492"/>
    <n v="0"/>
    <n v="-3216607.5800002203"/>
    <m/>
    <m/>
    <m/>
    <n v="122913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0"/>
    <s v="Brb 3642/123515"/>
    <s v="Rogério Carlos Camargo Matias  - Cód. 123515"/>
    <n v="0"/>
    <d v="2015-05-13T00:00:00"/>
    <d v="1899-12-30T10:53:58"/>
    <n v="1325.8"/>
    <n v="0"/>
    <n v="-3217933.3800002201"/>
    <m/>
    <m/>
    <m/>
    <n v="123515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1"/>
    <s v="Abril/122920"/>
    <s v="Eliane Sueli Pereira - Cód. 122920"/>
    <n v="0"/>
    <d v="2015-05-13T00:00:00"/>
    <d v="1899-12-30T10:54:11"/>
    <n v="1519.52"/>
    <n v="0"/>
    <n v="-3219452.9000002202"/>
    <m/>
    <m/>
    <m/>
    <n v="122920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22"/>
    <s v="Abril/123540"/>
    <s v="Murillo Antonio Rodrigues Pires - Cód. 123540"/>
    <n v="0"/>
    <d v="2015-05-13T00:00:00"/>
    <d v="1899-12-30T10:54:26"/>
    <n v="1455.09"/>
    <n v="0"/>
    <n v="-3220907.99000022"/>
    <m/>
    <m/>
    <m/>
    <n v="123540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3"/>
    <s v="Abril/123546"/>
    <s v="Raphael Siviero Meira Santos - Cód. 123546"/>
    <n v="0"/>
    <d v="2015-05-13T00:00:00"/>
    <d v="1899-12-30T10:54:39"/>
    <n v="930.66"/>
    <n v="0"/>
    <n v="-3221838.6500002202"/>
    <m/>
    <m/>
    <m/>
    <n v="123546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4"/>
    <s v="Abril/122919"/>
    <s v="José Calíope de Freitas Junior - Cód. 122919"/>
    <n v="0"/>
    <d v="2015-05-13T00:00:00"/>
    <d v="1899-12-30T10:54:54"/>
    <n v="6552.93"/>
    <n v="0"/>
    <n v="-3228391.5800002203"/>
    <m/>
    <m/>
    <m/>
    <n v="122919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25"/>
    <s v="Abril/122930"/>
    <s v="Thiago Higor - Cód. 122930"/>
    <n v="0"/>
    <d v="2015-05-13T00:00:00"/>
    <d v="1899-12-30T10:55:09"/>
    <n v="700"/>
    <n v="0"/>
    <n v="-3229091.5800002203"/>
    <m/>
    <m/>
    <m/>
    <n v="122930"/>
    <n v="24"/>
    <s v="Emilly"/>
    <n v="1"/>
    <m/>
    <n v="139"/>
    <d v="2015-05-20T00:00:00"/>
    <d v="2015-05-20T00:00:00"/>
    <m/>
    <m/>
    <n v="2015"/>
    <n v="24"/>
    <m/>
    <m/>
    <m/>
    <m/>
    <s v="T-3.Fiscais de Provas e Simulados "/>
    <x v="1"/>
    <s v="COLÉGIO OLIMPO LTDA"/>
    <m/>
    <n v="52"/>
    <n v="2"/>
    <s v="Cheque"/>
    <m/>
    <n v="0"/>
    <m/>
    <n v="0"/>
    <m/>
    <m/>
    <s v="BRB [SOL] [012052-4] [CC] [COB]"/>
    <m/>
    <m/>
    <m/>
  </r>
  <r>
    <n v="270427"/>
    <s v="Abril/123556"/>
    <s v="SHEYLA GONÇALVES DIAS - Cód. 123556"/>
    <n v="0"/>
    <d v="2015-05-13T00:00:00"/>
    <d v="1899-12-30T10:55:27"/>
    <n v="1790.15"/>
    <n v="0"/>
    <n v="-3230881.7300002202"/>
    <m/>
    <m/>
    <m/>
    <n v="123556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8"/>
    <s v="Abril/123565"/>
    <s v="Eduardo Alves Marques  - Cód. 123565"/>
    <n v="0"/>
    <d v="2015-05-13T00:00:00"/>
    <d v="1899-12-30T10:55:42"/>
    <n v="930.66"/>
    <n v="0"/>
    <n v="-3231812.3900002204"/>
    <m/>
    <m/>
    <m/>
    <n v="123565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9"/>
    <s v="Abril/123566"/>
    <s v="Jean Carlos Almeida de Camargo - Cód. 123566"/>
    <n v="0"/>
    <d v="2015-05-13T00:00:00"/>
    <d v="1899-12-30T10:57:03"/>
    <n v="1085.77"/>
    <n v="0"/>
    <n v="-3232898.1600002204"/>
    <m/>
    <m/>
    <m/>
    <n v="123566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30"/>
    <s v="Abril/123569"/>
    <s v="Celio David Feliciano - Cód. 123569"/>
    <n v="0"/>
    <d v="2015-05-13T00:00:00"/>
    <d v="1899-12-30T10:57:19"/>
    <n v="465.34"/>
    <n v="0"/>
    <n v="-3233363.5000002203"/>
    <m/>
    <m/>
    <m/>
    <n v="123569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31"/>
    <s v="Abril/123588"/>
    <s v="Carlos Antonio Moreira - Cód. 123588"/>
    <n v="0"/>
    <d v="2015-05-13T00:00:00"/>
    <d v="1899-12-30T10:57:34"/>
    <n v="1062.01"/>
    <n v="0"/>
    <n v="-3234425.51000022"/>
    <m/>
    <m/>
    <m/>
    <n v="123588"/>
    <n v="24"/>
    <s v="Emilly"/>
    <n v="1"/>
    <m/>
    <n v="1509"/>
    <d v="2015-05-20T00:00:00"/>
    <d v="2015-05-20T00:00:00"/>
    <m/>
    <m/>
    <n v="2015"/>
    <n v="24"/>
    <m/>
    <m/>
    <m/>
    <m/>
    <s v="SolNascente.Honorários"/>
    <x v="1"/>
    <s v="COLÉGIO OLIMPO LTDA"/>
    <m/>
    <n v="52"/>
    <n v="2"/>
    <s v="Cheque"/>
    <m/>
    <n v="0"/>
    <m/>
    <n v="0"/>
    <m/>
    <m/>
    <s v="BRB [SOL] [012052-4] [CC] [COB]"/>
    <m/>
    <m/>
    <m/>
  </r>
  <r>
    <n v="270432"/>
    <s v="Abril/123589"/>
    <s v="Jean Marquez Fernandes - Cód. 123589"/>
    <n v="0"/>
    <d v="2015-05-13T00:00:00"/>
    <d v="1899-12-30T10:57:49"/>
    <n v="4500"/>
    <n v="0"/>
    <n v="-3238925.51000022"/>
    <m/>
    <m/>
    <m/>
    <n v="123589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34"/>
    <s v="EMP/108478"/>
    <s v="Enio Marcos Pereira Santos - Par. 108478(05-12)"/>
    <n v="0"/>
    <d v="2015-05-13T00:00:00"/>
    <d v="1899-12-30T10:58:20"/>
    <n v="1800"/>
    <n v="0"/>
    <n v="-3240725.51000022"/>
    <m/>
    <m/>
    <m/>
    <n v="10847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35"/>
    <s v="MZFC/21323"/>
    <s v="Maria Zilmar Cruvinel Fernandes  - Par. 021323(37/41)"/>
    <n v="0"/>
    <d v="2015-05-13T00:00:00"/>
    <d v="1899-12-30T10:58:34"/>
    <n v="1808"/>
    <n v="0"/>
    <n v="-3242533.51000022"/>
    <m/>
    <m/>
    <m/>
    <n v="21323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37"/>
    <s v="SCS/110871"/>
    <s v="Shesley Carneiro Da Silva - Par. 110871(05-12)"/>
    <n v="0"/>
    <d v="2015-05-13T00:00:00"/>
    <d v="1899-12-30T10:58:47"/>
    <n v="812"/>
    <n v="0"/>
    <n v="-3243345.51000022"/>
    <m/>
    <m/>
    <m/>
    <n v="110871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38"/>
    <s v="SRP/110620"/>
    <s v="Silvanio Rodrigues Peres - Par. 110620(05-12)"/>
    <n v="0"/>
    <d v="2015-05-13T00:00:00"/>
    <d v="1899-12-30T10:59:01"/>
    <n v="1520"/>
    <n v="0"/>
    <n v="-3244865.51000022"/>
    <m/>
    <m/>
    <m/>
    <n v="11062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965"/>
    <s v="Transferência Entre Conta"/>
    <s v="Transferência Entre Conta"/>
    <n v="75000"/>
    <d v="2015-05-13T00:00:00"/>
    <d v="1899-12-30T11:13:11"/>
    <n v="0"/>
    <n v="0"/>
    <n v="-3169865.51000022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648"/>
    <s v="Extrato/123813"/>
    <s v="Bradesco - Cód. 123813"/>
    <n v="0"/>
    <d v="2015-05-13T00:00:00"/>
    <d v="1899-12-30T11:14:56"/>
    <n v="7.9"/>
    <n v="0"/>
    <n v="-3169873.4100002199"/>
    <m/>
    <m/>
    <m/>
    <n v="12381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49"/>
    <s v="Extrato/123814"/>
    <s v="Bradesco - Cód. 123814"/>
    <n v="0"/>
    <d v="2015-05-13T00:00:00"/>
    <d v="1899-12-30T11:14:56"/>
    <n v="7.9"/>
    <n v="0"/>
    <n v="-3169881.3100002198"/>
    <m/>
    <m/>
    <m/>
    <n v="123814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54"/>
    <s v="Abril/124034"/>
    <s v="Patricia Santos Guimaraes  - Cód. 124034"/>
    <n v="0"/>
    <d v="2015-05-13T00:00:00"/>
    <d v="1899-12-30T11:40:33"/>
    <n v="2550.79"/>
    <n v="0"/>
    <n v="-3172432.1000002199"/>
    <m/>
    <m/>
    <m/>
    <n v="124034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55"/>
    <s v="Abril/121408"/>
    <s v="Amanda Cristina Ferreira - Cód. 121408"/>
    <n v="0"/>
    <d v="2015-05-13T00:00:00"/>
    <d v="1899-12-30T11:40:50"/>
    <n v="500"/>
    <n v="0"/>
    <n v="-3172932.1000002199"/>
    <m/>
    <m/>
    <m/>
    <n v="121408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56"/>
    <s v="Abril/121402"/>
    <s v="Simone Moraes Oliveira Borges - Cód. 121402"/>
    <n v="0"/>
    <d v="2015-05-13T00:00:00"/>
    <d v="1899-12-30T11:41:08"/>
    <n v="878.47"/>
    <n v="0"/>
    <n v="-3173810.5700002201"/>
    <m/>
    <m/>
    <m/>
    <n v="121402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57"/>
    <s v="Extrato/124037"/>
    <s v="Banco Brb - Cód. 124037"/>
    <n v="0"/>
    <d v="2015-05-13T00:00:00"/>
    <d v="1899-12-30T11:42:46"/>
    <n v="17521.349999999999"/>
    <n v="0"/>
    <n v="-3191331.9200002202"/>
    <m/>
    <m/>
    <m/>
    <n v="124037"/>
    <n v="24"/>
    <s v="Emilly"/>
    <n v="1"/>
    <m/>
    <n v="569"/>
    <d v="2015-05-26T00:00:00"/>
    <d v="2015-05-26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1058"/>
    <s v="Extrato"/>
    <s v="Entrada Maurício Vieira de Melo"/>
    <n v="30000"/>
    <d v="2015-05-13T00:00:00"/>
    <d v="1899-12-30T11:44:01"/>
    <n v="0"/>
    <n v="0"/>
    <n v="-3161331.9200002202"/>
    <m/>
    <m/>
    <m/>
    <m/>
    <n v="7"/>
    <s v="Anapaula"/>
    <n v="1"/>
    <m/>
    <n v="1631"/>
    <d v="2015-05-26T00:00:00"/>
    <d v="2015-05-26T00:00:00"/>
    <m/>
    <m/>
    <n v="2015"/>
    <n v="7"/>
    <m/>
    <m/>
    <m/>
    <m/>
    <s v="Empréstimo Resp. OLimpo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4647"/>
    <n v="192607"/>
    <s v="Retorno: Par. 192607(05/12) - 19734/JÉS - Mensalidades"/>
    <n v="1473"/>
    <d v="2015-05-13T00:00:00"/>
    <d v="1899-12-30T12:00:00"/>
    <n v="0"/>
    <n v="0"/>
    <n v="-3159858.9200002202"/>
    <m/>
    <m/>
    <n v="192607"/>
    <m/>
    <n v="1"/>
    <s v="Andre"/>
    <n v="1"/>
    <m/>
    <n v="2"/>
    <d v="2015-06-30T00:00:00"/>
    <d v="2015-06-30T00:00:00"/>
    <n v="2913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4085"/>
    <s v="Extrato"/>
    <s v="Ch Pre Brb Sol 3493- Olimpo Uberlândia"/>
    <n v="0"/>
    <d v="2015-05-13T00:00:00"/>
    <d v="1899-12-30T14:05:00"/>
    <n v="22791"/>
    <n v="0"/>
    <n v="-3182649.9200002202"/>
    <m/>
    <m/>
    <m/>
    <m/>
    <n v="60"/>
    <s v="Francielly"/>
    <n v="1"/>
    <m/>
    <n v="1533"/>
    <d v="2015-06-25T00:00:00"/>
    <d v="2015-06-25T00:00:00"/>
    <m/>
    <m/>
    <n v="2015"/>
    <n v="60"/>
    <m/>
    <m/>
    <m/>
    <m/>
    <s v="Uber.Aluguel"/>
    <x v="1"/>
    <s v="COLÉGIO OLIMPO LTDA"/>
    <m/>
    <n v="52"/>
    <n v="2"/>
    <s v="Cheque"/>
    <m/>
    <m/>
    <m/>
    <n v="0"/>
    <m/>
    <m/>
    <s v="BRB [SOL] [012052-4] [CC] [COB]"/>
    <m/>
    <m/>
    <m/>
  </r>
  <r>
    <n v="270023"/>
    <s v="Extrato"/>
    <s v="Deposito Ch Bloqueado"/>
    <n v="2736"/>
    <d v="2015-05-13T00:00:00"/>
    <d v="1899-12-30T14:50:56"/>
    <n v="0"/>
    <n v="0"/>
    <n v="-3179913.9200002202"/>
    <m/>
    <m/>
    <m/>
    <m/>
    <n v="24"/>
    <s v="Emilly"/>
    <n v="1"/>
    <m/>
    <n v="1588"/>
    <d v="2015-05-15T00:00:00"/>
    <d v="2015-05-15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6039"/>
    <s v="Brb Sol 3632/128608"/>
    <s v="Banco Brb - Cód. 128608"/>
    <n v="0"/>
    <d v="2015-05-13T00:00:00"/>
    <d v="1899-12-30T14:52:04"/>
    <n v="15067.5"/>
    <n v="0"/>
    <n v="-3194981.4200002202"/>
    <m/>
    <m/>
    <m/>
    <n v="128608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201"/>
    <s v="3776/1/119188"/>
    <s v="Tm Higienização Ltda - Cód. 119188"/>
    <n v="0"/>
    <d v="2015-05-13T00:00:00"/>
    <d v="1899-12-30T14:54:29"/>
    <n v="2741.8"/>
    <n v="0"/>
    <n v="-3197723.22000022"/>
    <m/>
    <m/>
    <m/>
    <n v="119188"/>
    <n v="24"/>
    <s v="Emilly"/>
    <n v="1"/>
    <m/>
    <n v="168"/>
    <d v="2015-05-18T00:00:00"/>
    <d v="2015-05-18T00:00:00"/>
    <m/>
    <m/>
    <n v="2015"/>
    <n v="24"/>
    <m/>
    <m/>
    <m/>
    <m/>
    <s v="T-3.Produtos de Limpeza "/>
    <x v="1"/>
    <s v="COLÉGIO OLIMPO LTDA"/>
    <m/>
    <n v="4"/>
    <n v="9"/>
    <s v="Débito em conta"/>
    <m/>
    <n v="0"/>
    <m/>
    <n v="0"/>
    <m/>
    <m/>
    <s v="BB [022382-4] [GYN] [CC]"/>
    <m/>
    <m/>
    <m/>
  </r>
  <r>
    <n v="270029"/>
    <s v="Ant.Cob/123429"/>
    <s v="Banco Brb - Cód. 123429"/>
    <n v="0"/>
    <d v="2015-05-13T00:00:00"/>
    <d v="1899-12-30T14:55:04"/>
    <n v="945"/>
    <n v="0"/>
    <n v="-3198668.22000022"/>
    <m/>
    <m/>
    <m/>
    <n v="123429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[GYN] [011616-0] [CC] [COB]"/>
    <m/>
    <m/>
    <m/>
  </r>
  <r>
    <n v="270030"/>
    <s v="Ant.Cob/123431"/>
    <s v="Banco Brb - Par. 123431(01-4)"/>
    <n v="0"/>
    <d v="2015-05-13T00:00:00"/>
    <d v="1899-12-30T14:57:08"/>
    <n v="1473"/>
    <n v="0"/>
    <n v="-3200141.22000022"/>
    <m/>
    <m/>
    <m/>
    <n v="123431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031"/>
    <s v="Ant.Cob/123432"/>
    <s v="Banco Brb - Par. 123432(02-4)"/>
    <n v="0"/>
    <d v="2015-05-13T00:00:00"/>
    <d v="1899-12-30T14:57:08"/>
    <n v="1473"/>
    <n v="0"/>
    <n v="-3201614.22000022"/>
    <m/>
    <m/>
    <m/>
    <n v="123432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032"/>
    <s v="Ant.Cob/123433"/>
    <s v="Banco Brb - Par. 123433(03-4)"/>
    <n v="0"/>
    <d v="2015-05-13T00:00:00"/>
    <d v="1899-12-30T14:57:08"/>
    <n v="1637.8"/>
    <n v="0"/>
    <n v="-3203252.0200002198"/>
    <m/>
    <m/>
    <m/>
    <n v="123433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033"/>
    <s v="Ant.Cob/123434"/>
    <s v="Banco Brb - Par. 123434(04-4)"/>
    <n v="0"/>
    <d v="2015-05-13T00:00:00"/>
    <d v="1899-12-30T14:57:08"/>
    <n v="1051"/>
    <n v="0"/>
    <n v="-3204303.0200002198"/>
    <m/>
    <m/>
    <m/>
    <n v="123434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037"/>
    <s v="Transferência Entre Conta"/>
    <s v="Transferência Entre Conta"/>
    <n v="0"/>
    <d v="2015-05-13T00:00:00"/>
    <d v="1899-12-30T15:02:38"/>
    <n v="10000"/>
    <n v="0"/>
    <n v="-3214303.0200002198"/>
    <m/>
    <m/>
    <m/>
    <m/>
    <n v="24"/>
    <s v="Emilly"/>
    <n v="1"/>
    <m/>
    <n v="1449"/>
    <d v="2015-05-15T00:00:00"/>
    <d v="2015-05-15T00:00:00"/>
    <m/>
    <m/>
    <n v="2015"/>
    <n v="24"/>
    <m/>
    <m/>
    <m/>
    <m/>
    <s v="Transferência entre contas"/>
    <x v="2"/>
    <s v="COLÉGIO OLIMPO LTDA"/>
    <m/>
    <n v="69"/>
    <n v="8"/>
    <s v="Transferência Bancária"/>
    <m/>
    <m/>
    <m/>
    <n v="0"/>
    <m/>
    <n v="59"/>
    <s v="DAYCOVAL [GYN] [6964461] [COB]"/>
    <m/>
    <m/>
    <m/>
  </r>
  <r>
    <n v="270038"/>
    <s v="Transferência Entre Conta"/>
    <s v="Destino: 270037-Transferência Entre Conta"/>
    <n v="10000"/>
    <d v="2015-05-13T00:00:00"/>
    <d v="1899-12-30T15:02:38"/>
    <n v="0"/>
    <n v="0"/>
    <n v="-3204303.0200002198"/>
    <m/>
    <m/>
    <m/>
    <m/>
    <n v="24"/>
    <s v="Emilly"/>
    <n v="1"/>
    <m/>
    <n v="1449"/>
    <d v="2015-05-15T00:00:00"/>
    <d v="2015-05-15T00:00:00"/>
    <m/>
    <m/>
    <n v="2015"/>
    <n v="24"/>
    <m/>
    <m/>
    <n v="270037"/>
    <m/>
    <s v="Transferência entre contas"/>
    <x v="2"/>
    <s v="COLÉGIO OLIMPO LTDA"/>
    <m/>
    <n v="59"/>
    <n v="8"/>
    <s v="Transferência Bancária"/>
    <m/>
    <m/>
    <m/>
    <n v="0"/>
    <m/>
    <m/>
    <s v="DAYCOVAL [GYN] [7112965] [CC]"/>
    <m/>
    <m/>
    <m/>
  </r>
  <r>
    <n v="270039"/>
    <s v="Transferência Entre Conta"/>
    <s v="Transferência Entre Conta"/>
    <n v="0"/>
    <d v="2015-05-13T00:00:00"/>
    <d v="1899-12-30T15:04:58"/>
    <n v="10000"/>
    <n v="0"/>
    <n v="-3214303.0200002198"/>
    <m/>
    <m/>
    <m/>
    <m/>
    <n v="24"/>
    <s v="Emilly"/>
    <n v="1"/>
    <m/>
    <n v="1449"/>
    <d v="2015-05-15T00:00:00"/>
    <d v="2015-05-15T00:00:00"/>
    <m/>
    <m/>
    <n v="2015"/>
    <n v="24"/>
    <m/>
    <m/>
    <m/>
    <m/>
    <s v="Transferência entre contas"/>
    <x v="2"/>
    <s v="COLÉGIO OLIMPO LTDA"/>
    <m/>
    <n v="59"/>
    <n v="8"/>
    <s v="Transferência Bancária"/>
    <m/>
    <m/>
    <m/>
    <n v="0"/>
    <m/>
    <n v="12"/>
    <s v="DAYCOVAL [GYN] [7112965] [CC]"/>
    <m/>
    <m/>
    <m/>
  </r>
  <r>
    <n v="270040"/>
    <s v="Transferência Entre Conta"/>
    <s v="Destino: 270039-Transferência Entre Conta"/>
    <n v="10000"/>
    <d v="2015-05-13T00:00:00"/>
    <d v="1899-12-30T15:04:58"/>
    <n v="0"/>
    <n v="0"/>
    <n v="-3204303.0200002198"/>
    <m/>
    <m/>
    <m/>
    <m/>
    <n v="24"/>
    <s v="Emilly"/>
    <n v="1"/>
    <m/>
    <n v="1449"/>
    <d v="2015-05-15T00:00:00"/>
    <d v="2015-05-15T00:00:00"/>
    <m/>
    <m/>
    <n v="2015"/>
    <n v="24"/>
    <m/>
    <m/>
    <n v="270039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0041"/>
    <s v="Transferência Entre /123442"/>
    <s v="Banco Daycoval S/A  - Cód. 123442"/>
    <n v="0"/>
    <d v="2015-05-13T00:00:00"/>
    <d v="1899-12-30T15:06:38"/>
    <n v="32.46"/>
    <n v="0"/>
    <n v="-3204335.4800002198"/>
    <m/>
    <m/>
    <m/>
    <n v="123442"/>
    <n v="24"/>
    <s v="Emilly"/>
    <n v="1"/>
    <m/>
    <n v="1513"/>
    <d v="2015-05-15T00:00:00"/>
    <d v="2015-05-15T00:00:00"/>
    <m/>
    <m/>
    <n v="2015"/>
    <n v="24"/>
    <m/>
    <m/>
    <m/>
    <m/>
    <s v="Tarifas de DOC / TED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70044"/>
    <s v="Extrato"/>
    <s v="Cheque Reapresentado"/>
    <n v="1386"/>
    <d v="2015-05-13T00:00:00"/>
    <d v="1899-12-30T15:18:05"/>
    <n v="0"/>
    <n v="0"/>
    <n v="-3202949.4800002198"/>
    <m/>
    <m/>
    <m/>
    <m/>
    <n v="24"/>
    <s v="Emilly"/>
    <n v="1"/>
    <m/>
    <n v="1621"/>
    <d v="2015-05-15T00:00:00"/>
    <d v="2015-05-15T00:00:00"/>
    <m/>
    <m/>
    <n v="2015"/>
    <n v="24"/>
    <m/>
    <m/>
    <m/>
    <m/>
    <s v="Credito de Cheque Reapresentado"/>
    <x v="2"/>
    <s v="COLÉGIO OLIMPO LTDA"/>
    <m/>
    <n v="5"/>
    <n v="9"/>
    <s v="Débito em conta"/>
    <m/>
    <m/>
    <m/>
    <n v="0"/>
    <m/>
    <m/>
    <s v="MERC [GYN] [02.011938-7] [CC]"/>
    <m/>
    <m/>
    <m/>
  </r>
  <r>
    <n v="270045"/>
    <s v="Extrato/123454"/>
    <s v="Mercantil Do Brasil - Cód. 123454"/>
    <n v="0"/>
    <d v="2015-05-13T00:00:00"/>
    <d v="1899-12-30T15:20:35"/>
    <n v="220"/>
    <n v="0"/>
    <n v="-3203169.4800002198"/>
    <m/>
    <m/>
    <m/>
    <n v="123454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0046"/>
    <s v="Extrato/123455"/>
    <s v="Mercantil Do Brasil - Cód. 123455"/>
    <n v="0"/>
    <d v="2015-05-13T00:00:00"/>
    <d v="1899-12-30T15:20:35"/>
    <n v="220"/>
    <n v="0"/>
    <n v="-3203389.4800002198"/>
    <m/>
    <m/>
    <m/>
    <n v="123455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6056"/>
    <s v="Brb 2983/128640"/>
    <s v="Banco Brb - Cód. 128640"/>
    <n v="0"/>
    <d v="2015-05-13T00:00:00"/>
    <d v="1899-12-30T15:37:00"/>
    <n v="4720.3"/>
    <n v="0"/>
    <n v="-3208109.7800002196"/>
    <m/>
    <m/>
    <m/>
    <n v="128640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76057"/>
    <s v="Brb Sol 3606/128641"/>
    <s v="Banco Brb - Cód. 128641"/>
    <n v="0"/>
    <d v="2015-05-13T00:00:00"/>
    <d v="1899-12-30T15:38:34"/>
    <n v="5555.55"/>
    <n v="0"/>
    <n v="-3213665.3300002194"/>
    <m/>
    <m/>
    <m/>
    <n v="128641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6059"/>
    <s v="Brb 2917/128642"/>
    <s v="Banco Brb - Cód. 128642"/>
    <n v="0"/>
    <d v="2015-05-13T00:00:00"/>
    <d v="1899-12-30T15:39:53"/>
    <n v="2618.5500000000002"/>
    <n v="0"/>
    <n v="-3216283.8800002192"/>
    <m/>
    <m/>
    <m/>
    <n v="128642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76060"/>
    <s v="Brb Sol 3636/128643"/>
    <s v="Banco Brb - Cód. 128643"/>
    <n v="0"/>
    <d v="2015-05-13T00:00:00"/>
    <d v="1899-12-30T15:42:17"/>
    <n v="13675.2"/>
    <n v="0"/>
    <n v="-3229959.0800002194"/>
    <m/>
    <m/>
    <m/>
    <n v="128643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6063"/>
    <s v="Brb Sol 3638/128645"/>
    <s v="Banco Brb - Cód. 128645"/>
    <n v="0"/>
    <d v="2015-05-13T00:00:00"/>
    <d v="1899-12-30T15:44:42"/>
    <n v="18388.98"/>
    <n v="0"/>
    <n v="-3248348.0600002194"/>
    <m/>
    <m/>
    <m/>
    <n v="128645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6087"/>
    <s v="Brb Sol 3654/128647"/>
    <s v="Banco Brb - Cód. 128647"/>
    <n v="0"/>
    <d v="2015-05-13T00:00:00"/>
    <d v="1899-12-30T15:48:39"/>
    <n v="7175.7"/>
    <n v="0"/>
    <n v="-3255523.7600002196"/>
    <m/>
    <m/>
    <m/>
    <n v="128647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206"/>
    <s v="306/123550"/>
    <s v="3º Tabelionato De Notas  - Cód. 123550"/>
    <n v="0"/>
    <d v="2015-05-13T00:00:00"/>
    <d v="1899-12-30T15:50:01"/>
    <n v="44.64"/>
    <n v="0"/>
    <n v="-3255568.4000002197"/>
    <m/>
    <m/>
    <m/>
    <n v="123550"/>
    <n v="24"/>
    <s v="Emilly"/>
    <n v="1"/>
    <m/>
    <n v="522"/>
    <d v="2015-05-18T00:00:00"/>
    <d v="2015-05-18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70207"/>
    <s v="Despesa/123554"/>
    <s v="Olimpo Belo Horizonte - Cód. 123554"/>
    <n v="0"/>
    <d v="2015-05-13T00:00:00"/>
    <d v="1899-12-30T15:51:15"/>
    <n v="671.55"/>
    <n v="0"/>
    <n v="-3256239.9500002195"/>
    <m/>
    <m/>
    <m/>
    <n v="123554"/>
    <n v="24"/>
    <s v="Emilly"/>
    <n v="1"/>
    <m/>
    <n v="1626"/>
    <d v="2015-05-18T00:00:00"/>
    <d v="2015-05-18T00:00:00"/>
    <m/>
    <m/>
    <n v="2015"/>
    <n v="24"/>
    <m/>
    <m/>
    <m/>
    <m/>
    <s v="BH. Despesas Diversas"/>
    <x v="1"/>
    <s v="COLÉGIO OLIMPO LTDA"/>
    <m/>
    <n v="56"/>
    <n v="1"/>
    <s v="Dinheiro"/>
    <m/>
    <n v="0"/>
    <m/>
    <n v="0"/>
    <m/>
    <m/>
    <s v="CAIXA TESOURARIA"/>
    <m/>
    <m/>
    <m/>
  </r>
  <r>
    <n v="271221"/>
    <s v="Transferência Entre Conta"/>
    <s v="Transferência Entre Conta"/>
    <n v="0"/>
    <d v="2015-05-13T00:00:00"/>
    <d v="1899-12-30T15:54:43"/>
    <n v="35000"/>
    <n v="0"/>
    <n v="-3291239.9500002195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22"/>
    <s v="Transferência Entre Conta"/>
    <s v="Destino: 271221-Transferência Entre Conta"/>
    <n v="35000"/>
    <d v="2015-05-13T00:00:00"/>
    <d v="1899-12-30T15:54:43"/>
    <n v="0"/>
    <n v="0"/>
    <n v="-3256239.9500002195"/>
    <m/>
    <m/>
    <m/>
    <m/>
    <n v="24"/>
    <s v="Emilly"/>
    <n v="1"/>
    <m/>
    <n v="1449"/>
    <d v="2015-05-26T00:00:00"/>
    <d v="2015-05-26T00:00:00"/>
    <m/>
    <m/>
    <n v="2015"/>
    <n v="24"/>
    <m/>
    <m/>
    <n v="271221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10"/>
    <s v="41072/123557"/>
    <s v="T-9 Eletronica E Informatica - Cód. 123557"/>
    <n v="0"/>
    <d v="2015-05-13T00:00:00"/>
    <d v="1899-12-30T15:54:58"/>
    <n v="59.9"/>
    <n v="0"/>
    <n v="-3256299.8500002194"/>
    <m/>
    <m/>
    <m/>
    <n v="123557"/>
    <n v="24"/>
    <s v="Emilly"/>
    <n v="1"/>
    <m/>
    <n v="383"/>
    <d v="2015-05-18T00:00:00"/>
    <d v="2015-05-18T00:00:00"/>
    <m/>
    <m/>
    <n v="2015"/>
    <n v="24"/>
    <m/>
    <m/>
    <m/>
    <m/>
    <s v="Marista.Tecnologia da informação"/>
    <x v="1"/>
    <s v="COLÉGIO OLIMPO LTDA"/>
    <m/>
    <n v="56"/>
    <n v="1"/>
    <s v="Dinheiro"/>
    <m/>
    <n v="0"/>
    <m/>
    <n v="0"/>
    <m/>
    <m/>
    <s v="CAIXA TESOURARIA"/>
    <m/>
    <m/>
    <m/>
  </r>
  <r>
    <n v="271223"/>
    <s v="Transferência Entre Conta"/>
    <s v="Transferência Entre Conta"/>
    <n v="0"/>
    <d v="2015-05-13T00:00:00"/>
    <d v="1899-12-30T15:56:15"/>
    <n v="45000"/>
    <n v="0"/>
    <n v="-3301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24"/>
    <s v="Transferência Entre Conta"/>
    <s v="Destino: 271223-Transferência Entre Conta"/>
    <n v="45000"/>
    <d v="2015-05-13T00:00:00"/>
    <d v="1899-12-30T15:56:15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2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25"/>
    <s v="Transferência Entre Conta"/>
    <s v="Transferência Entre Conta"/>
    <n v="0"/>
    <d v="2015-05-13T00:00:00"/>
    <d v="1899-12-30T15:56:44"/>
    <n v="38000"/>
    <n v="0"/>
    <n v="-3294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26"/>
    <s v="Transferência Entre Conta"/>
    <s v="Destino: 271225-Transferência Entre Conta"/>
    <n v="38000"/>
    <d v="2015-05-13T00:00:00"/>
    <d v="1899-12-30T15:56:44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25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27"/>
    <s v="Transferência Entre Conta"/>
    <s v="Transferência Entre Conta"/>
    <n v="0"/>
    <d v="2015-05-13T00:00:00"/>
    <d v="1899-12-30T15:57:11"/>
    <n v="20000"/>
    <n v="0"/>
    <n v="-3276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28"/>
    <s v="Transferência Entre Conta"/>
    <s v="Destino: 271227-Transferência Entre Conta"/>
    <n v="20000"/>
    <d v="2015-05-13T00:00:00"/>
    <d v="1899-12-30T15:57:11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2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29"/>
    <s v="Transferência Entre Conta"/>
    <s v="Transferência Entre Conta"/>
    <n v="0"/>
    <d v="2015-05-13T00:00:00"/>
    <d v="1899-12-30T15:57:36"/>
    <n v="32000"/>
    <n v="0"/>
    <n v="-3288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0"/>
    <s v="Transferência Entre Conta"/>
    <s v="Destino: 271229-Transferência Entre Conta"/>
    <n v="32000"/>
    <d v="2015-05-13T00:00:00"/>
    <d v="1899-12-30T15:57:36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29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31"/>
    <s v="Transferência Entre Conta"/>
    <s v="Transferência Entre Conta"/>
    <n v="0"/>
    <d v="2015-05-13T00:00:00"/>
    <d v="1899-12-30T15:58:00"/>
    <n v="30000"/>
    <n v="0"/>
    <n v="-3286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2"/>
    <s v="Transferência Entre Conta"/>
    <s v="Destino: 271231-Transferência Entre Conta"/>
    <n v="30000"/>
    <d v="2015-05-13T00:00:00"/>
    <d v="1899-12-30T15:58:00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31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33"/>
    <s v="Transferência Entre Conta"/>
    <s v="Transferência Entre Conta"/>
    <n v="0"/>
    <d v="2015-05-13T00:00:00"/>
    <d v="1899-12-30T15:58:26"/>
    <n v="11700"/>
    <n v="0"/>
    <n v="-32679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4"/>
    <s v="Transferência Entre Conta"/>
    <s v="Destino: 271233-Transferência Entre Conta"/>
    <n v="11700"/>
    <d v="2015-05-13T00:00:00"/>
    <d v="1899-12-30T15:58:26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3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964"/>
    <s v="Empréstimo"/>
    <s v="Empréstimo Marco Antonio Rios"/>
    <n v="100000"/>
    <d v="2015-05-13T00:00:00"/>
    <d v="1899-12-30T16:03:44"/>
    <n v="0"/>
    <n v="0"/>
    <n v="-3156299.8500002194"/>
    <m/>
    <m/>
    <m/>
    <m/>
    <n v="24"/>
    <s v="Emilly"/>
    <n v="1"/>
    <m/>
    <n v="1372"/>
    <d v="2015-05-14T00:00:00"/>
    <d v="2015-05-18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73429"/>
    <n v="217900"/>
    <s v="Par.(01-3) 019611/NÍCOLAS ALVES MONTEFUSCO - Renegociado"/>
    <n v="853"/>
    <d v="2015-05-13T00:00:00"/>
    <d v="1899-12-30T16:05:11"/>
    <n v="0"/>
    <n v="0"/>
    <n v="-3155446.8500002194"/>
    <m/>
    <m/>
    <n v="217900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222"/>
    <s v="Transferência Entre Conta"/>
    <s v="Transferência Entre Conta"/>
    <n v="0"/>
    <d v="2015-05-13T00:00:00"/>
    <d v="1899-12-30T16:05:47"/>
    <n v="29000"/>
    <n v="0"/>
    <n v="-3184446.8500002194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12"/>
    <s v="BB [022382-4] [GYN] [CC]"/>
    <m/>
    <m/>
    <m/>
  </r>
  <r>
    <n v="270223"/>
    <s v="Transferência Entre Conta"/>
    <s v="Destino: 270222-Transferência Entre Conta"/>
    <n v="29000"/>
    <d v="2015-05-13T00:00:00"/>
    <d v="1899-12-30T16:05:47"/>
    <n v="0"/>
    <n v="0"/>
    <n v="-3155446.8500002194"/>
    <m/>
    <m/>
    <m/>
    <m/>
    <n v="24"/>
    <s v="Emilly"/>
    <n v="1"/>
    <m/>
    <n v="1449"/>
    <d v="2015-05-18T00:00:00"/>
    <d v="2015-05-18T00:00:00"/>
    <m/>
    <m/>
    <n v="2015"/>
    <n v="24"/>
    <m/>
    <m/>
    <n v="270222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965"/>
    <s v="Extrato/123342"/>
    <s v="Banco Do Brasil - Cód. 123342"/>
    <n v="0"/>
    <d v="2015-05-13T00:00:00"/>
    <d v="1899-12-30T16:06:00"/>
    <n v="7.8"/>
    <n v="0"/>
    <n v="-3155454.6500002192"/>
    <m/>
    <m/>
    <m/>
    <n v="123342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69966"/>
    <s v="Extrato/123343"/>
    <s v="Banco Do Brasil - Cód. 123343"/>
    <n v="0"/>
    <d v="2015-05-13T00:00:00"/>
    <d v="1899-12-30T16:06:00"/>
    <n v="7.8"/>
    <n v="0"/>
    <n v="-3155462.450000219"/>
    <m/>
    <m/>
    <m/>
    <n v="123343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224"/>
    <s v="Transferência Entre Conta"/>
    <s v="Transferência Entre Conta"/>
    <n v="0"/>
    <d v="2015-05-13T00:00:00"/>
    <d v="1899-12-30T16:06:11"/>
    <n v="75000"/>
    <n v="0"/>
    <n v="-3230462.45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12"/>
    <s v="BRADESCO [002429-5] [GYN [CC]"/>
    <m/>
    <m/>
    <m/>
  </r>
  <r>
    <n v="270225"/>
    <s v="Transferência Entre Conta"/>
    <s v="Destino: 270224-Transferência Entre Conta"/>
    <n v="75000"/>
    <d v="2015-05-13T00:00:00"/>
    <d v="1899-12-30T16:06:11"/>
    <n v="0"/>
    <n v="0"/>
    <n v="-3155462.450000219"/>
    <m/>
    <m/>
    <m/>
    <m/>
    <n v="24"/>
    <s v="Emilly"/>
    <n v="1"/>
    <m/>
    <n v="1449"/>
    <d v="2015-05-18T00:00:00"/>
    <d v="2015-05-18T00:00:00"/>
    <m/>
    <m/>
    <n v="2015"/>
    <n v="24"/>
    <m/>
    <m/>
    <n v="270224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967"/>
    <s v="Extrato/123344"/>
    <s v="Banco Do Brasil - Cód. 123344"/>
    <n v="0"/>
    <d v="2015-05-13T00:00:00"/>
    <d v="1899-12-30T16:06:35"/>
    <n v="7.8"/>
    <n v="0"/>
    <n v="-3155470.2500002189"/>
    <m/>
    <m/>
    <m/>
    <n v="123344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226"/>
    <s v="Transferência Entre Conta"/>
    <s v="Transferência Entre Conta"/>
    <n v="0"/>
    <d v="2015-05-13T00:00:00"/>
    <d v="1899-12-30T16:06:47"/>
    <n v="52000"/>
    <n v="0"/>
    <n v="-3207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27"/>
    <s v="Transferência Entre Conta"/>
    <s v="Destino: 270226-Transferência Entre Conta"/>
    <n v="52000"/>
    <d v="2015-05-13T00:00:00"/>
    <d v="1899-12-30T16:06:47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26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28"/>
    <s v="Transferência Entre Conta"/>
    <s v="Transferência Entre Conta"/>
    <n v="0"/>
    <d v="2015-05-13T00:00:00"/>
    <d v="1899-12-30T16:07:14"/>
    <n v="28600"/>
    <n v="0"/>
    <n v="-31840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229"/>
    <s v="Transferência Entre Conta"/>
    <s v="Destino: 270228-Transferência Entre Conta"/>
    <n v="28600"/>
    <d v="2015-05-13T00:00:00"/>
    <d v="1899-12-30T16:07:14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28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30"/>
    <s v="Transferência Entre Conta"/>
    <s v="Transferência Entre Conta"/>
    <n v="0"/>
    <d v="2015-05-13T00:00:00"/>
    <d v="1899-12-30T16:07:56"/>
    <n v="23500"/>
    <n v="0"/>
    <n v="-31789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12"/>
    <s v="ITAÚ [GYN] [026016-5] []"/>
    <m/>
    <m/>
    <m/>
  </r>
  <r>
    <n v="270231"/>
    <s v="Transferência Entre Conta"/>
    <s v="Destino: 270230-Transferência Entre Conta"/>
    <n v="23500"/>
    <d v="2015-05-13T00:00:00"/>
    <d v="1899-12-30T16:07:56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30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0232"/>
    <s v="Transferência Entre Conta"/>
    <s v="Transferência Entre Conta"/>
    <n v="0"/>
    <d v="2015-05-13T00:00:00"/>
    <d v="1899-12-30T16:09:15"/>
    <n v="102000"/>
    <n v="0"/>
    <n v="-3257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233"/>
    <s v="Transferência Entre Conta"/>
    <s v="Destino: 270232-Transferência Entre Conta"/>
    <n v="102000"/>
    <d v="2015-05-13T00:00:00"/>
    <d v="1899-12-30T16:09:15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3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34"/>
    <s v="Transferência Entre Conta"/>
    <s v="Transferência Entre Conta"/>
    <n v="0"/>
    <d v="2015-05-13T00:00:00"/>
    <d v="1899-12-30T16:09:49"/>
    <n v="30000"/>
    <n v="0"/>
    <n v="-3185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235"/>
    <s v="Transferência Entre Conta"/>
    <s v="Destino: 270234-Transferência Entre Conta"/>
    <n v="30000"/>
    <d v="2015-05-13T00:00:00"/>
    <d v="1899-12-30T16:09:49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3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36"/>
    <s v="Transferência Entre Conta"/>
    <s v="Transferência Entre Conta"/>
    <n v="0"/>
    <d v="2015-05-13T00:00:00"/>
    <d v="1899-12-30T16:11:13"/>
    <n v="102000"/>
    <n v="0"/>
    <n v="-3257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37"/>
    <s v="Transferência Entre Conta"/>
    <s v="Destino: 270236-Transferência Entre Conta"/>
    <n v="102000"/>
    <d v="2015-05-13T00:00:00"/>
    <d v="1899-12-30T16:11:13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36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60"/>
    <s v="Transferência Entre Conta"/>
    <s v="Transferência Entre Conta"/>
    <n v="0"/>
    <d v="2015-05-13T00:00:00"/>
    <d v="1899-12-30T16:19:22"/>
    <n v="94000"/>
    <n v="0"/>
    <n v="-3249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12"/>
    <s v="BRADESCO [002429-5] [GYN [CC]"/>
    <m/>
    <m/>
    <m/>
  </r>
  <r>
    <n v="270261"/>
    <s v="Transferência Entre Conta"/>
    <s v="Destino: 270260-Transferência Entre Conta"/>
    <n v="94000"/>
    <d v="2015-05-13T00:00:00"/>
    <d v="1899-12-30T16:19:22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60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0269"/>
    <s v="Transferência Entre Conta"/>
    <s v="Transferência Entre Conta"/>
    <n v="1000"/>
    <d v="2015-05-13T00:00:00"/>
    <d v="1899-12-30T16:32:12"/>
    <n v="0"/>
    <n v="0"/>
    <n v="-3154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6179"/>
    <s v="Extrato/128709"/>
    <s v="Banco Safra - Cód. 128709"/>
    <n v="0"/>
    <d v="2015-05-13T00:00:00"/>
    <d v="1899-12-30T16:40:35"/>
    <n v="533.86"/>
    <n v="0"/>
    <n v="-3155004.1100002187"/>
    <m/>
    <m/>
    <m/>
    <n v="128709"/>
    <n v="24"/>
    <s v="Emilly"/>
    <n v="1"/>
    <m/>
    <n v="572"/>
    <d v="2015-07-03T00:00:00"/>
    <d v="2015-07-03T00:00:00"/>
    <m/>
    <m/>
    <n v="2015"/>
    <n v="24"/>
    <m/>
    <m/>
    <m/>
    <m/>
    <s v="CA.Seguros e proteções (DESPESA)"/>
    <x v="1"/>
    <s v="COLÉGIO OLIMPO LTDA"/>
    <m/>
    <n v="107"/>
    <n v="9"/>
    <s v="Débito em conta"/>
    <m/>
    <n v="0"/>
    <m/>
    <n v="0"/>
    <m/>
    <m/>
    <s v="SAFRA [GYN] [000048-8] [CC]"/>
    <m/>
    <m/>
    <m/>
  </r>
  <r>
    <n v="270122"/>
    <s v="Extrato/123483"/>
    <s v="Banco Brb - Par. 123483(01-3)"/>
    <n v="0"/>
    <d v="2015-05-13T00:00:00"/>
    <d v="1899-12-30T17:04:57"/>
    <n v="30"/>
    <n v="0"/>
    <n v="-3155034.1100002187"/>
    <m/>
    <m/>
    <m/>
    <n v="123483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123"/>
    <s v="Extrato/123484"/>
    <s v="Banco Brb - Par. 123484(02-3)"/>
    <n v="0"/>
    <d v="2015-05-13T00:00:00"/>
    <d v="1899-12-30T17:04:57"/>
    <n v="35.200000000000003"/>
    <n v="0"/>
    <n v="-3155069.3100002189"/>
    <m/>
    <m/>
    <m/>
    <n v="123484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124"/>
    <s v="Extrato/123485"/>
    <s v="Banco Brb - Par. 123485(03-3)"/>
    <n v="0"/>
    <d v="2015-05-13T00:00:00"/>
    <d v="1899-12-30T17:04:57"/>
    <n v="3.55"/>
    <n v="0"/>
    <n v="-3155072.8600002187"/>
    <m/>
    <m/>
    <m/>
    <n v="123485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271"/>
    <s v="1157500002431/123590"/>
    <s v="Caixa Econômica Federal - Cód. 123590"/>
    <n v="0"/>
    <d v="2015-05-14T00:00:00"/>
    <d v="1899-12-30T08:34:48"/>
    <n v="1777.13"/>
    <n v="0"/>
    <n v="-3156849.9900002186"/>
    <m/>
    <m/>
    <m/>
    <n v="123590"/>
    <n v="24"/>
    <s v="Emilly"/>
    <n v="1"/>
    <m/>
    <n v="498"/>
    <d v="2015-05-19T00:00:00"/>
    <d v="2015-05-19T00:00:00"/>
    <m/>
    <m/>
    <n v="2015"/>
    <n v="24"/>
    <m/>
    <m/>
    <m/>
    <m/>
    <s v="CA.Aquisição de Imóvel (ATIVO)"/>
    <x v="1"/>
    <s v="COLÉGIO OLIMPO LTDA"/>
    <m/>
    <n v="56"/>
    <n v="1"/>
    <s v="Dinheiro"/>
    <m/>
    <n v="0"/>
    <m/>
    <n v="0"/>
    <m/>
    <m/>
    <s v="CAIXA TESOURARIA"/>
    <m/>
    <m/>
    <m/>
  </r>
  <r>
    <n v="270451"/>
    <s v="Extrato/123656"/>
    <s v="Banco Brb - Cód. 123656"/>
    <n v="0"/>
    <d v="2015-05-14T00:00:00"/>
    <d v="1899-12-30T08:42:38"/>
    <n v="74.900000000000006"/>
    <n v="0"/>
    <n v="-3156924.8900002185"/>
    <m/>
    <m/>
    <m/>
    <n v="12365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42"/>
    <n v="9"/>
    <s v="Débito em conta"/>
    <m/>
    <n v="0"/>
    <m/>
    <n v="0"/>
    <m/>
    <m/>
    <s v="BRB [CAN] [012037-0] [CC]"/>
    <m/>
    <m/>
    <m/>
  </r>
  <r>
    <n v="270302"/>
    <n v="216769"/>
    <s v="Par.(02/10) 020809/ANDRÉ LUCAS SEIXAS MACALÃ - Parcelas"/>
    <n v="154"/>
    <d v="2015-05-14T00:00:00"/>
    <d v="1899-12-30T08:55:42"/>
    <n v="0"/>
    <n v="0"/>
    <n v="-3156770.8900002185"/>
    <m/>
    <m/>
    <n v="216769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3"/>
    <n v="216770"/>
    <s v="Par.(03/10) 020809/ANDRÉ LUCAS SEIXAS MACALÃ - Parcelas"/>
    <n v="154"/>
    <d v="2015-05-14T00:00:00"/>
    <d v="1899-12-30T08:55:43"/>
    <n v="0"/>
    <n v="0"/>
    <n v="-3156616.8900002185"/>
    <m/>
    <m/>
    <n v="216770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4"/>
    <n v="216771"/>
    <s v="Par.(04/10) 020809/ANDRÉ LUCAS SEIXAS MACALÃ - Parcelas"/>
    <n v="154"/>
    <d v="2015-05-14T00:00:00"/>
    <d v="1899-12-30T08:55:43"/>
    <n v="0"/>
    <n v="0"/>
    <n v="-3156462.8900002185"/>
    <m/>
    <m/>
    <n v="216771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5"/>
    <n v="216781"/>
    <s v="Par.(02/10) 020813/DAYANNE SILVA AMARAL - Parcelas"/>
    <n v="220"/>
    <d v="2015-05-14T00:00:00"/>
    <d v="1899-12-30T08:59:31"/>
    <n v="0"/>
    <n v="0"/>
    <n v="-3156242.8900002185"/>
    <m/>
    <m/>
    <n v="216781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6"/>
    <n v="216782"/>
    <s v="Par.(03/10) 020813/DAYANNE SILVA AMARAL - Parcelas"/>
    <n v="220"/>
    <d v="2015-05-14T00:00:00"/>
    <d v="1899-12-30T08:59:32"/>
    <n v="0"/>
    <n v="0"/>
    <n v="-3156022.8900002185"/>
    <m/>
    <m/>
    <n v="216782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7"/>
    <n v="216783"/>
    <s v="Par.(04/10) 020813/DAYANNE SILVA AMARAL - Parcelas"/>
    <n v="220"/>
    <d v="2015-05-14T00:00:00"/>
    <d v="1899-12-30T08:59:32"/>
    <n v="0"/>
    <n v="0"/>
    <n v="-3155802.8900002185"/>
    <m/>
    <m/>
    <n v="216783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160"/>
    <s v="Extrato"/>
    <s v="Credito Devolução Cheque"/>
    <n v="6000"/>
    <d v="2015-05-14T00:00:00"/>
    <d v="1899-12-30T09:20:24"/>
    <n v="0"/>
    <n v="0"/>
    <n v="-3149802.89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1"/>
    <s v="Extrato"/>
    <s v="Credito Devolução Cheque"/>
    <n v="6300"/>
    <d v="2015-05-14T00:00:00"/>
    <d v="1899-12-30T09:22:24"/>
    <n v="0"/>
    <n v="0"/>
    <n v="-3143502.89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2"/>
    <s v="Extrato"/>
    <s v="Credito Devolução Cheque"/>
    <n v="4000"/>
    <d v="2015-05-14T00:00:00"/>
    <d v="1899-12-30T09:22:54"/>
    <n v="0"/>
    <n v="0"/>
    <n v="-3139502.89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3"/>
    <s v="Extrato"/>
    <s v="Credito Devolução Cheque"/>
    <n v="22791"/>
    <d v="2015-05-14T00:00:00"/>
    <d v="1899-12-30T09:23:17"/>
    <n v="0"/>
    <n v="0"/>
    <n v="-3116711.89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4"/>
    <s v="Extrato"/>
    <s v="Credito Devolução Cheque"/>
    <n v="5555.55"/>
    <d v="2015-05-14T00:00:00"/>
    <d v="1899-12-30T09:23:43"/>
    <n v="0"/>
    <n v="0"/>
    <n v="-3111156.3400002187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5"/>
    <s v="Extrato"/>
    <s v="Credito Devolução Cheque"/>
    <n v="4273.5"/>
    <d v="2015-05-14T00:00:00"/>
    <d v="1899-12-30T09:24:13"/>
    <n v="0"/>
    <n v="0"/>
    <n v="-3106882.8400002187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6"/>
    <s v="Extrato"/>
    <s v="Credito Devolução Cheque"/>
    <n v="17521.349999999999"/>
    <d v="2015-05-14T00:00:00"/>
    <d v="1899-12-30T09:24:38"/>
    <n v="0"/>
    <n v="0"/>
    <n v="-3089361.4900002186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7"/>
    <s v="Extrato"/>
    <s v="Credito Devolução Cheque"/>
    <n v="15067.5"/>
    <d v="2015-05-14T00:00:00"/>
    <d v="1899-12-30T09:25:04"/>
    <n v="0"/>
    <n v="0"/>
    <n v="-3074293.9900002186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8"/>
    <s v="Extrato"/>
    <s v="Credito Devolução Cheque"/>
    <n v="13675.2"/>
    <d v="2015-05-14T00:00:00"/>
    <d v="1899-12-30T09:25:41"/>
    <n v="0"/>
    <n v="0"/>
    <n v="-3060618.7900002184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9"/>
    <s v="Extrato"/>
    <s v="Credito Devolução Cheque"/>
    <n v="18388.98"/>
    <d v="2015-05-14T00:00:00"/>
    <d v="1899-12-30T09:26:11"/>
    <n v="0"/>
    <n v="0"/>
    <n v="-3042229.81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70"/>
    <s v="Extrato"/>
    <s v="Credito Devolução Cheque"/>
    <n v="6492"/>
    <d v="2015-05-14T00:00:00"/>
    <d v="1899-12-30T09:26:37"/>
    <n v="0"/>
    <n v="0"/>
    <n v="-3035737.81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71"/>
    <s v="Extrato"/>
    <s v="Credito Devolução Cheque"/>
    <n v="6552.93"/>
    <d v="2015-05-14T00:00:00"/>
    <d v="1899-12-30T09:27:02"/>
    <n v="0"/>
    <n v="0"/>
    <n v="-3029184.8800002183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72"/>
    <s v="Extrato"/>
    <s v="Credito Devolução Cheque"/>
    <n v="4500"/>
    <d v="2015-05-14T00:00:00"/>
    <d v="1899-12-30T09:27:40"/>
    <n v="0"/>
    <n v="0"/>
    <n v="-3024684.8800002183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73"/>
    <s v="Extrato"/>
    <s v="Credito Devolução Cheque"/>
    <n v="7175.7"/>
    <d v="2015-05-14T00:00:00"/>
    <d v="1899-12-30T09:28:06"/>
    <n v="0"/>
    <n v="0"/>
    <n v="-3017509.1800002181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929"/>
    <s v="Extrato/123968"/>
    <s v="Caixa Econômica Federal - Cód. 123968"/>
    <n v="0"/>
    <d v="2015-05-14T00:00:00"/>
    <d v="1899-12-30T09:28:10"/>
    <n v="1.55"/>
    <n v="0"/>
    <n v="-3017510.7300002179"/>
    <m/>
    <m/>
    <m/>
    <n v="123968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544"/>
    <s v="Extrato/123732"/>
    <s v="Banco Brb - Cód. 123732"/>
    <n v="0"/>
    <d v="2015-05-14T00:00:00"/>
    <d v="1899-12-30T09:42:30"/>
    <n v="157068"/>
    <n v="0"/>
    <n v="-3174578.7300002179"/>
    <m/>
    <m/>
    <m/>
    <n v="123732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323"/>
    <n v="210329"/>
    <s v="Par.(08/12) 020257/YASMIN DE MELO BARROS DAM - Parcelas"/>
    <n v="700"/>
    <d v="2015-05-14T00:00:00"/>
    <d v="1899-12-30T09:50:28"/>
    <n v="0"/>
    <n v="0"/>
    <n v="-3173878.7300002179"/>
    <m/>
    <m/>
    <n v="210329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1"/>
    <s v="COLÉGIO OLIMPO LTDA"/>
    <m/>
    <n v="3"/>
    <n v="11"/>
    <s v="Antec. de Cheque"/>
    <m/>
    <n v="0"/>
    <m/>
    <n v="0"/>
    <m/>
    <m/>
    <s v="FACT: GF FOM. MERC."/>
    <m/>
    <m/>
    <m/>
  </r>
  <r>
    <n v="270324"/>
    <n v="210330"/>
    <s v="Par.(09/12) 020257/YASMIN DE MELO BARROS DAM - Parcelas"/>
    <n v="700"/>
    <d v="2015-05-14T00:00:00"/>
    <d v="1899-12-30T09:51:38"/>
    <n v="0"/>
    <n v="0"/>
    <n v="-3173178.7300002179"/>
    <m/>
    <m/>
    <n v="210330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1"/>
    <s v="COLÉGIO OLIMPO LTDA"/>
    <m/>
    <n v="3"/>
    <n v="11"/>
    <s v="Antec. de Cheque"/>
    <m/>
    <n v="0"/>
    <m/>
    <n v="0"/>
    <m/>
    <m/>
    <s v="FACT: GF FOM. MERC."/>
    <m/>
    <m/>
    <m/>
  </r>
  <r>
    <n v="270941"/>
    <s v="Extrato"/>
    <s v="Cheque Reapresentado"/>
    <n v="440"/>
    <d v="2015-05-14T00:00:00"/>
    <d v="1899-12-30T09:57:35"/>
    <n v="0"/>
    <n v="0"/>
    <n v="-3172738.7300002179"/>
    <m/>
    <m/>
    <m/>
    <m/>
    <n v="7"/>
    <s v="Anapaula"/>
    <n v="1"/>
    <m/>
    <n v="1621"/>
    <d v="2015-05-25T00:00:00"/>
    <d v="2015-05-25T00:00:00"/>
    <m/>
    <m/>
    <n v="2015"/>
    <n v="7"/>
    <m/>
    <m/>
    <m/>
    <m/>
    <s v="Credito de Cheque Reapresentado"/>
    <x v="2"/>
    <s v="COLÉGIO OLIMPO LTDA"/>
    <m/>
    <n v="5"/>
    <n v="12"/>
    <s v="Crédito em conta"/>
    <m/>
    <m/>
    <m/>
    <n v="0"/>
    <m/>
    <m/>
    <s v="MERC [GYN] [02.011938-7] [CC]"/>
    <m/>
    <m/>
    <m/>
  </r>
  <r>
    <n v="270330"/>
    <s v="Abril/123643"/>
    <s v="Franciele Ramos - Cód. 123643"/>
    <n v="0"/>
    <d v="2015-05-14T00:00:00"/>
    <d v="1899-12-30T09:58:06"/>
    <n v="479.95"/>
    <n v="0"/>
    <n v="-3173218.6800002181"/>
    <m/>
    <m/>
    <m/>
    <n v="123643"/>
    <n v="25"/>
    <s v="Marcela"/>
    <n v="1"/>
    <m/>
    <n v="877"/>
    <d v="2015-05-20T00:00:00"/>
    <d v="2015-05-20T00:00:00"/>
    <m/>
    <m/>
    <n v="2015"/>
    <n v="25"/>
    <m/>
    <m/>
    <m/>
    <m/>
    <s v="SolNascente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945"/>
    <s v="Extrato/123988"/>
    <s v="Mercantil Do Brasil - Cód. 123988"/>
    <n v="0"/>
    <d v="2015-05-14T00:00:00"/>
    <d v="1899-12-30T10:00:52"/>
    <n v="1386"/>
    <n v="0"/>
    <n v="-3174604.6800002181"/>
    <m/>
    <m/>
    <m/>
    <n v="123988"/>
    <n v="7"/>
    <s v="Anapaula"/>
    <n v="2"/>
    <m/>
    <n v="569"/>
    <d v="2015-05-25T00:00:00"/>
    <d v="2015-05-25T00:00:00"/>
    <m/>
    <m/>
    <n v="2015"/>
    <n v="7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0336"/>
    <n v="216795"/>
    <s v="Par.(03/10) 020814/CAIRO MENDES MIRANDA SILV - Parcelas"/>
    <n v="220"/>
    <d v="2015-05-14T00:00:00"/>
    <d v="1899-12-30T10:03:33"/>
    <n v="0"/>
    <n v="0"/>
    <n v="-3174384.6800002181"/>
    <m/>
    <m/>
    <n v="216795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37"/>
    <n v="216796"/>
    <s v="Par.(04/10) 020814/CAIRO MENDES MIRANDA SILV - Parcelas"/>
    <n v="220"/>
    <d v="2015-05-14T00:00:00"/>
    <d v="1899-12-30T10:03:33"/>
    <n v="0"/>
    <n v="0"/>
    <n v="-3174164.6800002181"/>
    <m/>
    <m/>
    <n v="216796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51"/>
    <n v="216784"/>
    <s v="Par.(05/10) 020813/DAYANNE SILVA AMARAL - Parcelas"/>
    <n v="220"/>
    <d v="2015-05-14T00:00:00"/>
    <d v="1899-12-30T10:08:22"/>
    <n v="0"/>
    <n v="0"/>
    <n v="-3173944.6800002181"/>
    <m/>
    <m/>
    <n v="216784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55"/>
    <n v="216772"/>
    <s v="Par.(05/10) 020809/ANDRÉ LUCAS SEIXAS MACALÃ - Parcelas"/>
    <n v="154"/>
    <d v="2015-05-14T00:00:00"/>
    <d v="1899-12-30T10:09:06"/>
    <n v="0"/>
    <n v="0"/>
    <n v="-3173790.6800002181"/>
    <m/>
    <m/>
    <n v="216772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611"/>
    <s v="Extrato/123782"/>
    <s v="Banco Do Brasil - Cód. 123782"/>
    <n v="0"/>
    <d v="2015-05-14T00:00:00"/>
    <d v="1899-12-30T10:09:15"/>
    <n v="7.8"/>
    <n v="0"/>
    <n v="-3173798.4800002179"/>
    <m/>
    <m/>
    <m/>
    <n v="12378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12"/>
    <s v="Extrato/123783"/>
    <s v="Banco Do Brasil - Cód. 123783"/>
    <n v="0"/>
    <d v="2015-05-14T00:00:00"/>
    <d v="1899-12-30T10:09:15"/>
    <n v="7.8"/>
    <n v="0"/>
    <n v="-3173806.2800002177"/>
    <m/>
    <m/>
    <m/>
    <n v="12378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359"/>
    <n v="216797"/>
    <s v="Par.(05/10) 020814/CAIRO MENDES MIRANDA SILV - Parcelas"/>
    <n v="220"/>
    <d v="2015-05-14T00:00:00"/>
    <d v="1899-12-30T10:10:01"/>
    <n v="0"/>
    <n v="0"/>
    <n v="-3173586.2800002177"/>
    <m/>
    <m/>
    <n v="216797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77"/>
    <n v="216716"/>
    <s v="Par.(02-6) 009527/LAIS DUARTE DE OLIVEIRA - Renegociado"/>
    <n v="608.79999999999995"/>
    <d v="2015-05-14T00:00:00"/>
    <d v="1899-12-30T10:15:24"/>
    <n v="0"/>
    <n v="0"/>
    <n v="-3172977.4800002179"/>
    <m/>
    <m/>
    <n v="216716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0378"/>
    <n v="216717"/>
    <s v="Par.(03-6) 009527/LAIS DUARTE DE OLIVEIRA - Renegociado"/>
    <n v="608.79999999999995"/>
    <d v="2015-05-14T00:00:00"/>
    <d v="1899-12-30T10:15:24"/>
    <n v="0"/>
    <n v="0"/>
    <n v="-3172368.6800002181"/>
    <m/>
    <m/>
    <n v="216717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0379"/>
    <n v="216718"/>
    <s v="Par.(04-6) 009527/LAIS DUARTE DE OLIVEIRA - Renegociado"/>
    <n v="608.79999999999995"/>
    <d v="2015-05-14T00:00:00"/>
    <d v="1899-12-30T10:15:25"/>
    <n v="0"/>
    <n v="0"/>
    <n v="-3171759.8800002183"/>
    <m/>
    <m/>
    <n v="216718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0380"/>
    <n v="216719"/>
    <s v="Par.(05-6) 009527/LAIS DUARTE DE OLIVEIRA - Renegociado"/>
    <n v="608.79999999999995"/>
    <d v="2015-05-14T00:00:00"/>
    <d v="1899-12-30T10:15:25"/>
    <n v="0"/>
    <n v="0"/>
    <n v="-3171151.0800002185"/>
    <m/>
    <m/>
    <n v="216719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0381"/>
    <n v="216708"/>
    <s v="Par.(01-3) 015822/MARIANA SANTOS GUIMARÃES - Renegociado"/>
    <n v="961"/>
    <d v="2015-05-14T00:00:00"/>
    <d v="1899-12-30T10:18:20"/>
    <n v="0"/>
    <n v="0"/>
    <n v="-3170190.0800002185"/>
    <m/>
    <m/>
    <n v="216708"/>
    <m/>
    <n v="7"/>
    <s v="Anapaula"/>
    <n v="1"/>
    <m/>
    <n v="1378"/>
    <d v="2015-05-20T00:00:00"/>
    <d v="2015-05-20T00:00:00"/>
    <m/>
    <m/>
    <n v="2014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2786"/>
    <s v="Extrato/123435"/>
    <s v="Banco Brb - Cód. 123435"/>
    <n v="0"/>
    <d v="2015-05-14T00:00:00"/>
    <d v="1899-12-30T10:21:58"/>
    <n v="1386"/>
    <n v="0"/>
    <n v="-3171576.0800002185"/>
    <m/>
    <m/>
    <m/>
    <n v="123435"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72787"/>
    <s v="Extrato/123437"/>
    <s v="Banco Brb - Cód. 123437"/>
    <n v="0"/>
    <d v="2015-05-14T00:00:00"/>
    <d v="1899-12-30T10:22:14"/>
    <n v="1350"/>
    <n v="0"/>
    <n v="-3172926.0800002185"/>
    <m/>
    <m/>
    <m/>
    <n v="123437"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72788"/>
    <s v="Extrato "/>
    <s v="Cheque Devolvido - 2985"/>
    <n v="0"/>
    <d v="2015-05-14T00:00:00"/>
    <d v="1899-12-30T10:27:13"/>
    <n v="999"/>
    <n v="0"/>
    <n v="-3173925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89"/>
    <s v="Extrato"/>
    <s v="Cheque Devolvido - 2986"/>
    <n v="0"/>
    <d v="2015-05-14T00:00:00"/>
    <d v="1899-12-30T10:29:02"/>
    <n v="1386"/>
    <n v="0"/>
    <n v="-3175311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0"/>
    <s v="Extrato"/>
    <s v="Cheque Devolvido - 2897"/>
    <n v="0"/>
    <d v="2015-05-14T00:00:00"/>
    <d v="1899-12-30T10:29:33"/>
    <n v="1386"/>
    <n v="0"/>
    <n v="-3176697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1"/>
    <s v="Extrato"/>
    <s v="Cheque Devolvido - 2988"/>
    <n v="0"/>
    <d v="2015-05-14T00:00:00"/>
    <d v="1899-12-30T10:29:58"/>
    <n v="1092"/>
    <n v="0"/>
    <n v="-3177789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2"/>
    <s v="Extrato"/>
    <s v="Cheque Devolvido - 2989"/>
    <n v="0"/>
    <d v="2015-05-14T00:00:00"/>
    <d v="1899-12-30T10:30:24"/>
    <n v="1386"/>
    <n v="0"/>
    <n v="-3179175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3"/>
    <s v="Extrato"/>
    <s v="Cheque Devolvido - 2990"/>
    <n v="0"/>
    <d v="2015-05-14T00:00:00"/>
    <d v="1899-12-30T10:30:48"/>
    <n v="1130"/>
    <n v="0"/>
    <n v="-3180305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4"/>
    <s v="Extrato"/>
    <s v="Cheque Devolvido - 2991"/>
    <n v="0"/>
    <d v="2015-05-14T00:00:00"/>
    <d v="1899-12-30T10:31:18"/>
    <n v="1386"/>
    <n v="0"/>
    <n v="-3181691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5"/>
    <s v="Extrato"/>
    <s v="Cheque Devolvido - 2994"/>
    <n v="0"/>
    <d v="2015-05-14T00:00:00"/>
    <d v="1899-12-30T10:31:49"/>
    <n v="1386"/>
    <n v="0"/>
    <n v="-3183077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0400"/>
    <s v="Remessa Olimpo Fundamental"/>
    <s v="Remessa Olimpo Fundamental"/>
    <n v="4597"/>
    <d v="2015-05-14T00:00:00"/>
    <d v="1899-12-30T10:46:22"/>
    <n v="0"/>
    <n v="0"/>
    <n v="-3178480.0800002185"/>
    <m/>
    <m/>
    <m/>
    <m/>
    <n v="7"/>
    <s v="Anapaula"/>
    <n v="1"/>
    <m/>
    <n v="1431"/>
    <d v="2015-05-20T00:00:00"/>
    <d v="2015-05-20T00:00:00"/>
    <m/>
    <m/>
    <n v="2014"/>
    <n v="7"/>
    <m/>
    <m/>
    <m/>
    <m/>
    <s v="Remessa Olimpo Fundamental"/>
    <x v="1"/>
    <s v="COLÉGIO OLIMPO LTDA"/>
    <m/>
    <n v="3"/>
    <n v="11"/>
    <s v="Antec. de Cheque"/>
    <m/>
    <m/>
    <m/>
    <n v="0"/>
    <m/>
    <m/>
    <s v="FACT: GF FOM. MERC."/>
    <m/>
    <m/>
    <m/>
  </r>
  <r>
    <n v="270401"/>
    <s v="Remessa Olimpo Anápolis"/>
    <s v="Remessa Olimpo Anápolis"/>
    <n v="400"/>
    <d v="2015-05-14T00:00:00"/>
    <d v="1899-12-30T10:47:18"/>
    <n v="0"/>
    <n v="0"/>
    <n v="-3178080.0800002185"/>
    <m/>
    <m/>
    <m/>
    <m/>
    <n v="7"/>
    <s v="Anapaula"/>
    <n v="1"/>
    <m/>
    <n v="1526"/>
    <d v="2015-05-20T00:00:00"/>
    <d v="2015-05-20T00:00:00"/>
    <m/>
    <m/>
    <n v="2014"/>
    <n v="7"/>
    <m/>
    <m/>
    <m/>
    <m/>
    <s v="Remessa Olimpo Anápolis"/>
    <x v="1"/>
    <s v="COLÉGIO OLIMPO LTDA"/>
    <m/>
    <n v="3"/>
    <n v="11"/>
    <s v="Antec. de Cheque"/>
    <m/>
    <m/>
    <m/>
    <n v="0"/>
    <m/>
    <m/>
    <s v="FACT: GF FOM. MERC."/>
    <m/>
    <m/>
    <m/>
  </r>
  <r>
    <n v="270402"/>
    <s v="Remessa Olimpo Fundamental"/>
    <s v="Remessa Olimpo Fundamental"/>
    <n v="1146"/>
    <d v="2015-05-14T00:00:00"/>
    <d v="1899-12-30T10:47:52"/>
    <n v="0"/>
    <n v="0"/>
    <n v="-3176934.0800002185"/>
    <m/>
    <m/>
    <m/>
    <m/>
    <n v="7"/>
    <s v="Anapaula"/>
    <n v="1"/>
    <m/>
    <n v="1431"/>
    <d v="2015-05-20T00:00:00"/>
    <d v="2015-05-20T00:00:00"/>
    <m/>
    <m/>
    <n v="2014"/>
    <n v="7"/>
    <m/>
    <m/>
    <m/>
    <m/>
    <s v="Remessa Olimpo Fundamental"/>
    <x v="1"/>
    <s v="COLÉGIO OLIMPO LTDA"/>
    <m/>
    <n v="27"/>
    <n v="2"/>
    <s v="Cheque"/>
    <m/>
    <m/>
    <m/>
    <n v="0"/>
    <m/>
    <m/>
    <s v="BRADESCO [008378-0] [SOL] [CC]"/>
    <m/>
    <m/>
    <m/>
  </r>
  <r>
    <n v="270440"/>
    <s v="Despesa/123527"/>
    <s v="Marcelo De Moraes Melo - Cód. 123527"/>
    <n v="0"/>
    <d v="2015-05-14T00:00:00"/>
    <d v="1899-12-30T11:08:07"/>
    <n v="2000"/>
    <n v="0"/>
    <n v="-3178934.0800002185"/>
    <m/>
    <m/>
    <m/>
    <n v="123527"/>
    <n v="24"/>
    <s v="Emilly"/>
    <n v="1"/>
    <m/>
    <n v="1455"/>
    <d v="2015-05-20T00:00:00"/>
    <d v="2015-05-20T00:00:00"/>
    <m/>
    <m/>
    <n v="2015"/>
    <n v="24"/>
    <m/>
    <m/>
    <m/>
    <m/>
    <s v="Marcelo.Despesas Particulares"/>
    <x v="1"/>
    <s v="COLÉGIO OLIMPO LTDA"/>
    <m/>
    <n v="52"/>
    <n v="2"/>
    <s v="Cheque"/>
    <m/>
    <n v="0"/>
    <m/>
    <n v="0"/>
    <m/>
    <m/>
    <s v="BRB [SOL] [012052-4] [CC] [COB]"/>
    <m/>
    <m/>
    <m/>
  </r>
  <r>
    <n v="270441"/>
    <s v="CTF/110658"/>
    <s v="Cleonice Teles Ferreira  - Par. 110658(05-12)"/>
    <n v="0"/>
    <d v="2015-05-14T00:00:00"/>
    <d v="1899-12-30T11:08:23"/>
    <n v="1105"/>
    <n v="0"/>
    <n v="-3180039.0800002185"/>
    <m/>
    <m/>
    <m/>
    <n v="11065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42"/>
    <s v="RASL/110670"/>
    <s v="Ronnia Abadia De Silva Lopes - Par. 110670(05-12)"/>
    <n v="0"/>
    <d v="2015-05-14T00:00:00"/>
    <d v="1899-12-30T11:08:40"/>
    <n v="595"/>
    <n v="0"/>
    <n v="-3180634.0800002185"/>
    <m/>
    <m/>
    <m/>
    <n v="11067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43"/>
    <s v="SNF/123598"/>
    <s v="Sonia Maria de Freitas - Cód. 123598"/>
    <n v="0"/>
    <d v="2015-05-14T00:00:00"/>
    <d v="1899-12-30T11:08:55"/>
    <n v="700"/>
    <n v="0"/>
    <n v="-3181334.0800002185"/>
    <m/>
    <m/>
    <m/>
    <n v="12359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964"/>
    <s v="Transferência Entre Conta"/>
    <s v="Transferência Entre Conta"/>
    <n v="22000"/>
    <d v="2015-05-14T00:00:00"/>
    <d v="1899-12-30T11:11:22"/>
    <n v="0"/>
    <n v="0"/>
    <n v="-3159334.0800002185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650"/>
    <s v="Extrato/123815"/>
    <s v="Bradesco - Cód. 123815"/>
    <n v="0"/>
    <d v="2015-05-14T00:00:00"/>
    <d v="1899-12-30T11:15:39"/>
    <n v="0.35"/>
    <n v="0"/>
    <n v="-3159334.4300002186"/>
    <m/>
    <m/>
    <m/>
    <n v="12381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57"/>
    <s v="Extrato/123816"/>
    <s v="Bradesco - Cód. 123816"/>
    <n v="0"/>
    <d v="2015-05-14T00:00:00"/>
    <d v="1899-12-30T11:16:26"/>
    <n v="7.9"/>
    <n v="0"/>
    <n v="-3159342.3300002185"/>
    <m/>
    <m/>
    <m/>
    <n v="12381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62"/>
    <s v="Extrato"/>
    <s v="Ch Pre Bra 6276 - Cheque Devolvido "/>
    <n v="70000"/>
    <d v="2015-05-14T00:00:00"/>
    <d v="1899-12-30T11:16:57"/>
    <n v="0"/>
    <n v="0"/>
    <n v="-3089342.3300002185"/>
    <m/>
    <m/>
    <m/>
    <m/>
    <n v="7"/>
    <s v="Anapaula"/>
    <n v="1"/>
    <m/>
    <n v="1588"/>
    <d v="2015-05-21T00:00:00"/>
    <d v="2015-05-25T00:00:00"/>
    <m/>
    <m/>
    <n v="2015"/>
    <n v="24"/>
    <m/>
    <m/>
    <m/>
    <m/>
    <s v="Crédito Cheque Devolvido "/>
    <x v="2"/>
    <s v="COLÉGIO OLIMPO LTDA"/>
    <m/>
    <n v="2"/>
    <n v="9"/>
    <s v="Débito em conta"/>
    <m/>
    <m/>
    <m/>
    <n v="0"/>
    <m/>
    <m/>
    <s v="BRADESCO [002429-5] [GYN [CC]"/>
    <m/>
    <m/>
    <m/>
  </r>
  <r>
    <n v="270968"/>
    <s v="Extrato"/>
    <s v="Ch Pre Bra 6276 - Cheque Compensado e Devolvido"/>
    <n v="0"/>
    <d v="2015-05-14T00:00:00"/>
    <d v="1899-12-30T11:16:58"/>
    <n v="70000"/>
    <n v="0"/>
    <n v="-3159342.3300002185"/>
    <m/>
    <m/>
    <m/>
    <m/>
    <n v="7"/>
    <s v="Anapaula"/>
    <n v="1"/>
    <m/>
    <n v="537"/>
    <d v="2015-05-25T00:00:00"/>
    <d v="2015-06-02T00:00:00"/>
    <m/>
    <m/>
    <n v="2015"/>
    <n v="7"/>
    <m/>
    <m/>
    <m/>
    <m/>
    <s v="CA.Despesas Diversas (DESPESA)"/>
    <x v="1"/>
    <s v="COLÉGIO OLIMPO LTDA"/>
    <m/>
    <n v="2"/>
    <n v="8"/>
    <s v="Transferência Bancária"/>
    <m/>
    <m/>
    <m/>
    <n v="0"/>
    <m/>
    <n v="52"/>
    <s v="BRADESCO [002429-5] [GYN [CC]"/>
    <m/>
    <m/>
    <m/>
  </r>
  <r>
    <n v="271569"/>
    <s v="Extrato"/>
    <s v="Destino: 270968-Ch Pre Bra 6276 - Cheque Compensado e Devolv"/>
    <n v="70000"/>
    <d v="2015-05-14T00:00:00"/>
    <d v="1899-12-30T11:16:58"/>
    <n v="0"/>
    <n v="0"/>
    <n v="-3089342.3300002185"/>
    <m/>
    <m/>
    <m/>
    <m/>
    <n v="7"/>
    <s v="Anapaula"/>
    <n v="1"/>
    <m/>
    <n v="537"/>
    <d v="2015-06-02T00:00:00"/>
    <d v="2015-06-02T00:00:00"/>
    <m/>
    <m/>
    <n v="2015"/>
    <n v="7"/>
    <m/>
    <m/>
    <n v="270968"/>
    <m/>
    <s v="CA.Despesas Diversas (DESPESA)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70673"/>
    <s v="Remessa Olimpo Brasília "/>
    <s v="Remessa Olimpo Brasília "/>
    <n v="660"/>
    <d v="2015-05-14T00:00:00"/>
    <d v="1899-12-30T11:30:27"/>
    <n v="0"/>
    <n v="0"/>
    <n v="-3088682.3300002185"/>
    <m/>
    <m/>
    <m/>
    <m/>
    <n v="7"/>
    <s v="Anapaula"/>
    <n v="1"/>
    <m/>
    <n v="1433"/>
    <d v="2015-05-21T00:00:00"/>
    <d v="2015-05-21T00:00:00"/>
    <m/>
    <m/>
    <n v="2015"/>
    <n v="7"/>
    <m/>
    <m/>
    <m/>
    <m/>
    <s v="Remessa Olimpo Brasília"/>
    <x v="1"/>
    <s v="COLÉGIO OLIMPO LTDA"/>
    <m/>
    <n v="27"/>
    <n v="8"/>
    <s v="Transferência Bancária"/>
    <m/>
    <m/>
    <m/>
    <n v="0"/>
    <m/>
    <m/>
    <s v="BRADESCO [008378-0] [SOL] [CC]"/>
    <m/>
    <m/>
    <m/>
  </r>
  <r>
    <n v="271059"/>
    <s v="Abril/121411"/>
    <s v="Renata Dutra Silva - Cód. 121411"/>
    <n v="0"/>
    <d v="2015-05-14T00:00:00"/>
    <d v="1899-12-30T11:44:11"/>
    <n v="1464.12"/>
    <n v="0"/>
    <n v="-3090146.4500002186"/>
    <m/>
    <m/>
    <m/>
    <n v="121411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60"/>
    <s v="Abril/121410"/>
    <s v="Flávio Batista - Cód. 121410"/>
    <n v="0"/>
    <d v="2015-05-14T00:00:00"/>
    <d v="1899-12-30T11:44:26"/>
    <n v="1204.56"/>
    <n v="0"/>
    <n v="-3091351.0100002186"/>
    <m/>
    <m/>
    <m/>
    <n v="121410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61"/>
    <s v="Abril/121404"/>
    <s v="Lucimar Rosa Da Silva Oliveira  - Cód. 121404"/>
    <n v="0"/>
    <d v="2015-05-14T00:00:00"/>
    <d v="1899-12-30T11:44:52"/>
    <n v="390.42"/>
    <n v="0"/>
    <n v="-3091741.4300002186"/>
    <m/>
    <m/>
    <m/>
    <n v="121404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2078"/>
    <n v="197303"/>
    <s v="Retorno: Par. 197303(05/12) - 18520/FIL - Mensalidades"/>
    <n v="1724"/>
    <d v="2015-05-14T00:00:00"/>
    <d v="1899-12-30T12:00:00"/>
    <n v="0"/>
    <n v="0"/>
    <n v="-3090017.4300002186"/>
    <m/>
    <m/>
    <n v="197303"/>
    <m/>
    <n v="1"/>
    <s v="Andre"/>
    <n v="1"/>
    <m/>
    <n v="2"/>
    <d v="2015-06-05T00:00:00"/>
    <d v="2015-06-05T00:00:00"/>
    <n v="28507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0839"/>
    <s v="Extrato"/>
    <s v="Recebimento de Aluno"/>
    <n v="1300"/>
    <d v="2015-05-14T00:00:00"/>
    <d v="1899-12-30T13:16:49"/>
    <n v="0"/>
    <n v="0"/>
    <n v="-3088717.4300002186"/>
    <m/>
    <m/>
    <m/>
    <m/>
    <n v="24"/>
    <s v="Emilly"/>
    <n v="1"/>
    <m/>
    <n v="1630"/>
    <d v="2015-05-22T00:00:00"/>
    <d v="2015-05-22T00:00:00"/>
    <m/>
    <m/>
    <n v="2015"/>
    <n v="24"/>
    <m/>
    <m/>
    <m/>
    <m/>
    <s v="Recebimento de Alunos"/>
    <x v="1"/>
    <s v="COLÉGIO OLIMPO LTDA"/>
    <m/>
    <n v="4"/>
    <n v="9"/>
    <s v="Débito em conta"/>
    <m/>
    <m/>
    <m/>
    <n v="0"/>
    <m/>
    <m/>
    <s v="BB [022382-4] [GYN] [CC]"/>
    <m/>
    <m/>
    <m/>
  </r>
  <r>
    <n v="270840"/>
    <s v="Extrato"/>
    <s v="Cheque BB Liquidado"/>
    <n v="19700"/>
    <d v="2015-05-14T00:00:00"/>
    <d v="1899-12-30T13:17:15"/>
    <n v="0"/>
    <n v="0"/>
    <n v="-3069017.4300002186"/>
    <m/>
    <m/>
    <m/>
    <m/>
    <n v="24"/>
    <s v="Emilly"/>
    <n v="1"/>
    <m/>
    <n v="95"/>
    <d v="2015-05-22T00:00:00"/>
    <d v="2015-05-22T00:00:00"/>
    <m/>
    <m/>
    <n v="2015"/>
    <n v="24"/>
    <m/>
    <m/>
    <m/>
    <m/>
    <s v="Recebimento Diversos"/>
    <x v="1"/>
    <s v="COLÉGIO OLIMPO LTDA"/>
    <m/>
    <n v="4"/>
    <n v="9"/>
    <s v="Débito em conta"/>
    <m/>
    <m/>
    <m/>
    <n v="0"/>
    <m/>
    <m/>
    <s v="BB [022382-4] [GYN] [CC]"/>
    <m/>
    <m/>
    <m/>
  </r>
  <r>
    <n v="269970"/>
    <s v="Extrato/123409"/>
    <s v="Bradesco - Cód. 123409"/>
    <n v="0"/>
    <d v="2015-05-14T00:00:00"/>
    <d v="1899-12-30T14:01:07"/>
    <n v="1806"/>
    <n v="0"/>
    <n v="-3070823.4300002186"/>
    <m/>
    <m/>
    <m/>
    <n v="123409"/>
    <n v="24"/>
    <s v="Emilly"/>
    <n v="1"/>
    <m/>
    <n v="506"/>
    <d v="2015-05-15T00:00:00"/>
    <d v="2015-05-15T00:00:00"/>
    <m/>
    <m/>
    <n v="2015"/>
    <n v="24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0199"/>
    <s v="07808/123530"/>
    <s v="Wambasther Alves - Cód. 123530"/>
    <n v="0"/>
    <d v="2015-05-14T00:00:00"/>
    <d v="1899-12-30T14:51:08"/>
    <n v="20"/>
    <n v="0"/>
    <n v="-3070843.4300002186"/>
    <m/>
    <m/>
    <m/>
    <n v="123530"/>
    <n v="24"/>
    <s v="Emilly"/>
    <n v="1"/>
    <m/>
    <n v="1424"/>
    <d v="2015-05-18T00:00:00"/>
    <d v="2015-05-18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0024"/>
    <s v="Extrato"/>
    <s v="Deposito Ch Bloqueado"/>
    <n v="190"/>
    <d v="2015-05-14T00:00:00"/>
    <d v="1899-12-30T14:51:57"/>
    <n v="0"/>
    <n v="0"/>
    <n v="-3070653.4300002186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025"/>
    <s v="Extrato"/>
    <s v="Credito Devolução Cheque"/>
    <n v="2618.5500000000002"/>
    <d v="2015-05-14T00:00:00"/>
    <d v="1899-12-30T14:52:32"/>
    <n v="0"/>
    <n v="0"/>
    <n v="-3068034.8800002187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026"/>
    <s v="Extrato"/>
    <s v="Credito Devolução Cheque"/>
    <n v="1489.76"/>
    <d v="2015-05-14T00:00:00"/>
    <d v="1899-12-30T14:53:07"/>
    <n v="0"/>
    <n v="0"/>
    <n v="-3066545.120000219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027"/>
    <s v="Extrato"/>
    <s v="Credito Devolução Cheque"/>
    <n v="4720.3"/>
    <d v="2015-05-14T00:00:00"/>
    <d v="1899-12-30T14:53:32"/>
    <n v="0"/>
    <n v="0"/>
    <n v="-3061824.8200002192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200"/>
    <s v="Despesa/123534"/>
    <s v="Marcelo De Moraes Melo - Cód. 123534"/>
    <n v="0"/>
    <d v="2015-05-14T00:00:00"/>
    <d v="1899-12-30T14:53:49"/>
    <n v="120.53"/>
    <n v="0"/>
    <n v="-3061945.350000219"/>
    <m/>
    <m/>
    <m/>
    <n v="123534"/>
    <n v="24"/>
    <s v="Emilly"/>
    <n v="1"/>
    <m/>
    <n v="1455"/>
    <d v="2015-05-18T00:00:00"/>
    <d v="2015-05-18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0028"/>
    <s v="Extrato"/>
    <s v="Credito Devolução Cheque"/>
    <n v="3197.3"/>
    <d v="2015-05-14T00:00:00"/>
    <d v="1899-12-30T14:53:57"/>
    <n v="0"/>
    <n v="0"/>
    <n v="-3058748.0500002191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1458"/>
    <s v="DEPÓSITO 2015-05-14"/>
    <s v="PAGAMENTO DAS MENSALIDADES DE ABRIL/2015, DOS ALUNOS VITÓRIA IZABEL LIMA DE SOUSA PAIVA E YAGO ALENCAR MENDES_ESN"/>
    <n v="636.67999999999995"/>
    <d v="2015-05-14T00:00:00"/>
    <d v="1899-12-30T15:21:35"/>
    <n v="0"/>
    <n v="0"/>
    <n v="-3058111.370000219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0212"/>
    <s v="2699/01/119491"/>
    <s v="Markos Comunicação Visual Ltda - Cód. 119491"/>
    <n v="0"/>
    <d v="2015-05-14T00:00:00"/>
    <d v="1899-12-30T15:56:47"/>
    <n v="947.73"/>
    <n v="0"/>
    <n v="-3059059.100000219"/>
    <m/>
    <m/>
    <m/>
    <n v="119491"/>
    <n v="24"/>
    <s v="Emilly"/>
    <n v="1"/>
    <m/>
    <n v="1624"/>
    <d v="2015-05-18T00:00:00"/>
    <d v="2015-05-18T00:00:00"/>
    <m/>
    <m/>
    <n v="2015"/>
    <n v="24"/>
    <m/>
    <m/>
    <m/>
    <m/>
    <s v="Marista.Marketing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235"/>
    <s v="Transferência Entre Conta"/>
    <s v="Transferência Entre Conta"/>
    <n v="0"/>
    <d v="2015-05-14T00:00:00"/>
    <d v="1899-12-30T15:58:57"/>
    <n v="48000"/>
    <n v="0"/>
    <n v="-3107059.10000021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6"/>
    <s v="Transferência Entre Conta"/>
    <s v="Destino: 271235-Transferência Entre Conta"/>
    <n v="48000"/>
    <d v="2015-05-14T00:00:00"/>
    <d v="1899-12-30T15:58:57"/>
    <n v="0"/>
    <n v="0"/>
    <n v="-3059059.100000219"/>
    <m/>
    <m/>
    <m/>
    <m/>
    <n v="24"/>
    <s v="Emilly"/>
    <n v="1"/>
    <m/>
    <n v="1449"/>
    <d v="2015-05-26T00:00:00"/>
    <d v="2015-05-26T00:00:00"/>
    <m/>
    <m/>
    <n v="2015"/>
    <n v="24"/>
    <m/>
    <m/>
    <n v="271235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37"/>
    <s v="Transferência Entre Conta"/>
    <s v="Transferência Entre Conta"/>
    <n v="0"/>
    <d v="2015-05-14T00:00:00"/>
    <d v="1899-12-30T15:59:21"/>
    <n v="10578.65"/>
    <n v="0"/>
    <n v="-3069637.750000218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8"/>
    <s v="Transferência Entre Conta"/>
    <s v="Destino: 271237-Transferência Entre Conta"/>
    <n v="10578.65"/>
    <d v="2015-05-14T00:00:00"/>
    <d v="1899-12-30T15:59:21"/>
    <n v="0"/>
    <n v="0"/>
    <n v="-3059059.100000219"/>
    <m/>
    <m/>
    <m/>
    <m/>
    <n v="24"/>
    <s v="Emilly"/>
    <n v="1"/>
    <m/>
    <n v="1449"/>
    <d v="2015-05-26T00:00:00"/>
    <d v="2015-05-26T00:00:00"/>
    <m/>
    <m/>
    <n v="2015"/>
    <n v="24"/>
    <m/>
    <m/>
    <n v="27123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16"/>
    <s v="Transferência Entre Conta"/>
    <s v="Transferência Entre Conta"/>
    <n v="0"/>
    <d v="2015-05-14T00:00:00"/>
    <d v="1899-12-30T16:03:50"/>
    <n v="2500"/>
    <n v="0"/>
    <n v="-30615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6"/>
    <s v="ITAÚ [GYN] [026016-5] []"/>
    <m/>
    <m/>
    <m/>
  </r>
  <r>
    <n v="270217"/>
    <s v="Transferência Entre Conta"/>
    <s v="Destino: 270216-Transferência Entre Conta"/>
    <n v="2500"/>
    <d v="2015-05-14T00:00:00"/>
    <d v="1899-12-30T16:03:50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16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0218"/>
    <s v="Transferência Entre Conta"/>
    <s v="Transferência Entre Conta"/>
    <n v="0"/>
    <d v="2015-05-14T00:00:00"/>
    <d v="1899-12-30T16:04:31"/>
    <n v="21000"/>
    <n v="0"/>
    <n v="-30800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19"/>
    <s v="Transferência Entre Conta"/>
    <s v="Destino: 270218-Transferência Entre Conta"/>
    <n v="21000"/>
    <d v="2015-05-14T00:00:00"/>
    <d v="1899-12-30T16:04:31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18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20"/>
    <s v="Transferência Entre Conta"/>
    <s v="Transferência Entre Conta"/>
    <n v="0"/>
    <d v="2015-05-14T00:00:00"/>
    <d v="1899-12-30T16:05:20"/>
    <n v="2700"/>
    <n v="0"/>
    <n v="-30617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21"/>
    <s v="Transferência Entre Conta"/>
    <s v="Destino: 270220-Transferência Entre Conta"/>
    <n v="2700"/>
    <d v="2015-05-14T00:00:00"/>
    <d v="1899-12-30T16:05:20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2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62"/>
    <s v="Transferência Entre Conta"/>
    <s v="Transferência Entre Conta"/>
    <n v="0"/>
    <d v="2015-05-14T00:00:00"/>
    <d v="1899-12-30T16:19:49"/>
    <n v="21000"/>
    <n v="0"/>
    <n v="-30800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263"/>
    <s v="Transferência Entre Conta"/>
    <s v="Destino: 270262-Transferência Entre Conta"/>
    <n v="21000"/>
    <d v="2015-05-14T00:00:00"/>
    <d v="1899-12-30T16:19:49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6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64"/>
    <s v="Transferência Entre Conta"/>
    <s v="Transferência Entre Conta"/>
    <n v="0"/>
    <d v="2015-05-14T00:00:00"/>
    <d v="1899-12-30T16:20:46"/>
    <n v="22000"/>
    <n v="0"/>
    <n v="-30810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0265"/>
    <s v="Transferência Entre Conta"/>
    <s v="Destino: 270264-Transferência Entre Conta"/>
    <n v="22000"/>
    <d v="2015-05-14T00:00:00"/>
    <d v="1899-12-30T16:20:46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64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873"/>
    <s v="transferência Entre Conta"/>
    <s v="transferência Entre Conta"/>
    <n v="0"/>
    <d v="2015-05-14T00:00:00"/>
    <d v="1899-12-30T16:39:17"/>
    <n v="22000"/>
    <n v="0"/>
    <n v="-3081059.10000021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874"/>
    <s v="transferência Entre Conta"/>
    <s v="Destino: 270873-transferência Entre Conta"/>
    <n v="22000"/>
    <d v="2015-05-14T00:00:00"/>
    <d v="1899-12-30T16:39:17"/>
    <n v="0"/>
    <n v="0"/>
    <n v="-3059059.100000219"/>
    <m/>
    <m/>
    <m/>
    <m/>
    <n v="24"/>
    <s v="Emilly"/>
    <n v="1"/>
    <m/>
    <n v="1449"/>
    <d v="2015-05-22T00:00:00"/>
    <d v="2015-05-22T00:00:00"/>
    <m/>
    <m/>
    <n v="2015"/>
    <n v="24"/>
    <m/>
    <m/>
    <n v="27087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475"/>
    <n v="191220"/>
    <s v="Par.(04/12) 019676/ANTÔNIO AUGUSTO SOARES FE - Mensalidades"/>
    <n v="1568.24"/>
    <d v="2015-05-14T00:00:00"/>
    <d v="1899-12-30T17:13:52"/>
    <n v="0"/>
    <n v="0"/>
    <n v="-3057490.8600002187"/>
    <m/>
    <m/>
    <n v="191220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478"/>
    <s v="DEPÓSITO 2015-05-14"/>
    <s v="PAGAMENTO DA MENSALIDADE DE ABRIL/2015, DO(A) ALUNO(A) LUCAS SABBATINI JANOT PROCOPIO_EF"/>
    <n v="1122.1099999999999"/>
    <d v="2015-05-14T00:00:00"/>
    <d v="1899-12-30T17:30:40"/>
    <n v="0"/>
    <n v="0"/>
    <n v="-3056368.7500002189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1484"/>
    <n v="216514"/>
    <s v="Par.(04-12) 014187/LETICIA ALVES BUENO - PAGAMENTO CHE"/>
    <n v="3202"/>
    <d v="2015-05-14T00:00:00"/>
    <d v="1899-12-30T17:55:52"/>
    <n v="0"/>
    <n v="0"/>
    <n v="-3053166.7500002189"/>
    <m/>
    <m/>
    <n v="216514"/>
    <m/>
    <n v="8"/>
    <s v="Vinicius"/>
    <n v="1"/>
    <m/>
    <n v="1378"/>
    <d v="2015-05-28T00:00:00"/>
    <d v="2015-05-28T00:00:00"/>
    <m/>
    <m/>
    <n v="2014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[022382-4] [GYN] [CC]"/>
    <m/>
    <m/>
    <m/>
  </r>
  <r>
    <n v="270272"/>
    <s v="ER/123591"/>
    <s v="Erica Ribeiro / Lindomar - Cód. 123591"/>
    <n v="0"/>
    <d v="2015-05-15T00:00:00"/>
    <d v="1899-12-30T08:38:14"/>
    <n v="10000"/>
    <n v="0"/>
    <n v="-3063166.7500002189"/>
    <m/>
    <m/>
    <m/>
    <n v="123591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273"/>
    <s v="ER/123592"/>
    <s v="Erica Ribeiro / Lindomar - Cód. 123592"/>
    <n v="0"/>
    <d v="2015-05-15T00:00:00"/>
    <d v="1899-12-30T08:39:04"/>
    <n v="10000"/>
    <n v="0"/>
    <n v="-3073166.7500002189"/>
    <m/>
    <m/>
    <m/>
    <n v="123592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70275"/>
    <s v="ER/123593"/>
    <s v="Erica Ribeiro / Lindomar - Cód. 123593"/>
    <n v="0"/>
    <d v="2015-05-15T00:00:00"/>
    <d v="1899-12-30T08:39:55"/>
    <n v="5000"/>
    <n v="0"/>
    <n v="-3078166.7500002189"/>
    <m/>
    <m/>
    <m/>
    <n v="123593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s v="COLÉGIO OLIMPO LTDA"/>
    <m/>
    <n v="4"/>
    <n v="9"/>
    <s v="Débito em conta"/>
    <m/>
    <n v="0"/>
    <m/>
    <n v="0"/>
    <m/>
    <m/>
    <s v="BB [022382-4] [GYN] [CC]"/>
    <m/>
    <m/>
    <m/>
  </r>
  <r>
    <n v="270274"/>
    <s v="ER/110932"/>
    <s v="Erica Ribeiro / Lindomar - Par. 110932(05-12)"/>
    <n v="0"/>
    <d v="2015-05-15T00:00:00"/>
    <d v="1899-12-30T08:39:55"/>
    <n v="1500"/>
    <n v="0"/>
    <n v="-3079666.7500002189"/>
    <m/>
    <m/>
    <m/>
    <n v="110932"/>
    <n v="24"/>
    <s v="Emilly"/>
    <n v="1"/>
    <m/>
    <n v="1450"/>
    <d v="2015-05-19T00:00:00"/>
    <d v="2015-05-19T00:00:00"/>
    <m/>
    <m/>
    <n v="2015"/>
    <n v="24"/>
    <m/>
    <m/>
    <m/>
    <m/>
    <s v="CA.Juros Mensal Empréstimo PF"/>
    <x v="2"/>
    <s v="COLÉGIO OLIMPO LTDA"/>
    <m/>
    <n v="4"/>
    <n v="9"/>
    <s v="Débito em conta"/>
    <m/>
    <n v="0"/>
    <m/>
    <n v="0"/>
    <m/>
    <m/>
    <s v="BB [022382-4] [GYN] [CC]"/>
    <m/>
    <m/>
    <m/>
  </r>
  <r>
    <n v="270452"/>
    <s v="Extrato/123657"/>
    <s v="Banco Brb - Cód. 123657"/>
    <n v="0"/>
    <d v="2015-05-15T00:00:00"/>
    <d v="1899-12-30T08:43:15"/>
    <n v="478.54"/>
    <n v="0"/>
    <n v="-3080145.2900002189"/>
    <m/>
    <m/>
    <m/>
    <n v="123657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s v="COLÉGIO OLIMPO LTDA"/>
    <m/>
    <n v="42"/>
    <n v="9"/>
    <s v="Débito em conta"/>
    <m/>
    <n v="0"/>
    <m/>
    <n v="0"/>
    <m/>
    <m/>
    <s v="BRB [CAN] [012037-0] [CC]"/>
    <m/>
    <m/>
    <m/>
  </r>
  <r>
    <n v="270460"/>
    <s v="Extrato"/>
    <s v="Remessa Olimpo Fundamental"/>
    <n v="6171.9"/>
    <d v="2015-05-15T00:00:00"/>
    <d v="1899-12-30T09:02:35"/>
    <n v="0"/>
    <n v="0"/>
    <n v="-3073973.390000219"/>
    <m/>
    <m/>
    <m/>
    <m/>
    <n v="24"/>
    <s v="Emilly"/>
    <n v="1"/>
    <m/>
    <n v="1431"/>
    <d v="2015-05-21T00:00:00"/>
    <d v="2015-05-21T00:00:00"/>
    <m/>
    <m/>
    <n v="2015"/>
    <n v="24"/>
    <m/>
    <m/>
    <m/>
    <m/>
    <s v="Remessa Olimpo Fundamental"/>
    <x v="1"/>
    <s v="COLÉGIO OLIMPO LTDA"/>
    <m/>
    <n v="52"/>
    <n v="2"/>
    <s v="Cheque"/>
    <m/>
    <m/>
    <m/>
    <n v="0"/>
    <m/>
    <m/>
    <s v="BRB [SOL] [012052-4] [CC] [COB]"/>
    <m/>
    <m/>
    <m/>
  </r>
  <r>
    <n v="270461"/>
    <s v="Extrato/123661"/>
    <s v="Banco Brb - Cód. 123661"/>
    <n v="0"/>
    <d v="2015-05-15T00:00:00"/>
    <d v="1899-12-30T09:04:26"/>
    <n v="10251.33"/>
    <n v="0"/>
    <n v="-3084224.7200002191"/>
    <m/>
    <m/>
    <m/>
    <n v="123661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308"/>
    <n v="216790"/>
    <s v="Par.(04-12) 019782/AMANDA APARECIDA DE MORAI - PAGAMENTO CHE"/>
    <n v="1325.7"/>
    <d v="2015-05-15T00:00:00"/>
    <d v="1899-12-30T09:09:27"/>
    <n v="0"/>
    <n v="0"/>
    <n v="-3082899.0200002189"/>
    <m/>
    <m/>
    <n v="216790"/>
    <m/>
    <n v="8"/>
    <s v="Vinicius"/>
    <n v="1"/>
    <m/>
    <n v="1378"/>
    <d v="2015-05-20T00:00:00"/>
    <d v="2015-05-20T00:00:00"/>
    <m/>
    <m/>
    <n v="2015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[022382-4] [GYN] [CC]"/>
    <m/>
    <m/>
    <m/>
  </r>
  <r>
    <n v="270462"/>
    <s v="Ant.Cob/123671"/>
    <s v="Banco Brb - Par. 123671(10-23)"/>
    <n v="0"/>
    <d v="2015-05-15T00:00:00"/>
    <d v="1899-12-30T09:11:55"/>
    <n v="1127.3599999999999"/>
    <n v="0"/>
    <n v="-3084026.3800002187"/>
    <m/>
    <m/>
    <m/>
    <n v="12367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3"/>
    <s v="Ant.Cob/123681"/>
    <s v="Banco Brb - Par. 123681(20-23)"/>
    <n v="0"/>
    <d v="2015-05-15T00:00:00"/>
    <d v="1899-12-30T09:11:55"/>
    <n v="1127.3599999999999"/>
    <n v="0"/>
    <n v="-3085153.7400002186"/>
    <m/>
    <m/>
    <m/>
    <n v="12368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4"/>
    <s v="Ant.Cob/123662"/>
    <s v="Banco Brb - Par. 123662(01-23)"/>
    <n v="0"/>
    <d v="2015-05-15T00:00:00"/>
    <d v="1899-12-30T09:11:55"/>
    <n v="1066.46"/>
    <n v="0"/>
    <n v="-3086220.2000002186"/>
    <m/>
    <m/>
    <m/>
    <n v="12366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5"/>
    <s v="Ant.Cob/123672"/>
    <s v="Banco Brb - Par. 123672(11-23)"/>
    <n v="0"/>
    <d v="2015-05-15T00:00:00"/>
    <d v="1899-12-30T09:11:55"/>
    <n v="1127.3599999999999"/>
    <n v="0"/>
    <n v="-3087347.5600002185"/>
    <m/>
    <m/>
    <m/>
    <n v="12367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6"/>
    <s v="Ant.Cob/123682"/>
    <s v="Banco Brb - Par. 123682(21-23)"/>
    <n v="0"/>
    <d v="2015-05-15T00:00:00"/>
    <d v="1899-12-30T09:11:55"/>
    <n v="1066.47"/>
    <n v="0"/>
    <n v="-3088414.0300002187"/>
    <m/>
    <m/>
    <m/>
    <n v="12368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7"/>
    <s v="Ant.Cob/123663"/>
    <s v="Banco Brb - Par. 123663(02-23)"/>
    <n v="0"/>
    <d v="2015-05-15T00:00:00"/>
    <d v="1899-12-30T09:11:55"/>
    <n v="1066.46"/>
    <n v="0"/>
    <n v="-3089480.4900002186"/>
    <m/>
    <m/>
    <m/>
    <n v="12366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8"/>
    <s v="Ant.Cob/123673"/>
    <s v="Banco Brb - Par. 123673(12-23)"/>
    <n v="0"/>
    <d v="2015-05-15T00:00:00"/>
    <d v="1899-12-30T09:11:55"/>
    <n v="1127.3599999999999"/>
    <n v="0"/>
    <n v="-3090607.8500002185"/>
    <m/>
    <m/>
    <m/>
    <n v="12367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9"/>
    <s v="Ant.Cob/123683"/>
    <s v="Banco Brb - Par. 123683(22-23)"/>
    <n v="0"/>
    <d v="2015-05-15T00:00:00"/>
    <d v="1899-12-30T09:11:55"/>
    <n v="1066.47"/>
    <n v="0"/>
    <n v="-3091674.3200002187"/>
    <m/>
    <m/>
    <m/>
    <n v="12368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0"/>
    <s v="Ant.Cob/123664"/>
    <s v="Banco Brb - Par. 123664(03-23)"/>
    <n v="0"/>
    <d v="2015-05-15T00:00:00"/>
    <d v="1899-12-30T09:11:55"/>
    <n v="1066.46"/>
    <n v="0"/>
    <n v="-3092740.7800002187"/>
    <m/>
    <m/>
    <m/>
    <n v="12366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1"/>
    <s v="Ant.Cob/123674"/>
    <s v="Banco Brb - Par. 123674(13-23)"/>
    <n v="0"/>
    <d v="2015-05-15T00:00:00"/>
    <d v="1899-12-30T09:11:55"/>
    <n v="1127.3599999999999"/>
    <n v="0"/>
    <n v="-3093868.1400002185"/>
    <m/>
    <m/>
    <m/>
    <n v="12367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2"/>
    <s v="Ant.Cob/123684"/>
    <s v="Banco Brb - Par. 123684(23-23)"/>
    <n v="0"/>
    <d v="2015-05-15T00:00:00"/>
    <d v="1899-12-30T09:11:55"/>
    <n v="1066.47"/>
    <n v="0"/>
    <n v="-3094934.6100002187"/>
    <m/>
    <m/>
    <m/>
    <n v="12368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3"/>
    <s v="Ant.Cob/123665"/>
    <s v="Banco Brb - Par. 123665(04-23)"/>
    <n v="0"/>
    <d v="2015-05-15T00:00:00"/>
    <d v="1899-12-30T09:11:55"/>
    <n v="1066.46"/>
    <n v="0"/>
    <n v="-3096001.0700002187"/>
    <m/>
    <m/>
    <m/>
    <n v="12366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4"/>
    <s v="Ant.Cob/123675"/>
    <s v="Banco Brb - Par. 123675(14-23)"/>
    <n v="0"/>
    <d v="2015-05-15T00:00:00"/>
    <d v="1899-12-30T09:11:55"/>
    <n v="1127.3599999999999"/>
    <n v="0"/>
    <n v="-3097128.4300002186"/>
    <m/>
    <m/>
    <m/>
    <n v="12367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3"/>
    <s v="Ant.Cob/123670"/>
    <s v="Banco Brb - Par. 123670(09-23)"/>
    <n v="0"/>
    <d v="2015-05-15T00:00:00"/>
    <d v="1899-12-30T09:11:56"/>
    <n v="1127.3599999999999"/>
    <n v="0"/>
    <n v="-3098255.7900002184"/>
    <m/>
    <m/>
    <m/>
    <n v="12367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4"/>
    <s v="Ant.Cob/123680"/>
    <s v="Banco Brb - Par. 123680(19-23)"/>
    <n v="0"/>
    <d v="2015-05-15T00:00:00"/>
    <d v="1899-12-30T09:11:56"/>
    <n v="1070.99"/>
    <n v="0"/>
    <n v="-3099326.7800002187"/>
    <m/>
    <m/>
    <m/>
    <n v="12368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5"/>
    <s v="Ant.Cob/123666"/>
    <s v="Banco Brb - Par. 123666(05-23)"/>
    <n v="0"/>
    <d v="2015-05-15T00:00:00"/>
    <d v="1899-12-30T09:11:56"/>
    <n v="1066.46"/>
    <n v="0"/>
    <n v="-3100393.2400002186"/>
    <m/>
    <m/>
    <m/>
    <n v="12366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6"/>
    <s v="Ant.Cob/123676"/>
    <s v="Banco Brb - Par. 123676(15-23)"/>
    <n v="0"/>
    <d v="2015-05-15T00:00:00"/>
    <d v="1899-12-30T09:11:56"/>
    <n v="1127.3599999999999"/>
    <n v="0"/>
    <n v="-3101520.6000002185"/>
    <m/>
    <m/>
    <m/>
    <n v="12367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7"/>
    <s v="Ant.Cob/123667"/>
    <s v="Banco Brb - Par. 123667(06-23)"/>
    <n v="0"/>
    <d v="2015-05-15T00:00:00"/>
    <d v="1899-12-30T09:11:56"/>
    <n v="1066.46"/>
    <n v="0"/>
    <n v="-3102587.0600002185"/>
    <m/>
    <m/>
    <m/>
    <n v="12366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8"/>
    <s v="Ant.Cob/123677"/>
    <s v="Banco Brb - Par. 123677(16-23)"/>
    <n v="0"/>
    <d v="2015-05-15T00:00:00"/>
    <d v="1899-12-30T09:11:56"/>
    <n v="1127.3599999999999"/>
    <n v="0"/>
    <n v="-3103714.4200002183"/>
    <m/>
    <m/>
    <m/>
    <n v="12367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9"/>
    <s v="Ant.Cob/123668"/>
    <s v="Banco Brb - Par. 123668(07-23)"/>
    <n v="0"/>
    <d v="2015-05-15T00:00:00"/>
    <d v="1899-12-30T09:11:56"/>
    <n v="1066.46"/>
    <n v="0"/>
    <n v="-3104780.8800002183"/>
    <m/>
    <m/>
    <m/>
    <n v="12366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0"/>
    <s v="Ant.Cob/123678"/>
    <s v="Banco Brb - Par. 123678(17-23)"/>
    <n v="0"/>
    <d v="2015-05-15T00:00:00"/>
    <d v="1899-12-30T09:11:56"/>
    <n v="1661.92"/>
    <n v="0"/>
    <n v="-3106442.8000002182"/>
    <m/>
    <m/>
    <m/>
    <n v="12367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1"/>
    <s v="Ant.Cob/123669"/>
    <s v="Banco Brb - Par. 123669(08-23)"/>
    <n v="0"/>
    <d v="2015-05-15T00:00:00"/>
    <d v="1899-12-30T09:11:56"/>
    <n v="1749.4"/>
    <n v="0"/>
    <n v="-3108192.2000002181"/>
    <m/>
    <m/>
    <m/>
    <n v="12366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2"/>
    <s v="Ant.Cob/123679"/>
    <s v="Banco Brb - Par. 123679(18-23)"/>
    <n v="0"/>
    <d v="2015-05-15T00:00:00"/>
    <d v="1899-12-30T09:11:56"/>
    <n v="1070.99"/>
    <n v="0"/>
    <n v="-3109263.1900002183"/>
    <m/>
    <m/>
    <m/>
    <n v="12367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8"/>
    <s v="Extrato/123690"/>
    <s v="Banco Itaú Unibanco S.A. - Cód. 123690"/>
    <n v="0"/>
    <d v="2015-05-15T00:00:00"/>
    <d v="1899-12-30T09:21:47"/>
    <n v="15758.97"/>
    <n v="0"/>
    <n v="-3125022.1600002185"/>
    <m/>
    <m/>
    <m/>
    <n v="123690"/>
    <n v="7"/>
    <s v="Anapaula"/>
    <n v="1"/>
    <m/>
    <n v="506"/>
    <d v="2015-05-21T00:00:00"/>
    <d v="2015-05-21T00:00:00"/>
    <m/>
    <m/>
    <n v="2015"/>
    <n v="7"/>
    <m/>
    <m/>
    <m/>
    <m/>
    <s v="CA.Capital de Giro (FINANCIAMENTO)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89"/>
    <s v="Extrato/123691"/>
    <s v="Banco Itaú Unibanco S.A. - Cód. 123691"/>
    <n v="0"/>
    <d v="2015-05-15T00:00:00"/>
    <d v="1899-12-30T09:21:47"/>
    <n v="315.18"/>
    <n v="0"/>
    <n v="-3125337.3400002187"/>
    <m/>
    <m/>
    <m/>
    <n v="123691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90"/>
    <s v="Extrato/123692"/>
    <s v="Banco Itaú Unibanco S.A. - Cód. 123692"/>
    <n v="0"/>
    <d v="2015-05-15T00:00:00"/>
    <d v="1899-12-30T09:21:47"/>
    <n v="61.14"/>
    <n v="0"/>
    <n v="-3125398.4800002188"/>
    <m/>
    <m/>
    <m/>
    <n v="123692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85"/>
    <s v="Extrato/123685"/>
    <s v="Banco Itaú Unibanco S.A. - Cód. 123685"/>
    <n v="0"/>
    <d v="2015-05-15T00:00:00"/>
    <d v="1899-12-30T09:21:47"/>
    <n v="1.8"/>
    <n v="0"/>
    <n v="-3125400.2800002187"/>
    <m/>
    <m/>
    <m/>
    <n v="123685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86"/>
    <s v="Extrato/123688"/>
    <s v="Banco Itaú Unibanco S.A. - Cód. 123688"/>
    <n v="0"/>
    <d v="2015-05-15T00:00:00"/>
    <d v="1899-12-30T09:21:47"/>
    <n v="0.9"/>
    <n v="0"/>
    <n v="-3125401.1800002186"/>
    <m/>
    <m/>
    <m/>
    <n v="123688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87"/>
    <s v="Extrato/123689"/>
    <s v="Banco Itaú Unibanco S.A. - Cód. 123689"/>
    <n v="0"/>
    <d v="2015-05-15T00:00:00"/>
    <d v="1899-12-30T09:21:47"/>
    <n v="15.9"/>
    <n v="0"/>
    <n v="-3125417.0800002185"/>
    <m/>
    <m/>
    <m/>
    <n v="123689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312"/>
    <s v="ESPÉCIE 2015-05-15"/>
    <s v="PARTE PAGAMENTO DAS MENSALIDADES DE FEV A ABRIL/2015, DO(A) ALUNO(A) RAFAEL SILVA FARIA_ESN"/>
    <n v="22.5"/>
    <d v="2015-05-15T00:00:00"/>
    <d v="1899-12-30T09:22:04"/>
    <n v="0"/>
    <n v="0"/>
    <n v="-3125394.5800002185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0492"/>
    <s v="Ant.Cob/123703"/>
    <s v="Banco Brb - Par. 123703(10-32)"/>
    <n v="0"/>
    <d v="2015-05-15T00:00:00"/>
    <d v="1899-12-30T09:25:20"/>
    <n v="1066.46"/>
    <n v="0"/>
    <n v="-3126461.0400002184"/>
    <m/>
    <m/>
    <m/>
    <n v="12370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3"/>
    <s v="Ant.Cob/123713"/>
    <s v="Banco Brb - Par. 123713(20-32)"/>
    <n v="0"/>
    <d v="2015-05-15T00:00:00"/>
    <d v="1899-12-30T09:25:20"/>
    <n v="1066.48"/>
    <n v="0"/>
    <n v="-3127527.5200002184"/>
    <m/>
    <m/>
    <m/>
    <n v="12371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4"/>
    <s v="Ant.Cob/123723"/>
    <s v="Banco Brb - Par. 123723(30-32)"/>
    <n v="0"/>
    <d v="2015-05-15T00:00:00"/>
    <d v="1899-12-30T09:25:20"/>
    <n v="1066.48"/>
    <n v="0"/>
    <n v="-3128594.0000002184"/>
    <m/>
    <m/>
    <m/>
    <n v="12372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6"/>
    <s v="Ant.Cob/123704"/>
    <s v="Banco Brb - Par. 123704(11-32)"/>
    <n v="0"/>
    <d v="2015-05-15T00:00:00"/>
    <d v="1899-12-30T09:25:20"/>
    <n v="1066.46"/>
    <n v="0"/>
    <n v="-3129660.4600002184"/>
    <m/>
    <m/>
    <m/>
    <n v="12370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7"/>
    <s v="Ant.Cob/123714"/>
    <s v="Banco Brb - Par. 123714(21-32)"/>
    <n v="0"/>
    <d v="2015-05-15T00:00:00"/>
    <d v="1899-12-30T09:25:20"/>
    <n v="1066.48"/>
    <n v="0"/>
    <n v="-3130726.9400002183"/>
    <m/>
    <m/>
    <m/>
    <n v="12371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8"/>
    <s v="Ant.Cob/123724"/>
    <s v="Banco Brb - Par. 123724(31-32)"/>
    <n v="0"/>
    <d v="2015-05-15T00:00:00"/>
    <d v="1899-12-30T09:25:20"/>
    <n v="1066.48"/>
    <n v="0"/>
    <n v="-3131793.4200002183"/>
    <m/>
    <m/>
    <m/>
    <n v="12372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5"/>
    <s v="Ant.Cob/123694"/>
    <s v="Banco Brb - Par. 123694(01-32)"/>
    <n v="0"/>
    <d v="2015-05-15T00:00:00"/>
    <d v="1899-12-30T09:25:20"/>
    <n v="1066.47"/>
    <n v="0"/>
    <n v="-3132859.8900002185"/>
    <m/>
    <m/>
    <m/>
    <n v="12369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9"/>
    <s v="Ant.Cob/123695"/>
    <s v="Banco Brb - Par. 123695(02-32)"/>
    <n v="0"/>
    <d v="2015-05-15T00:00:00"/>
    <d v="1899-12-30T09:25:20"/>
    <n v="1066.47"/>
    <n v="0"/>
    <n v="-3133926.3600002187"/>
    <m/>
    <m/>
    <m/>
    <n v="12369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0"/>
    <s v="Ant.Cob/123705"/>
    <s v="Banco Brb - Par. 123705(12-32)"/>
    <n v="0"/>
    <d v="2015-05-15T00:00:00"/>
    <d v="1899-12-30T09:25:21"/>
    <n v="1066.46"/>
    <n v="0"/>
    <n v="-3134992.8200002187"/>
    <m/>
    <m/>
    <m/>
    <n v="12370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1"/>
    <s v="Ant.Cob/123715"/>
    <s v="Banco Brb - Par. 123715(22-32)"/>
    <n v="0"/>
    <d v="2015-05-15T00:00:00"/>
    <d v="1899-12-30T09:25:21"/>
    <n v="1066.48"/>
    <n v="0"/>
    <n v="-3136059.3000002187"/>
    <m/>
    <m/>
    <m/>
    <n v="12371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2"/>
    <s v="Ant.Cob/123725"/>
    <s v="Banco Brb - Par. 123725(32-32)"/>
    <n v="0"/>
    <d v="2015-05-15T00:00:00"/>
    <d v="1899-12-30T09:25:21"/>
    <n v="1749.4"/>
    <n v="0"/>
    <n v="-3137808.7000002186"/>
    <m/>
    <m/>
    <m/>
    <n v="12372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4"/>
    <s v="Ant.Cob/123706"/>
    <s v="Banco Brb - Par. 123706(13-32)"/>
    <n v="0"/>
    <d v="2015-05-15T00:00:00"/>
    <d v="1899-12-30T09:25:21"/>
    <n v="1066.46"/>
    <n v="0"/>
    <n v="-3138875.1600002185"/>
    <m/>
    <m/>
    <m/>
    <n v="12370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5"/>
    <s v="Ant.Cob/123716"/>
    <s v="Banco Brb - Par. 123716(23-32)"/>
    <n v="0"/>
    <d v="2015-05-15T00:00:00"/>
    <d v="1899-12-30T09:25:21"/>
    <n v="1066.48"/>
    <n v="0"/>
    <n v="-3139941.6400002185"/>
    <m/>
    <m/>
    <m/>
    <n v="12371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3"/>
    <s v="Ant.Cob/123696"/>
    <s v="Banco Brb - Par. 123696(03-32)"/>
    <n v="0"/>
    <d v="2015-05-15T00:00:00"/>
    <d v="1899-12-30T09:25:21"/>
    <n v="1066.47"/>
    <n v="0"/>
    <n v="-3141008.1100002187"/>
    <m/>
    <m/>
    <m/>
    <n v="12369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7"/>
    <s v="Ant.Cob/123707"/>
    <s v="Banco Brb - Par. 123707(14-32)"/>
    <n v="0"/>
    <d v="2015-05-15T00:00:00"/>
    <d v="1899-12-30T09:25:21"/>
    <n v="1066.46"/>
    <n v="0"/>
    <n v="-3142074.5700002187"/>
    <m/>
    <m/>
    <m/>
    <n v="12370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8"/>
    <s v="Ant.Cob/123717"/>
    <s v="Banco Brb - Par. 123717(24-32)"/>
    <n v="0"/>
    <d v="2015-05-15T00:00:00"/>
    <d v="1899-12-30T09:25:21"/>
    <n v="1066.48"/>
    <n v="0"/>
    <n v="-3143141.0500002187"/>
    <m/>
    <m/>
    <m/>
    <n v="12371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6"/>
    <s v="Ant.Cob/123697"/>
    <s v="Banco Brb - Par. 123697(04-32)"/>
    <n v="0"/>
    <d v="2015-05-15T00:00:00"/>
    <d v="1899-12-30T09:25:21"/>
    <n v="1066.47"/>
    <n v="0"/>
    <n v="-3144207.5200002189"/>
    <m/>
    <m/>
    <m/>
    <n v="12369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0"/>
    <s v="Ant.Cob/123708"/>
    <s v="Banco Brb - Par. 123708(15-32)"/>
    <n v="0"/>
    <d v="2015-05-15T00:00:00"/>
    <d v="1899-12-30T09:25:21"/>
    <n v="1066.46"/>
    <n v="0"/>
    <n v="-3145273.9800002188"/>
    <m/>
    <m/>
    <m/>
    <n v="12370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1"/>
    <s v="Ant.Cob/123718"/>
    <s v="Banco Brb - Par. 123718(25-32)"/>
    <n v="0"/>
    <d v="2015-05-15T00:00:00"/>
    <d v="1899-12-30T09:25:21"/>
    <n v="1066.48"/>
    <n v="0"/>
    <n v="-3146340.4600002188"/>
    <m/>
    <m/>
    <m/>
    <n v="12371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9"/>
    <s v="Ant.Cob/123698"/>
    <s v="Banco Brb - Par. 123698(05-32)"/>
    <n v="0"/>
    <d v="2015-05-15T00:00:00"/>
    <d v="1899-12-30T09:25:21"/>
    <n v="1066.47"/>
    <n v="0"/>
    <n v="-3147406.930000219"/>
    <m/>
    <m/>
    <m/>
    <n v="12369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5"/>
    <s v="Ant.Cob/123700"/>
    <s v="Banco Brb - Par. 123700(07-32)"/>
    <n v="0"/>
    <d v="2015-05-15T00:00:00"/>
    <d v="1899-12-30T09:25:22"/>
    <n v="112.73"/>
    <n v="0"/>
    <n v="-3147519.660000219"/>
    <m/>
    <m/>
    <m/>
    <n v="12370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6"/>
    <s v="Ant.Cob/123710"/>
    <s v="Banco Brb - Par. 123710(17-32)"/>
    <n v="0"/>
    <d v="2015-05-15T00:00:00"/>
    <d v="1899-12-30T09:25:22"/>
    <n v="1127.3599999999999"/>
    <n v="0"/>
    <n v="-3148647.0200002189"/>
    <m/>
    <m/>
    <m/>
    <n v="12371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7"/>
    <s v="Ant.Cob/123720"/>
    <s v="Banco Brb - Par. 123720(27-32)"/>
    <n v="0"/>
    <d v="2015-05-15T00:00:00"/>
    <d v="1899-12-30T09:25:22"/>
    <n v="1066.48"/>
    <n v="0"/>
    <n v="-3149713.5000002189"/>
    <m/>
    <m/>
    <m/>
    <n v="12372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8"/>
    <s v="Ant.Cob/123701"/>
    <s v="Banco Brb - Par. 123701(08-32)"/>
    <n v="0"/>
    <d v="2015-05-15T00:00:00"/>
    <d v="1899-12-30T09:25:22"/>
    <n v="1066.46"/>
    <n v="0"/>
    <n v="-3150779.9600002188"/>
    <m/>
    <m/>
    <m/>
    <n v="12370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9"/>
    <s v="Ant.Cob/123711"/>
    <s v="Banco Brb - Par. 123711(18-32)"/>
    <n v="0"/>
    <d v="2015-05-15T00:00:00"/>
    <d v="1899-12-30T09:25:22"/>
    <n v="1127.3599999999999"/>
    <n v="0"/>
    <n v="-3151907.3200002187"/>
    <m/>
    <m/>
    <m/>
    <n v="12371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0"/>
    <s v="Ant.Cob/123721"/>
    <s v="Banco Brb - Par. 123721(28-32)"/>
    <n v="0"/>
    <d v="2015-05-15T00:00:00"/>
    <d v="1899-12-30T09:25:22"/>
    <n v="1066.48"/>
    <n v="0"/>
    <n v="-3152973.8000002187"/>
    <m/>
    <m/>
    <m/>
    <n v="12372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1"/>
    <s v="Ant.Cob/123702"/>
    <s v="Banco Brb - Par. 123702(09-32)"/>
    <n v="0"/>
    <d v="2015-05-15T00:00:00"/>
    <d v="1899-12-30T09:25:22"/>
    <n v="1066.46"/>
    <n v="0"/>
    <n v="-3154040.2600002186"/>
    <m/>
    <m/>
    <m/>
    <n v="12370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2"/>
    <s v="Ant.Cob/123712"/>
    <s v="Banco Brb - Par. 123712(19-32)"/>
    <n v="0"/>
    <d v="2015-05-15T00:00:00"/>
    <d v="1899-12-30T09:25:22"/>
    <n v="1127.3599999999999"/>
    <n v="0"/>
    <n v="-3155167.6200002185"/>
    <m/>
    <m/>
    <m/>
    <n v="12371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3"/>
    <s v="Ant.Cob/123722"/>
    <s v="Banco Brb - Par. 123722(29-32)"/>
    <n v="0"/>
    <d v="2015-05-15T00:00:00"/>
    <d v="1899-12-30T09:25:22"/>
    <n v="1066.48"/>
    <n v="0"/>
    <n v="-3156234.1000002185"/>
    <m/>
    <m/>
    <m/>
    <n v="12372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3"/>
    <s v="Ant.Cob/123709"/>
    <s v="Banco Brb - Par. 123709(16-32)"/>
    <n v="0"/>
    <d v="2015-05-15T00:00:00"/>
    <d v="1899-12-30T09:25:22"/>
    <n v="1066.46"/>
    <n v="0"/>
    <n v="-3157300.5600002185"/>
    <m/>
    <m/>
    <m/>
    <n v="12370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4"/>
    <s v="Ant.Cob/123719"/>
    <s v="Banco Brb - Par. 123719(26-32)"/>
    <n v="0"/>
    <d v="2015-05-15T00:00:00"/>
    <d v="1899-12-30T09:25:22"/>
    <n v="1066.48"/>
    <n v="0"/>
    <n v="-3158367.0400002184"/>
    <m/>
    <m/>
    <m/>
    <n v="12371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2"/>
    <s v="Ant.Cob/123699"/>
    <s v="Banco Brb - Par. 123699(06-32)"/>
    <n v="0"/>
    <d v="2015-05-15T00:00:00"/>
    <d v="1899-12-30T09:25:22"/>
    <n v="74.73"/>
    <n v="0"/>
    <n v="-3158441.7700002184"/>
    <m/>
    <m/>
    <m/>
    <n v="12369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313"/>
    <s v="ESPÉCIE 2015-05-15"/>
    <s v="PAGAMENTO DA MENSALIDADE DE FEVEREIRO/2015, DO(A) ALUNO(A) GUSTAVO SANTANA DE MENDONÇA_ESN"/>
    <n v="379"/>
    <d v="2015-05-15T00:00:00"/>
    <d v="1899-12-30T09:26:24"/>
    <n v="0"/>
    <n v="0"/>
    <n v="-3158062.7700002184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0930"/>
    <s v="Extrato/123969"/>
    <s v="Caixa Econômica Federal - Cód. 123969"/>
    <n v="0"/>
    <d v="2015-05-15T00:00:00"/>
    <d v="1899-12-30T09:28:16"/>
    <n v="168"/>
    <n v="0"/>
    <n v="-3158230.7700002184"/>
    <m/>
    <m/>
    <m/>
    <n v="123969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526"/>
    <s v="Ant.Cob/123730"/>
    <s v="Banco Brb - Par. 123730(03-4)"/>
    <n v="0"/>
    <d v="2015-05-15T00:00:00"/>
    <d v="1899-12-30T09:35:25"/>
    <n v="1724"/>
    <n v="0"/>
    <n v="-3159954.7700002184"/>
    <m/>
    <m/>
    <m/>
    <n v="12373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7"/>
    <s v="Ant.Cob/123731"/>
    <s v="Banco Brb - Par. 123731(04-4)"/>
    <n v="0"/>
    <d v="2015-05-15T00:00:00"/>
    <d v="1899-12-30T09:35:25"/>
    <n v="1724"/>
    <n v="0"/>
    <n v="-3161678.7700002184"/>
    <m/>
    <m/>
    <m/>
    <n v="12373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4"/>
    <s v="Ant.Cob/123728"/>
    <s v="Banco Brb - Par. 123728(01-4)"/>
    <n v="0"/>
    <d v="2015-05-15T00:00:00"/>
    <d v="1899-12-30T09:35:25"/>
    <n v="1724"/>
    <n v="0"/>
    <n v="-3163402.7700002184"/>
    <m/>
    <m/>
    <m/>
    <n v="12372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5"/>
    <s v="Ant.Cob/123729"/>
    <s v="Banco Brb - Par. 123729(02-4)"/>
    <n v="0"/>
    <d v="2015-05-15T00:00:00"/>
    <d v="1899-12-30T09:35:25"/>
    <n v="999.9"/>
    <n v="0"/>
    <n v="-3164402.6700002183"/>
    <m/>
    <m/>
    <m/>
    <n v="12372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30"/>
    <s v="SRP/110633"/>
    <s v="Silvanio Rodrigues Peres - Par. 110633(05-12)"/>
    <n v="0"/>
    <d v="2015-05-15T00:00:00"/>
    <d v="1899-12-30T09:36:53"/>
    <n v="245"/>
    <n v="0"/>
    <n v="-3164647.6700002183"/>
    <m/>
    <m/>
    <m/>
    <n v="11063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1"/>
    <s v="Brb Sol 2841/114774"/>
    <s v="Senise Factoring - Brasilia/Df - Cód. 114774"/>
    <n v="0"/>
    <d v="2015-05-15T00:00:00"/>
    <d v="1899-12-30T09:37:13"/>
    <n v="24550"/>
    <n v="0"/>
    <n v="-3189197.6700002183"/>
    <m/>
    <m/>
    <m/>
    <n v="114774"/>
    <n v="24"/>
    <s v="Emilly"/>
    <n v="1"/>
    <m/>
    <n v="544"/>
    <d v="2015-05-21T00:00:00"/>
    <d v="2015-05-21T00:00:00"/>
    <m/>
    <m/>
    <n v="2015"/>
    <n v="24"/>
    <m/>
    <m/>
    <m/>
    <m/>
    <s v="CA.Desconto de cheque (FINANCIMEN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532"/>
    <s v="Brb Sol 2851/114784"/>
    <s v="Senise Factoring - Brasilia/Df - Cód. 114784"/>
    <n v="0"/>
    <d v="2015-05-15T00:00:00"/>
    <d v="1899-12-30T09:37:31"/>
    <n v="24141"/>
    <n v="0"/>
    <n v="-3213338.6700002183"/>
    <m/>
    <m/>
    <m/>
    <n v="114784"/>
    <n v="24"/>
    <s v="Emilly"/>
    <n v="1"/>
    <m/>
    <n v="544"/>
    <d v="2015-05-21T00:00:00"/>
    <d v="2015-05-21T00:00:00"/>
    <m/>
    <m/>
    <n v="2015"/>
    <n v="24"/>
    <m/>
    <m/>
    <m/>
    <m/>
    <s v="CA.Desconto de cheque (FINANCIMEN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533"/>
    <s v="Acerto/115706"/>
    <s v="Marcos Fernandes Sobrinho - Cód. 115706"/>
    <n v="0"/>
    <d v="2015-05-15T00:00:00"/>
    <d v="1899-12-30T09:38:03"/>
    <n v="4477"/>
    <n v="0"/>
    <n v="-3217815.6700002183"/>
    <m/>
    <m/>
    <m/>
    <n v="115706"/>
    <n v="24"/>
    <s v="Emilly"/>
    <n v="1"/>
    <m/>
    <n v="566"/>
    <d v="2015-05-21T00:00:00"/>
    <d v="2015-05-21T00:00:00"/>
    <m/>
    <m/>
    <n v="2015"/>
    <n v="24"/>
    <m/>
    <m/>
    <m/>
    <m/>
    <s v="CA.Rescisão de contrato de trabalho (DESPESA)"/>
    <x v="1"/>
    <s v="COLÉGIO OLIMPO LTDA"/>
    <m/>
    <n v="52"/>
    <n v="2"/>
    <s v="Cheque"/>
    <m/>
    <n v="0"/>
    <m/>
    <n v="0"/>
    <m/>
    <m/>
    <s v="BRB [SOL] [012052-4] [CC] [COB]"/>
    <m/>
    <m/>
    <m/>
  </r>
  <r>
    <n v="270534"/>
    <s v="Brb Sol 3083/114999"/>
    <s v="Eudes  - Cód. 114999"/>
    <n v="0"/>
    <d v="2015-05-15T00:00:00"/>
    <d v="1899-12-30T09:38:21"/>
    <n v="2250"/>
    <n v="0"/>
    <n v="-3220065.6700002183"/>
    <m/>
    <m/>
    <m/>
    <n v="114999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5"/>
    <s v="Brb Sol 3086/114996"/>
    <s v="Eudes  - Cód. 114996"/>
    <n v="0"/>
    <d v="2015-05-15T00:00:00"/>
    <d v="1899-12-30T09:38:38"/>
    <n v="750"/>
    <n v="0"/>
    <n v="-3220815.6700002183"/>
    <m/>
    <m/>
    <m/>
    <n v="114996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6"/>
    <s v="Brb Sol 3092/114990"/>
    <s v="Eudes  - Cód. 114990"/>
    <n v="0"/>
    <d v="2015-05-15T00:00:00"/>
    <d v="1899-12-30T09:38:53"/>
    <n v="350"/>
    <n v="0"/>
    <n v="-3221165.6700002183"/>
    <m/>
    <m/>
    <m/>
    <n v="114990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7"/>
    <s v="Brb Sol 3431/119659"/>
    <s v="Rogério Purcena Rezende - Cód. 119659"/>
    <n v="0"/>
    <d v="2015-05-15T00:00:00"/>
    <d v="1899-12-30T09:39:16"/>
    <n v="10000"/>
    <n v="0"/>
    <n v="-3231165.6700002183"/>
    <m/>
    <m/>
    <m/>
    <n v="119659"/>
    <n v="24"/>
    <s v="Emilly"/>
    <n v="1"/>
    <m/>
    <n v="578"/>
    <d v="2015-05-21T00:00:00"/>
    <d v="2015-05-21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538"/>
    <s v="IPB/110895"/>
    <s v="Itelino Piau Braga - Par. 110895(05-12)"/>
    <n v="0"/>
    <d v="2015-05-15T00:00:00"/>
    <d v="1899-12-30T09:39:42"/>
    <n v="4500"/>
    <n v="0"/>
    <n v="-3235665.6700002183"/>
    <m/>
    <m/>
    <m/>
    <n v="110895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9"/>
    <s v="MD/110646"/>
    <s v="Marisvaldo Divino  - Par. 110646(05-12)"/>
    <n v="0"/>
    <d v="2015-05-15T00:00:00"/>
    <d v="1899-12-30T09:39:57"/>
    <n v="660"/>
    <n v="0"/>
    <n v="-3236325.6700002183"/>
    <m/>
    <m/>
    <m/>
    <n v="110646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980"/>
    <s v="Entrada"/>
    <s v="Biblioteca Unidade Fundamental"/>
    <n v="155"/>
    <d v="2015-05-15T00:00:00"/>
    <d v="1899-12-30T09:39:59"/>
    <n v="0"/>
    <n v="0"/>
    <n v="-3236170.6700002183"/>
    <m/>
    <m/>
    <m/>
    <m/>
    <n v="24"/>
    <s v="Emilly"/>
    <n v="1"/>
    <m/>
    <n v="59"/>
    <d v="2015-05-26T00:00:00"/>
    <d v="2015-05-26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0540"/>
    <s v="RFMZ/123600"/>
    <s v="Roberto Ferreira / Maria Zirlene  - Cód. 123600"/>
    <n v="0"/>
    <d v="2015-05-15T00:00:00"/>
    <d v="1899-12-30T09:40:11"/>
    <n v="1377"/>
    <n v="0"/>
    <n v="-3237547.6700002183"/>
    <m/>
    <m/>
    <m/>
    <n v="123600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320"/>
    <s v="ESPÉCIE 2015-05-15"/>
    <s v="PAGAMENTO DA MENSALIDADE DE ABRIL/2015, DO(A) ALUNO(A) INGRID LUDOVICO_EF"/>
    <n v="1076.25"/>
    <d v="2015-05-15T00:00:00"/>
    <d v="1899-12-30T09:41:48"/>
    <n v="0"/>
    <n v="0"/>
    <n v="-3236471.4200002183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0935"/>
    <s v="Che Pre  Merc Editora 0498"/>
    <s v="Cheque Compensado Merc Editora 0498"/>
    <n v="0"/>
    <d v="2015-05-15T00:00:00"/>
    <d v="1899-12-30T09:45:59"/>
    <n v="9000"/>
    <n v="0"/>
    <n v="-3245471.4200002183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s v="COLÉGIO OLIMPO LTDA"/>
    <m/>
    <n v="33"/>
    <n v="2"/>
    <s v="Cheque"/>
    <m/>
    <m/>
    <m/>
    <n v="0"/>
    <m/>
    <m/>
    <s v="MERC [EDI] [02.012164-9] [CC]"/>
    <m/>
    <m/>
    <m/>
  </r>
  <r>
    <n v="270937"/>
    <s v="Ch Pre Merc 0498"/>
    <s v="Crédito Cheque Devolvido"/>
    <n v="9000"/>
    <d v="2015-05-15T00:00:00"/>
    <d v="1899-12-30T09:48:26"/>
    <n v="0"/>
    <n v="0"/>
    <n v="-3236471.4200002183"/>
    <m/>
    <m/>
    <m/>
    <m/>
    <n v="7"/>
    <s v="Anapaula"/>
    <n v="1"/>
    <m/>
    <n v="1588"/>
    <d v="2015-05-25T00:00:00"/>
    <d v="2015-05-25T00:00:00"/>
    <m/>
    <m/>
    <n v="2015"/>
    <n v="7"/>
    <m/>
    <m/>
    <m/>
    <m/>
    <s v="Crédito Cheque Devolvido "/>
    <x v="2"/>
    <s v="COLÉGIO OLIMPO LTDA"/>
    <m/>
    <n v="33"/>
    <n v="2"/>
    <s v="Cheque"/>
    <m/>
    <m/>
    <m/>
    <n v="0"/>
    <m/>
    <m/>
    <s v="MERC [EDI] [02.012164-9] [CC]"/>
    <m/>
    <m/>
    <m/>
  </r>
  <r>
    <n v="270345"/>
    <s v="ESPÉCIE 2015-05-15"/>
    <s v="PARTE PAGAMENTO DAS MENSALIDADES DE JULHO A DEZ./2014, DO(A) ALUNO(A) NICOLY FRANCO PINHEIRO_ESN"/>
    <n v="1096"/>
    <d v="2015-05-15T00:00:00"/>
    <d v="1899-12-30T10:06:32"/>
    <n v="0"/>
    <n v="0"/>
    <n v="-3235375.4200002183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3129"/>
    <s v="Acerto/126934"/>
    <s v="Ádino José Cardoso - Cód. 126934"/>
    <n v="0"/>
    <d v="2015-05-15T00:00:00"/>
    <d v="1899-12-30T10:08:15"/>
    <n v="4000"/>
    <n v="0"/>
    <n v="-3239375.4200002183"/>
    <m/>
    <m/>
    <m/>
    <n v="126934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0362"/>
    <s v="ESPÉCIE 2015-05-15"/>
    <s v="PAGAMENTO DA MENSALIDADE DE ABRIL/2015, DO(A) ALUNO(A) ARTHUR MOURÃO DIAS PIO_ESN"/>
    <n v="318"/>
    <d v="2015-05-15T00:00:00"/>
    <d v="1899-12-30T10:10:25"/>
    <n v="0"/>
    <n v="0"/>
    <n v="-3239057.4200002183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027"/>
    <s v="Extrato"/>
    <s v="Depósito Bancário"/>
    <n v="220"/>
    <d v="2015-05-15T00:00:00"/>
    <d v="1899-12-30T10:14:26"/>
    <n v="0"/>
    <n v="0"/>
    <n v="-3238837.4200002183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s v="COLÉGIO OLIMPO LTDA"/>
    <m/>
    <n v="118"/>
    <n v="9"/>
    <s v="Débito em conta"/>
    <m/>
    <m/>
    <m/>
    <n v="0"/>
    <m/>
    <m/>
    <s v="CEF [GYN] [000154-0] [CC]"/>
    <m/>
    <m/>
    <m/>
  </r>
  <r>
    <n v="270613"/>
    <s v="Extrato Rogerio Purcena"/>
    <s v="Transferência Entre Conta Pgamento boletos"/>
    <n v="0"/>
    <d v="2015-05-15T00:00:00"/>
    <d v="1899-12-30T10:14:57"/>
    <n v="5000"/>
    <n v="0"/>
    <n v="-3243837.4200002183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6"/>
    <s v="BB [022382-4] [GYN] [CC]"/>
    <m/>
    <m/>
    <m/>
  </r>
  <r>
    <n v="270614"/>
    <s v="Extrato Rogerio Purcena"/>
    <s v="Destino: 270613-Transferência Entre Conta Pgamento boletos"/>
    <n v="5000"/>
    <d v="2015-05-15T00:00:00"/>
    <d v="1899-12-30T10:14:57"/>
    <n v="0"/>
    <n v="0"/>
    <n v="-3238837.4200002183"/>
    <m/>
    <m/>
    <m/>
    <m/>
    <n v="24"/>
    <s v="Emilly"/>
    <n v="1"/>
    <m/>
    <n v="1449"/>
    <d v="2015-05-21T00:00:00"/>
    <d v="2015-05-21T00:00:00"/>
    <m/>
    <m/>
    <n v="2015"/>
    <n v="24"/>
    <m/>
    <m/>
    <n v="270613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0735"/>
    <s v="Extrato/123875"/>
    <s v="Bradesco S/A - Par. 123875(01-2)"/>
    <n v="0"/>
    <d v="2015-05-15T00:00:00"/>
    <d v="1899-12-30T10:15:10"/>
    <n v="2070"/>
    <n v="0"/>
    <n v="-3240907.4200002183"/>
    <m/>
    <m/>
    <m/>
    <n v="123875"/>
    <n v="7"/>
    <s v="Anapaula"/>
    <n v="1"/>
    <m/>
    <n v="1599"/>
    <d v="2015-05-22T00:00:00"/>
    <d v="2015-05-22T00:00:00"/>
    <m/>
    <m/>
    <n v="2015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0615"/>
    <s v="Extrato/123784"/>
    <s v="Banco Do Brasil - Cód. 123784"/>
    <n v="0"/>
    <d v="2015-05-15T00:00:00"/>
    <d v="1899-12-30T10:16:49"/>
    <n v="6230.08"/>
    <n v="0"/>
    <n v="-3247137.5000002184"/>
    <m/>
    <m/>
    <m/>
    <n v="123784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16"/>
    <s v="Extrato/123785"/>
    <s v="Banco Do Brasil - Cód. 123785"/>
    <n v="0"/>
    <d v="2015-05-15T00:00:00"/>
    <d v="1899-12-30T10:17:32"/>
    <n v="238.3"/>
    <n v="0"/>
    <n v="-3247375.8000002182"/>
    <m/>
    <m/>
    <m/>
    <n v="123785"/>
    <n v="24"/>
    <s v="Emilly"/>
    <n v="1"/>
    <m/>
    <n v="572"/>
    <d v="2015-05-21T00:00:00"/>
    <d v="2015-05-21T00:00:00"/>
    <m/>
    <m/>
    <n v="2015"/>
    <n v="24"/>
    <m/>
    <m/>
    <m/>
    <m/>
    <s v="CA.Seguros e proteções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3136"/>
    <s v="Transferência Entre Conta"/>
    <s v="Transferência Entre Conta"/>
    <n v="0"/>
    <d v="2015-05-15T00:00:00"/>
    <d v="1899-12-30T10:18:19"/>
    <n v="10300"/>
    <n v="0"/>
    <n v="-3257675.8000002182"/>
    <m/>
    <m/>
    <m/>
    <m/>
    <n v="24"/>
    <s v="Emilly"/>
    <n v="1"/>
    <m/>
    <n v="1449"/>
    <d v="2015-06-16T00:00:00"/>
    <d v="2015-06-16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99"/>
    <s v="ITAÚ [GYN] [026016-5] []"/>
    <m/>
    <m/>
    <m/>
  </r>
  <r>
    <n v="273137"/>
    <s v="Transferência Entre Conta"/>
    <s v="Destino: 273136-Transferência Entre Conta"/>
    <n v="10300"/>
    <d v="2015-05-15T00:00:00"/>
    <d v="1899-12-30T10:18:19"/>
    <n v="0"/>
    <n v="0"/>
    <n v="-3247375.8000002182"/>
    <m/>
    <m/>
    <m/>
    <m/>
    <n v="24"/>
    <s v="Emilly"/>
    <n v="1"/>
    <m/>
    <n v="1449"/>
    <d v="2015-06-16T00:00:00"/>
    <d v="2015-06-16T00:00:00"/>
    <m/>
    <m/>
    <n v="2015"/>
    <n v="24"/>
    <m/>
    <m/>
    <n v="273136"/>
    <m/>
    <s v="Transferência entre contas"/>
    <x v="2"/>
    <s v="COLÉGIO OLIMPO LTDA"/>
    <m/>
    <n v="99"/>
    <n v="8"/>
    <s v="Transferência Bancária"/>
    <m/>
    <m/>
    <m/>
    <n v="0"/>
    <m/>
    <m/>
    <s v="MERC [UDI] [02.042205-8] [CC]"/>
    <m/>
    <m/>
    <m/>
  </r>
  <r>
    <n v="270618"/>
    <s v="Extrato/123786"/>
    <s v="Banco Do Brasil - Par. 123786(01-9)"/>
    <n v="0"/>
    <d v="2015-05-15T00:00:00"/>
    <d v="1899-12-30T10:18:41"/>
    <n v="7.8"/>
    <n v="0"/>
    <n v="-3247383.600000218"/>
    <m/>
    <m/>
    <m/>
    <n v="12378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19"/>
    <s v="Extrato/123787"/>
    <s v="Banco Do Brasil - Par. 123787(02-9)"/>
    <n v="0"/>
    <d v="2015-05-15T00:00:00"/>
    <d v="1899-12-30T10:18:41"/>
    <n v="7.8"/>
    <n v="0"/>
    <n v="-3247391.4000002178"/>
    <m/>
    <m/>
    <m/>
    <n v="123787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0"/>
    <s v="Extrato/123788"/>
    <s v="Banco Do Brasil - Par. 123788(03-9)"/>
    <n v="0"/>
    <d v="2015-05-15T00:00:00"/>
    <d v="1899-12-30T10:18:41"/>
    <n v="7.8"/>
    <n v="0"/>
    <n v="-3247399.2000002177"/>
    <m/>
    <m/>
    <m/>
    <n v="123788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1"/>
    <s v="Extrato/123789"/>
    <s v="Banco Do Brasil - Par. 123789(04-9)"/>
    <n v="0"/>
    <d v="2015-05-15T00:00:00"/>
    <d v="1899-12-30T10:18:41"/>
    <n v="7.8"/>
    <n v="0"/>
    <n v="-3247407.0000002175"/>
    <m/>
    <m/>
    <m/>
    <n v="123789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2"/>
    <s v="Extrato/123790"/>
    <s v="Banco Do Brasil - Par. 123790(05-9)"/>
    <n v="0"/>
    <d v="2015-05-15T00:00:00"/>
    <d v="1899-12-30T10:18:41"/>
    <n v="7.8"/>
    <n v="0"/>
    <n v="-3247414.8000002173"/>
    <m/>
    <m/>
    <m/>
    <n v="123790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3"/>
    <s v="Extrato/123791"/>
    <s v="Banco Do Brasil - Par. 123791(06-9)"/>
    <n v="0"/>
    <d v="2015-05-15T00:00:00"/>
    <d v="1899-12-30T10:18:41"/>
    <n v="7.8"/>
    <n v="0"/>
    <n v="-3247422.6000002171"/>
    <m/>
    <m/>
    <m/>
    <n v="123791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4"/>
    <s v="Extrato/123792"/>
    <s v="Banco Do Brasil - Par. 123792(07-9)"/>
    <n v="0"/>
    <d v="2015-05-15T00:00:00"/>
    <d v="1899-12-30T10:18:41"/>
    <n v="7.8"/>
    <n v="0"/>
    <n v="-3247430.4000002169"/>
    <m/>
    <m/>
    <m/>
    <n v="12379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5"/>
    <s v="Extrato/123793"/>
    <s v="Banco Do Brasil - Par. 123793(08-9)"/>
    <n v="0"/>
    <d v="2015-05-15T00:00:00"/>
    <d v="1899-12-30T10:18:41"/>
    <n v="7.8"/>
    <n v="0"/>
    <n v="-3247438.2000002167"/>
    <m/>
    <m/>
    <m/>
    <n v="12379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6"/>
    <s v="Extrato/123794"/>
    <s v="Banco Do Brasil - Par. 123794(09-9)"/>
    <n v="0"/>
    <d v="2015-05-15T00:00:00"/>
    <d v="1899-12-30T10:18:41"/>
    <n v="7.8"/>
    <n v="0"/>
    <n v="-3247446.0000002165"/>
    <m/>
    <m/>
    <m/>
    <n v="123794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2627"/>
    <n v="192862"/>
    <s v="Retorno: Par. 192862(05/12) - 018172/FEL - Mensalidades"/>
    <n v="1473"/>
    <d v="2015-05-15T00:00:00"/>
    <d v="1899-12-30T10:28:54"/>
    <n v="0"/>
    <n v="0"/>
    <n v="-3245973.0000002165"/>
    <m/>
    <m/>
    <n v="192862"/>
    <m/>
    <n v="14"/>
    <s v="Renato"/>
    <n v="1"/>
    <m/>
    <n v="2"/>
    <d v="2015-06-09T00:00:00"/>
    <d v="2015-06-09T00:00:00"/>
    <n v="28946"/>
    <n v="2015051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6"/>
    <n v="193076"/>
    <s v="Retorno: Par. 193076(05/12) - 018076/ARM - Mensalidades"/>
    <n v="1473"/>
    <d v="2015-05-15T00:00:00"/>
    <d v="1899-12-30T10:28:54"/>
    <n v="0"/>
    <n v="0"/>
    <n v="-3244500.0000002165"/>
    <m/>
    <m/>
    <n v="193076"/>
    <m/>
    <n v="14"/>
    <s v="Renato"/>
    <n v="1"/>
    <m/>
    <n v="2"/>
    <d v="2015-06-09T00:00:00"/>
    <d v="2015-06-09T00:00:00"/>
    <n v="28945"/>
    <n v="2015051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796"/>
    <s v="Remessa Olimpo Anápolis"/>
    <s v="Remessa Olimpo Anápolis"/>
    <n v="1051"/>
    <d v="2015-05-15T00:00:00"/>
    <d v="1899-12-30T10:33:56"/>
    <n v="0"/>
    <n v="0"/>
    <n v="-3243449.0000002165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797"/>
    <s v="Extrato"/>
    <s v="Credito Devolução Cheque"/>
    <n v="157068"/>
    <d v="2015-05-15T00:00:00"/>
    <d v="1899-12-30T10:34:51"/>
    <n v="0"/>
    <n v="0"/>
    <n v="-3086381.0000002165"/>
    <m/>
    <m/>
    <m/>
    <m/>
    <n v="60"/>
    <s v="Francielly"/>
    <n v="1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2798"/>
    <s v="Extrato/125057"/>
    <s v="Banco Brb - Cód. 125057"/>
    <n v="0"/>
    <d v="2015-05-15T00:00:00"/>
    <d v="1899-12-30T10:36:54"/>
    <n v="67.5"/>
    <n v="0"/>
    <n v="-3086448.5000002165"/>
    <m/>
    <m/>
    <m/>
    <n v="125057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2799"/>
    <s v="Extrato/125058"/>
    <s v="Banco Brb - Cód. 125058"/>
    <n v="0"/>
    <d v="2015-05-15T00:00:00"/>
    <d v="1899-12-30T10:36:58"/>
    <n v="37.5"/>
    <n v="0"/>
    <n v="-3086486.0000002165"/>
    <m/>
    <m/>
    <m/>
    <n v="125058"/>
    <n v="24"/>
    <s v="Emilly"/>
    <n v="1"/>
    <m/>
    <n v="575"/>
    <d v="2015-06-11T00:00:00"/>
    <d v="2015-06-11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72800"/>
    <s v=" Rescisão/123522"/>
    <s v="Rescisão - Grupo Olimpo - Cód. 123522"/>
    <n v="0"/>
    <d v="2015-05-15T00:00:00"/>
    <d v="1899-12-30T10:37:33"/>
    <n v="708.14"/>
    <n v="0"/>
    <n v="-3087194.1400002167"/>
    <m/>
    <m/>
    <m/>
    <n v="123522"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72801"/>
    <s v="Rescisão/123523"/>
    <s v="Rescisão - Grupo Olimpo - Cód. 123523"/>
    <n v="0"/>
    <d v="2015-05-15T00:00:00"/>
    <d v="1899-12-30T10:37:50"/>
    <n v="900"/>
    <n v="0"/>
    <n v="-3088094.1400002167"/>
    <m/>
    <m/>
    <m/>
    <n v="123523"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72802"/>
    <s v="552/123533"/>
    <s v="Abg Prestação De Serviços Medicos  - Cód. 123533"/>
    <n v="0"/>
    <d v="2015-05-15T00:00:00"/>
    <d v="1899-12-30T10:38:12"/>
    <n v="1182"/>
    <n v="0"/>
    <n v="-3089276.1400002167"/>
    <m/>
    <m/>
    <m/>
    <n v="123533"/>
    <n v="24"/>
    <s v="Emilly"/>
    <n v="1"/>
    <m/>
    <n v="537"/>
    <d v="2015-06-11T00:00:00"/>
    <d v="2015-06-11T00:00:00"/>
    <m/>
    <m/>
    <n v="2015"/>
    <n v="24"/>
    <m/>
    <m/>
    <m/>
    <m/>
    <s v="CA.Despesas Diversas (DESPESA)"/>
    <x v="1"/>
    <s v="COLÉGIO OLIMPO LTDA"/>
    <m/>
    <n v="12"/>
    <n v="2"/>
    <s v="Cheque"/>
    <m/>
    <n v="0"/>
    <m/>
    <n v="0"/>
    <m/>
    <m/>
    <s v="BRB [GYN] [011616-0] [CC] [COB]"/>
    <m/>
    <m/>
    <m/>
  </r>
  <r>
    <n v="271039"/>
    <s v="Extrato"/>
    <s v="Recebimento de Alunos "/>
    <n v="1131.48"/>
    <d v="2015-05-15T00:00:00"/>
    <d v="1899-12-30T10:39:23"/>
    <n v="0"/>
    <n v="0"/>
    <n v="-3088144.6600002167"/>
    <m/>
    <m/>
    <m/>
    <m/>
    <n v="7"/>
    <s v="Anapaula"/>
    <n v="1"/>
    <m/>
    <n v="1630"/>
    <d v="2015-05-26T00:00:00"/>
    <d v="2015-05-26T00:00:00"/>
    <m/>
    <m/>
    <n v="2015"/>
    <n v="7"/>
    <m/>
    <m/>
    <m/>
    <m/>
    <s v="Recebimento de Alunos"/>
    <x v="1"/>
    <s v="COLÉGIO OLIMPO LTDA"/>
    <m/>
    <n v="26"/>
    <n v="2"/>
    <s v="Cheque"/>
    <m/>
    <m/>
    <m/>
    <n v="0"/>
    <m/>
    <m/>
    <s v="ITAÚ [SOL] [001691-4] [CC]"/>
    <m/>
    <m/>
    <m/>
  </r>
  <r>
    <n v="272804"/>
    <s v="Ant.Cob/125060"/>
    <s v="Banco Brb - Cód. 125060"/>
    <n v="0"/>
    <d v="2015-05-15T00:00:00"/>
    <d v="1899-12-30T10:39:30"/>
    <n v="1051"/>
    <n v="0"/>
    <n v="-3089195.6600002167"/>
    <m/>
    <m/>
    <m/>
    <n v="12506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05"/>
    <s v="Ant.Cob/125061"/>
    <s v="Banco Brb - Cód. 125061"/>
    <n v="0"/>
    <d v="2015-05-15T00:00:00"/>
    <d v="1899-12-30T10:39:30"/>
    <n v="1473"/>
    <n v="0"/>
    <n v="-3090668.6600002167"/>
    <m/>
    <m/>
    <m/>
    <n v="12506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03"/>
    <s v="Ant.Cob/125059"/>
    <s v="Banco Brb - Cód. 125059"/>
    <n v="0"/>
    <d v="2015-05-15T00:00:00"/>
    <d v="1899-12-30T10:39:30"/>
    <n v="1473"/>
    <n v="0"/>
    <n v="-3092141.6600002167"/>
    <m/>
    <m/>
    <m/>
    <n v="12505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06"/>
    <s v="Extrato"/>
    <s v="Debito Devolução Ch Depositado-Ch Pre Bra 6276"/>
    <n v="0"/>
    <d v="2015-05-15T00:00:00"/>
    <d v="1899-12-30T10:39:50"/>
    <n v="70000"/>
    <n v="0"/>
    <n v="-3162141.6600002167"/>
    <m/>
    <m/>
    <m/>
    <m/>
    <n v="60"/>
    <s v="Francielly"/>
    <n v="1"/>
    <m/>
    <n v="1449"/>
    <d v="2015-06-11T00:00:00"/>
    <d v="2015-06-11T00:00:00"/>
    <m/>
    <m/>
    <n v="2015"/>
    <n v="60"/>
    <m/>
    <m/>
    <m/>
    <m/>
    <s v="Transferência entre contas"/>
    <x v="2"/>
    <s v="COLÉGIO OLIMPO LTDA"/>
    <m/>
    <n v="52"/>
    <n v="9"/>
    <s v="Débito em conta"/>
    <m/>
    <m/>
    <m/>
    <n v="0"/>
    <m/>
    <m/>
    <s v="BRB [SOL] [012052-4] [CC] [COB]"/>
    <m/>
    <m/>
    <m/>
  </r>
  <r>
    <n v="272807"/>
    <s v="Extrato"/>
    <s v="Credito Ch Devolvido"/>
    <n v="999"/>
    <d v="2015-05-15T00:00:00"/>
    <d v="1899-12-30T10:39:53"/>
    <n v="0"/>
    <n v="0"/>
    <n v="-3161142.6600002167"/>
    <m/>
    <m/>
    <m/>
    <m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m/>
    <m/>
    <n v="0"/>
    <m/>
    <m/>
    <s v="BRB [GYN] [011616-0] [CC] [COB]"/>
    <m/>
    <m/>
    <m/>
  </r>
  <r>
    <n v="272809"/>
    <s v="Extrato"/>
    <s v="Credito Ch Devolvido"/>
    <n v="1386"/>
    <d v="2015-05-15T00:00:00"/>
    <d v="1899-12-30T10:42:17"/>
    <n v="0"/>
    <n v="0"/>
    <n v="-3159756.6600002167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0"/>
    <s v="Extrato"/>
    <s v="Credito Ch Devolvido"/>
    <n v="1386"/>
    <d v="2015-05-15T00:00:00"/>
    <d v="1899-12-30T10:42:43"/>
    <n v="0"/>
    <n v="0"/>
    <n v="-3158370.6600002167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1042"/>
    <s v="Extrato"/>
    <s v="Sispag"/>
    <n v="0"/>
    <d v="2015-05-15T00:00:00"/>
    <d v="1899-12-30T10:42:44"/>
    <n v="720.3"/>
    <n v="0"/>
    <n v="-3159090.9600002165"/>
    <m/>
    <m/>
    <m/>
    <m/>
    <n v="7"/>
    <s v="Anapaula"/>
    <n v="1"/>
    <m/>
    <n v="537"/>
    <d v="2015-05-26T00:00:00"/>
    <d v="2015-05-26T00:00:00"/>
    <m/>
    <m/>
    <n v="2015"/>
    <n v="7"/>
    <m/>
    <m/>
    <m/>
    <m/>
    <s v="CA.Despesas Diversas (DESPESA)"/>
    <x v="1"/>
    <s v="COLÉGIO OLIMPO LTDA"/>
    <m/>
    <n v="26"/>
    <n v="2"/>
    <s v="Cheque"/>
    <m/>
    <m/>
    <m/>
    <n v="0"/>
    <m/>
    <m/>
    <s v="ITAÚ [SOL] [001691-4] [CC]"/>
    <m/>
    <m/>
    <m/>
  </r>
  <r>
    <n v="272811"/>
    <s v="Extrato"/>
    <s v="Credito Ch Devolvido"/>
    <n v="1092"/>
    <d v="2015-05-15T00:00:00"/>
    <d v="1899-12-30T10:43:51"/>
    <n v="0"/>
    <n v="0"/>
    <n v="-3157998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2"/>
    <s v="Extrato"/>
    <s v="Credito Ch Devolvido"/>
    <n v="1386"/>
    <d v="2015-05-15T00:00:00"/>
    <d v="1899-12-30T10:44:11"/>
    <n v="0"/>
    <n v="0"/>
    <n v="-3156612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3"/>
    <s v="Extrato"/>
    <s v="Credito Ch Devolvido"/>
    <n v="1130"/>
    <d v="2015-05-15T00:00:00"/>
    <d v="1899-12-30T10:44:36"/>
    <n v="0"/>
    <n v="0"/>
    <n v="-3155482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4"/>
    <s v="Extrato"/>
    <s v="Credito Ch Devolvido"/>
    <n v="1386"/>
    <d v="2015-05-15T00:00:00"/>
    <d v="1899-12-30T10:45:00"/>
    <n v="0"/>
    <n v="0"/>
    <n v="-3154096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5"/>
    <s v="Extrato"/>
    <s v="Credito Ch Devolvido"/>
    <n v="1386"/>
    <d v="2015-05-15T00:00:00"/>
    <d v="1899-12-30T10:46:05"/>
    <n v="0"/>
    <n v="0"/>
    <n v="-3152710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436"/>
    <n v="216516"/>
    <s v="Par.(04-12) 020170/MARILLIA DE FREITAS MACHA - PAGAMENTO CHE"/>
    <n v="1482"/>
    <d v="2015-05-15T00:00:00"/>
    <d v="1899-12-30T10:58:47"/>
    <n v="0"/>
    <n v="0"/>
    <n v="-3151228.9600002165"/>
    <m/>
    <m/>
    <n v="216516"/>
    <m/>
    <n v="8"/>
    <s v="Vinicius"/>
    <n v="2"/>
    <m/>
    <n v="1378"/>
    <d v="2015-05-20T00:00:00"/>
    <d v="2015-05-20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0444"/>
    <n v="197789"/>
    <s v="Par.(04/12) 019901/ALBERTO XAVIER DE MELLO N - Mensalidades"/>
    <n v="1574.42"/>
    <d v="2015-05-15T00:00:00"/>
    <d v="1899-12-30T11:16:02"/>
    <n v="0"/>
    <n v="0"/>
    <n v="-3149654.5400002166"/>
    <m/>
    <m/>
    <n v="197789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70445"/>
    <n v="192520"/>
    <s v="Par.(04/12) 019728/ANA LUIZA MARQUEZ MELLO - Mensalidades"/>
    <n v="1830.58"/>
    <d v="2015-05-15T00:00:00"/>
    <d v="1899-12-30T11:17:50"/>
    <n v="0"/>
    <n v="0"/>
    <n v="-3147823.9600002165"/>
    <m/>
    <m/>
    <n v="192520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70970"/>
    <s v="Extrato"/>
    <s v="Ch Pre Bra 6277 - Cheque Compensado"/>
    <n v="0"/>
    <d v="2015-05-15T00:00:00"/>
    <d v="1899-12-30T11:19:46"/>
    <n v="20000"/>
    <n v="0"/>
    <n v="-3167823.9600002165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s v="COLÉGIO OLIMPO LTDA"/>
    <m/>
    <n v="2"/>
    <n v="2"/>
    <s v="Cheque"/>
    <m/>
    <m/>
    <m/>
    <n v="0"/>
    <m/>
    <m/>
    <s v="BRADESCO [002429-5] [GYN [CC]"/>
    <m/>
    <m/>
    <m/>
  </r>
  <r>
    <n v="270664"/>
    <s v="Extrato/123817"/>
    <s v="Bradesco - Cód. 123817"/>
    <n v="0"/>
    <d v="2015-05-15T00:00:00"/>
    <d v="1899-12-30T11:20:07"/>
    <n v="62.4"/>
    <n v="0"/>
    <n v="-3167886.3600002164"/>
    <m/>
    <m/>
    <m/>
    <n v="12381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65"/>
    <s v="Extrato/123818"/>
    <s v="Bradesco - Cód. 123818"/>
    <n v="0"/>
    <d v="2015-05-15T00:00:00"/>
    <d v="1899-12-30T11:20:45"/>
    <n v="0.35"/>
    <n v="0"/>
    <n v="-3167886.7100002165"/>
    <m/>
    <m/>
    <m/>
    <n v="12381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72"/>
    <s v="Extrato"/>
    <s v="Ch Pre Bra 6277 - Cheque Devolvido"/>
    <n v="20000"/>
    <d v="2015-05-15T00:00:00"/>
    <d v="1899-12-30T11:28:12"/>
    <n v="0"/>
    <n v="0"/>
    <n v="-3147886.7100002165"/>
    <m/>
    <m/>
    <m/>
    <m/>
    <n v="7"/>
    <s v="Anapaula"/>
    <n v="1"/>
    <m/>
    <n v="1588"/>
    <d v="2015-05-21T00:00:00"/>
    <d v="2015-05-25T00:00:00"/>
    <m/>
    <m/>
    <n v="2015"/>
    <n v="24"/>
    <m/>
    <m/>
    <m/>
    <m/>
    <s v="Crédito Cheque Devolvido "/>
    <x v="2"/>
    <s v="COLÉGIO OLIMPO LTDA"/>
    <m/>
    <n v="2"/>
    <n v="2"/>
    <s v="Cheque"/>
    <m/>
    <m/>
    <m/>
    <n v="0"/>
    <m/>
    <m/>
    <s v="BRADESCO [002429-5] [GYN [CC]"/>
    <m/>
    <m/>
    <m/>
  </r>
  <r>
    <n v="270674"/>
    <s v="Remessa Olimpo Brasília "/>
    <s v="Remessa Olimpo Brasília "/>
    <n v="2070"/>
    <d v="2015-05-15T00:00:00"/>
    <d v="1899-12-30T11:31:14"/>
    <n v="0"/>
    <n v="0"/>
    <n v="-3145816.7100002165"/>
    <m/>
    <m/>
    <m/>
    <m/>
    <n v="7"/>
    <s v="Anapaula"/>
    <n v="1"/>
    <m/>
    <n v="1433"/>
    <d v="2015-05-21T00:00:00"/>
    <d v="2015-05-21T00:00:00"/>
    <m/>
    <m/>
    <n v="2015"/>
    <n v="7"/>
    <m/>
    <m/>
    <m/>
    <m/>
    <s v="Remessa Olimpo Brasília"/>
    <x v="1"/>
    <s v="COLÉGIO OLIMPO LTDA"/>
    <m/>
    <n v="27"/>
    <n v="8"/>
    <s v="Transferência Bancária"/>
    <m/>
    <m/>
    <m/>
    <n v="0"/>
    <m/>
    <m/>
    <s v="BRADESCO [008378-0] [SOL] [CC]"/>
    <m/>
    <m/>
    <m/>
  </r>
  <r>
    <n v="272079"/>
    <n v="197081"/>
    <s v="Retorno: Par. 197081(05/12) - 18420/EST - Mensalidades"/>
    <n v="1724"/>
    <d v="2015-05-15T00:00:00"/>
    <d v="1899-12-30T12:00:00"/>
    <n v="0"/>
    <n v="0"/>
    <n v="-3144092.7100002165"/>
    <m/>
    <m/>
    <n v="197081"/>
    <m/>
    <n v="1"/>
    <s v="Andre"/>
    <n v="1"/>
    <m/>
    <n v="2"/>
    <d v="2015-06-05T00:00:00"/>
    <d v="2015-06-05T00:00:00"/>
    <n v="28508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48"/>
    <n v="204636"/>
    <s v="Retorno: Par. 204636(05/12) - 19966/HUG - Mensalidades"/>
    <n v="1724"/>
    <d v="2015-05-15T00:00:00"/>
    <d v="1899-12-30T12:00:00"/>
    <n v="0"/>
    <n v="0"/>
    <n v="-3142368.7100002165"/>
    <m/>
    <m/>
    <n v="204636"/>
    <m/>
    <n v="1"/>
    <s v="Andre"/>
    <n v="1"/>
    <m/>
    <n v="2"/>
    <d v="2015-06-30T00:00:00"/>
    <d v="2015-06-30T00:00:00"/>
    <n v="2913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4070"/>
    <s v="Transferencia Entre Contas"/>
    <s v="Transferencia Entre Contas"/>
    <n v="0"/>
    <d v="2015-05-15T00:00:00"/>
    <d v="1899-12-30T13:33:49"/>
    <n v="15000"/>
    <n v="0"/>
    <n v="-3157368.7100002165"/>
    <m/>
    <m/>
    <m/>
    <m/>
    <n v="60"/>
    <s v="Francielly"/>
    <n v="1"/>
    <m/>
    <n v="1449"/>
    <d v="2015-06-25T00:00:00"/>
    <d v="2015-06-25T00:00:00"/>
    <m/>
    <m/>
    <n v="2015"/>
    <n v="60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4071"/>
    <s v="Transferencia Entre Contas"/>
    <s v="Destino: 274070-Transferencia Entre Contas"/>
    <n v="15000"/>
    <d v="2015-05-15T00:00:00"/>
    <d v="1899-12-30T13:33:49"/>
    <n v="0"/>
    <n v="0"/>
    <n v="-3142368.7100002165"/>
    <m/>
    <m/>
    <m/>
    <m/>
    <n v="60"/>
    <s v="Francielly"/>
    <n v="1"/>
    <m/>
    <n v="1449"/>
    <d v="2015-06-25T00:00:00"/>
    <d v="2015-06-25T00:00:00"/>
    <m/>
    <m/>
    <n v="2015"/>
    <n v="60"/>
    <m/>
    <m/>
    <n v="274070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447"/>
    <n v="216816"/>
    <s v="Par.(01-1) 019919/MARIA GABRIELA MARTINS - 1ª OU 2ª SÉRI"/>
    <n v="73"/>
    <d v="2015-05-15T00:00:00"/>
    <d v="1899-12-30T13:41:10"/>
    <n v="0"/>
    <n v="0"/>
    <n v="-3142295.7100002165"/>
    <m/>
    <m/>
    <n v="216816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446"/>
    <n v="216817"/>
    <s v="Par.(01-1) 019919/MARIA GABRIELA MARTINS - 1ª OU 2ª SÉRI"/>
    <n v="73"/>
    <d v="2015-05-15T00:00:00"/>
    <d v="1899-12-30T13:41:10"/>
    <n v="0"/>
    <n v="0"/>
    <n v="-3142222.7100002165"/>
    <m/>
    <m/>
    <n v="216817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448"/>
    <n v="216818"/>
    <s v="Par.(01-1) 019919/MARIA GABRIELA MARTINS - 1ª OU 2ª SÉRI"/>
    <n v="73"/>
    <d v="2015-05-15T00:00:00"/>
    <d v="1899-12-30T13:41:10"/>
    <n v="0"/>
    <n v="0"/>
    <n v="-3142149.7100002165"/>
    <m/>
    <m/>
    <n v="216818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449"/>
    <s v="Entrada"/>
    <s v="Segunda Chamada Fundamental"/>
    <n v="493"/>
    <d v="2015-05-15T00:00:00"/>
    <d v="1899-12-30T13:54:21"/>
    <n v="0"/>
    <n v="0"/>
    <n v="-3141656.7100002165"/>
    <m/>
    <m/>
    <m/>
    <m/>
    <n v="24"/>
    <s v="Emilly"/>
    <n v="1"/>
    <m/>
    <n v="59"/>
    <d v="2015-05-20T00:00:00"/>
    <d v="2015-05-20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0202"/>
    <s v="Fiscais/123535"/>
    <s v="Fiscais De Prova - Cód. 123535"/>
    <n v="0"/>
    <d v="2015-05-15T00:00:00"/>
    <d v="1899-12-30T14:55:34"/>
    <n v="1575"/>
    <n v="0"/>
    <n v="-3143231.7100002165"/>
    <m/>
    <m/>
    <m/>
    <n v="123535"/>
    <n v="24"/>
    <s v="Emilly"/>
    <n v="1"/>
    <m/>
    <n v="1419"/>
    <d v="2015-05-18T00:00:00"/>
    <d v="2015-05-18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6043"/>
    <s v="Abril/128617"/>
    <s v="Carlos Antonio Moreira - Cód. 128617"/>
    <n v="0"/>
    <d v="2015-05-15T00:00:00"/>
    <d v="1899-12-30T15:07:16"/>
    <n v="4720.3"/>
    <n v="0"/>
    <n v="-3147952.0100002163"/>
    <m/>
    <m/>
    <m/>
    <n v="128617"/>
    <n v="12"/>
    <s v="Gisele"/>
    <n v="1"/>
    <m/>
    <n v="534"/>
    <d v="2015-07-03T00:00:00"/>
    <d v="2015-07-03T00:00:00"/>
    <m/>
    <m/>
    <n v="2015"/>
    <n v="12"/>
    <m/>
    <m/>
    <m/>
    <m/>
    <s v="CA.Honorários (DESPESA)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5685"/>
    <s v="Abril/126935"/>
    <s v="Vicente Aparecido da Silva - Cód. 126935"/>
    <n v="0"/>
    <d v="2015-05-15T00:00:00"/>
    <d v="1899-12-30T15:07:33"/>
    <n v="6492"/>
    <n v="0"/>
    <n v="-3154444.0100002163"/>
    <m/>
    <m/>
    <m/>
    <n v="126935"/>
    <n v="12"/>
    <s v="Gisele"/>
    <n v="1"/>
    <m/>
    <n v="1546"/>
    <d v="2015-07-02T00:00:00"/>
    <d v="2015-07-02T00:00:00"/>
    <m/>
    <m/>
    <n v="2015"/>
    <n v="12"/>
    <m/>
    <m/>
    <m/>
    <m/>
    <s v="Aná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0203"/>
    <s v="0803/123537"/>
    <s v="Shopping das Baterias - Cód. 123537"/>
    <n v="0"/>
    <d v="2015-05-15T00:00:00"/>
    <d v="1899-12-30T15:14:05"/>
    <n v="275"/>
    <n v="0"/>
    <n v="-3154719.0100002163"/>
    <m/>
    <m/>
    <m/>
    <n v="123537"/>
    <n v="24"/>
    <s v="Emilly"/>
    <n v="1"/>
    <m/>
    <n v="523"/>
    <d v="2015-05-18T00:00:00"/>
    <d v="2015-05-18T00:00:00"/>
    <m/>
    <m/>
    <n v="2015"/>
    <n v="24"/>
    <m/>
    <m/>
    <m/>
    <m/>
    <s v="CA.Despesas com Veículos (DESPESA)"/>
    <x v="1"/>
    <s v="COLÉGIO OLIMPO LTDA"/>
    <m/>
    <n v="56"/>
    <n v="1"/>
    <s v="Dinheiro"/>
    <m/>
    <n v="0"/>
    <m/>
    <n v="0"/>
    <m/>
    <m/>
    <s v="CAIXA TESOURARIA"/>
    <m/>
    <m/>
    <m/>
  </r>
  <r>
    <n v="270204"/>
    <s v="Fiscais/123543"/>
    <s v="Fiscais De Prova - Cód. 123543"/>
    <n v="0"/>
    <d v="2015-05-15T00:00:00"/>
    <d v="1899-12-30T15:15:59"/>
    <n v="270"/>
    <n v="0"/>
    <n v="-3154989.0100002163"/>
    <m/>
    <m/>
    <m/>
    <n v="123543"/>
    <n v="24"/>
    <s v="Emilly"/>
    <n v="1"/>
    <m/>
    <n v="139"/>
    <d v="2015-05-18T00:00:00"/>
    <d v="2015-05-18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0205"/>
    <s v="2688/02/119066"/>
    <s v="Markos Comunicação Visual Ltda - Cód. 119066"/>
    <n v="0"/>
    <d v="2015-05-15T00:00:00"/>
    <d v="1899-12-30T15:17:15"/>
    <n v="7356.16"/>
    <n v="0"/>
    <n v="-3162345.1700002165"/>
    <m/>
    <m/>
    <m/>
    <n v="119066"/>
    <n v="24"/>
    <s v="Emilly"/>
    <n v="1"/>
    <m/>
    <n v="1624"/>
    <d v="2015-05-18T00:00:00"/>
    <d v="2015-05-18T00:00:00"/>
    <m/>
    <m/>
    <n v="2015"/>
    <n v="24"/>
    <m/>
    <m/>
    <m/>
    <m/>
    <s v="Marista.Marketing"/>
    <x v="1"/>
    <s v="COLÉGIO OLIMPO LTDA"/>
    <m/>
    <n v="4"/>
    <n v="9"/>
    <s v="Débito em conta"/>
    <m/>
    <n v="0"/>
    <m/>
    <n v="0"/>
    <m/>
    <m/>
    <s v="BB [022382-4] [GYN] [CC]"/>
    <m/>
    <m/>
    <m/>
  </r>
  <r>
    <n v="270861"/>
    <s v="Extrato"/>
    <s v="Rend Aplic Aut"/>
    <n v="0.01"/>
    <d v="2015-05-15T00:00:00"/>
    <d v="1899-12-30T15:29:08"/>
    <n v="0"/>
    <n v="0"/>
    <n v="-3162345.1600002167"/>
    <m/>
    <m/>
    <m/>
    <m/>
    <n v="24"/>
    <s v="Emilly"/>
    <n v="1"/>
    <m/>
    <n v="95"/>
    <d v="2015-05-22T00:00:00"/>
    <d v="2015-05-22T00:00:00"/>
    <m/>
    <m/>
    <n v="2015"/>
    <n v="24"/>
    <m/>
    <m/>
    <m/>
    <m/>
    <s v="Recebimento Diversos"/>
    <x v="1"/>
    <s v="COLÉGIO OLIMPO LTDA"/>
    <m/>
    <n v="26"/>
    <n v="9"/>
    <s v="Débito em conta"/>
    <m/>
    <m/>
    <m/>
    <n v="0"/>
    <m/>
    <m/>
    <s v="ITAÚ [SOL] [001691-4] [CC]"/>
    <m/>
    <m/>
    <m/>
  </r>
  <r>
    <n v="271462"/>
    <s v="DEPÓSITO 2015-05-15"/>
    <s v="PAGAMENTO DA MENSALIDADE DE ABRIL/2015, DO(A) ALUNO(A) MARIA EDUARDA COSTA OLIVEIRA_ESN"/>
    <n v="318"/>
    <d v="2015-05-15T00:00:00"/>
    <d v="1899-12-30T15:36:12"/>
    <n v="0"/>
    <n v="0"/>
    <n v="-3162027.1600002167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0208"/>
    <s v="7387/119701"/>
    <s v="Wambasther Alves - Cód. 119701"/>
    <n v="0"/>
    <d v="2015-05-15T00:00:00"/>
    <d v="1899-12-30T15:52:10"/>
    <n v="263.20999999999998"/>
    <n v="0"/>
    <n v="-3162290.3700002166"/>
    <m/>
    <m/>
    <m/>
    <n v="119701"/>
    <n v="24"/>
    <s v="Emilly"/>
    <n v="1"/>
    <m/>
    <n v="354"/>
    <d v="2015-05-18T00:00:00"/>
    <d v="2015-05-18T00:00:00"/>
    <m/>
    <m/>
    <n v="2015"/>
    <n v="24"/>
    <m/>
    <m/>
    <m/>
    <m/>
    <s v="Marista.Manutenção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70211"/>
    <s v="Fiscais/123559"/>
    <s v="Fiscais De Prova - Cód. 123559"/>
    <n v="0"/>
    <d v="2015-05-15T00:00:00"/>
    <d v="1899-12-30T15:56:08"/>
    <n v="1170"/>
    <n v="0"/>
    <n v="-3163460.3700002166"/>
    <m/>
    <m/>
    <m/>
    <n v="123559"/>
    <n v="24"/>
    <s v="Emilly"/>
    <n v="1"/>
    <m/>
    <n v="336"/>
    <d v="2015-05-18T00:00:00"/>
    <d v="2015-05-18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1465"/>
    <s v="DEPÓSITO 2015-05-15"/>
    <s v="PAGAMENTO DA MENSALIDADE DE ABRIL/15 DO(A) ALUNO(A) ANA CLARA BRASILEIRO CABRAL_EF"/>
    <n v="1120.32"/>
    <d v="2015-05-15T00:00:00"/>
    <d v="1899-12-30T16:11:18"/>
    <n v="0"/>
    <n v="0"/>
    <n v="-3162340.0500002168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0238"/>
    <s v="Transferência Entre Conta"/>
    <s v="Transferência Entre Conta"/>
    <n v="0"/>
    <d v="2015-05-15T00:00:00"/>
    <d v="1899-12-30T16:11:47"/>
    <n v="2250"/>
    <n v="0"/>
    <n v="-316459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4"/>
    <s v="ITAÚ [SOL] [001691-4] [CC]"/>
    <m/>
    <m/>
    <m/>
  </r>
  <r>
    <n v="270239"/>
    <s v="Transferência Entre Conta"/>
    <s v="Destino: 270238-Transferência Entre Conta"/>
    <n v="2250"/>
    <d v="2015-05-15T00:00:00"/>
    <d v="1899-12-30T16:11:47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38"/>
    <m/>
    <s v="Transferência entre contas"/>
    <x v="2"/>
    <s v="COLÉGIO OLIMPO LTDA"/>
    <m/>
    <n v="4"/>
    <n v="8"/>
    <s v="Transferência Bancária"/>
    <m/>
    <m/>
    <m/>
    <n v="0"/>
    <m/>
    <m/>
    <s v="BB [022382-4] [GYN] [CC]"/>
    <m/>
    <m/>
    <m/>
  </r>
  <r>
    <n v="270240"/>
    <s v="Transferência Entre Conta"/>
    <s v="Transferência Entre Conta"/>
    <n v="0"/>
    <d v="2015-05-15T00:00:00"/>
    <d v="1899-12-30T16:12:55"/>
    <n v="10200"/>
    <n v="0"/>
    <n v="-31725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41"/>
    <s v="Transferência Entre Conta"/>
    <s v="Destino: 270240-Transferência Entre Conta"/>
    <n v="10200"/>
    <d v="2015-05-15T00:00:00"/>
    <d v="1899-12-30T16:12:55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0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42"/>
    <s v="Transferência Entre Conta"/>
    <s v="Transferência Entre Conta"/>
    <n v="0"/>
    <d v="2015-05-15T00:00:00"/>
    <d v="1899-12-30T16:13:31"/>
    <n v="9000"/>
    <n v="0"/>
    <n v="-3171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43"/>
    <s v="Transferência Entre Conta"/>
    <s v="Destino: 270242-Transferência Entre Conta"/>
    <n v="9000"/>
    <d v="2015-05-15T00:00:00"/>
    <d v="1899-12-30T16:13:31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44"/>
    <s v="Transferência Entre Conta"/>
    <s v="Transferência Entre Conta"/>
    <n v="0"/>
    <d v="2015-05-15T00:00:00"/>
    <d v="1899-12-30T16:13:58"/>
    <n v="10300"/>
    <n v="0"/>
    <n v="-31726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45"/>
    <s v="Transferência Entre Conta"/>
    <s v="Destino: 270244-Transferência Entre Conta"/>
    <n v="10300"/>
    <d v="2015-05-15T00:00:00"/>
    <d v="1899-12-30T16:13:58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4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46"/>
    <s v="Transferência Entre Conta"/>
    <s v="Transferência Entre Conta"/>
    <n v="0"/>
    <d v="2015-05-15T00:00:00"/>
    <d v="1899-12-30T16:15:05"/>
    <n v="4000"/>
    <n v="0"/>
    <n v="-3166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47"/>
    <s v="Transferência Entre Conta"/>
    <s v="Destino: 270246-Transferência Entre Conta"/>
    <n v="4000"/>
    <d v="2015-05-15T00:00:00"/>
    <d v="1899-12-30T16:15:05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6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48"/>
    <s v="Transferência Entre Conta"/>
    <s v="Transferência Entre Conta"/>
    <n v="0"/>
    <d v="2015-05-15T00:00:00"/>
    <d v="1899-12-30T16:15:38"/>
    <n v="10000"/>
    <n v="0"/>
    <n v="-3172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49"/>
    <s v="Transferência Entre Conta"/>
    <s v="Destino: 270248-Transferência Entre Conta"/>
    <n v="10000"/>
    <d v="2015-05-15T00:00:00"/>
    <d v="1899-12-30T16:15:38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8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50"/>
    <s v="Transferência Entre Conta"/>
    <s v="Transferência Entre Conta"/>
    <n v="0"/>
    <d v="2015-05-15T00:00:00"/>
    <d v="1899-12-30T16:16:09"/>
    <n v="10500"/>
    <n v="0"/>
    <n v="-31728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51"/>
    <s v="Transferência Entre Conta"/>
    <s v="Destino: 270250-Transferência Entre Conta"/>
    <n v="10500"/>
    <d v="2015-05-15T00:00:00"/>
    <d v="1899-12-30T16:16:09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5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52"/>
    <s v="Transferência Entre Conta"/>
    <s v="Transferência Entre Conta"/>
    <n v="0"/>
    <d v="2015-05-15T00:00:00"/>
    <d v="1899-12-30T16:16:40"/>
    <n v="6000"/>
    <n v="0"/>
    <n v="-3168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53"/>
    <s v="Transferência Entre Conta"/>
    <s v="Destino: 270252-Transferência Entre Conta"/>
    <n v="6000"/>
    <d v="2015-05-15T00:00:00"/>
    <d v="1899-12-30T16:16:40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52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54"/>
    <s v="Transferência Entre Conta"/>
    <s v="Transferência Entre Conta"/>
    <n v="0"/>
    <d v="2015-05-15T00:00:00"/>
    <d v="1899-12-30T16:17:53"/>
    <n v="10000"/>
    <n v="0"/>
    <n v="-3172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55"/>
    <s v="Transferência Entre Conta"/>
    <s v="Destino: 270254-Transferência Entre Conta"/>
    <n v="10000"/>
    <d v="2015-05-15T00:00:00"/>
    <d v="1899-12-30T16:17:53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54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56"/>
    <s v="Transferência Entre Conta"/>
    <s v="Transferência Entre Conta"/>
    <n v="0"/>
    <d v="2015-05-15T00:00:00"/>
    <d v="1899-12-30T16:18:19"/>
    <n v="10000"/>
    <n v="0"/>
    <n v="-3172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57"/>
    <s v="Transferência Entre Conta"/>
    <s v="Destino: 270256-Transferência Entre Conta"/>
    <n v="10000"/>
    <d v="2015-05-15T00:00:00"/>
    <d v="1899-12-30T16:18:19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56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67"/>
    <s v="Abril/122916"/>
    <s v="Ádino José Cardoso - Cód. 122916"/>
    <n v="0"/>
    <d v="2015-05-15T00:00:00"/>
    <d v="1899-12-30T16:23:38"/>
    <n v="17521.349999999999"/>
    <n v="0"/>
    <n v="-3179861.4000002169"/>
    <m/>
    <m/>
    <m/>
    <n v="122916"/>
    <n v="12"/>
    <s v="Gisele"/>
    <n v="1"/>
    <m/>
    <n v="578"/>
    <d v="2015-05-18T00:00:00"/>
    <d v="2015-05-18T00:00:00"/>
    <m/>
    <m/>
    <n v="2015"/>
    <n v="12"/>
    <m/>
    <m/>
    <m/>
    <m/>
    <s v="CA.Pagamento de Salário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0270"/>
    <s v="Entrada"/>
    <s v="Empréstimo Marco Antonio Rios"/>
    <n v="110000"/>
    <d v="2015-05-15T00:00:00"/>
    <d v="1899-12-30T16:42:34"/>
    <n v="0"/>
    <n v="0"/>
    <n v="-3069861.4000002169"/>
    <m/>
    <m/>
    <m/>
    <m/>
    <n v="24"/>
    <s v="Emilly"/>
    <n v="1"/>
    <m/>
    <n v="1372"/>
    <d v="2015-05-18T00:00:00"/>
    <d v="2015-05-18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74026"/>
    <s v="Extrato/127350"/>
    <s v="Ministério da Fazenda - Cód. 127350"/>
    <n v="0"/>
    <d v="2015-05-18T00:00:00"/>
    <d v="1899-12-30T08:19:56"/>
    <n v="574.63"/>
    <n v="0"/>
    <n v="-3070436.0300002168"/>
    <m/>
    <m/>
    <m/>
    <n v="127350"/>
    <n v="24"/>
    <s v="Emilly"/>
    <n v="2"/>
    <m/>
    <n v="530"/>
    <d v="2015-06-25T00:00:00"/>
    <d v="2015-06-25T00:00:00"/>
    <m/>
    <m/>
    <n v="2015"/>
    <n v="24"/>
    <m/>
    <m/>
    <m/>
    <m/>
    <s v="CA.FGTS (DESPESA)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911"/>
    <s v="16757/123958"/>
    <s v="Semax Segurança Máxima Ltda - Cód. 123958"/>
    <n v="0"/>
    <d v="2015-05-18T00:00:00"/>
    <d v="1899-12-30T08:39:16"/>
    <n v="233.99"/>
    <n v="0"/>
    <n v="-3070670.020000217"/>
    <m/>
    <m/>
    <m/>
    <n v="123958"/>
    <n v="24"/>
    <s v="Emilly"/>
    <n v="2"/>
    <m/>
    <n v="1626"/>
    <d v="2015-05-25T00:00:00"/>
    <d v="2015-05-25T00:00:00"/>
    <m/>
    <m/>
    <n v="2015"/>
    <n v="24"/>
    <m/>
    <m/>
    <m/>
    <m/>
    <s v="BH. Despesas Diversas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12"/>
    <s v="310/119667"/>
    <s v="Impar Terceirização  - Cód. 119667"/>
    <n v="0"/>
    <d v="2015-05-18T00:00:00"/>
    <d v="1899-12-30T08:40:05"/>
    <n v="383"/>
    <n v="0"/>
    <n v="-3071053.020000217"/>
    <m/>
    <m/>
    <m/>
    <n v="119667"/>
    <n v="24"/>
    <s v="Emilly"/>
    <n v="1"/>
    <m/>
    <n v="1485"/>
    <d v="2015-05-25T00:00:00"/>
    <d v="2015-05-25T00:00:00"/>
    <m/>
    <m/>
    <n v="2015"/>
    <n v="24"/>
    <m/>
    <m/>
    <m/>
    <m/>
    <s v="T-27.Despesas Diversas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13"/>
    <s v="Recibo/123959"/>
    <s v="Marcelo De Moraes Melo - Cód. 123959"/>
    <n v="0"/>
    <d v="2015-05-18T00:00:00"/>
    <d v="1899-12-30T08:41:17"/>
    <n v="100"/>
    <n v="0"/>
    <n v="-3071153.020000217"/>
    <m/>
    <m/>
    <m/>
    <n v="123959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s v="COLÉGIO OLIMPO LTDA"/>
    <m/>
    <n v="56"/>
    <n v="9"/>
    <s v="Débito em conta"/>
    <m/>
    <n v="0"/>
    <m/>
    <n v="0"/>
    <m/>
    <m/>
    <s v="CAIXA TESOURARIA"/>
    <m/>
    <m/>
    <m/>
  </r>
  <r>
    <n v="270454"/>
    <s v="Extrato"/>
    <s v="Deposito Ch Bloqueado"/>
    <n v="1068.8800000000001"/>
    <d v="2015-05-18T00:00:00"/>
    <d v="1899-12-30T08:50:37"/>
    <n v="0"/>
    <n v="0"/>
    <n v="-3070084.1400002171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2"/>
    <s v="COLÉGIO OLIMPO LTDA"/>
    <m/>
    <n v="74"/>
    <n v="2"/>
    <s v="Cheque"/>
    <m/>
    <m/>
    <m/>
    <n v="0"/>
    <m/>
    <m/>
    <s v="BRB [ANA] [011594-4] [CC] [COB]"/>
    <m/>
    <m/>
    <m/>
  </r>
  <r>
    <n v="270455"/>
    <s v="Extrato"/>
    <s v="Deposito Ch Bloqueado"/>
    <n v="1689"/>
    <d v="2015-05-18T00:00:00"/>
    <d v="1899-12-30T08:51:13"/>
    <n v="0"/>
    <n v="0"/>
    <n v="-3068395.1400002171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2"/>
    <s v="COLÉGIO OLIMPO LTDA"/>
    <m/>
    <n v="74"/>
    <n v="2"/>
    <s v="Cheque"/>
    <m/>
    <m/>
    <m/>
    <n v="0"/>
    <m/>
    <m/>
    <s v="BRB [ANA] [011594-4] [CC] [COB]"/>
    <m/>
    <m/>
    <m/>
  </r>
  <r>
    <n v="270456"/>
    <s v="Extrato"/>
    <s v="Deposito Ch Bloqueado"/>
    <n v="1325.7"/>
    <d v="2015-05-18T00:00:00"/>
    <d v="1899-12-30T08:51:41"/>
    <n v="0"/>
    <n v="0"/>
    <n v="-3067069.4400002169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2"/>
    <s v="COLÉGIO OLIMPO LTDA"/>
    <m/>
    <n v="74"/>
    <n v="2"/>
    <s v="Cheque"/>
    <m/>
    <m/>
    <m/>
    <n v="0"/>
    <m/>
    <m/>
    <s v="BRB [ANA] [011594-4] [CC] [COB]"/>
    <m/>
    <m/>
    <m/>
  </r>
  <r>
    <n v="270491"/>
    <s v="Extrato/123693"/>
    <s v="Banco Itaú Unibanco S.A. - Cód. 123693"/>
    <n v="0"/>
    <d v="2015-05-18T00:00:00"/>
    <d v="1899-12-30T09:21:54"/>
    <n v="7.95"/>
    <n v="0"/>
    <n v="-3067077.3900002171"/>
    <m/>
    <m/>
    <m/>
    <n v="123693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541"/>
    <s v="MS/116481"/>
    <s v="MARLOS STIVAL - PAÇOCA - Cód. 116481"/>
    <n v="0"/>
    <d v="2015-05-18T00:00:00"/>
    <d v="1899-12-30T09:40:41"/>
    <n v="1000"/>
    <n v="0"/>
    <n v="-3068077.3900002171"/>
    <m/>
    <m/>
    <m/>
    <n v="116481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42"/>
    <s v="AM/117812"/>
    <s v="Augusto Melo - Cód. 117812"/>
    <n v="0"/>
    <d v="2015-05-18T00:00:00"/>
    <d v="1899-12-30T09:40:56"/>
    <n v="1080"/>
    <n v="0"/>
    <n v="-3069157.3900002171"/>
    <m/>
    <m/>
    <m/>
    <n v="117812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43"/>
    <s v="AM/117807"/>
    <s v="Augusto Melo - Cód. 117807"/>
    <n v="0"/>
    <d v="2015-05-18T00:00:00"/>
    <d v="1899-12-30T09:41:16"/>
    <n v="780"/>
    <n v="0"/>
    <n v="-3069937.3900002171"/>
    <m/>
    <m/>
    <m/>
    <n v="117807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46"/>
    <s v="ZWB/119854"/>
    <s v="Zelice Wanderley Barbosa - Cód. 119854"/>
    <n v="0"/>
    <d v="2015-05-18T00:00:00"/>
    <d v="1899-12-30T09:43:13"/>
    <n v="300"/>
    <n v="0"/>
    <n v="-3070237.3900002171"/>
    <m/>
    <m/>
    <m/>
    <n v="119854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47"/>
    <s v="Abril/122918"/>
    <s v="Willian Rodrigues Moreira - Cód. 122918"/>
    <n v="0"/>
    <d v="2015-05-18T00:00:00"/>
    <d v="1899-12-30T09:43:30"/>
    <n v="1709.46"/>
    <n v="0"/>
    <n v="-3071946.8500002171"/>
    <m/>
    <m/>
    <m/>
    <n v="122918"/>
    <n v="24"/>
    <s v="Emilly"/>
    <n v="1"/>
    <m/>
    <n v="504"/>
    <d v="2015-05-21T00:00:00"/>
    <d v="2015-05-21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549"/>
    <s v="MD/110683"/>
    <s v="Marisvaldo Divino  - Par. 110683(05-12)"/>
    <n v="0"/>
    <d v="2015-05-18T00:00:00"/>
    <d v="1899-12-30T09:44:04"/>
    <n v="2070"/>
    <n v="0"/>
    <n v="-3074016.8500002171"/>
    <m/>
    <m/>
    <m/>
    <n v="11068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50"/>
    <s v="RVF/114749"/>
    <s v="Renato Vieira Ferro - Par. 114749(04-11)"/>
    <n v="0"/>
    <d v="2015-05-18T00:00:00"/>
    <d v="1899-12-30T09:44:19"/>
    <n v="3000"/>
    <n v="0"/>
    <n v="-3077016.8500002171"/>
    <m/>
    <m/>
    <m/>
    <n v="114749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51"/>
    <s v="Rescisão/123560"/>
    <s v="Rescisão - Grupo Olimpo - Cód. 123560"/>
    <n v="0"/>
    <d v="2015-05-18T00:00:00"/>
    <d v="1899-12-30T09:44:35"/>
    <n v="1386"/>
    <n v="0"/>
    <n v="-3078402.8500002171"/>
    <m/>
    <m/>
    <m/>
    <n v="123560"/>
    <n v="24"/>
    <s v="Emilly"/>
    <n v="1"/>
    <m/>
    <n v="175"/>
    <d v="2015-05-21T00:00:00"/>
    <d v="2015-05-21T00:00:00"/>
    <m/>
    <m/>
    <n v="2015"/>
    <n v="24"/>
    <m/>
    <m/>
    <m/>
    <m/>
    <s v="T-3.Rescisão de contrato educacional"/>
    <x v="1"/>
    <s v="COLÉGIO OLIMPO LTDA"/>
    <m/>
    <n v="52"/>
    <n v="2"/>
    <s v="Cheque"/>
    <m/>
    <n v="0"/>
    <m/>
    <n v="0"/>
    <m/>
    <m/>
    <s v="BRB [SOL] [012052-4] [CC] [COB]"/>
    <m/>
    <m/>
    <m/>
  </r>
  <r>
    <n v="270552"/>
    <s v="DB20150518"/>
    <s v="Operação Desconto de Boletos 2015.05.18"/>
    <n v="71569"/>
    <d v="2015-05-18T00:00:00"/>
    <d v="1899-12-30T09:48:20"/>
    <n v="0"/>
    <n v="0"/>
    <n v="-3006833.8500002171"/>
    <m/>
    <m/>
    <m/>
    <m/>
    <n v="24"/>
    <s v="Emilly"/>
    <n v="1"/>
    <m/>
    <n v="1505"/>
    <d v="2015-05-21T00:00:00"/>
    <d v="2015-05-21T00:00:00"/>
    <m/>
    <m/>
    <n v="2015"/>
    <n v="24"/>
    <m/>
    <m/>
    <m/>
    <m/>
    <s v="Desconto de boleto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0553"/>
    <s v="Juros20150518/123733"/>
    <s v="Banco Brb - Cód. 123733"/>
    <n v="0"/>
    <d v="2015-05-18T00:00:00"/>
    <d v="1899-12-30T09:50:29"/>
    <n v="9195.64"/>
    <n v="0"/>
    <n v="-3016029.4900002172"/>
    <m/>
    <m/>
    <m/>
    <n v="123733"/>
    <n v="24"/>
    <s v="Emilly"/>
    <n v="1"/>
    <m/>
    <n v="1459"/>
    <d v="2015-05-21T00:00:00"/>
    <d v="2015-05-21T00:00:00"/>
    <m/>
    <m/>
    <n v="2015"/>
    <n v="24"/>
    <m/>
    <m/>
    <m/>
    <m/>
    <s v="Juros e Despesas Descontos Chs e Boleto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54"/>
    <s v="Extrato"/>
    <s v="Credito Devolução Ch Sustado"/>
    <n v="157068"/>
    <d v="2015-05-18T00:00:00"/>
    <d v="1899-12-30T09:51:25"/>
    <n v="0"/>
    <n v="0"/>
    <n v="-2858961.4900002172"/>
    <m/>
    <m/>
    <m/>
    <m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0720"/>
    <n v="216780"/>
    <s v="Par.(01/10) 020813/DAYANNE SILVA AMARAL - Parcelas"/>
    <n v="220"/>
    <d v="2015-05-18T00:00:00"/>
    <d v="1899-12-30T10:00:56"/>
    <n v="0"/>
    <n v="0"/>
    <n v="-2858741.4900002172"/>
    <m/>
    <m/>
    <n v="216780"/>
    <m/>
    <n v="7"/>
    <s v="Anapaula"/>
    <n v="2"/>
    <m/>
    <n v="62"/>
    <d v="2015-05-22T00:00:00"/>
    <d v="2015-05-22T00:00:00"/>
    <m/>
    <m/>
    <n v="2015"/>
    <n v="7"/>
    <m/>
    <m/>
    <m/>
    <m/>
    <s v="Mensalidade Maratona, Turmas Olímpicas, Específicas"/>
    <x v="1"/>
    <s v="COLÉGIO OLIMPO LTDA"/>
    <m/>
    <n v="27"/>
    <n v="2"/>
    <s v="Cheque"/>
    <m/>
    <n v="0"/>
    <m/>
    <n v="0"/>
    <m/>
    <m/>
    <s v="BRADESCO [008378-0] [SOL] [CC]"/>
    <m/>
    <m/>
    <m/>
  </r>
  <r>
    <n v="270721"/>
    <n v="216810"/>
    <s v="Par.(01-1) 018245/JOÃO DE CASTRO BARCELLOS  - 1ª OU 2ª SÉRI"/>
    <n v="73"/>
    <d v="2015-05-18T00:00:00"/>
    <d v="1899-12-30T10:02:50"/>
    <n v="0"/>
    <n v="0"/>
    <n v="-2858668.4900002172"/>
    <m/>
    <m/>
    <n v="216810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2"/>
    <n v="216811"/>
    <s v="Par.(01-1) 018245/JOÃO DE CASTRO BARCELLOS  - 1ª OU 2ª SÉRI"/>
    <n v="73"/>
    <d v="2015-05-18T00:00:00"/>
    <d v="1899-12-30T10:02:51"/>
    <n v="0"/>
    <n v="0"/>
    <n v="-2858595.4900002172"/>
    <m/>
    <m/>
    <n v="216811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3"/>
    <n v="216812"/>
    <s v="Par.(01-1) 018245/JOÃO DE CASTRO BARCELLOS  - 1ª OU 2ª SÉRI"/>
    <n v="73"/>
    <d v="2015-05-18T00:00:00"/>
    <d v="1899-12-30T10:02:51"/>
    <n v="0"/>
    <n v="0"/>
    <n v="-2858522.4900002172"/>
    <m/>
    <m/>
    <n v="216812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4"/>
    <n v="216807"/>
    <s v="Par.(01-1) 018367/FELIPE ROSA MALENA GARCIA - 1ª OU 2ª SÉRI"/>
    <n v="73"/>
    <d v="2015-05-18T00:00:00"/>
    <d v="1899-12-30T10:04:05"/>
    <n v="0"/>
    <n v="0"/>
    <n v="-2858449.4900002172"/>
    <m/>
    <m/>
    <n v="216807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5"/>
    <n v="216808"/>
    <s v="Par.(01-1) 018367/FELIPE ROSA MALENA GARCIA - 1ª OU 2ª SÉRI"/>
    <n v="73"/>
    <d v="2015-05-18T00:00:00"/>
    <d v="1899-12-30T10:04:06"/>
    <n v="0"/>
    <n v="0"/>
    <n v="-2858376.4900002172"/>
    <m/>
    <m/>
    <n v="216808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6"/>
    <n v="216809"/>
    <s v="Par.(01-1) 018367/FELIPE ROSA MALENA GARCIA - 1ª OU 2ª SÉRI"/>
    <n v="73"/>
    <d v="2015-05-18T00:00:00"/>
    <d v="1899-12-30T10:04:06"/>
    <n v="0"/>
    <n v="0"/>
    <n v="-2858303.4900002172"/>
    <m/>
    <m/>
    <n v="216809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7"/>
    <n v="216813"/>
    <s v="Par.(01-1) 018333/MATHEUS FARIA CUNHA - 1ª OU 2ª SÉRI"/>
    <n v="73"/>
    <d v="2015-05-18T00:00:00"/>
    <d v="1899-12-30T10:05:39"/>
    <n v="0"/>
    <n v="0"/>
    <n v="-2858230.4900002172"/>
    <m/>
    <m/>
    <n v="216813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8"/>
    <n v="216814"/>
    <s v="Par.(01-1) 018333/MATHEUS FARIA CUNHA - 1ª OU 2ª SÉRI"/>
    <n v="73"/>
    <d v="2015-05-18T00:00:00"/>
    <d v="1899-12-30T10:05:39"/>
    <n v="0"/>
    <n v="0"/>
    <n v="-2858157.4900002172"/>
    <m/>
    <m/>
    <n v="216814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9"/>
    <n v="216815"/>
    <s v="Par.(01-1) 018333/MATHEUS FARIA CUNHA - 1ª OU 2ª SÉRI"/>
    <n v="73"/>
    <d v="2015-05-18T00:00:00"/>
    <d v="1899-12-30T10:05:39"/>
    <n v="0"/>
    <n v="0"/>
    <n v="-2858084.4900002172"/>
    <m/>
    <m/>
    <n v="216815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30"/>
    <n v="216804"/>
    <s v="Par.(01-1) 018228/ARTHUR BERBERIAN GONZAGA - 1ª OU 2ª SÉRI"/>
    <n v="73"/>
    <d v="2015-05-18T00:00:00"/>
    <d v="1899-12-30T10:07:02"/>
    <n v="0"/>
    <n v="0"/>
    <n v="-2858011.4900002172"/>
    <m/>
    <m/>
    <n v="216804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31"/>
    <n v="216805"/>
    <s v="Par.(01-1) 018228/ARTHUR BERBERIAN GONZAGA - 1ª OU 2ª SÉRI"/>
    <n v="73"/>
    <d v="2015-05-18T00:00:00"/>
    <d v="1899-12-30T10:07:02"/>
    <n v="0"/>
    <n v="0"/>
    <n v="-2857938.4900002172"/>
    <m/>
    <m/>
    <n v="216805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32"/>
    <n v="216806"/>
    <s v="Par.(01-1) 018228/ARTHUR BERBERIAN GONZAGA - 1ª OU 2ª SÉRI"/>
    <n v="73"/>
    <d v="2015-05-18T00:00:00"/>
    <d v="1899-12-30T10:07:02"/>
    <n v="0"/>
    <n v="0"/>
    <n v="-2857865.4900002172"/>
    <m/>
    <m/>
    <n v="216806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33"/>
    <s v="Remessa Olimpo Fundamental"/>
    <s v="Remessa Olimpo Fundamental"/>
    <n v="400"/>
    <d v="2015-05-18T00:00:00"/>
    <d v="1899-12-30T10:08:11"/>
    <n v="0"/>
    <n v="0"/>
    <n v="-2857465.4900002172"/>
    <m/>
    <m/>
    <m/>
    <m/>
    <n v="7"/>
    <s v="Anapaula"/>
    <n v="2"/>
    <m/>
    <n v="1431"/>
    <d v="2015-05-22T00:00:00"/>
    <d v="2015-05-22T00:00:00"/>
    <m/>
    <m/>
    <n v="2015"/>
    <n v="7"/>
    <m/>
    <m/>
    <m/>
    <m/>
    <s v="Remessa Olimpo Fundamental"/>
    <x v="1"/>
    <s v="COLÉGIO OLIMPO LTDA"/>
    <m/>
    <n v="27"/>
    <n v="2"/>
    <s v="Cheque"/>
    <m/>
    <m/>
    <m/>
    <n v="0"/>
    <m/>
    <m/>
    <s v="BRADESCO [008378-0] [SOL] [CC]"/>
    <m/>
    <m/>
    <m/>
  </r>
  <r>
    <n v="274616"/>
    <s v="Brb Sol  3438/127658"/>
    <s v="Banco Brb - Cód. 127658"/>
    <n v="0"/>
    <d v="2015-05-18T00:00:00"/>
    <d v="1899-12-30T10:10:54"/>
    <n v="157068"/>
    <n v="0"/>
    <n v="-3014533.4900002172"/>
    <m/>
    <m/>
    <m/>
    <n v="127658"/>
    <n v="24"/>
    <s v="Emilly"/>
    <n v="1"/>
    <m/>
    <n v="569"/>
    <d v="2015-06-30T00:00:00"/>
    <d v="2015-06-30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734"/>
    <s v="Extrato/123876"/>
    <s v="Bradesco S/A - Par. 123876(02-2)"/>
    <n v="0"/>
    <d v="2015-05-18T00:00:00"/>
    <d v="1899-12-30T10:15:02"/>
    <n v="1496"/>
    <n v="0"/>
    <n v="-3016029.4900002172"/>
    <m/>
    <m/>
    <m/>
    <n v="123876"/>
    <n v="7"/>
    <s v="Anapaula"/>
    <n v="1"/>
    <m/>
    <n v="1599"/>
    <d v="2015-05-22T00:00:00"/>
    <d v="2015-05-22T00:00:00"/>
    <m/>
    <m/>
    <n v="2015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0627"/>
    <n v="216667"/>
    <s v="Par.(05/12) 020815/PEDRO LISBÔA RIBEIRO - Mensalidades"/>
    <n v="1724"/>
    <d v="2015-05-18T00:00:00"/>
    <d v="1899-12-30T10:18:48"/>
    <n v="0"/>
    <n v="0"/>
    <n v="-3014305.4900002172"/>
    <m/>
    <m/>
    <n v="216667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s v="COLÉGIO OLIMPO LTDA"/>
    <m/>
    <n v="7"/>
    <n v="2"/>
    <s v="Cheque"/>
    <m/>
    <n v="0"/>
    <m/>
    <n v="0"/>
    <m/>
    <m/>
    <s v="SANT 936-9 GOIANIA"/>
    <m/>
    <m/>
    <m/>
  </r>
  <r>
    <n v="270628"/>
    <n v="216848"/>
    <s v="Par.(03/10) 020818/ADARIO DANTAS CARNEIRO - Parcelas"/>
    <n v="220"/>
    <d v="2015-05-18T00:00:00"/>
    <d v="1899-12-30T10:20:54"/>
    <n v="0"/>
    <n v="0"/>
    <n v="-3014085.4900002172"/>
    <m/>
    <m/>
    <n v="216848"/>
    <m/>
    <n v="7"/>
    <s v="Anapaula"/>
    <n v="2"/>
    <m/>
    <n v="62"/>
    <d v="2015-05-21T00:00:00"/>
    <d v="2015-05-21T00:00:00"/>
    <m/>
    <m/>
    <n v="2015"/>
    <n v="7"/>
    <m/>
    <m/>
    <m/>
    <m/>
    <s v="Mensalidade Maratona, Turmas Olímpicas, Específicas"/>
    <x v="1"/>
    <s v="COLÉGIO OLIMPO LTDA"/>
    <m/>
    <n v="7"/>
    <n v="2"/>
    <s v="Cheque"/>
    <m/>
    <n v="0"/>
    <m/>
    <n v="0"/>
    <m/>
    <m/>
    <s v="SANT 936-9 GOIANIA"/>
    <m/>
    <m/>
    <m/>
  </r>
  <r>
    <n v="270637"/>
    <n v="216768"/>
    <s v="Par.(01/10) 020809/ANDRÉ LUCAS SEIXAS MACALÃ - Parcelas"/>
    <n v="154"/>
    <d v="2015-05-18T00:00:00"/>
    <d v="1899-12-30T10:22:45"/>
    <n v="0"/>
    <n v="0"/>
    <n v="-3013931.4900002172"/>
    <m/>
    <m/>
    <n v="216768"/>
    <m/>
    <n v="7"/>
    <s v="Anapaula"/>
    <n v="2"/>
    <m/>
    <n v="62"/>
    <d v="2015-05-21T00:00:00"/>
    <d v="2015-05-21T00:00:00"/>
    <m/>
    <m/>
    <n v="2015"/>
    <n v="7"/>
    <m/>
    <m/>
    <m/>
    <m/>
    <s v="Mensalidade Maratona, Turmas Olímpicas, Específicas"/>
    <x v="1"/>
    <s v="COLÉGIO OLIMPO LTDA"/>
    <m/>
    <n v="7"/>
    <n v="2"/>
    <s v="Cheque"/>
    <m/>
    <n v="0"/>
    <m/>
    <n v="0"/>
    <m/>
    <m/>
    <s v="SANT 936-9 GOIANIA"/>
    <m/>
    <m/>
    <m/>
  </r>
  <r>
    <n v="270639"/>
    <n v="188875"/>
    <s v="Par.(03/12) 019560/ARTUR EMILIANO RODRIGUES  - Mensalidades"/>
    <n v="1524.1"/>
    <d v="2015-05-18T00:00:00"/>
    <d v="1899-12-30T10:26:40"/>
    <n v="0"/>
    <n v="0"/>
    <n v="-3012407.3900002171"/>
    <m/>
    <m/>
    <n v="188875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s v="COLÉGIO OLIMPO LTDA"/>
    <m/>
    <n v="7"/>
    <n v="2"/>
    <s v="Cheque"/>
    <m/>
    <n v="0"/>
    <m/>
    <n v="0"/>
    <m/>
    <m/>
    <s v="SANT 936-9 GOIANIA"/>
    <m/>
    <m/>
    <m/>
  </r>
  <r>
    <n v="270641"/>
    <s v="Remessa "/>
    <s v="Remessa "/>
    <n v="1050"/>
    <d v="2015-05-18T00:00:00"/>
    <d v="1899-12-30T10:28:08"/>
    <n v="0"/>
    <n v="0"/>
    <n v="-3011357.3900002171"/>
    <m/>
    <m/>
    <m/>
    <m/>
    <n v="7"/>
    <s v="Anapaula"/>
    <n v="1"/>
    <m/>
    <n v="95"/>
    <d v="2015-05-21T00:00:00"/>
    <d v="2015-05-21T00:00:00"/>
    <m/>
    <m/>
    <n v="2015"/>
    <n v="7"/>
    <m/>
    <m/>
    <m/>
    <m/>
    <s v="Recebimento Diversos"/>
    <x v="1"/>
    <s v="COLÉGIO OLIMPO LTDA"/>
    <m/>
    <n v="7"/>
    <n v="2"/>
    <s v="Cheque"/>
    <m/>
    <m/>
    <m/>
    <n v="0"/>
    <m/>
    <m/>
    <s v="SANT 936-9 GOIANIA"/>
    <m/>
    <m/>
    <m/>
  </r>
  <r>
    <n v="272625"/>
    <n v="189956"/>
    <s v="Retorno: Par. 189956(04/12) - 018187/WAL - Mensalidades"/>
    <n v="1511.28"/>
    <d v="2015-05-18T00:00:00"/>
    <d v="1899-12-30T10:28:27"/>
    <n v="0"/>
    <n v="0"/>
    <n v="-3009846.1100002173"/>
    <m/>
    <m/>
    <n v="189956"/>
    <m/>
    <n v="14"/>
    <s v="Renato"/>
    <n v="1"/>
    <m/>
    <n v="2"/>
    <d v="2015-06-09T00:00:00"/>
    <d v="2015-06-09T00:00:00"/>
    <n v="28943"/>
    <n v="2015051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4"/>
    <n v="192657"/>
    <s v="Retorno: Par. 192657(05/12) - 019596/GAB - Mensalidades"/>
    <n v="1473"/>
    <d v="2015-05-18T00:00:00"/>
    <d v="1899-12-30T10:28:27"/>
    <n v="0"/>
    <n v="0"/>
    <n v="-3008373.1100002173"/>
    <m/>
    <m/>
    <n v="192657"/>
    <m/>
    <n v="14"/>
    <s v="Renato"/>
    <n v="1"/>
    <m/>
    <n v="2"/>
    <d v="2015-06-09T00:00:00"/>
    <d v="2015-06-09T00:00:00"/>
    <n v="28942"/>
    <n v="2015051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642"/>
    <n v="189937"/>
    <s v="Par.(04/12) 018244/HENRIQUE BRUNHAROTTO GARC - Mensalidades"/>
    <n v="1567.25"/>
    <d v="2015-05-18T00:00:00"/>
    <d v="1899-12-30T10:30:42"/>
    <n v="0"/>
    <n v="0"/>
    <n v="-3006805.8600002173"/>
    <m/>
    <m/>
    <n v="189937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s v="COLÉGIO OLIMPO LTDA"/>
    <m/>
    <n v="7"/>
    <n v="2"/>
    <s v="Cheque"/>
    <m/>
    <n v="0"/>
    <m/>
    <n v="0"/>
    <m/>
    <m/>
    <s v="SANT 936-9 GOIANIA"/>
    <m/>
    <m/>
    <m/>
  </r>
  <r>
    <n v="270643"/>
    <n v="188246"/>
    <s v="Par.(02/12) 019560/ARTUR EMILIANO RODRIGUES  - Mensalidades"/>
    <n v="1539.28"/>
    <d v="2015-05-18T00:00:00"/>
    <d v="1899-12-30T10:33:50"/>
    <n v="0"/>
    <n v="0"/>
    <n v="-3005266.5800002175"/>
    <m/>
    <m/>
    <n v="188246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s v="COLÉGIO OLIMPO LTDA"/>
    <m/>
    <n v="7"/>
    <n v="2"/>
    <s v="Cheque"/>
    <m/>
    <n v="0"/>
    <m/>
    <n v="0"/>
    <m/>
    <m/>
    <s v="SANT 936-9 GOIANIA"/>
    <m/>
    <m/>
    <m/>
  </r>
  <r>
    <n v="272816"/>
    <s v="DB20150518"/>
    <s v="Operaçao Desconto Boletos 2015.05.18"/>
    <n v="11784"/>
    <d v="2015-05-18T00:00:00"/>
    <d v="1899-12-30T10:52:39"/>
    <n v="0"/>
    <n v="0"/>
    <n v="-2993482.5800002175"/>
    <m/>
    <m/>
    <m/>
    <m/>
    <n v="24"/>
    <s v="Emilly"/>
    <n v="1"/>
    <m/>
    <n v="1505"/>
    <d v="2015-06-11T00:00:00"/>
    <d v="2015-06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72817"/>
    <s v="Juros20150518/125062"/>
    <s v="Banco Brb - Cód. 125062"/>
    <n v="0"/>
    <d v="2015-05-18T00:00:00"/>
    <d v="1899-12-30T10:54:57"/>
    <n v="1415.04"/>
    <n v="0"/>
    <n v="-2994897.6200002176"/>
    <m/>
    <m/>
    <m/>
    <n v="125062"/>
    <n v="24"/>
    <s v="Emilly"/>
    <n v="1"/>
    <m/>
    <n v="1459"/>
    <d v="2015-06-11T00:00:00"/>
    <d v="2015-06-11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613"/>
    <s v="Transferência Entre Conta"/>
    <s v="Rogério Purcena Sacou P/ Pagar Rescisões"/>
    <n v="0"/>
    <d v="2015-05-18T00:00:00"/>
    <d v="1899-12-30T10:58:05"/>
    <n v="7000"/>
    <n v="0"/>
    <n v="-3001897.6200002176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6"/>
    <s v="BB [022382-4] [GYN] [CC]"/>
    <m/>
    <m/>
    <m/>
  </r>
  <r>
    <n v="271614"/>
    <s v="Transferência Entre Conta"/>
    <s v="Destino: 271613-Rogério Purcena Sacou P/ Pagar Rescisões"/>
    <n v="7000"/>
    <d v="2015-05-18T00:00:00"/>
    <d v="1899-12-30T10:58:05"/>
    <n v="0"/>
    <n v="0"/>
    <n v="-2994897.6200002176"/>
    <m/>
    <m/>
    <m/>
    <m/>
    <n v="24"/>
    <s v="Emilly"/>
    <n v="2"/>
    <m/>
    <n v="1449"/>
    <d v="2015-06-02T00:00:00"/>
    <d v="2015-06-02T00:00:00"/>
    <m/>
    <m/>
    <n v="2015"/>
    <n v="24"/>
    <m/>
    <m/>
    <n v="271613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0960"/>
    <s v="Despesa/124015"/>
    <s v="Grupo Olimpo - Cód. 124015"/>
    <n v="0"/>
    <d v="2015-05-18T00:00:00"/>
    <d v="1899-12-30T11:00:28"/>
    <n v="251.16"/>
    <n v="0"/>
    <n v="-2995148.7800002177"/>
    <m/>
    <m/>
    <m/>
    <n v="124015"/>
    <n v="24"/>
    <s v="Emilly"/>
    <n v="1"/>
    <m/>
    <n v="537"/>
    <d v="2015-05-25T00:00:00"/>
    <d v="2015-05-25T00:00:00"/>
    <m/>
    <m/>
    <n v="2015"/>
    <n v="24"/>
    <m/>
    <m/>
    <m/>
    <m/>
    <s v="CA.Despesas Diversas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47"/>
    <s v="Extrato"/>
    <s v="Rend Aplic Aut Mais"/>
    <n v="0.02"/>
    <d v="2015-05-18T00:00:00"/>
    <d v="1899-12-30T11:08:04"/>
    <n v="0"/>
    <n v="0"/>
    <n v="-2995148.7600002177"/>
    <m/>
    <m/>
    <m/>
    <m/>
    <n v="24"/>
    <s v="Emilly"/>
    <n v="1"/>
    <m/>
    <n v="95"/>
    <d v="2015-05-21T00:00:00"/>
    <d v="2015-05-21T00:00:00"/>
    <m/>
    <m/>
    <n v="2015"/>
    <n v="24"/>
    <m/>
    <m/>
    <m/>
    <m/>
    <s v="Recebimento Diversos"/>
    <x v="1"/>
    <s v="COLÉGIO OLIMPO LTDA"/>
    <m/>
    <n v="8"/>
    <n v="8"/>
    <s v="Transferência Bancária"/>
    <m/>
    <m/>
    <m/>
    <n v="0"/>
    <m/>
    <m/>
    <s v="ITAÚ [GYN] [026016-5] []"/>
    <m/>
    <m/>
    <m/>
  </r>
  <r>
    <n v="272819"/>
    <s v="Extrato"/>
    <s v="Cheque Devolvido"/>
    <n v="0"/>
    <d v="2015-05-18T00:00:00"/>
    <d v="1899-12-30T11:12:52"/>
    <n v="1386"/>
    <n v="0"/>
    <n v="-2996534.7600002177"/>
    <m/>
    <m/>
    <m/>
    <m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m/>
    <m/>
    <n v="0"/>
    <m/>
    <m/>
    <s v="BRB [GYN] [011616-0] [CC] [COB]"/>
    <m/>
    <m/>
    <m/>
  </r>
  <r>
    <n v="272820"/>
    <s v="Ant.Cob"/>
    <s v="Antecipação de Cobrança"/>
    <n v="252.06"/>
    <d v="2015-05-18T00:00:00"/>
    <d v="1899-12-30T11:13:22"/>
    <n v="0"/>
    <n v="0"/>
    <n v="-2996282.7000002177"/>
    <m/>
    <m/>
    <m/>
    <m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1"/>
    <s v="Antec. de Cheque"/>
    <m/>
    <m/>
    <m/>
    <n v="0"/>
    <m/>
    <m/>
    <s v="BRB [GYN] [011616-0] [CC] [COB]"/>
    <m/>
    <m/>
    <m/>
  </r>
  <r>
    <n v="270797"/>
    <s v="Extrato/123900"/>
    <s v="Banco Brb - Cód. 123900"/>
    <n v="0"/>
    <d v="2015-05-18T00:00:00"/>
    <d v="1899-12-30T13:04:05"/>
    <n v="8000"/>
    <n v="0"/>
    <n v="-3004282.7000002177"/>
    <m/>
    <m/>
    <m/>
    <n v="123900"/>
    <n v="24"/>
    <s v="Emilly"/>
    <n v="1"/>
    <m/>
    <n v="569"/>
    <d v="2015-05-22T00:00:00"/>
    <d v="2015-05-22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844"/>
    <s v="Extrato/123935"/>
    <s v="Banco Do Brasil - Cód. 123935"/>
    <n v="0"/>
    <d v="2015-05-18T00:00:00"/>
    <d v="1899-12-30T13:22:00"/>
    <n v="7.8"/>
    <n v="0"/>
    <n v="-3004290.5000002175"/>
    <m/>
    <m/>
    <m/>
    <n v="123935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851"/>
    <s v="Ant.Cob/123938"/>
    <s v="Banco Brb - Cód. 123938"/>
    <n v="0"/>
    <d v="2015-05-18T00:00:00"/>
    <d v="1899-12-30T14:15:42"/>
    <n v="1473"/>
    <n v="0"/>
    <n v="-3005763.5000002175"/>
    <m/>
    <m/>
    <m/>
    <n v="123938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8"/>
    <s v="Extrato"/>
    <s v="Devolução Cheque"/>
    <n v="1386"/>
    <d v="2015-05-18T00:00:00"/>
    <d v="1899-12-30T14:19:18"/>
    <n v="0"/>
    <n v="0"/>
    <n v="-3004377.5000002175"/>
    <m/>
    <m/>
    <m/>
    <m/>
    <n v="24"/>
    <s v="Emilly"/>
    <n v="1"/>
    <m/>
    <n v="1588"/>
    <d v="2015-05-22T00:00:00"/>
    <d v="2015-05-22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301"/>
    <s v="ESPÉCIE 2015-05-18"/>
    <s v="PAGAMENTO DA MENSALIDADE DE ABRIL/15 DO(A) ALUNO(A) GERMANA JOYCE NUNES DE OLIVEIRA_EF"/>
    <n v="945"/>
    <d v="2015-05-18T00:00:00"/>
    <d v="1899-12-30T14:20:34"/>
    <n v="0"/>
    <n v="0"/>
    <n v="-3003432.5000002175"/>
    <m/>
    <m/>
    <m/>
    <m/>
    <n v="8"/>
    <s v="Vinicius"/>
    <n v="1"/>
    <m/>
    <n v="1431"/>
    <d v="2015-05-19T00:00:00"/>
    <d v="2015-05-19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1455"/>
    <n v="192381"/>
    <s v="Par.(03/12) 018601/FLÁVIO ELMIRO COELHO BARB - Mensalidades"/>
    <n v="1857"/>
    <d v="2015-05-18T00:00:00"/>
    <d v="1899-12-30T14:43:56"/>
    <n v="0"/>
    <n v="0"/>
    <n v="-3001575.5000002175"/>
    <m/>
    <m/>
    <n v="192381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35"/>
    <n v="2"/>
    <s v="Cheque"/>
    <m/>
    <n v="0"/>
    <m/>
    <n v="0"/>
    <m/>
    <m/>
    <s v="[OUTRAS] ESCRITÓRIO COBRANÇA"/>
    <m/>
    <m/>
    <m/>
  </r>
  <r>
    <n v="271459"/>
    <n v="216525"/>
    <s v="Par.(01-12) 018666/GUSTAVO RIBEIRO MESQUITA - PAGAMENTO CHE"/>
    <n v="1857.3"/>
    <d v="2015-05-18T00:00:00"/>
    <d v="1899-12-30T15:28:27"/>
    <n v="0"/>
    <n v="0"/>
    <n v="-2999718.2000002177"/>
    <m/>
    <m/>
    <n v="216525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463"/>
    <s v="DEPÓSITO 2015-05-18"/>
    <s v="PAGAMENTO DA MENSALIDADE DE ABRIL/2015, DO(A) ALUNO(A) RODRIGO CINTRA FARIA_ESN"/>
    <n v="319.75"/>
    <d v="2015-05-18T00:00:00"/>
    <d v="1899-12-30T15:40:39"/>
    <n v="0"/>
    <n v="0"/>
    <n v="-2999398.4500002177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1464"/>
    <s v="DEPÓSITO 2015-05-18"/>
    <s v="PAGAMENTO DAS MENSALIDADES DE MARÇO E ABRIL/15 DO(A) ALUNO(A) MARIANA LUCENA GOMES_ESN"/>
    <n v="743.3"/>
    <d v="2015-05-18T00:00:00"/>
    <d v="1899-12-30T15:44:06"/>
    <n v="0"/>
    <n v="0"/>
    <n v="-2998655.1500002178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0209"/>
    <s v="314/121420"/>
    <s v="CM Locações de Espaços Publicitarios Ltd - Cód. 121420"/>
    <n v="0"/>
    <d v="2015-05-18T00:00:00"/>
    <d v="1899-12-30T15:53:41"/>
    <n v="679.94"/>
    <n v="0"/>
    <n v="-2999335.0900002178"/>
    <m/>
    <m/>
    <m/>
    <n v="121420"/>
    <n v="24"/>
    <s v="Emilly"/>
    <n v="1"/>
    <m/>
    <n v="552"/>
    <d v="2015-05-18T00:00:00"/>
    <d v="2015-05-18T00:00:00"/>
    <m/>
    <m/>
    <n v="2015"/>
    <n v="24"/>
    <m/>
    <m/>
    <m/>
    <m/>
    <s v="CA.Marketing (CUSTO)"/>
    <x v="1"/>
    <s v="COLÉGIO OLIMPO LTDA"/>
    <m/>
    <n v="56"/>
    <n v="1"/>
    <s v="Dinheiro"/>
    <m/>
    <n v="0"/>
    <m/>
    <n v="0"/>
    <m/>
    <m/>
    <s v="CAIXA TESOURARIA"/>
    <m/>
    <m/>
    <m/>
  </r>
  <r>
    <n v="270214"/>
    <s v="30339-5/123563"/>
    <s v="Cartório 3º Tabelionato De Notas - Cód. 123563"/>
    <n v="0"/>
    <d v="2015-05-18T00:00:00"/>
    <d v="1899-12-30T16:02:42"/>
    <n v="17.899999999999999"/>
    <n v="0"/>
    <n v="-2999352.9900002177"/>
    <m/>
    <m/>
    <m/>
    <n v="123563"/>
    <n v="24"/>
    <s v="Emilly"/>
    <n v="1"/>
    <m/>
    <n v="522"/>
    <d v="2015-05-18T00:00:00"/>
    <d v="2015-05-18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70215"/>
    <s v="317804/123564"/>
    <s v="Auto Posto Mutirão - Cód. 123564"/>
    <n v="0"/>
    <d v="2015-05-18T00:00:00"/>
    <d v="1899-12-30T16:03:28"/>
    <n v="70"/>
    <n v="0"/>
    <n v="-2999422.9900002177"/>
    <m/>
    <m/>
    <m/>
    <n v="123564"/>
    <n v="24"/>
    <s v="Emilly"/>
    <n v="1"/>
    <m/>
    <n v="512"/>
    <d v="2015-05-18T00:00:00"/>
    <d v="2015-05-18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0268"/>
    <n v="123575"/>
    <s v="Automaticket Impressos Publicitarios - Cód. 123575"/>
    <n v="0"/>
    <d v="2015-05-18T00:00:00"/>
    <d v="1899-12-30T16:30:46"/>
    <n v="98.02"/>
    <n v="0"/>
    <n v="-2999521.0100002177"/>
    <m/>
    <m/>
    <m/>
    <n v="123575"/>
    <n v="24"/>
    <s v="Emilly"/>
    <n v="1"/>
    <m/>
    <n v="1531"/>
    <d v="2015-05-18T00:00:00"/>
    <d v="2015-05-18T00:00:00"/>
    <m/>
    <m/>
    <n v="2015"/>
    <n v="24"/>
    <m/>
    <m/>
    <m/>
    <m/>
    <s v="Uber.Marketing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68"/>
    <n v="192174"/>
    <s v="Par.(03/12) 018419/VICTOR TAVARES PONTES - Mensalidades"/>
    <n v="1858.02"/>
    <d v="2015-05-18T00:00:00"/>
    <d v="1899-12-30T16:31:55"/>
    <n v="0"/>
    <n v="0"/>
    <n v="-2997662.9900002177"/>
    <m/>
    <m/>
    <n v="19217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875"/>
    <s v="transferência Entre Conta"/>
    <s v="transferência Entre Conta"/>
    <n v="0"/>
    <d v="2015-05-18T00:00:00"/>
    <d v="1899-12-30T16:40:08"/>
    <n v="5500"/>
    <n v="0"/>
    <n v="-3003162.990000217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0876"/>
    <s v="transferência Entre Conta"/>
    <s v="Destino: 270875-transferência Entre Conta"/>
    <n v="5500"/>
    <d v="2015-05-18T00:00:00"/>
    <d v="1899-12-30T16:40:08"/>
    <n v="0"/>
    <n v="0"/>
    <n v="-2997662.9900002177"/>
    <m/>
    <m/>
    <m/>
    <m/>
    <n v="24"/>
    <s v="Emilly"/>
    <n v="1"/>
    <m/>
    <n v="1449"/>
    <d v="2015-05-22T00:00:00"/>
    <d v="2015-05-22T00:00:00"/>
    <m/>
    <m/>
    <n v="2015"/>
    <n v="24"/>
    <m/>
    <m/>
    <n v="270875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877"/>
    <s v="Transferência Entre Conta"/>
    <s v="Transferência Entre Conta"/>
    <n v="0"/>
    <d v="2015-05-18T00:00:00"/>
    <d v="1899-12-30T16:40:42"/>
    <n v="4700"/>
    <n v="0"/>
    <n v="-3002362.990000217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878"/>
    <s v="Transferência Entre Conta"/>
    <s v="Destino: 270877-Transferência Entre Conta"/>
    <n v="4700"/>
    <d v="2015-05-18T00:00:00"/>
    <d v="1899-12-30T16:40:42"/>
    <n v="0"/>
    <n v="0"/>
    <n v="-2997662.9900002177"/>
    <m/>
    <m/>
    <m/>
    <m/>
    <n v="24"/>
    <s v="Emilly"/>
    <n v="1"/>
    <m/>
    <n v="1449"/>
    <d v="2015-05-22T00:00:00"/>
    <d v="2015-05-22T00:00:00"/>
    <m/>
    <m/>
    <n v="2015"/>
    <n v="24"/>
    <m/>
    <m/>
    <n v="270877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879"/>
    <s v="Transferência Entre Conta"/>
    <s v="Transferência Entre Conta"/>
    <n v="0"/>
    <d v="2015-05-18T00:00:00"/>
    <d v="1899-12-30T16:41:21"/>
    <n v="6500"/>
    <n v="0"/>
    <n v="-3004162.990000217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880"/>
    <s v="Transferência Entre Conta"/>
    <s v="Destino: 270879-Transferência Entre Conta"/>
    <n v="6500"/>
    <d v="2015-05-18T00:00:00"/>
    <d v="1899-12-30T16:41:21"/>
    <n v="0"/>
    <n v="0"/>
    <n v="-2997662.9900002177"/>
    <m/>
    <m/>
    <m/>
    <m/>
    <n v="24"/>
    <s v="Emilly"/>
    <n v="1"/>
    <m/>
    <n v="1449"/>
    <d v="2015-05-22T00:00:00"/>
    <d v="2015-05-22T00:00:00"/>
    <m/>
    <m/>
    <n v="2015"/>
    <n v="24"/>
    <m/>
    <m/>
    <n v="270879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907"/>
    <s v="CV/110580"/>
    <s v="Carlinda Vieira  - Par. 110580(05-12)"/>
    <n v="0"/>
    <d v="2015-05-18T00:00:00"/>
    <d v="1899-12-30T16:55:59"/>
    <n v="190"/>
    <n v="0"/>
    <n v="-2997852.9900002177"/>
    <m/>
    <m/>
    <m/>
    <n v="110580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0680"/>
    <s v="056311/123829"/>
    <s v="Posto De Combustível - Cód. 123829"/>
    <n v="0"/>
    <d v="2015-05-18T00:00:00"/>
    <d v="1899-12-30T17:01:34"/>
    <n v="100"/>
    <n v="0"/>
    <n v="-2997952.9900002177"/>
    <m/>
    <m/>
    <m/>
    <n v="123829"/>
    <n v="24"/>
    <s v="Emilly"/>
    <n v="1"/>
    <m/>
    <n v="512"/>
    <d v="2015-05-21T00:00:00"/>
    <d v="2015-05-21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3070"/>
    <n v="188531"/>
    <s v="Par.(03/12) 018166/PEDRO HENRIQUE CARVALHO D - Mensalidades"/>
    <n v="1585.97"/>
    <d v="2015-05-18T00:00:00"/>
    <d v="1899-12-30T17:10:20"/>
    <n v="0"/>
    <n v="0"/>
    <n v="-2996367.0200002175"/>
    <m/>
    <m/>
    <n v="188531"/>
    <m/>
    <n v="8"/>
    <s v="Vinicius"/>
    <n v="1"/>
    <m/>
    <n v="2"/>
    <d v="2015-06-15T00:00:00"/>
    <d v="2015-06-1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3071"/>
    <n v="189921"/>
    <s v="Par.(04/12) 018166/PEDRO HENRIQUE CARVALHO D - Mensalidades"/>
    <n v="1571.27"/>
    <d v="2015-05-18T00:00:00"/>
    <d v="1899-12-30T17:10:21"/>
    <n v="0"/>
    <n v="0"/>
    <n v="-2994795.7500002175"/>
    <m/>
    <m/>
    <n v="189921"/>
    <m/>
    <n v="8"/>
    <s v="Vinicius"/>
    <n v="1"/>
    <m/>
    <n v="2"/>
    <d v="2015-06-15T00:00:00"/>
    <d v="2015-06-1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525"/>
    <s v="846/124358"/>
    <s v="Sayoga Instrumental - Cód. 124358"/>
    <n v="0"/>
    <d v="2015-05-18T00:00:00"/>
    <d v="1899-12-30T17:20:03"/>
    <n v="1149"/>
    <n v="0"/>
    <n v="-2995944.7500002175"/>
    <m/>
    <m/>
    <m/>
    <n v="124358"/>
    <n v="24"/>
    <s v="Emilly"/>
    <n v="1"/>
    <m/>
    <n v="1496"/>
    <d v="2015-06-01T00:00:00"/>
    <d v="2015-06-01T00:00:00"/>
    <m/>
    <m/>
    <n v="2015"/>
    <n v="24"/>
    <m/>
    <m/>
    <m/>
    <m/>
    <s v="SolNascente.Manutenção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4016"/>
    <s v="Extrato/127347"/>
    <s v="Banco Daycoval S/A  - Cód. 127347"/>
    <n v="0"/>
    <d v="2015-05-18T00:00:00"/>
    <d v="1899-12-30T17:24:09"/>
    <n v="4"/>
    <n v="0"/>
    <n v="-2995948.7500002175"/>
    <m/>
    <m/>
    <m/>
    <n v="127347"/>
    <n v="24"/>
    <s v="Emilly"/>
    <n v="1"/>
    <m/>
    <n v="1513"/>
    <d v="2015-06-24T00:00:00"/>
    <d v="2015-06-24T00:00:00"/>
    <m/>
    <m/>
    <n v="2015"/>
    <n v="24"/>
    <m/>
    <m/>
    <m/>
    <m/>
    <s v="Tarifas de DOC / TED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71477"/>
    <s v="DEPÓSITO 2015-05-18"/>
    <s v="PAGAMENTO DA MENSALIDADE DE MARÇO/2015, DO(A) ALUNO(A) LUCAS SABBATINI JANOT PROCOPIO_EF"/>
    <n v="1126.7"/>
    <d v="2015-05-18T00:00:00"/>
    <d v="1899-12-30T17:24:40"/>
    <n v="0"/>
    <n v="0"/>
    <n v="-2994822.0500002173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3083"/>
    <s v="Extrato/126919"/>
    <s v="Banco Do Brasil - Cód. 126919"/>
    <n v="0"/>
    <d v="2015-05-18T00:00:00"/>
    <d v="1899-12-30T17:34:24"/>
    <n v="1130"/>
    <n v="0"/>
    <n v="-2995952.0500002173"/>
    <m/>
    <m/>
    <m/>
    <n v="126919"/>
    <n v="24"/>
    <s v="Emilly"/>
    <n v="1"/>
    <m/>
    <n v="175"/>
    <d v="2015-06-15T00:00:00"/>
    <d v="2015-06-15T00:00:00"/>
    <m/>
    <m/>
    <n v="2015"/>
    <n v="24"/>
    <m/>
    <m/>
    <m/>
    <m/>
    <s v="T-3.Rescisão de contrato educacional"/>
    <x v="1"/>
    <s v="COLÉGIO OLIMPO LTDA"/>
    <m/>
    <n v="4"/>
    <n v="9"/>
    <s v="Débito em conta"/>
    <m/>
    <n v="0"/>
    <m/>
    <n v="0"/>
    <m/>
    <m/>
    <s v="BB [022382-4] [GYN] [CC]"/>
    <m/>
    <m/>
    <m/>
  </r>
  <r>
    <n v="273084"/>
    <s v="Extrato/126920"/>
    <s v="Banco Do Brasil - Cód. 126920"/>
    <n v="0"/>
    <d v="2015-05-18T00:00:00"/>
    <d v="1899-12-30T17:34:24"/>
    <n v="1386"/>
    <n v="0"/>
    <n v="-2997338.0500002173"/>
    <m/>
    <m/>
    <m/>
    <n v="126920"/>
    <n v="24"/>
    <s v="Emilly"/>
    <n v="1"/>
    <m/>
    <n v="175"/>
    <d v="2015-06-15T00:00:00"/>
    <d v="2015-06-15T00:00:00"/>
    <m/>
    <m/>
    <n v="2015"/>
    <n v="24"/>
    <m/>
    <m/>
    <m/>
    <m/>
    <s v="T-3.Rescisão de contrato educacional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08"/>
    <s v="015651/123955"/>
    <s v="Hidraulica Boa Esperança - Cód. 123955"/>
    <n v="0"/>
    <d v="2015-05-19T00:00:00"/>
    <d v="1899-12-30T08:32:37"/>
    <n v="8.5"/>
    <n v="0"/>
    <n v="-2997346.5500002173"/>
    <m/>
    <m/>
    <m/>
    <n v="123955"/>
    <n v="24"/>
    <s v="Emilly"/>
    <n v="2"/>
    <m/>
    <n v="161"/>
    <d v="2015-05-25T00:00:00"/>
    <d v="2015-05-25T00:00:00"/>
    <m/>
    <m/>
    <n v="2015"/>
    <n v="24"/>
    <m/>
    <m/>
    <m/>
    <m/>
    <s v="T-3.Material de Construção"/>
    <x v="1"/>
    <s v="COLÉGIO OLIMPO LTDA"/>
    <m/>
    <n v="56"/>
    <n v="1"/>
    <s v="Dinheiro"/>
    <m/>
    <n v="0"/>
    <m/>
    <n v="0"/>
    <m/>
    <m/>
    <s v="CAIXA TESOURARIA"/>
    <m/>
    <m/>
    <m/>
  </r>
  <r>
    <n v="270909"/>
    <s v="27377/123956"/>
    <s v="Kem Tubos E Conexão Eireli - Cód. 123956"/>
    <n v="0"/>
    <d v="2015-05-19T00:00:00"/>
    <d v="1899-12-30T08:35:34"/>
    <n v="45"/>
    <n v="0"/>
    <n v="-2997391.5500002173"/>
    <m/>
    <m/>
    <m/>
    <n v="123956"/>
    <n v="24"/>
    <s v="Emilly"/>
    <n v="2"/>
    <m/>
    <n v="1392"/>
    <d v="2015-05-25T00:00:00"/>
    <d v="2015-05-25T00:00:00"/>
    <m/>
    <m/>
    <n v="2015"/>
    <n v="24"/>
    <m/>
    <m/>
    <m/>
    <m/>
    <s v="T-27.Material de construção "/>
    <x v="1"/>
    <s v="COLÉGIO OLIMPO LTDA"/>
    <m/>
    <n v="56"/>
    <n v="9"/>
    <s v="Débito em conta"/>
    <m/>
    <n v="0"/>
    <m/>
    <n v="0"/>
    <m/>
    <m/>
    <s v="CAIXA TESOURARIA"/>
    <m/>
    <m/>
    <m/>
  </r>
  <r>
    <n v="270910"/>
    <s v="4686/123957"/>
    <s v="Hidro Service Peças e Serviços - Cód. 123957"/>
    <n v="0"/>
    <d v="2015-05-19T00:00:00"/>
    <d v="1899-12-30T08:36:20"/>
    <n v="34.1"/>
    <n v="0"/>
    <n v="-2997425.6500002174"/>
    <m/>
    <m/>
    <m/>
    <n v="123957"/>
    <n v="24"/>
    <s v="Emilly"/>
    <n v="2"/>
    <m/>
    <n v="1392"/>
    <d v="2015-05-25T00:00:00"/>
    <d v="2015-05-25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70458"/>
    <s v="Extrato/123660"/>
    <s v="Banco Brb - Cód. 123660"/>
    <n v="0"/>
    <d v="2015-05-19T00:00:00"/>
    <d v="1899-12-30T08:53:31"/>
    <n v="1068.8800000000001"/>
    <n v="0"/>
    <n v="-2998494.5300002173"/>
    <m/>
    <m/>
    <m/>
    <n v="123660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74"/>
    <n v="2"/>
    <s v="Cheque"/>
    <m/>
    <n v="0"/>
    <m/>
    <n v="0"/>
    <m/>
    <m/>
    <s v="BRB [ANA] [011594-4] [CC] [COB]"/>
    <m/>
    <m/>
    <m/>
  </r>
  <r>
    <n v="270457"/>
    <s v="Extrato/123659"/>
    <s v="Banco Brb - Cód. 123659"/>
    <n v="0"/>
    <d v="2015-05-19T00:00:00"/>
    <d v="1899-12-30T08:53:31"/>
    <n v="1325.7"/>
    <n v="0"/>
    <n v="-2999820.2300002174"/>
    <m/>
    <m/>
    <m/>
    <n v="123659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74"/>
    <n v="2"/>
    <s v="Cheque"/>
    <m/>
    <n v="0"/>
    <m/>
    <n v="0"/>
    <m/>
    <m/>
    <s v="BRB [ANA] [011594-4] [CC] [COB]"/>
    <m/>
    <m/>
    <m/>
  </r>
  <r>
    <n v="274029"/>
    <s v="Transferência Entre Conta"/>
    <s v="Transferência Entre Conta"/>
    <n v="0"/>
    <d v="2015-05-19T00:00:00"/>
    <d v="1899-12-30T08:57:18"/>
    <n v="11500"/>
    <n v="0"/>
    <n v="-3011320.2300002174"/>
    <m/>
    <m/>
    <m/>
    <m/>
    <n v="24"/>
    <s v="Emilly"/>
    <n v="1"/>
    <m/>
    <n v="1449"/>
    <d v="2015-06-25T00:00:00"/>
    <d v="2015-06-25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4030"/>
    <s v="Transferência Entre Conta"/>
    <s v="Destino: 274029-Transferência Entre Conta"/>
    <n v="11500"/>
    <d v="2015-05-19T00:00:00"/>
    <d v="1899-12-30T08:57:18"/>
    <n v="0"/>
    <n v="0"/>
    <n v="-2999820.2300002174"/>
    <m/>
    <m/>
    <m/>
    <m/>
    <n v="24"/>
    <s v="Emilly"/>
    <n v="1"/>
    <m/>
    <n v="1449"/>
    <d v="2015-06-25T00:00:00"/>
    <d v="2015-06-25T00:00:00"/>
    <m/>
    <m/>
    <n v="2015"/>
    <n v="24"/>
    <m/>
    <m/>
    <n v="274029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923"/>
    <s v="Devolução/123962"/>
    <s v="Rescisão - Grupo Olimpo - Cód. 123962"/>
    <n v="0"/>
    <d v="2015-05-19T00:00:00"/>
    <d v="1899-12-30T09:06:44"/>
    <n v="220"/>
    <n v="0"/>
    <n v="-3000040.2300002174"/>
    <m/>
    <m/>
    <m/>
    <n v="123962"/>
    <n v="24"/>
    <s v="Emilly"/>
    <n v="2"/>
    <m/>
    <n v="175"/>
    <d v="2015-05-25T00:00:00"/>
    <d v="2015-05-25T00:00:00"/>
    <m/>
    <m/>
    <n v="2015"/>
    <n v="24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270693"/>
    <s v="10583280/109189"/>
    <s v="Unimed - Par. 109189(04-12)"/>
    <n v="0"/>
    <d v="2015-05-19T00:00:00"/>
    <d v="1899-12-30T09:10:13"/>
    <n v="18577.400000000001"/>
    <n v="0"/>
    <n v="-3018617.6300002174"/>
    <m/>
    <m/>
    <m/>
    <n v="109189"/>
    <n v="24"/>
    <s v="Emilly"/>
    <n v="1"/>
    <m/>
    <n v="388"/>
    <d v="2015-05-22T00:00:00"/>
    <d v="2015-05-22T00:00:00"/>
    <m/>
    <m/>
    <n v="2015"/>
    <n v="24"/>
    <m/>
    <m/>
    <m/>
    <m/>
    <s v="Marista.Plano de Saúd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94"/>
    <s v="301/123831"/>
    <s v="Cartório 3º Tabelionato De Notas - Cód. 123831"/>
    <n v="0"/>
    <d v="2015-05-19T00:00:00"/>
    <d v="1899-12-30T09:12:09"/>
    <n v="44.64"/>
    <n v="0"/>
    <n v="-3018662.2700002175"/>
    <m/>
    <m/>
    <m/>
    <n v="123831"/>
    <n v="24"/>
    <s v="Emilly"/>
    <n v="1"/>
    <m/>
    <n v="522"/>
    <d v="2015-05-22T00:00:00"/>
    <d v="2015-05-22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70931"/>
    <s v="Extrato/123971"/>
    <s v="Caixa Econômica Federal - Cód. 123971"/>
    <n v="0"/>
    <d v="2015-05-19T00:00:00"/>
    <d v="1899-12-30T09:28:22"/>
    <n v="1.55"/>
    <n v="0"/>
    <n v="-3018663.8200002173"/>
    <m/>
    <m/>
    <m/>
    <n v="123971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4217"/>
    <s v="Abril/127445"/>
    <s v="Carlos Antonio Moreira - Cód. 127445"/>
    <n v="0"/>
    <d v="2015-05-19T00:00:00"/>
    <d v="1899-12-30T09:35:21"/>
    <n v="3197.3"/>
    <n v="0"/>
    <n v="-3021861.1200002171"/>
    <m/>
    <m/>
    <m/>
    <n v="127445"/>
    <n v="25"/>
    <s v="Marcela"/>
    <n v="1"/>
    <m/>
    <n v="1570"/>
    <d v="2015-06-26T00:00:00"/>
    <d v="2015-06-26T00:00:00"/>
    <m/>
    <m/>
    <n v="2015"/>
    <n v="25"/>
    <m/>
    <m/>
    <m/>
    <m/>
    <s v="T-27.Honorário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936"/>
    <s v="Ch Pre Merc Editora 0498"/>
    <s v="Cheque Compensado Merc Editora 0498"/>
    <n v="0"/>
    <d v="2015-05-19T00:00:00"/>
    <d v="1899-12-30T09:47:21"/>
    <n v="9000"/>
    <n v="0"/>
    <n v="-3030861.1200002171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s v="COLÉGIO OLIMPO LTDA"/>
    <m/>
    <n v="33"/>
    <n v="2"/>
    <s v="Cheque"/>
    <m/>
    <m/>
    <m/>
    <n v="0"/>
    <m/>
    <m/>
    <s v="MERC [EDI] [02.012164-9] [CC]"/>
    <m/>
    <m/>
    <m/>
  </r>
  <r>
    <n v="270938"/>
    <s v="Ch Pre Merc Editora 0498"/>
    <s v="Crédito Cheque Devolvido"/>
    <n v="9000"/>
    <d v="2015-05-19T00:00:00"/>
    <d v="1899-12-30T09:49:55"/>
    <n v="0"/>
    <n v="0"/>
    <n v="-3021861.1200002171"/>
    <m/>
    <m/>
    <m/>
    <m/>
    <n v="7"/>
    <s v="Anapaula"/>
    <n v="1"/>
    <m/>
    <n v="1588"/>
    <d v="2015-05-25T00:00:00"/>
    <d v="2015-05-25T00:00:00"/>
    <m/>
    <m/>
    <n v="2015"/>
    <n v="7"/>
    <m/>
    <m/>
    <m/>
    <m/>
    <s v="Crédito Cheque Devolvido "/>
    <x v="2"/>
    <s v="COLÉGIO OLIMPO LTDA"/>
    <m/>
    <n v="33"/>
    <n v="2"/>
    <s v="Cheque"/>
    <m/>
    <m/>
    <m/>
    <n v="0"/>
    <m/>
    <m/>
    <s v="MERC [EDI] [02.012164-9] [CC]"/>
    <m/>
    <m/>
    <m/>
  </r>
  <r>
    <n v="270555"/>
    <s v="Extrato/123734"/>
    <s v="Banco Itaú Unibanco S.A. - Cód. 123734"/>
    <n v="0"/>
    <d v="2015-05-19T00:00:00"/>
    <d v="1899-12-30T09:51:33"/>
    <n v="23.85"/>
    <n v="0"/>
    <n v="-3021884.9700002172"/>
    <m/>
    <m/>
    <m/>
    <n v="123734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556"/>
    <s v="Extrato/123735"/>
    <s v="Banco Itaú Unibanco S.A. - Cód. 123735"/>
    <n v="0"/>
    <d v="2015-05-19T00:00:00"/>
    <d v="1899-12-30T09:51:33"/>
    <n v="7.95"/>
    <n v="0"/>
    <n v="-3021892.9200002174"/>
    <m/>
    <m/>
    <m/>
    <n v="123735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557"/>
    <s v="Extrato/123736"/>
    <s v="Banco Itaú Unibanco S.A. - Cód. 123736"/>
    <n v="0"/>
    <d v="2015-05-19T00:00:00"/>
    <d v="1899-12-30T09:51:33"/>
    <n v="2.7"/>
    <n v="0"/>
    <n v="-3021895.6200002176"/>
    <m/>
    <m/>
    <m/>
    <n v="123736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561"/>
    <s v="Extrato/123740"/>
    <s v="Banco Brb - Par. 123740(04-6)"/>
    <n v="0"/>
    <d v="2015-05-19T00:00:00"/>
    <d v="1899-12-30T09:55:11"/>
    <n v="6.6"/>
    <n v="0"/>
    <n v="-3021902.2200002177"/>
    <m/>
    <m/>
    <m/>
    <n v="12374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2"/>
    <s v="Extrato/123741"/>
    <s v="Banco Brb - Par. 123741(05-6)"/>
    <n v="0"/>
    <d v="2015-05-19T00:00:00"/>
    <d v="1899-12-30T09:55:11"/>
    <n v="6.48"/>
    <n v="0"/>
    <n v="-3021908.7000002177"/>
    <m/>
    <m/>
    <m/>
    <n v="12374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3"/>
    <s v="Extrato/123742"/>
    <s v="Banco Brb - Par. 123742(06-6)"/>
    <n v="0"/>
    <d v="2015-05-19T00:00:00"/>
    <d v="1899-12-30T09:55:11"/>
    <n v="7.53"/>
    <n v="0"/>
    <n v="-3021916.2300002174"/>
    <m/>
    <m/>
    <m/>
    <n v="12374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58"/>
    <s v="Extrato/123737"/>
    <s v="Banco Brb - Par. 123737(01-6)"/>
    <n v="0"/>
    <d v="2015-05-19T00:00:00"/>
    <d v="1899-12-30T09:55:11"/>
    <n v="4.0999999999999996"/>
    <n v="0"/>
    <n v="-3021920.3300002175"/>
    <m/>
    <m/>
    <m/>
    <n v="12373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59"/>
    <s v="Extrato/123738"/>
    <s v="Banco Brb - Par. 123738(02-6)"/>
    <n v="0"/>
    <d v="2015-05-19T00:00:00"/>
    <d v="1899-12-30T09:55:11"/>
    <n v="30.86"/>
    <n v="0"/>
    <n v="-3021951.1900002174"/>
    <m/>
    <m/>
    <m/>
    <n v="12373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0"/>
    <s v="Extrato/123739"/>
    <s v="Banco Brb - Par. 123739(03-6)"/>
    <n v="0"/>
    <d v="2015-05-19T00:00:00"/>
    <d v="1899-12-30T09:55:11"/>
    <n v="16.920000000000002"/>
    <n v="0"/>
    <n v="-3021968.1100002173"/>
    <m/>
    <m/>
    <m/>
    <n v="12373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4"/>
    <s v="Extrato/123752"/>
    <s v="Banco Brb - Par. 123752(10-36)"/>
    <n v="0"/>
    <d v="2015-05-19T00:00:00"/>
    <d v="1899-12-30T09:57:47"/>
    <n v="15"/>
    <n v="0"/>
    <n v="-3021983.1100002173"/>
    <m/>
    <m/>
    <m/>
    <n v="12375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5"/>
    <s v="Extrato/123762"/>
    <s v="Banco Brb - Par. 123762(20-36)"/>
    <n v="0"/>
    <d v="2015-05-19T00:00:00"/>
    <d v="1899-12-30T09:57:47"/>
    <n v="15"/>
    <n v="0"/>
    <n v="-3021998.1100002173"/>
    <m/>
    <m/>
    <m/>
    <n v="12376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6"/>
    <s v="Extrato/123772"/>
    <s v="Banco Brb - Par. 123772(30-36)"/>
    <n v="0"/>
    <d v="2015-05-19T00:00:00"/>
    <d v="1899-12-30T09:57:48"/>
    <n v="15"/>
    <n v="0"/>
    <n v="-3022013.1100002173"/>
    <m/>
    <m/>
    <m/>
    <n v="12377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7"/>
    <s v="Extrato/123743"/>
    <s v="Banco Brb - Par. 123743(01-36)"/>
    <n v="0"/>
    <d v="2015-05-19T00:00:00"/>
    <d v="1899-12-30T09:57:48"/>
    <n v="11.09"/>
    <n v="0"/>
    <n v="-3022024.2000002172"/>
    <m/>
    <m/>
    <m/>
    <n v="12374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8"/>
    <s v="Extrato/123753"/>
    <s v="Banco Brb - Par. 123753(11-36)"/>
    <n v="0"/>
    <d v="2015-05-19T00:00:00"/>
    <d v="1899-12-30T09:57:48"/>
    <n v="15"/>
    <n v="0"/>
    <n v="-3022039.2000002172"/>
    <m/>
    <m/>
    <m/>
    <n v="12375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9"/>
    <s v="Extrato/123763"/>
    <s v="Banco Brb - Par. 123763(21-36)"/>
    <n v="0"/>
    <d v="2015-05-19T00:00:00"/>
    <d v="1899-12-30T09:57:48"/>
    <n v="15"/>
    <n v="0"/>
    <n v="-3022054.2000002172"/>
    <m/>
    <m/>
    <m/>
    <n v="12376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0"/>
    <s v="Extrato/123773"/>
    <s v="Banco Brb - Par. 123773(31-36)"/>
    <n v="0"/>
    <d v="2015-05-19T00:00:00"/>
    <d v="1899-12-30T09:57:48"/>
    <n v="15"/>
    <n v="0"/>
    <n v="-3022069.2000002172"/>
    <m/>
    <m/>
    <m/>
    <n v="12377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1"/>
    <s v="Extrato/123744"/>
    <s v="Banco Brb - Par. 123744(02-36)"/>
    <n v="0"/>
    <d v="2015-05-19T00:00:00"/>
    <d v="1899-12-30T09:57:48"/>
    <n v="15"/>
    <n v="0"/>
    <n v="-3022084.2000002172"/>
    <m/>
    <m/>
    <m/>
    <n v="12374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2"/>
    <s v="Extrato/123754"/>
    <s v="Banco Brb - Par. 123754(12-36)"/>
    <n v="0"/>
    <d v="2015-05-19T00:00:00"/>
    <d v="1899-12-30T09:57:48"/>
    <n v="15"/>
    <n v="0"/>
    <n v="-3022099.2000002172"/>
    <m/>
    <m/>
    <m/>
    <n v="12375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3"/>
    <s v="Extrato/123764"/>
    <s v="Banco Brb - Par. 123764(22-36)"/>
    <n v="0"/>
    <d v="2015-05-19T00:00:00"/>
    <d v="1899-12-30T09:57:48"/>
    <n v="15"/>
    <n v="0"/>
    <n v="-3022114.2000002172"/>
    <m/>
    <m/>
    <m/>
    <n v="12376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4"/>
    <s v="Extrato/123774"/>
    <s v="Banco Brb - Par. 123774(32-36)"/>
    <n v="0"/>
    <d v="2015-05-19T00:00:00"/>
    <d v="1899-12-30T09:57:48"/>
    <n v="15"/>
    <n v="0"/>
    <n v="-3022129.2000002172"/>
    <m/>
    <m/>
    <m/>
    <n v="12377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5"/>
    <s v="Extrato/123745"/>
    <s v="Banco Brb - Par. 123745(03-36)"/>
    <n v="0"/>
    <d v="2015-05-19T00:00:00"/>
    <d v="1899-12-30T09:57:48"/>
    <n v="15"/>
    <n v="0"/>
    <n v="-3022144.2000002172"/>
    <m/>
    <m/>
    <m/>
    <n v="12374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6"/>
    <s v="Extrato/123755"/>
    <s v="Banco Brb - Par. 123755(13-36)"/>
    <n v="0"/>
    <d v="2015-05-19T00:00:00"/>
    <d v="1899-12-30T09:57:48"/>
    <n v="15"/>
    <n v="0"/>
    <n v="-3022159.2000002172"/>
    <m/>
    <m/>
    <m/>
    <n v="12375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7"/>
    <s v="Extrato/123765"/>
    <s v="Banco Brb - Par. 123765(23-36)"/>
    <n v="0"/>
    <d v="2015-05-19T00:00:00"/>
    <d v="1899-12-30T09:57:48"/>
    <n v="15"/>
    <n v="0"/>
    <n v="-3022174.2000002172"/>
    <m/>
    <m/>
    <m/>
    <n v="12376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8"/>
    <s v="Extrato/123775"/>
    <s v="Banco Brb - Par. 123775(33-36)"/>
    <n v="0"/>
    <d v="2015-05-19T00:00:00"/>
    <d v="1899-12-30T09:57:48"/>
    <n v="15"/>
    <n v="0"/>
    <n v="-3022189.2000002172"/>
    <m/>
    <m/>
    <m/>
    <n v="12377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9"/>
    <s v="Extrato/123746"/>
    <s v="Banco Brb - Par. 123746(04-36)"/>
    <n v="0"/>
    <d v="2015-05-19T00:00:00"/>
    <d v="1899-12-30T09:57:49"/>
    <n v="15"/>
    <n v="0"/>
    <n v="-3022204.2000002172"/>
    <m/>
    <m/>
    <m/>
    <n v="12374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0"/>
    <s v="Extrato/123756"/>
    <s v="Banco Brb - Par. 123756(14-36)"/>
    <n v="0"/>
    <d v="2015-05-19T00:00:00"/>
    <d v="1899-12-30T09:57:49"/>
    <n v="15"/>
    <n v="0"/>
    <n v="-3022219.2000002172"/>
    <m/>
    <m/>
    <m/>
    <n v="12375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1"/>
    <s v="Extrato/123766"/>
    <s v="Banco Brb - Par. 123766(24-36)"/>
    <n v="0"/>
    <d v="2015-05-19T00:00:00"/>
    <d v="1899-12-30T09:57:49"/>
    <n v="15"/>
    <n v="0"/>
    <n v="-3022234.2000002172"/>
    <m/>
    <m/>
    <m/>
    <n v="12376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2"/>
    <s v="Extrato/123776"/>
    <s v="Banco Brb - Par. 123776(34-36)"/>
    <n v="0"/>
    <d v="2015-05-19T00:00:00"/>
    <d v="1899-12-30T09:57:49"/>
    <n v="15"/>
    <n v="0"/>
    <n v="-3022249.2000002172"/>
    <m/>
    <m/>
    <m/>
    <n v="12377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3"/>
    <s v="Extrato/123747"/>
    <s v="Banco Brb - Par. 123747(05-36)"/>
    <n v="0"/>
    <d v="2015-05-19T00:00:00"/>
    <d v="1899-12-30T09:57:49"/>
    <n v="15"/>
    <n v="0"/>
    <n v="-3022264.2000002172"/>
    <m/>
    <m/>
    <m/>
    <n v="12374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4"/>
    <s v="Extrato/123757"/>
    <s v="Banco Brb - Par. 123757(15-36)"/>
    <n v="0"/>
    <d v="2015-05-19T00:00:00"/>
    <d v="1899-12-30T09:57:49"/>
    <n v="15"/>
    <n v="0"/>
    <n v="-3022279.2000002172"/>
    <m/>
    <m/>
    <m/>
    <n v="12375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5"/>
    <s v="Extrato/123767"/>
    <s v="Banco Brb - Par. 123767(25-36)"/>
    <n v="0"/>
    <d v="2015-05-19T00:00:00"/>
    <d v="1899-12-30T09:57:49"/>
    <n v="15"/>
    <n v="0"/>
    <n v="-3022294.2000002172"/>
    <m/>
    <m/>
    <m/>
    <n v="12376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6"/>
    <s v="Extrato/123777"/>
    <s v="Banco Brb - Par. 123777(35-36)"/>
    <n v="0"/>
    <d v="2015-05-19T00:00:00"/>
    <d v="1899-12-30T09:57:49"/>
    <n v="15"/>
    <n v="0"/>
    <n v="-3022309.2000002172"/>
    <m/>
    <m/>
    <m/>
    <n v="12377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7"/>
    <s v="Extrato/123748"/>
    <s v="Banco Brb - Par. 123748(06-36)"/>
    <n v="0"/>
    <d v="2015-05-19T00:00:00"/>
    <d v="1899-12-30T09:57:49"/>
    <n v="15"/>
    <n v="0"/>
    <n v="-3022324.2000002172"/>
    <m/>
    <m/>
    <m/>
    <n v="12374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8"/>
    <s v="Extrato/123758"/>
    <s v="Banco Brb - Par. 123758(16-36)"/>
    <n v="0"/>
    <d v="2015-05-19T00:00:00"/>
    <d v="1899-12-30T09:57:49"/>
    <n v="15"/>
    <n v="0"/>
    <n v="-3022339.2000002172"/>
    <m/>
    <m/>
    <m/>
    <n v="12375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9"/>
    <s v="Extrato/123768"/>
    <s v="Banco Brb - Par. 123768(26-36)"/>
    <n v="0"/>
    <d v="2015-05-19T00:00:00"/>
    <d v="1899-12-30T09:57:49"/>
    <n v="15"/>
    <n v="0"/>
    <n v="-3022354.2000002172"/>
    <m/>
    <m/>
    <m/>
    <n v="12376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4"/>
    <s v="Extrato/123750"/>
    <s v="Banco Brb - Par. 123750(08-36)"/>
    <n v="0"/>
    <d v="2015-05-19T00:00:00"/>
    <d v="1899-12-30T09:57:50"/>
    <n v="15"/>
    <n v="0"/>
    <n v="-3022369.2000002172"/>
    <m/>
    <m/>
    <m/>
    <n v="12375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5"/>
    <s v="Extrato/123760"/>
    <s v="Banco Brb - Par. 123760(18-36)"/>
    <n v="0"/>
    <d v="2015-05-19T00:00:00"/>
    <d v="1899-12-30T09:57:50"/>
    <n v="15"/>
    <n v="0"/>
    <n v="-3022384.2000002172"/>
    <m/>
    <m/>
    <m/>
    <n v="12376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6"/>
    <s v="Extrato/123770"/>
    <s v="Banco Brb - Par. 123770(28-36)"/>
    <n v="0"/>
    <d v="2015-05-19T00:00:00"/>
    <d v="1899-12-30T09:57:50"/>
    <n v="15"/>
    <n v="0"/>
    <n v="-3022399.2000002172"/>
    <m/>
    <m/>
    <m/>
    <n v="12377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7"/>
    <s v="Extrato/123751"/>
    <s v="Banco Brb - Par. 123751(09-36)"/>
    <n v="0"/>
    <d v="2015-05-19T00:00:00"/>
    <d v="1899-12-30T09:57:50"/>
    <n v="15"/>
    <n v="0"/>
    <n v="-3022414.2000002172"/>
    <m/>
    <m/>
    <m/>
    <n v="12375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8"/>
    <s v="Extrato/123761"/>
    <s v="Banco Brb - Par. 123761(19-36)"/>
    <n v="0"/>
    <d v="2015-05-19T00:00:00"/>
    <d v="1899-12-30T09:57:50"/>
    <n v="15"/>
    <n v="0"/>
    <n v="-3022429.2000002172"/>
    <m/>
    <m/>
    <m/>
    <n v="12376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9"/>
    <s v="Extrato/123771"/>
    <s v="Banco Brb - Par. 123771(29-36)"/>
    <n v="0"/>
    <d v="2015-05-19T00:00:00"/>
    <d v="1899-12-30T09:57:50"/>
    <n v="15"/>
    <n v="0"/>
    <n v="-3022444.2000002172"/>
    <m/>
    <m/>
    <m/>
    <n v="12377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0"/>
    <s v="Extrato/123778"/>
    <s v="Banco Brb - Par. 123778(36-36)"/>
    <n v="0"/>
    <d v="2015-05-19T00:00:00"/>
    <d v="1899-12-30T09:57:50"/>
    <n v="14.62"/>
    <n v="0"/>
    <n v="-3022458.8200002173"/>
    <m/>
    <m/>
    <m/>
    <n v="12377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1"/>
    <s v="Extrato/123749"/>
    <s v="Banco Brb - Par. 123749(07-36)"/>
    <n v="0"/>
    <d v="2015-05-19T00:00:00"/>
    <d v="1899-12-30T09:57:50"/>
    <n v="15"/>
    <n v="0"/>
    <n v="-3022473.8200002173"/>
    <m/>
    <m/>
    <m/>
    <n v="12374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2"/>
    <s v="Extrato/123759"/>
    <s v="Banco Brb - Par. 123759(17-36)"/>
    <n v="0"/>
    <d v="2015-05-19T00:00:00"/>
    <d v="1899-12-30T09:57:50"/>
    <n v="15"/>
    <n v="0"/>
    <n v="-3022488.8200002173"/>
    <m/>
    <m/>
    <m/>
    <n v="12375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3"/>
    <s v="Extrato/123769"/>
    <s v="Banco Brb - Par. 123769(27-36)"/>
    <n v="0"/>
    <d v="2015-05-19T00:00:00"/>
    <d v="1899-12-30T09:57:50"/>
    <n v="15"/>
    <n v="0"/>
    <n v="-3022503.8200002173"/>
    <m/>
    <m/>
    <m/>
    <n v="12376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601"/>
    <s v="MS/116473"/>
    <s v="MARLOS STIVAL - PAÇOCA - Cód. 116473"/>
    <n v="0"/>
    <d v="2015-05-19T00:00:00"/>
    <d v="1899-12-30T09:58:51"/>
    <n v="1665"/>
    <n v="0"/>
    <n v="-3024168.8200002173"/>
    <m/>
    <m/>
    <m/>
    <n v="11647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943"/>
    <s v="Despesa/123987"/>
    <s v="Marcelo De Moraes Melo - Cód. 123987"/>
    <n v="0"/>
    <d v="2015-05-19T00:00:00"/>
    <d v="1899-12-30T09:59:08"/>
    <n v="125.52"/>
    <n v="0"/>
    <n v="-3024294.3400002173"/>
    <m/>
    <m/>
    <m/>
    <n v="123987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0603"/>
    <s v="Recibo/119655"/>
    <s v="Refortran-Drywall Cadeiras - Cód. 119655"/>
    <n v="0"/>
    <d v="2015-05-19T00:00:00"/>
    <d v="1899-12-30T10:00:01"/>
    <n v="2999"/>
    <n v="0"/>
    <n v="-3027293.3400002173"/>
    <m/>
    <m/>
    <m/>
    <n v="119655"/>
    <n v="24"/>
    <s v="Emilly"/>
    <n v="1"/>
    <m/>
    <n v="110"/>
    <d v="2015-05-21T00:00:00"/>
    <d v="2015-05-21T00:00:00"/>
    <m/>
    <m/>
    <n v="2015"/>
    <n v="24"/>
    <m/>
    <m/>
    <m/>
    <m/>
    <s v="T-3.Aquisição de Móveis "/>
    <x v="1"/>
    <s v="COLÉGIO OLIMPO LTDA"/>
    <m/>
    <n v="52"/>
    <n v="2"/>
    <s v="Cheque"/>
    <m/>
    <n v="0"/>
    <m/>
    <n v="0"/>
    <m/>
    <m/>
    <s v="BRB [SOL] [012052-4] [CC] [COB]"/>
    <m/>
    <m/>
    <m/>
  </r>
  <r>
    <n v="270604"/>
    <s v="Extrato"/>
    <s v="Cheque Devolução Cheque"/>
    <n v="8000"/>
    <d v="2015-05-19T00:00:00"/>
    <d v="1899-12-30T10:00:26"/>
    <n v="0"/>
    <n v="0"/>
    <n v="-3019293.3400002173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605"/>
    <s v="Extrato/123780"/>
    <s v="Banco Santander  - Cód. 123780"/>
    <n v="0"/>
    <d v="2015-05-19T00:00:00"/>
    <d v="1899-12-30T10:04:21"/>
    <n v="1567.25"/>
    <n v="0"/>
    <n v="-3020860.5900002173"/>
    <m/>
    <m/>
    <m/>
    <n v="123780"/>
    <n v="7"/>
    <s v="Anapaula"/>
    <n v="1"/>
    <m/>
    <n v="569"/>
    <d v="2015-05-21T00:00:00"/>
    <d v="2015-05-21T00:00:00"/>
    <m/>
    <m/>
    <n v="2015"/>
    <n v="7"/>
    <m/>
    <m/>
    <m/>
    <m/>
    <s v="CA.Resgate de cheques devolvido (CUSTO)"/>
    <x v="1"/>
    <s v="COLÉGIO OLIMPO LTDA"/>
    <m/>
    <n v="7"/>
    <n v="9"/>
    <s v="Débito em conta"/>
    <m/>
    <n v="0"/>
    <m/>
    <n v="0"/>
    <m/>
    <m/>
    <s v="SANT 936-9 GOIANIA"/>
    <m/>
    <m/>
    <m/>
  </r>
  <r>
    <n v="273131"/>
    <s v="Acerto/126936"/>
    <s v="Willian Rodrigues Moreira - Cód. 126936"/>
    <n v="0"/>
    <d v="2015-05-19T00:00:00"/>
    <d v="1899-12-30T10:12:57"/>
    <n v="8174.1"/>
    <n v="0"/>
    <n v="-3029034.6900002174"/>
    <m/>
    <m/>
    <m/>
    <n v="126936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8"/>
    <n v="9"/>
    <s v="Débito em conta"/>
    <m/>
    <n v="0"/>
    <m/>
    <n v="0"/>
    <m/>
    <m/>
    <s v="ITAÚ [GYN] [026016-5] []"/>
    <m/>
    <m/>
    <m/>
  </r>
  <r>
    <n v="273132"/>
    <s v="Acerto/126937"/>
    <s v="Gildo Ribeiro Da Silva Filho - Cód. 126937"/>
    <n v="0"/>
    <d v="2015-05-19T00:00:00"/>
    <d v="1899-12-30T10:14:30"/>
    <n v="2500"/>
    <n v="0"/>
    <n v="-3031534.6900002174"/>
    <m/>
    <m/>
    <m/>
    <n v="126937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3134"/>
    <s v="Transferência Entre Conta"/>
    <s v="Transferência Entre Conta"/>
    <n v="0"/>
    <d v="2015-05-19T00:00:00"/>
    <d v="1899-12-30T10:17:28"/>
    <n v="10900"/>
    <n v="0"/>
    <n v="-3042434.6900002174"/>
    <m/>
    <m/>
    <m/>
    <m/>
    <n v="60"/>
    <s v="Francielly"/>
    <n v="1"/>
    <m/>
    <n v="1471"/>
    <d v="2015-06-16T00:00:00"/>
    <d v="2015-06-24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3135"/>
    <s v="Transferência Entre Conta"/>
    <s v="Destino: 273134-Transferência Entre Conta"/>
    <n v="10900"/>
    <d v="2015-05-19T00:00:00"/>
    <d v="1899-12-30T10:17:28"/>
    <n v="0"/>
    <n v="0"/>
    <n v="-3031534.6900002174"/>
    <m/>
    <m/>
    <m/>
    <m/>
    <n v="60"/>
    <s v="Francielly"/>
    <n v="1"/>
    <m/>
    <n v="1471"/>
    <d v="2015-06-16T00:00:00"/>
    <d v="2015-06-24T00:00:00"/>
    <m/>
    <m/>
    <n v="2015"/>
    <n v="24"/>
    <m/>
    <m/>
    <n v="27313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573"/>
    <s v="875/124411"/>
    <s v="Skill Sinalização E Impressão Ltda-ME - Cód. 124411"/>
    <n v="0"/>
    <d v="2015-05-19T00:00:00"/>
    <d v="1899-12-30T10:20:03"/>
    <n v="7"/>
    <n v="0"/>
    <n v="-3031541.6900002174"/>
    <m/>
    <m/>
    <m/>
    <n v="124411"/>
    <n v="24"/>
    <s v="Emilly"/>
    <n v="1"/>
    <m/>
    <n v="162"/>
    <d v="2015-06-02T00:00:00"/>
    <d v="2015-06-02T00:00:00"/>
    <m/>
    <m/>
    <n v="2015"/>
    <n v="24"/>
    <m/>
    <m/>
    <m/>
    <m/>
    <s v="T-3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271574"/>
    <s v="878/124412"/>
    <s v="Skill Sinalização E Impressão Ltda-ME - Cód. 124412"/>
    <n v="0"/>
    <d v="2015-05-19T00:00:00"/>
    <d v="1899-12-30T10:20:44"/>
    <n v="7"/>
    <n v="0"/>
    <n v="-3031548.6900002174"/>
    <m/>
    <m/>
    <m/>
    <n v="124412"/>
    <n v="24"/>
    <s v="Emilly"/>
    <n v="1"/>
    <m/>
    <n v="162"/>
    <d v="2015-06-02T00:00:00"/>
    <d v="2015-06-02T00:00:00"/>
    <m/>
    <m/>
    <n v="2015"/>
    <n v="24"/>
    <m/>
    <m/>
    <m/>
    <m/>
    <s v="T-3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270957"/>
    <s v="LRF/124004"/>
    <s v="Lr Fomento - Cód. 124004"/>
    <n v="0"/>
    <d v="2015-05-19T00:00:00"/>
    <d v="1899-12-30T10:21:15"/>
    <n v="2579"/>
    <n v="0"/>
    <n v="-3034127.6900002174"/>
    <m/>
    <m/>
    <m/>
    <n v="124004"/>
    <n v="24"/>
    <s v="Emilly"/>
    <n v="1"/>
    <m/>
    <n v="1436"/>
    <d v="2015-05-25T00:00:00"/>
    <d v="2015-05-25T00:00:00"/>
    <m/>
    <m/>
    <n v="2015"/>
    <n v="24"/>
    <m/>
    <m/>
    <m/>
    <m/>
    <s v="Operação de Crédito"/>
    <x v="2"/>
    <s v="COLÉGIO OLIMPO LTDA"/>
    <m/>
    <n v="8"/>
    <n v="9"/>
    <s v="Débito em conta"/>
    <m/>
    <n v="0"/>
    <m/>
    <n v="0"/>
    <m/>
    <m/>
    <s v="ITAÚ [GYN] [026016-5] []"/>
    <m/>
    <m/>
    <m/>
  </r>
  <r>
    <n v="270634"/>
    <s v="Extrato/123800"/>
    <s v="Banco Do Brasil - Par. 123800(06-8)"/>
    <n v="0"/>
    <d v="2015-05-19T00:00:00"/>
    <d v="1899-12-30T10:22:09"/>
    <n v="7.8"/>
    <n v="0"/>
    <n v="-3034135.4900002172"/>
    <m/>
    <m/>
    <m/>
    <n v="123800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5"/>
    <s v="Extrato/123801"/>
    <s v="Banco Do Brasil - Par. 123801(07-8)"/>
    <n v="0"/>
    <d v="2015-05-19T00:00:00"/>
    <d v="1899-12-30T10:22:09"/>
    <n v="7.8"/>
    <n v="0"/>
    <n v="-3034143.290000217"/>
    <m/>
    <m/>
    <m/>
    <n v="123801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6"/>
    <s v="Extrato/123802"/>
    <s v="Banco Do Brasil - Par. 123802(08-8)"/>
    <n v="0"/>
    <d v="2015-05-19T00:00:00"/>
    <d v="1899-12-30T10:22:09"/>
    <n v="7.8"/>
    <n v="0"/>
    <n v="-3034151.0900002168"/>
    <m/>
    <m/>
    <m/>
    <n v="12380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9"/>
    <s v="Extrato/123795"/>
    <s v="Banco Do Brasil - Par. 123795(01-8)"/>
    <n v="0"/>
    <d v="2015-05-19T00:00:00"/>
    <d v="1899-12-30T10:22:09"/>
    <n v="7.8"/>
    <n v="0"/>
    <n v="-3034158.8900002167"/>
    <m/>
    <m/>
    <m/>
    <n v="123795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0"/>
    <s v="Extrato/123796"/>
    <s v="Banco Do Brasil - Par. 123796(02-8)"/>
    <n v="0"/>
    <d v="2015-05-19T00:00:00"/>
    <d v="1899-12-30T10:22:09"/>
    <n v="7.8"/>
    <n v="0"/>
    <n v="-3034166.6900002165"/>
    <m/>
    <m/>
    <m/>
    <n v="12379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1"/>
    <s v="Extrato/123797"/>
    <s v="Banco Do Brasil - Par. 123797(03-8)"/>
    <n v="0"/>
    <d v="2015-05-19T00:00:00"/>
    <d v="1899-12-30T10:22:09"/>
    <n v="7.8"/>
    <n v="0"/>
    <n v="-3034174.4900002163"/>
    <m/>
    <m/>
    <m/>
    <n v="123797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2"/>
    <s v="Extrato/123798"/>
    <s v="Banco Do Brasil - Par. 123798(04-8)"/>
    <n v="0"/>
    <d v="2015-05-19T00:00:00"/>
    <d v="1899-12-30T10:22:09"/>
    <n v="7.8"/>
    <n v="0"/>
    <n v="-3034182.2900002161"/>
    <m/>
    <m/>
    <m/>
    <n v="123798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3"/>
    <s v="Extrato/123799"/>
    <s v="Banco Do Brasil - Par. 123799(05-8)"/>
    <n v="0"/>
    <d v="2015-05-19T00:00:00"/>
    <d v="1899-12-30T10:22:09"/>
    <n v="7.8"/>
    <n v="0"/>
    <n v="-3034190.0900002159"/>
    <m/>
    <m/>
    <m/>
    <n v="123799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2628"/>
    <n v="192630"/>
    <s v="Retorno: Par. 192630(05/12) - 019776/GIO - Mensalidades"/>
    <n v="1473"/>
    <d v="2015-05-19T00:00:00"/>
    <d v="1899-12-30T10:29:37"/>
    <n v="0"/>
    <n v="0"/>
    <n v="-3032717.0900002159"/>
    <m/>
    <m/>
    <n v="192630"/>
    <m/>
    <n v="14"/>
    <s v="Renato"/>
    <n v="1"/>
    <m/>
    <n v="2"/>
    <d v="2015-06-09T00:00:00"/>
    <d v="2015-06-09T00:00:00"/>
    <n v="28947"/>
    <n v="2015051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9"/>
    <n v="192928"/>
    <s v="Retorno: Par. 192928(05/12) - 018253/HEN - Mensalidades"/>
    <n v="1473"/>
    <d v="2015-05-19T00:00:00"/>
    <d v="1899-12-30T10:29:37"/>
    <n v="0"/>
    <n v="0"/>
    <n v="-3031244.0900002159"/>
    <m/>
    <m/>
    <n v="192928"/>
    <m/>
    <n v="14"/>
    <s v="Renato"/>
    <n v="1"/>
    <m/>
    <n v="2"/>
    <d v="2015-06-09T00:00:00"/>
    <d v="2015-06-09T00:00:00"/>
    <n v="28948"/>
    <n v="2015051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3138"/>
    <s v="Salário/126938"/>
    <s v="Jean Marquez Fernandes - Cód. 126938"/>
    <n v="0"/>
    <d v="2015-05-19T00:00:00"/>
    <d v="1899-12-30T10:33:43"/>
    <n v="4500"/>
    <n v="0"/>
    <n v="-3035744.0900002159"/>
    <m/>
    <m/>
    <m/>
    <n v="126938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0757"/>
    <s v="Transferência Entre Conta"/>
    <s v="Transferência Entre Conta"/>
    <n v="0"/>
    <d v="2015-05-19T00:00:00"/>
    <d v="1899-12-30T10:49:30"/>
    <n v="7300"/>
    <n v="0"/>
    <n v="-30430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758"/>
    <s v="Transferência Entre Conta"/>
    <s v="Destino: 270757-Transferência Entre Conta"/>
    <n v="7300"/>
    <d v="2015-05-19T00:00:00"/>
    <d v="1899-12-30T10:49:30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57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59"/>
    <s v="Transferência Entre Conta"/>
    <s v="Transferência Entre Conta"/>
    <n v="0"/>
    <d v="2015-05-19T00:00:00"/>
    <d v="1899-12-30T10:52:12"/>
    <n v="5000"/>
    <n v="0"/>
    <n v="-30407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2"/>
    <s v="ITAÚ [SOL] [001691-4] [CC]"/>
    <m/>
    <m/>
    <m/>
  </r>
  <r>
    <n v="270760"/>
    <s v="Transferência Entre Conta"/>
    <s v="Destino: 270759-Transferência Entre Conta"/>
    <n v="5000"/>
    <d v="2015-05-19T00:00:00"/>
    <d v="1899-12-30T10:52:12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59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761"/>
    <s v="Transferência Entre Conta"/>
    <s v="Transferência Entre Conta"/>
    <n v="0"/>
    <d v="2015-05-19T00:00:00"/>
    <d v="1899-12-30T10:55:05"/>
    <n v="2300"/>
    <n v="0"/>
    <n v="-30380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0762"/>
    <s v="Transferência Entre Conta"/>
    <s v="Destino: 270761-Transferência Entre Conta"/>
    <n v="2300"/>
    <d v="2015-05-19T00:00:00"/>
    <d v="1899-12-30T10:55:05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61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763"/>
    <s v="Transferência Entre Conta"/>
    <s v="Transferência Entre Conta"/>
    <n v="0"/>
    <d v="2015-05-19T00:00:00"/>
    <d v="1899-12-30T10:55:50"/>
    <n v="1300"/>
    <n v="0"/>
    <n v="-30370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764"/>
    <s v="Transferência Entre Conta"/>
    <s v="Destino: 270763-Transferência Entre Conta"/>
    <n v="1300"/>
    <d v="2015-05-19T00:00:00"/>
    <d v="1899-12-30T10:55:50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63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76"/>
    <s v="Transferência Entre Conta"/>
    <s v="Transferência Entre Conta"/>
    <n v="0"/>
    <d v="2015-05-19T00:00:00"/>
    <d v="1899-12-30T11:02:31"/>
    <n v="5000"/>
    <n v="0"/>
    <n v="-30407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777"/>
    <s v="Transferência Entre Conta"/>
    <s v="Destino: 270776-Transferência Entre Conta"/>
    <n v="5000"/>
    <d v="2015-05-19T00:00:00"/>
    <d v="1899-12-30T11:02:31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76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778"/>
    <s v="Transferência Entre Conta"/>
    <s v="Transferência Entre Conta"/>
    <n v="0"/>
    <d v="2015-05-19T00:00:00"/>
    <d v="1899-12-30T11:03:00"/>
    <n v="11000"/>
    <n v="0"/>
    <n v="-30467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779"/>
    <s v="Transferência Entre Conta"/>
    <s v="Destino: 270778-Transferência Entre Conta"/>
    <n v="11000"/>
    <d v="2015-05-19T00:00:00"/>
    <d v="1899-12-30T11:03:00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78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80"/>
    <s v="Transferência Entre Conta"/>
    <s v="Transferência Entre Conta"/>
    <n v="0"/>
    <d v="2015-05-19T00:00:00"/>
    <d v="1899-12-30T11:03:25"/>
    <n v="10600"/>
    <n v="0"/>
    <n v="-30463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781"/>
    <s v="Transferência Entre Conta"/>
    <s v="Destino: 270780-Transferência Entre Conta"/>
    <n v="10600"/>
    <d v="2015-05-19T00:00:00"/>
    <d v="1899-12-30T11:03:25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82"/>
    <s v="Transferência Entre Conta"/>
    <s v="Transferência Entre Conta"/>
    <n v="0"/>
    <d v="2015-05-19T00:00:00"/>
    <d v="1899-12-30T11:03:53"/>
    <n v="10800"/>
    <n v="0"/>
    <n v="-30465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783"/>
    <s v="Transferência Entre Conta"/>
    <s v="Destino: 270782-Transferência Entre Conta"/>
    <n v="10800"/>
    <d v="2015-05-19T00:00:00"/>
    <d v="1899-12-30T11:03:53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84"/>
    <s v="Transferência Entre Conta"/>
    <s v="Transferência Entre Conta"/>
    <n v="0"/>
    <d v="2015-05-19T00:00:00"/>
    <d v="1899-12-30T11:04:15"/>
    <n v="10200"/>
    <n v="0"/>
    <n v="-30459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785"/>
    <s v="Transferência Entre Conta"/>
    <s v="Destino: 270784-Transferência Entre Conta"/>
    <n v="10200"/>
    <d v="2015-05-19T00:00:00"/>
    <d v="1899-12-30T11:04:15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4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86"/>
    <s v="Transferência Entre Conta"/>
    <s v="Transferência Entre Conta"/>
    <n v="0"/>
    <d v="2015-05-19T00:00:00"/>
    <d v="1899-12-30T11:04:39"/>
    <n v="10500"/>
    <n v="0"/>
    <n v="-30462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787"/>
    <s v="Transferência Entre Conta"/>
    <s v="Destino: 270786-Transferência Entre Conta"/>
    <n v="10500"/>
    <d v="2015-05-19T00:00:00"/>
    <d v="1899-12-30T11:04:39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6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88"/>
    <s v="Transferência Entre Conta"/>
    <s v="Transferência Entre Conta"/>
    <n v="0"/>
    <d v="2015-05-19T00:00:00"/>
    <d v="1899-12-30T11:05:02"/>
    <n v="500"/>
    <n v="0"/>
    <n v="-30362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8"/>
    <s v="ITAÚ [SOL] [001691-4] [CC]"/>
    <m/>
    <m/>
    <m/>
  </r>
  <r>
    <n v="270789"/>
    <s v="Transferência Entre Conta"/>
    <s v="Destino: 270788-Transferência Entre Conta"/>
    <n v="500"/>
    <d v="2015-05-19T00:00:00"/>
    <d v="1899-12-30T11:05:02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8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91"/>
    <s v="Entrada"/>
    <s v="Empréstimo Diego Bernadelli"/>
    <n v="44868.32"/>
    <d v="2015-05-19T00:00:00"/>
    <d v="1899-12-30T11:07:30"/>
    <n v="0"/>
    <n v="0"/>
    <n v="-2990875.7700002161"/>
    <m/>
    <m/>
    <m/>
    <m/>
    <n v="24"/>
    <s v="Emilly"/>
    <n v="1"/>
    <m/>
    <n v="1631"/>
    <d v="2015-05-22T00:00:00"/>
    <d v="2015-05-22T00:00:00"/>
    <m/>
    <m/>
    <n v="2015"/>
    <n v="24"/>
    <m/>
    <m/>
    <m/>
    <m/>
    <s v="Empréstimo Resp. OLimpo"/>
    <x v="2"/>
    <s v="COLÉGIO OLIMPO LTDA"/>
    <m/>
    <n v="4"/>
    <n v="9"/>
    <s v="Débito em conta"/>
    <m/>
    <m/>
    <m/>
    <n v="0"/>
    <m/>
    <m/>
    <s v="BB [022382-4] [GYN] [CC]"/>
    <m/>
    <m/>
    <m/>
  </r>
  <r>
    <n v="270670"/>
    <s v="Extrato/123819"/>
    <s v="Bradesco - Cód. 123819"/>
    <n v="0"/>
    <d v="2015-05-19T00:00:00"/>
    <d v="1899-12-30T11:26:01"/>
    <n v="27"/>
    <n v="0"/>
    <n v="-2990902.7700002161"/>
    <m/>
    <m/>
    <m/>
    <n v="12381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47"/>
    <s v="Extrato"/>
    <s v="Depósito em Dinheiro"/>
    <n v="11745"/>
    <d v="2015-05-19T00:00:00"/>
    <d v="1899-12-30T11:29:09"/>
    <n v="0"/>
    <n v="0"/>
    <n v="-2979157.7700002161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2080"/>
    <n v="197622"/>
    <s v="Retorno: Par. 197622(05/12) - 19917/LUÍ - Mensalidades"/>
    <n v="1473"/>
    <d v="2015-05-19T00:00:00"/>
    <d v="1899-12-30T12:00:00"/>
    <n v="0"/>
    <n v="0"/>
    <n v="-2977684.7700002161"/>
    <m/>
    <m/>
    <n v="197622"/>
    <m/>
    <n v="1"/>
    <s v="Andre"/>
    <n v="1"/>
    <m/>
    <n v="2"/>
    <d v="2015-06-05T00:00:00"/>
    <d v="2015-06-05T00:00:00"/>
    <n v="28509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49"/>
    <n v="204829"/>
    <s v="Retorno: Par. 204829(05/12) - 20164/JEO - Mensalidades"/>
    <n v="1724"/>
    <d v="2015-05-19T00:00:00"/>
    <d v="1899-12-30T12:00:00"/>
    <n v="0"/>
    <n v="0"/>
    <n v="-2975960.7700002161"/>
    <m/>
    <m/>
    <n v="204829"/>
    <m/>
    <n v="1"/>
    <s v="Andre"/>
    <n v="1"/>
    <m/>
    <n v="2"/>
    <d v="2015-06-30T00:00:00"/>
    <d v="2015-06-30T00:00:00"/>
    <n v="2913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0793"/>
    <s v="Extrato"/>
    <s v="Credito Ch Devolvido"/>
    <n v="27500"/>
    <d v="2015-05-19T00:00:00"/>
    <d v="1899-12-30T13:00:20"/>
    <n v="0"/>
    <n v="0"/>
    <n v="-2948460.7700002161"/>
    <m/>
    <m/>
    <m/>
    <m/>
    <n v="24"/>
    <s v="Emilly"/>
    <n v="1"/>
    <m/>
    <n v="1588"/>
    <d v="2015-05-22T00:00:00"/>
    <d v="2015-05-2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832"/>
    <s v="Extrato/123933"/>
    <s v="Banco Brb - Cód. 123933"/>
    <n v="0"/>
    <d v="2015-05-19T00:00:00"/>
    <d v="1899-12-30T13:10:35"/>
    <n v="27500"/>
    <n v="0"/>
    <n v="-2975960.7700002161"/>
    <m/>
    <m/>
    <m/>
    <n v="123933"/>
    <n v="24"/>
    <s v="Emilly"/>
    <n v="1"/>
    <m/>
    <n v="569"/>
    <d v="2015-05-22T00:00:00"/>
    <d v="2015-05-22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845"/>
    <s v="Extrato"/>
    <s v="Cheque BB Liquidado"/>
    <n v="2900"/>
    <d v="2015-05-19T00:00:00"/>
    <d v="1899-12-30T13:22:48"/>
    <n v="0"/>
    <n v="0"/>
    <n v="-2973060.7700002161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1"/>
    <s v="COLÉGIO OLIMPO LTDA"/>
    <m/>
    <n v="4"/>
    <n v="2"/>
    <s v="Cheque"/>
    <m/>
    <m/>
    <m/>
    <n v="0"/>
    <m/>
    <m/>
    <s v="BB [022382-4] [GYN] [CC]"/>
    <m/>
    <m/>
    <m/>
  </r>
  <r>
    <n v="270846"/>
    <s v="Extrato"/>
    <s v="Cheque BB Liquidado"/>
    <n v="10000"/>
    <d v="2015-05-19T00:00:00"/>
    <d v="1899-12-30T13:23:26"/>
    <n v="0"/>
    <n v="0"/>
    <n v="-2963060.7700002161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1"/>
    <s v="COLÉGIO OLIMPO LTDA"/>
    <m/>
    <n v="4"/>
    <n v="2"/>
    <s v="Cheque"/>
    <m/>
    <m/>
    <m/>
    <n v="0"/>
    <m/>
    <m/>
    <s v="BB [022382-4] [GYN] [CC]"/>
    <m/>
    <m/>
    <m/>
  </r>
  <r>
    <n v="270847"/>
    <s v="Extrato"/>
    <s v="Empréstimo Roberta Bastos lr"/>
    <n v="36528"/>
    <d v="2015-05-19T00:00:00"/>
    <d v="1899-12-30T13:24:21"/>
    <n v="0"/>
    <n v="0"/>
    <n v="-2926532.7700002161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1"/>
    <s v="COLÉGIO OLIMPO LTDA"/>
    <m/>
    <n v="4"/>
    <n v="9"/>
    <s v="Débito em conta"/>
    <m/>
    <m/>
    <m/>
    <n v="0"/>
    <m/>
    <m/>
    <s v="BB [022382-4] [GYN] [CC]"/>
    <m/>
    <m/>
    <m/>
  </r>
  <r>
    <n v="274076"/>
    <s v="Maio/127360"/>
    <s v="Rogério Carlos Camargo Matias  - Cód. 127360"/>
    <n v="0"/>
    <d v="2015-05-19T00:00:00"/>
    <d v="1899-12-30T13:41:02"/>
    <n v="1489.76"/>
    <n v="0"/>
    <n v="-2928022.5300002159"/>
    <m/>
    <m/>
    <m/>
    <n v="127360"/>
    <n v="24"/>
    <s v="Emilly"/>
    <n v="1"/>
    <m/>
    <n v="1414"/>
    <d v="2015-06-25T00:00:00"/>
    <d v="2015-06-25T00:00:00"/>
    <m/>
    <m/>
    <n v="2015"/>
    <n v="24"/>
    <m/>
    <m/>
    <m/>
    <m/>
    <s v="T-27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853"/>
    <s v="Ant.Cob/123940"/>
    <s v="Banco Brb - Cód. 123940"/>
    <n v="0"/>
    <d v="2015-05-19T00:00:00"/>
    <d v="1899-12-30T14:16:18"/>
    <n v="1473"/>
    <n v="0"/>
    <n v="-2929495.5300002159"/>
    <m/>
    <m/>
    <m/>
    <n v="123940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2"/>
    <s v="Ant.Cob/123939"/>
    <s v="Banco Brb - Cód. 123939"/>
    <n v="0"/>
    <d v="2015-05-19T00:00:00"/>
    <d v="1899-12-30T14:16:18"/>
    <n v="1473"/>
    <n v="0"/>
    <n v="-2930968.5300002159"/>
    <m/>
    <m/>
    <m/>
    <n v="123939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677"/>
    <s v="044837/123822"/>
    <s v="Posto De Combustível - Cód. 123822"/>
    <n v="0"/>
    <d v="2015-05-19T00:00:00"/>
    <d v="1899-12-30T14:24:03"/>
    <n v="100"/>
    <n v="0"/>
    <n v="-2931068.5300002159"/>
    <m/>
    <m/>
    <m/>
    <n v="123822"/>
    <n v="24"/>
    <s v="Emilly"/>
    <n v="1"/>
    <m/>
    <n v="512"/>
    <d v="2015-05-21T00:00:00"/>
    <d v="2015-05-21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0678"/>
    <s v="053575/123823"/>
    <s v="Grupo Olimpo - Cód. 123823"/>
    <n v="0"/>
    <d v="2015-05-19T00:00:00"/>
    <d v="1899-12-30T14:25:07"/>
    <n v="19.39"/>
    <n v="0"/>
    <n v="-2931087.920000216"/>
    <m/>
    <m/>
    <m/>
    <n v="123823"/>
    <n v="24"/>
    <s v="Emilly"/>
    <n v="1"/>
    <m/>
    <n v="496"/>
    <d v="2015-05-21T00:00:00"/>
    <d v="2015-05-21T00:00:00"/>
    <m/>
    <m/>
    <n v="2015"/>
    <n v="24"/>
    <m/>
    <m/>
    <m/>
    <m/>
    <s v="CA.Alimentação (DESPESA)"/>
    <x v="1"/>
    <s v="COLÉGIO OLIMPO LTDA"/>
    <m/>
    <n v="56"/>
    <n v="1"/>
    <s v="Dinheiro"/>
    <m/>
    <n v="0"/>
    <m/>
    <n v="0"/>
    <m/>
    <m/>
    <s v="CAIXA TESOURARIA"/>
    <m/>
    <m/>
    <m/>
  </r>
  <r>
    <n v="274243"/>
    <s v="Abril/127446"/>
    <s v="José Calíope de Freitas Junior - Cód. 127446"/>
    <n v="0"/>
    <d v="2015-05-19T00:00:00"/>
    <d v="1899-12-30T14:25:28"/>
    <n v="6552.93"/>
    <n v="0"/>
    <n v="-2937640.8500002162"/>
    <m/>
    <m/>
    <m/>
    <n v="127446"/>
    <n v="25"/>
    <s v="Marcela"/>
    <n v="1"/>
    <m/>
    <n v="314"/>
    <d v="2015-06-26T00:00:00"/>
    <d v="2015-06-26T00:00:00"/>
    <m/>
    <m/>
    <n v="2015"/>
    <n v="25"/>
    <m/>
    <m/>
    <m/>
    <m/>
    <s v="Marista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4244"/>
    <s v="Abril/124462"/>
    <s v="Marcelo Silva - Cód. 124462"/>
    <n v="0"/>
    <d v="2015-05-19T00:00:00"/>
    <d v="1899-12-30T14:26:39"/>
    <n v="4273.5"/>
    <n v="0"/>
    <n v="-2941914.3500002162"/>
    <m/>
    <m/>
    <m/>
    <n v="124462"/>
    <n v="25"/>
    <s v="Marcela"/>
    <n v="1"/>
    <m/>
    <n v="314"/>
    <d v="2015-06-26T00:00:00"/>
    <d v="2015-06-26T00:00:00"/>
    <m/>
    <m/>
    <n v="2015"/>
    <n v="25"/>
    <m/>
    <m/>
    <m/>
    <m/>
    <s v="Marista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6038"/>
    <s v="Abril/128606"/>
    <s v="Everton De Almeida Menezes - Cód. 128606"/>
    <n v="0"/>
    <d v="2015-05-19T00:00:00"/>
    <d v="1899-12-30T14:51:21"/>
    <n v="18388.98"/>
    <n v="0"/>
    <n v="-2960303.3300002161"/>
    <m/>
    <m/>
    <m/>
    <n v="128606"/>
    <n v="12"/>
    <s v="Gisele"/>
    <n v="1"/>
    <m/>
    <n v="1546"/>
    <d v="2015-07-03T00:00:00"/>
    <d v="2015-07-03T00:00:00"/>
    <m/>
    <m/>
    <n v="2015"/>
    <n v="12"/>
    <m/>
    <m/>
    <m/>
    <m/>
    <s v="Aná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6040"/>
    <s v="Abril/128609"/>
    <s v="Ronnie Carlos Lourenço - Cód. 128609"/>
    <n v="0"/>
    <d v="2015-05-19T00:00:00"/>
    <d v="1899-12-30T14:53:36"/>
    <n v="15067.5"/>
    <n v="0"/>
    <n v="-2975370.8300002161"/>
    <m/>
    <m/>
    <m/>
    <n v="128609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6042"/>
    <s v="Abril/128613"/>
    <s v="Maria Lúcia Zambon Alves - Cód. 128613"/>
    <n v="0"/>
    <d v="2015-05-19T00:00:00"/>
    <d v="1899-12-30T15:00:59"/>
    <n v="13675.2"/>
    <n v="0"/>
    <n v="-2989046.0300002163"/>
    <m/>
    <m/>
    <m/>
    <n v="128613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6047"/>
    <s v="Abril/128620"/>
    <s v="Willian Rodrigues Moreira - Cód. 128620"/>
    <n v="0"/>
    <d v="2015-05-19T00:00:00"/>
    <d v="1899-12-30T15:21:30"/>
    <n v="8174.1"/>
    <n v="0"/>
    <n v="-2997220.1300002164"/>
    <m/>
    <m/>
    <m/>
    <n v="128620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6055"/>
    <s v="Diego Bernadelli"/>
    <s v="Empréstimo Consignado "/>
    <n v="47131.68"/>
    <d v="2015-05-19T00:00:00"/>
    <d v="1899-12-30T15:35:27"/>
    <n v="0"/>
    <n v="0"/>
    <n v="-2950088.4500002163"/>
    <m/>
    <m/>
    <m/>
    <m/>
    <n v="7"/>
    <s v="Anapaula"/>
    <n v="1"/>
    <m/>
    <n v="1631"/>
    <d v="2015-07-03T00:00:00"/>
    <d v="2015-07-03T00:00:00"/>
    <m/>
    <m/>
    <n v="2015"/>
    <n v="7"/>
    <m/>
    <m/>
    <m/>
    <m/>
    <s v="Empréstimo Resp. OLimpo"/>
    <x v="2"/>
    <s v="COLÉGIO OLIMPO LTDA"/>
    <m/>
    <n v="56"/>
    <n v="1"/>
    <s v="Dinheiro"/>
    <m/>
    <m/>
    <m/>
    <n v="0"/>
    <m/>
    <m/>
    <s v="CAIXA TESOURARIA"/>
    <m/>
    <m/>
    <m/>
  </r>
  <r>
    <n v="270865"/>
    <s v="Rescisão/123835"/>
    <s v="Rescisão - Grupo Olimpo - Cód. 123835"/>
    <n v="0"/>
    <d v="2015-05-19T00:00:00"/>
    <d v="1899-12-30T15:39:09"/>
    <n v="1386"/>
    <n v="0"/>
    <n v="-2951474.4500002163"/>
    <m/>
    <m/>
    <m/>
    <n v="123835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66"/>
    <s v="Rescisão/123836"/>
    <s v="Rescisão - Grupo Olimpo - Cód. 123836"/>
    <n v="0"/>
    <d v="2015-05-19T00:00:00"/>
    <d v="1899-12-30T15:39:26"/>
    <n v="1386"/>
    <n v="0"/>
    <n v="-2952860.4500002163"/>
    <m/>
    <m/>
    <m/>
    <n v="123836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67"/>
    <s v="Rescisão/123833"/>
    <s v="Rescisão - Grupo Olimpo - Cód. 123833"/>
    <n v="0"/>
    <d v="2015-05-19T00:00:00"/>
    <d v="1899-12-30T15:39:39"/>
    <n v="1386"/>
    <n v="0"/>
    <n v="-2954246.4500002163"/>
    <m/>
    <m/>
    <m/>
    <n v="123833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68"/>
    <s v="Rescisão/123832"/>
    <s v="Rescisão - Grupo Olimpo - Cód. 123832"/>
    <n v="0"/>
    <d v="2015-05-19T00:00:00"/>
    <d v="1899-12-30T15:39:53"/>
    <n v="1386"/>
    <n v="0"/>
    <n v="-2955632.4500002163"/>
    <m/>
    <m/>
    <m/>
    <n v="123832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69"/>
    <s v="Devolução/123834"/>
    <s v="Rescisão - Grupo Olimpo - Cód. 123834"/>
    <n v="0"/>
    <d v="2015-05-19T00:00:00"/>
    <d v="1899-12-30T15:40:14"/>
    <n v="1280"/>
    <n v="0"/>
    <n v="-2956912.4500002163"/>
    <m/>
    <m/>
    <m/>
    <n v="123834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71"/>
    <s v="Extrato/123951"/>
    <s v="Bradesco - Cód. 123951"/>
    <n v="0"/>
    <d v="2015-05-19T00:00:00"/>
    <d v="1899-12-30T15:41:15"/>
    <n v="77"/>
    <n v="0"/>
    <n v="-2956989.4500002163"/>
    <m/>
    <m/>
    <m/>
    <n v="12395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902"/>
    <s v="0252416625-0/110503"/>
    <s v="Gvt  - Par. 110503(05-12)"/>
    <n v="0"/>
    <d v="2015-05-19T00:00:00"/>
    <d v="1899-12-30T16:48:13"/>
    <n v="385.03"/>
    <n v="0"/>
    <n v="-2957374.480000216"/>
    <m/>
    <m/>
    <m/>
    <n v="110503"/>
    <n v="24"/>
    <s v="Emilly"/>
    <n v="1"/>
    <m/>
    <n v="1427"/>
    <d v="2015-05-22T00:00:00"/>
    <d v="2015-05-22T00:00:00"/>
    <m/>
    <m/>
    <n v="2015"/>
    <n v="24"/>
    <m/>
    <m/>
    <m/>
    <m/>
    <s v="T-27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73"/>
    <n v="188474"/>
    <s v="Par.(03/12) 018349/ROBERTA TEODORO GOMES GRE - Mensalidades"/>
    <n v="1586.92"/>
    <d v="2015-05-19T00:00:00"/>
    <d v="1899-12-30T16:49:50"/>
    <n v="0"/>
    <n v="0"/>
    <n v="-2955787.5600002161"/>
    <m/>
    <m/>
    <n v="18847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474"/>
    <n v="189864"/>
    <s v="Par.(04/12) 018349/ROBERTA TEODORO GOMES GRE - Mensalidades"/>
    <n v="1572.23"/>
    <d v="2015-05-19T00:00:00"/>
    <d v="1899-12-30T16:49:50"/>
    <n v="0"/>
    <n v="0"/>
    <n v="-2954215.3300002161"/>
    <m/>
    <m/>
    <n v="18986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903"/>
    <s v="0250839501-0/109743"/>
    <s v="Gvt  - Cód. 109743"/>
    <n v="0"/>
    <d v="2015-05-19T00:00:00"/>
    <d v="1899-12-30T16:50:51"/>
    <n v="1079.6400000000001"/>
    <n v="0"/>
    <n v="-2955294.9700002163"/>
    <m/>
    <m/>
    <m/>
    <n v="109743"/>
    <n v="24"/>
    <s v="Emilly"/>
    <n v="1"/>
    <m/>
    <n v="187"/>
    <d v="2015-05-22T00:00:00"/>
    <d v="2015-05-22T00:00:00"/>
    <m/>
    <m/>
    <n v="2015"/>
    <n v="24"/>
    <m/>
    <m/>
    <m/>
    <m/>
    <s v="T-3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04"/>
    <s v="0251027857-0/123952"/>
    <s v="Gvt  - Cód. 123952"/>
    <n v="0"/>
    <d v="2015-05-19T00:00:00"/>
    <d v="1899-12-30T16:52:41"/>
    <n v="321.54000000000002"/>
    <n v="0"/>
    <n v="-2955616.5100002163"/>
    <m/>
    <m/>
    <m/>
    <n v="123952"/>
    <n v="24"/>
    <s v="Emilly"/>
    <n v="1"/>
    <m/>
    <n v="1550"/>
    <d v="2015-05-22T00:00:00"/>
    <d v="2015-05-22T00:00:00"/>
    <m/>
    <m/>
    <n v="2015"/>
    <n v="24"/>
    <m/>
    <m/>
    <m/>
    <m/>
    <s v="Aná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05"/>
    <s v="865531979/123953"/>
    <s v="Claro - Cód. 123953"/>
    <n v="0"/>
    <d v="2015-05-19T00:00:00"/>
    <d v="1899-12-30T16:54:15"/>
    <n v="39.799999999999997"/>
    <n v="0"/>
    <n v="-2955656.3100002161"/>
    <m/>
    <m/>
    <m/>
    <n v="123953"/>
    <n v="24"/>
    <s v="Emilly"/>
    <n v="1"/>
    <m/>
    <n v="384"/>
    <d v="2015-05-22T00:00:00"/>
    <d v="2015-05-22T00:00:00"/>
    <m/>
    <m/>
    <n v="2015"/>
    <n v="24"/>
    <m/>
    <m/>
    <m/>
    <m/>
    <s v="Marista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06"/>
    <s v="Despesa/123954"/>
    <s v="Marcelo De Moraes Melo - Cód. 123954"/>
    <n v="0"/>
    <d v="2015-05-19T00:00:00"/>
    <d v="1899-12-30T16:55:06"/>
    <n v="2100"/>
    <n v="0"/>
    <n v="-2957756.3100002161"/>
    <m/>
    <m/>
    <m/>
    <n v="123954"/>
    <n v="24"/>
    <s v="Emilly"/>
    <n v="1"/>
    <m/>
    <n v="1455"/>
    <d v="2015-05-22T00:00:00"/>
    <d v="2015-05-22T00:00:00"/>
    <m/>
    <m/>
    <n v="2015"/>
    <n v="24"/>
    <m/>
    <m/>
    <m/>
    <m/>
    <s v="Marcelo.Despesas Particular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76"/>
    <s v="DEPÓSITO 2015-05-19"/>
    <s v="PAGAMENTO DA MENSALIDADE DE ABRIL/2015, DO(A) ALUNO(A) LUCCA GABRIEL MICHELON_ANÁPOLIS"/>
    <n v="1121.72"/>
    <d v="2015-05-19T00:00:00"/>
    <d v="1899-12-30T17:21:36"/>
    <n v="0"/>
    <n v="0"/>
    <n v="-2956634.5900002159"/>
    <m/>
    <m/>
    <m/>
    <m/>
    <n v="8"/>
    <s v="Vinicius"/>
    <n v="1"/>
    <m/>
    <n v="1526"/>
    <d v="2015-05-28T00:00:00"/>
    <d v="2015-05-28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0691"/>
    <s v="0160190-3/110375"/>
    <s v="Saneago - Par. 110375(03-11)"/>
    <n v="0"/>
    <d v="2015-05-20T00:00:00"/>
    <d v="1899-12-30T09:03:46"/>
    <n v="1148.31"/>
    <n v="0"/>
    <n v="-2957782.900000216"/>
    <m/>
    <m/>
    <m/>
    <n v="110375"/>
    <n v="24"/>
    <s v="Emilly"/>
    <n v="1"/>
    <m/>
    <n v="1429"/>
    <d v="2015-05-22T00:00:00"/>
    <d v="2015-05-22T00:00:00"/>
    <m/>
    <m/>
    <n v="2015"/>
    <n v="24"/>
    <m/>
    <m/>
    <m/>
    <m/>
    <s v="T-27.Água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92"/>
    <s v="375/042015/119709"/>
    <s v="Santa Marta Distribuidora De Drogas - Cód. 119709"/>
    <n v="0"/>
    <d v="2015-05-20T00:00:00"/>
    <d v="1899-12-30T09:07:58"/>
    <n v="313.11"/>
    <n v="0"/>
    <n v="-2958096.0100002158"/>
    <m/>
    <m/>
    <m/>
    <n v="119709"/>
    <n v="24"/>
    <s v="Emilly"/>
    <n v="2"/>
    <m/>
    <n v="555"/>
    <d v="2015-05-22T00:00:00"/>
    <d v="2015-05-22T00:00:00"/>
    <m/>
    <m/>
    <n v="2015"/>
    <n v="24"/>
    <m/>
    <m/>
    <m/>
    <m/>
    <s v="CA.Medicamentos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32"/>
    <s v="Extrato/123972"/>
    <s v="Caixa Econômica Federal - Cód. 123972"/>
    <n v="0"/>
    <d v="2015-05-20T00:00:00"/>
    <d v="1899-12-30T09:29:36"/>
    <n v="1.55"/>
    <n v="0"/>
    <n v="-2958097.5600002157"/>
    <m/>
    <m/>
    <m/>
    <n v="123972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33"/>
    <s v="Extrato/123973"/>
    <s v="Caixa Econômica Federal - Cód. 123973"/>
    <n v="0"/>
    <d v="2015-05-20T00:00:00"/>
    <d v="1899-12-30T09:29:36"/>
    <n v="5.9"/>
    <n v="0"/>
    <n v="-2958103.4600002156"/>
    <m/>
    <m/>
    <m/>
    <n v="123973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81"/>
    <s v="Extrato/124019"/>
    <s v="Banco Do Brasil - Cód. 124019"/>
    <n v="0"/>
    <d v="2015-05-20T00:00:00"/>
    <d v="1899-12-30T09:50:30"/>
    <n v="3149.94"/>
    <n v="0"/>
    <n v="-2961253.4000002155"/>
    <m/>
    <m/>
    <m/>
    <n v="124019"/>
    <n v="7"/>
    <s v="Anapaula"/>
    <n v="1"/>
    <m/>
    <n v="524"/>
    <d v="2015-05-26T00:00:00"/>
    <d v="2015-05-26T00:00:00"/>
    <m/>
    <m/>
    <n v="2015"/>
    <n v="7"/>
    <m/>
    <m/>
    <m/>
    <m/>
    <s v="CA.Empréstimos Bancários (FINANCIAMENTO)"/>
    <x v="2"/>
    <s v="COLÉGIO OLIMPO LTDA"/>
    <m/>
    <n v="4"/>
    <n v="9"/>
    <s v="Débito em conta"/>
    <m/>
    <n v="0"/>
    <m/>
    <n v="0"/>
    <m/>
    <m/>
    <s v="BB [022382-4] [GYN] [CC]"/>
    <m/>
    <m/>
    <m/>
  </r>
  <r>
    <n v="270947"/>
    <s v="Extrato/123991"/>
    <s v="Mercantil Do Brasil - Cód. 123991"/>
    <n v="0"/>
    <d v="2015-05-20T00:00:00"/>
    <d v="1899-12-30T10:01:08"/>
    <n v="200"/>
    <n v="0"/>
    <n v="-2961453.4000002155"/>
    <m/>
    <m/>
    <m/>
    <n v="123991"/>
    <n v="7"/>
    <s v="Anapaula"/>
    <n v="2"/>
    <m/>
    <n v="1514"/>
    <d v="2015-05-25T00:00:00"/>
    <d v="2015-05-25T00:00:00"/>
    <m/>
    <m/>
    <n v="2015"/>
    <n v="7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0606"/>
    <s v="Extrato/123781"/>
    <s v="Banco Santander  - Cód. 123781"/>
    <n v="0"/>
    <d v="2015-05-20T00:00:00"/>
    <d v="1899-12-30T10:04:32"/>
    <n v="5837.38"/>
    <n v="0"/>
    <n v="-2967290.7800002154"/>
    <m/>
    <m/>
    <m/>
    <n v="123781"/>
    <n v="7"/>
    <s v="Anapaula"/>
    <n v="1"/>
    <m/>
    <n v="524"/>
    <d v="2015-05-21T00:00:00"/>
    <d v="2015-05-21T00:00:00"/>
    <m/>
    <m/>
    <n v="2015"/>
    <n v="7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2623"/>
    <n v="193071"/>
    <s v="Retorno: Par. 193071(05/12) - 018130/GAB - Mensalidades"/>
    <n v="1473"/>
    <d v="2015-05-20T00:00:00"/>
    <d v="1899-12-30T10:27:48"/>
    <n v="0"/>
    <n v="0"/>
    <n v="-2965817.7800002154"/>
    <m/>
    <m/>
    <n v="193071"/>
    <m/>
    <n v="14"/>
    <s v="Renato"/>
    <n v="1"/>
    <m/>
    <n v="2"/>
    <d v="2015-06-09T00:00:00"/>
    <d v="2015-06-09T00:00:00"/>
    <n v="28941"/>
    <n v="20150520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752"/>
    <s v="Transferência Entre Conta"/>
    <s v="Transferência Entre Conta"/>
    <n v="0"/>
    <d v="2015-05-20T00:00:00"/>
    <d v="1899-12-30T10:46:39"/>
    <n v="10000"/>
    <n v="0"/>
    <n v="-2975817.780000215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754"/>
    <s v="Transferência Entre Conta"/>
    <s v="Destino: 270752-Transferência Entre Conta"/>
    <n v="10000"/>
    <d v="2015-05-20T00:00:00"/>
    <d v="1899-12-30T10:46:39"/>
    <n v="0"/>
    <n v="0"/>
    <n v="-2965817.7800002154"/>
    <m/>
    <m/>
    <m/>
    <m/>
    <n v="24"/>
    <s v="Emilly"/>
    <n v="1"/>
    <m/>
    <n v="1449"/>
    <d v="2015-05-22T00:00:00"/>
    <d v="2015-05-22T00:00:00"/>
    <m/>
    <m/>
    <n v="2015"/>
    <n v="24"/>
    <m/>
    <m/>
    <n v="27075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55"/>
    <s v="Transferência Entre Conta"/>
    <s v="Transferência Entre Conta"/>
    <n v="0"/>
    <d v="2015-05-20T00:00:00"/>
    <d v="1899-12-30T10:49:00"/>
    <n v="4200"/>
    <n v="0"/>
    <n v="-2970017.780000215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0756"/>
    <s v="Transferência Entre Conta"/>
    <s v="Destino: 270755-Transferência Entre Conta"/>
    <n v="4200"/>
    <d v="2015-05-20T00:00:00"/>
    <d v="1899-12-30T10:49:00"/>
    <n v="0"/>
    <n v="0"/>
    <n v="-2965817.7800002154"/>
    <m/>
    <m/>
    <m/>
    <m/>
    <n v="24"/>
    <s v="Emilly"/>
    <n v="1"/>
    <m/>
    <n v="1449"/>
    <d v="2015-05-22T00:00:00"/>
    <d v="2015-05-22T00:00:00"/>
    <m/>
    <m/>
    <n v="2015"/>
    <n v="24"/>
    <m/>
    <m/>
    <n v="270755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792"/>
    <s v="Entrada"/>
    <s v="Empréstimo Thalita Alves Silva"/>
    <n v="62000"/>
    <d v="2015-05-20T00:00:00"/>
    <d v="1899-12-30T11:10:16"/>
    <n v="0"/>
    <n v="0"/>
    <n v="-2903817.7800002154"/>
    <m/>
    <m/>
    <m/>
    <m/>
    <n v="24"/>
    <s v="Emilly"/>
    <n v="1"/>
    <m/>
    <n v="1631"/>
    <d v="2015-05-22T00:00:00"/>
    <d v="2015-05-22T00:00:00"/>
    <m/>
    <m/>
    <n v="2015"/>
    <n v="24"/>
    <m/>
    <m/>
    <m/>
    <m/>
    <s v="Empréstimo Resp. OLimpo"/>
    <x v="2"/>
    <s v="COLÉGIO OLIMPO LTDA"/>
    <m/>
    <n v="4"/>
    <n v="9"/>
    <s v="Débito em conta"/>
    <m/>
    <m/>
    <m/>
    <n v="0"/>
    <m/>
    <m/>
    <s v="BB [022382-4] [GYN] [CC]"/>
    <m/>
    <m/>
    <m/>
  </r>
  <r>
    <n v="270972"/>
    <s v="Transferência Entre Conta"/>
    <s v="Transferência Entre Conta"/>
    <n v="0"/>
    <d v="2015-05-20T00:00:00"/>
    <d v="1899-12-30T11:25:33"/>
    <n v="32533.59"/>
    <n v="0"/>
    <n v="-2936351.3700002152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"/>
    <s v="FACT: GF FOM. MERC."/>
    <m/>
    <m/>
    <m/>
  </r>
  <r>
    <n v="270973"/>
    <s v="Transferência Entre Conta"/>
    <s v="Destino: 270972-Transferência Entre Conta"/>
    <n v="32533.59"/>
    <d v="2015-05-20T00:00:00"/>
    <d v="1899-12-30T11:25:33"/>
    <n v="0"/>
    <n v="0"/>
    <n v="-2903817.7800002154"/>
    <m/>
    <m/>
    <m/>
    <m/>
    <n v="7"/>
    <s v="Anapaula"/>
    <n v="1"/>
    <m/>
    <n v="1449"/>
    <d v="2015-05-25T00:00:00"/>
    <d v="2015-05-25T00:00:00"/>
    <m/>
    <m/>
    <n v="2015"/>
    <n v="7"/>
    <m/>
    <m/>
    <n v="270972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974"/>
    <s v="Transferência Entre Conta"/>
    <s v="Transferência Entre Conta"/>
    <n v="0"/>
    <d v="2015-05-20T00:00:00"/>
    <d v="1899-12-30T11:25:56"/>
    <n v="35000"/>
    <n v="0"/>
    <n v="-2938817.780000215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"/>
    <s v="FACT: GF FOM. MERC."/>
    <m/>
    <m/>
    <m/>
  </r>
  <r>
    <n v="270976"/>
    <s v="Transferência Entre Conta"/>
    <s v="Destino: 270974-Transferência Entre Conta"/>
    <n v="35000"/>
    <d v="2015-05-20T00:00:00"/>
    <d v="1899-12-30T11:25:56"/>
    <n v="0"/>
    <n v="0"/>
    <n v="-2903817.7800002154"/>
    <m/>
    <m/>
    <m/>
    <m/>
    <n v="7"/>
    <s v="Anapaula"/>
    <n v="1"/>
    <m/>
    <n v="1449"/>
    <d v="2015-05-25T00:00:00"/>
    <d v="2015-05-25T00:00:00"/>
    <m/>
    <m/>
    <n v="2015"/>
    <n v="7"/>
    <m/>
    <m/>
    <n v="270974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977"/>
    <s v="RVF/110944"/>
    <s v="Renato Vieira Ferro - Par. 110944(05-12)"/>
    <n v="0"/>
    <d v="2015-05-20T00:00:00"/>
    <d v="1899-12-30T11:27:31"/>
    <n v="4500"/>
    <n v="0"/>
    <n v="-2908317.7800002154"/>
    <m/>
    <m/>
    <m/>
    <n v="110944"/>
    <n v="7"/>
    <s v="Anapaula"/>
    <n v="1"/>
    <m/>
    <n v="1450"/>
    <d v="2015-05-25T00:00:00"/>
    <d v="2015-05-25T00:00:00"/>
    <m/>
    <m/>
    <n v="2015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ESCO [002429-5] [GYN [CC]"/>
    <m/>
    <m/>
    <m/>
  </r>
  <r>
    <n v="270978"/>
    <s v="Extrato/124017"/>
    <s v="Bradesco S/A - Cód. 124017"/>
    <n v="0"/>
    <d v="2015-05-20T00:00:00"/>
    <d v="1899-12-30T11:29:34"/>
    <n v="40.5"/>
    <n v="0"/>
    <n v="-2908358.2800002154"/>
    <m/>
    <m/>
    <m/>
    <n v="124017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979"/>
    <s v="Extrato/124018"/>
    <s v="Bradesco S/A - Cód. 124018"/>
    <n v="0"/>
    <d v="2015-05-20T00:00:00"/>
    <d v="1899-12-30T11:29:34"/>
    <n v="22"/>
    <n v="0"/>
    <n v="-2908380.2800002154"/>
    <m/>
    <m/>
    <m/>
    <n v="124018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4650"/>
    <n v="204698"/>
    <s v="Retorno: Par. 204698(04/12) - 20323/FER - Mensalidades"/>
    <n v="1854.91"/>
    <d v="2015-05-20T00:00:00"/>
    <d v="1899-12-30T12:00:00"/>
    <n v="0"/>
    <n v="0"/>
    <n v="-2906525.3700002152"/>
    <m/>
    <m/>
    <n v="204698"/>
    <m/>
    <n v="1"/>
    <s v="Andre"/>
    <n v="1"/>
    <m/>
    <n v="2"/>
    <d v="2015-06-30T00:00:00"/>
    <d v="2015-06-30T00:00:00"/>
    <n v="2913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0794"/>
    <s v="Remessa Olimpo Fundamental"/>
    <s v="Remessa Olimpo Fundamental"/>
    <n v="2775"/>
    <d v="2015-05-20T00:00:00"/>
    <d v="1899-12-30T13:01:07"/>
    <n v="0"/>
    <n v="0"/>
    <n v="-2903750.3700002152"/>
    <m/>
    <m/>
    <m/>
    <m/>
    <n v="24"/>
    <s v="Emilly"/>
    <n v="1"/>
    <m/>
    <n v="1431"/>
    <d v="2015-05-22T00:00:00"/>
    <d v="2015-05-22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0795"/>
    <s v="JM/107881"/>
    <s v="Jarbas Melo - Cód. 107881"/>
    <n v="0"/>
    <d v="2015-05-20T00:00:00"/>
    <d v="1899-12-30T13:02:13"/>
    <n v="1200"/>
    <n v="0"/>
    <n v="-2904950.3700002152"/>
    <m/>
    <m/>
    <m/>
    <n v="107881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796"/>
    <s v="Despesa/110565"/>
    <s v="Olimpo Uberlândia - Cód. 110565"/>
    <n v="0"/>
    <d v="2015-05-20T00:00:00"/>
    <d v="1899-12-30T13:02:58"/>
    <n v="2212"/>
    <n v="0"/>
    <n v="-2907162.3700002152"/>
    <m/>
    <m/>
    <m/>
    <n v="110565"/>
    <n v="24"/>
    <s v="Emilly"/>
    <n v="1"/>
    <m/>
    <n v="1527"/>
    <d v="2015-05-22T00:00:00"/>
    <d v="2015-05-22T00:00:00"/>
    <m/>
    <m/>
    <n v="2015"/>
    <n v="24"/>
    <m/>
    <m/>
    <m/>
    <m/>
    <s v="Uber.Despesa diversas"/>
    <x v="1"/>
    <s v="COLÉGIO OLIMPO LTDA"/>
    <m/>
    <n v="52"/>
    <n v="2"/>
    <s v="Cheque"/>
    <m/>
    <n v="0"/>
    <m/>
    <n v="0"/>
    <m/>
    <m/>
    <s v="BRB [SOL] [012052-4] [CC] [COB]"/>
    <m/>
    <m/>
    <m/>
  </r>
  <r>
    <n v="272824"/>
    <s v="Remessa Olimpo Anápolis"/>
    <s v="Remessa Olimpo Anápolis"/>
    <n v="4345.3500000000004"/>
    <d v="2015-05-20T00:00:00"/>
    <d v="1899-12-30T13:03:56"/>
    <n v="0"/>
    <n v="0"/>
    <n v="-2902817.0200002152"/>
    <m/>
    <m/>
    <m/>
    <m/>
    <n v="24"/>
    <s v="Emilly"/>
    <n v="1"/>
    <m/>
    <n v="1526"/>
    <d v="2015-06-11T00:00:00"/>
    <d v="2015-06-11T00:00:00"/>
    <m/>
    <m/>
    <n v="2010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0798"/>
    <s v="MAFR/123582"/>
    <s v="Marco Antônio Ferreira Rios - Cód. 123582"/>
    <n v="0"/>
    <d v="2015-05-20T00:00:00"/>
    <d v="1899-12-30T13:04:21"/>
    <n v="8000"/>
    <n v="0"/>
    <n v="-2910817.0200002152"/>
    <m/>
    <m/>
    <m/>
    <n v="123582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799"/>
    <s v="Ant.Cob/123901"/>
    <s v="Banco Brb - Par. 123901(01-4)"/>
    <n v="0"/>
    <d v="2015-05-20T00:00:00"/>
    <d v="1899-12-30T13:05:54"/>
    <n v="1760.94"/>
    <n v="0"/>
    <n v="-2912577.9600002151"/>
    <m/>
    <m/>
    <m/>
    <n v="123901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00"/>
    <s v="Ant.Cob/123902"/>
    <s v="Banco Brb - Par. 123902(02-4)"/>
    <n v="0"/>
    <d v="2015-05-20T00:00:00"/>
    <d v="1899-12-30T13:05:54"/>
    <n v="1760.94"/>
    <n v="0"/>
    <n v="-2914338.900000215"/>
    <m/>
    <m/>
    <m/>
    <n v="123902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01"/>
    <s v="Ant.Cob/123903"/>
    <s v="Banco Brb - Par. 123903(03-4)"/>
    <n v="0"/>
    <d v="2015-05-20T00:00:00"/>
    <d v="1899-12-30T13:05:54"/>
    <n v="1724"/>
    <n v="0"/>
    <n v="-2916062.900000215"/>
    <m/>
    <m/>
    <m/>
    <n v="123903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02"/>
    <s v="Ant.Cob/123904"/>
    <s v="Banco Brb - Par. 123904(04-4)"/>
    <n v="0"/>
    <d v="2015-05-20T00:00:00"/>
    <d v="1899-12-30T13:05:54"/>
    <n v="1051"/>
    <n v="0"/>
    <n v="-2917113.900000215"/>
    <m/>
    <m/>
    <m/>
    <n v="123904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49"/>
    <s v="Extrato/123936"/>
    <s v="Banco Do Brasil - Cód. 123936"/>
    <n v="0"/>
    <d v="2015-05-20T00:00:00"/>
    <d v="1899-12-30T13:31:52"/>
    <n v="7.8"/>
    <n v="0"/>
    <n v="-2917121.7000002149"/>
    <m/>
    <m/>
    <m/>
    <n v="123936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850"/>
    <s v="Extrato/123937"/>
    <s v="Banco Do Brasil - Cód. 123937"/>
    <n v="0"/>
    <d v="2015-05-20T00:00:00"/>
    <d v="1899-12-30T13:31:52"/>
    <n v="7.8"/>
    <n v="0"/>
    <n v="-2917129.5000002147"/>
    <m/>
    <m/>
    <m/>
    <n v="123937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2863"/>
    <s v="Entrada"/>
    <s v="Recompra GF"/>
    <n v="40000"/>
    <d v="2015-05-20T00:00:00"/>
    <d v="1899-12-30T13:33:20"/>
    <n v="0"/>
    <n v="0"/>
    <n v="-2877129.5000002147"/>
    <m/>
    <m/>
    <m/>
    <m/>
    <n v="24"/>
    <s v="Emilly"/>
    <n v="1"/>
    <m/>
    <n v="1437"/>
    <d v="2015-06-11T00:00:00"/>
    <d v="2015-06-25T00:00:00"/>
    <m/>
    <m/>
    <n v="2015"/>
    <n v="24"/>
    <m/>
    <m/>
    <m/>
    <m/>
    <s v="CA.Recompra de Boletos 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2235"/>
    <s v="CMSB/124874"/>
    <s v="Claudivina M. S. Batista - Cód. 124874"/>
    <n v="0"/>
    <d v="2015-05-20T00:00:00"/>
    <d v="1899-12-30T13:36:57"/>
    <n v="300"/>
    <n v="0"/>
    <n v="-2877429.5000002147"/>
    <m/>
    <m/>
    <m/>
    <n v="124874"/>
    <n v="24"/>
    <s v="Emilly"/>
    <n v="1"/>
    <m/>
    <n v="1450"/>
    <d v="2015-06-08T00:00:00"/>
    <d v="2015-06-08T00:00:00"/>
    <m/>
    <m/>
    <n v="2010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4079"/>
    <s v="Maio/127362"/>
    <s v="Allan Sávio - Cód. 127362"/>
    <n v="0"/>
    <d v="2015-05-20T00:00:00"/>
    <d v="1899-12-30T13:47:22"/>
    <n v="6000"/>
    <n v="0"/>
    <n v="-2883429.5000002147"/>
    <m/>
    <m/>
    <m/>
    <n v="127362"/>
    <n v="24"/>
    <s v="Emilly"/>
    <n v="1"/>
    <m/>
    <n v="534"/>
    <d v="2015-06-25T00:00:00"/>
    <d v="2015-06-25T00:00:00"/>
    <m/>
    <m/>
    <n v="2015"/>
    <n v="24"/>
    <m/>
    <m/>
    <m/>
    <m/>
    <s v="CA.Honorários (DESPESA)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4078"/>
    <s v="Maio/127361"/>
    <s v="Jean Marquez Fernandes - Cód. 127361"/>
    <n v="0"/>
    <d v="2015-05-20T00:00:00"/>
    <d v="1899-12-30T13:47:22"/>
    <n v="7175.7"/>
    <n v="0"/>
    <n v="-2890605.2000002149"/>
    <m/>
    <m/>
    <m/>
    <n v="127361"/>
    <n v="24"/>
    <s v="Emilly"/>
    <n v="1"/>
    <m/>
    <n v="578"/>
    <d v="2015-06-25T00:00:00"/>
    <d v="2015-06-25T00:00:00"/>
    <m/>
    <m/>
    <n v="2015"/>
    <n v="24"/>
    <m/>
    <m/>
    <m/>
    <m/>
    <s v="CA.Pagamento de Salário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0854"/>
    <s v="Ant.Cob/123941"/>
    <s v="Banco Brb - Par. 123941(01-4)"/>
    <n v="0"/>
    <d v="2015-05-20T00:00:00"/>
    <d v="1899-12-30T14:17:28"/>
    <n v="1473"/>
    <n v="0"/>
    <n v="-2892078.2000002149"/>
    <m/>
    <m/>
    <m/>
    <n v="123941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5"/>
    <s v="Ant.Cob/123942"/>
    <s v="Banco Brb - Par. 123942(02-4)"/>
    <n v="0"/>
    <d v="2015-05-20T00:00:00"/>
    <d v="1899-12-30T14:17:28"/>
    <n v="1473"/>
    <n v="0"/>
    <n v="-2893551.2000002149"/>
    <m/>
    <m/>
    <m/>
    <n v="123942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6"/>
    <s v="Ant.Cob/123943"/>
    <s v="Banco Brb - Par. 123943(03-4)"/>
    <n v="0"/>
    <d v="2015-05-20T00:00:00"/>
    <d v="1899-12-30T14:17:28"/>
    <n v="1399.35"/>
    <n v="0"/>
    <n v="-2894950.5500002149"/>
    <m/>
    <m/>
    <m/>
    <n v="123943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7"/>
    <s v="Ant.Cob/123944"/>
    <s v="Banco Brb - Par. 123944(04-4)"/>
    <n v="0"/>
    <d v="2015-05-20T00:00:00"/>
    <d v="1899-12-30T14:17:28"/>
    <n v="1473"/>
    <n v="0"/>
    <n v="-2896423.5500002149"/>
    <m/>
    <m/>
    <m/>
    <n v="123944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679"/>
    <s v="026375014/21860"/>
    <s v="Banco Volkswagen - Par. 021860(36/36)"/>
    <n v="0"/>
    <d v="2015-05-20T00:00:00"/>
    <d v="1899-12-30T14:26:48"/>
    <n v="1237.3900000000001"/>
    <n v="0"/>
    <n v="-2897660.9400002151"/>
    <m/>
    <m/>
    <m/>
    <n v="21860"/>
    <n v="24"/>
    <s v="Emilly"/>
    <n v="1"/>
    <m/>
    <n v="500"/>
    <d v="2015-05-21T00:00:00"/>
    <d v="2015-05-21T00:00:00"/>
    <m/>
    <m/>
    <n v="2015"/>
    <n v="24"/>
    <m/>
    <m/>
    <m/>
    <m/>
    <s v="CA.Aquisição de Veículo (ATIVO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862"/>
    <s v="Extrato/123947"/>
    <s v="Banco Itaú Unibanco S.A. - Cód. 123947"/>
    <n v="0"/>
    <d v="2015-05-20T00:00:00"/>
    <d v="1899-12-30T15:33:07"/>
    <n v="0.9"/>
    <n v="0"/>
    <n v="-2897661.840000215"/>
    <m/>
    <m/>
    <m/>
    <n v="123947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863"/>
    <s v="Extrato/123948"/>
    <s v="Banco Itaú Unibanco S.A. - Cód. 123948"/>
    <n v="0"/>
    <d v="2015-05-20T00:00:00"/>
    <d v="1899-12-30T15:33:07"/>
    <n v="7.95"/>
    <n v="0"/>
    <n v="-2897669.7900002152"/>
    <m/>
    <m/>
    <m/>
    <n v="123948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681"/>
    <s v="10583289/118063"/>
    <s v="Unimed - Cód. 118063"/>
    <n v="0"/>
    <d v="2015-05-20T00:00:00"/>
    <d v="1899-12-30T17:02:07"/>
    <n v="1449.97"/>
    <n v="0"/>
    <n v="-2899119.7600002154"/>
    <m/>
    <m/>
    <m/>
    <n v="118063"/>
    <n v="24"/>
    <s v="Emilly"/>
    <n v="1"/>
    <m/>
    <n v="1412"/>
    <d v="2015-05-21T00:00:00"/>
    <d v="2015-05-21T00:00:00"/>
    <m/>
    <m/>
    <n v="2015"/>
    <n v="24"/>
    <m/>
    <m/>
    <m/>
    <m/>
    <s v="T-27.Plano de saúd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2"/>
    <s v="10583279/109201"/>
    <s v="Unimed - Par. 109201(04-12)"/>
    <n v="0"/>
    <d v="2015-05-20T00:00:00"/>
    <d v="1899-12-30T17:04:49"/>
    <n v="1354.45"/>
    <n v="0"/>
    <n v="-2900474.2100002156"/>
    <m/>
    <m/>
    <m/>
    <n v="109201"/>
    <n v="24"/>
    <s v="Emilly"/>
    <n v="1"/>
    <m/>
    <n v="388"/>
    <d v="2015-05-21T00:00:00"/>
    <d v="2015-05-21T00:00:00"/>
    <m/>
    <m/>
    <n v="2015"/>
    <n v="24"/>
    <m/>
    <m/>
    <m/>
    <m/>
    <s v="Marista.Plano de Saúd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3"/>
    <s v="10583283/109176"/>
    <s v="Unimed - Par. 109176(04-12)"/>
    <n v="0"/>
    <d v="2015-05-20T00:00:00"/>
    <d v="1899-12-30T17:06:01"/>
    <n v="2518.5"/>
    <n v="0"/>
    <n v="-2902992.7100002156"/>
    <m/>
    <m/>
    <m/>
    <n v="109176"/>
    <n v="24"/>
    <s v="Emilly"/>
    <n v="1"/>
    <m/>
    <n v="113"/>
    <d v="2015-05-21T00:00:00"/>
    <d v="2015-05-21T00:00:00"/>
    <m/>
    <m/>
    <n v="2015"/>
    <n v="24"/>
    <m/>
    <m/>
    <m/>
    <m/>
    <s v="T-3.Plano de Saúd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4"/>
    <s v="Despesa/123830"/>
    <s v="Rodrigo Bernadelli Dos Santos - Cód. 123830"/>
    <n v="0"/>
    <d v="2015-05-20T00:00:00"/>
    <d v="1899-12-30T17:10:52"/>
    <n v="2952.33"/>
    <n v="0"/>
    <n v="-2905945.0400002156"/>
    <m/>
    <m/>
    <m/>
    <n v="123830"/>
    <n v="24"/>
    <s v="Emilly"/>
    <n v="1"/>
    <m/>
    <n v="1071"/>
    <d v="2015-05-21T00:00:00"/>
    <d v="2015-05-21T00:00:00"/>
    <m/>
    <m/>
    <n v="2015"/>
    <n v="24"/>
    <m/>
    <m/>
    <m/>
    <m/>
    <s v="Bernadelli.Despesas particulares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685"/>
    <s v="835071246/122236"/>
    <s v="Bradesco Auto Seguros - Cód. 122236"/>
    <n v="0"/>
    <d v="2015-05-20T00:00:00"/>
    <d v="1899-12-30T17:11:35"/>
    <n v="1130.25"/>
    <n v="0"/>
    <n v="-2907075.2900002156"/>
    <m/>
    <m/>
    <m/>
    <n v="122236"/>
    <n v="24"/>
    <s v="Emilly"/>
    <n v="1"/>
    <m/>
    <n v="571"/>
    <d v="2015-05-21T00:00:00"/>
    <d v="2015-05-21T00:00:00"/>
    <m/>
    <m/>
    <n v="2015"/>
    <n v="24"/>
    <m/>
    <m/>
    <m/>
    <m/>
    <s v="CA.Seguro - veículo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6"/>
    <s v="4104/110715"/>
    <s v="Sfornalle Panificadora - Par. 110715(05-12)"/>
    <n v="0"/>
    <d v="2015-05-20T00:00:00"/>
    <d v="1899-12-30T17:12:28"/>
    <n v="335.53"/>
    <n v="0"/>
    <n v="-2907410.8200002154"/>
    <m/>
    <m/>
    <m/>
    <n v="110715"/>
    <n v="24"/>
    <s v="Emilly"/>
    <n v="1"/>
    <m/>
    <n v="1499"/>
    <d v="2015-05-21T00:00:00"/>
    <d v="2015-05-21T00:00:00"/>
    <m/>
    <m/>
    <n v="2015"/>
    <n v="24"/>
    <m/>
    <m/>
    <m/>
    <m/>
    <s v="SolNascente. Despesas Diversas"/>
    <x v="1"/>
    <s v="COLÉGIO OLIMPO LTDA"/>
    <m/>
    <n v="4"/>
    <n v="8"/>
    <s v="Transferência Bancária"/>
    <m/>
    <n v="0"/>
    <m/>
    <n v="0"/>
    <m/>
    <m/>
    <s v="BB [022382-4] [GYN] [CC]"/>
    <m/>
    <m/>
    <m/>
  </r>
  <r>
    <n v="270687"/>
    <s v="11137976/110436"/>
    <s v="Celg - Par. 110436(05-12)"/>
    <n v="0"/>
    <d v="2015-05-20T00:00:00"/>
    <d v="1899-12-30T17:13:36"/>
    <n v="921.69"/>
    <n v="0"/>
    <n v="-2908332.5100002154"/>
    <m/>
    <m/>
    <m/>
    <n v="110436"/>
    <n v="24"/>
    <s v="Emilly"/>
    <n v="1"/>
    <m/>
    <n v="1439"/>
    <d v="2015-05-21T00:00:00"/>
    <d v="2015-05-21T00:00:00"/>
    <m/>
    <m/>
    <n v="2015"/>
    <n v="24"/>
    <m/>
    <m/>
    <m/>
    <m/>
    <s v="SolNascente.Energia Elétrica"/>
    <x v="1"/>
    <s v="COLÉGIO OLIMPO LTDA"/>
    <m/>
    <n v="4"/>
    <n v="8"/>
    <s v="Transferência Bancária"/>
    <m/>
    <n v="0"/>
    <m/>
    <n v="0"/>
    <m/>
    <m/>
    <s v="BB [022382-4] [GYN] [CC]"/>
    <m/>
    <m/>
    <m/>
  </r>
  <r>
    <n v="270688"/>
    <s v="525/121224"/>
    <s v="Apn Networks - Cód. 121224"/>
    <n v="0"/>
    <d v="2015-05-20T00:00:00"/>
    <d v="1899-12-30T17:20:39"/>
    <n v="252.92"/>
    <n v="0"/>
    <n v="-2908585.4300002153"/>
    <m/>
    <m/>
    <m/>
    <n v="121224"/>
    <n v="24"/>
    <s v="Emilly"/>
    <n v="1"/>
    <m/>
    <n v="573"/>
    <d v="2015-05-21T00:00:00"/>
    <d v="2015-05-21T00:00:00"/>
    <m/>
    <m/>
    <n v="2015"/>
    <n v="24"/>
    <m/>
    <m/>
    <m/>
    <m/>
    <s v="CA.Softwar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9"/>
    <s v="1510647-0/111403"/>
    <s v="Saneago - Par. 111403(03-11)"/>
    <n v="0"/>
    <d v="2015-05-20T00:00:00"/>
    <d v="1899-12-30T17:28:09"/>
    <n v="3873.62"/>
    <n v="0"/>
    <n v="-2912459.0500002154"/>
    <m/>
    <m/>
    <m/>
    <n v="111403"/>
    <n v="24"/>
    <s v="Emilly"/>
    <n v="1"/>
    <m/>
    <n v="103"/>
    <d v="2015-05-21T00:00:00"/>
    <d v="2015-05-21T00:00:00"/>
    <m/>
    <m/>
    <n v="2015"/>
    <n v="24"/>
    <m/>
    <m/>
    <m/>
    <m/>
    <s v="T-3.Água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90"/>
    <s v="50029-1/111604"/>
    <s v="Saneago - Par. 111604(04-12)"/>
    <n v="0"/>
    <d v="2015-05-20T00:00:00"/>
    <d v="1899-12-30T17:33:00"/>
    <n v="1547.4"/>
    <n v="0"/>
    <n v="-2914006.4500002153"/>
    <m/>
    <m/>
    <m/>
    <n v="111604"/>
    <n v="24"/>
    <s v="Emilly"/>
    <n v="1"/>
    <m/>
    <n v="1441"/>
    <d v="2015-05-21T00:00:00"/>
    <d v="2015-05-21T00:00:00"/>
    <m/>
    <m/>
    <n v="2015"/>
    <n v="24"/>
    <m/>
    <m/>
    <m/>
    <m/>
    <s v="SolNascente.Água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79"/>
    <s v="DEPÓSITO 2015-05-19"/>
    <s v="PAGAMENTO DA MENSALIDADE DE FEVEREIRO/2015, DO(A) ALUNO(A) EDUARDA SOUZA RODRIGUES_ESN"/>
    <n v="330"/>
    <d v="2015-05-20T00:00:00"/>
    <d v="1899-12-30T17:42:49"/>
    <n v="0"/>
    <n v="0"/>
    <n v="-2913676.4500002153"/>
    <m/>
    <m/>
    <m/>
    <m/>
    <n v="24"/>
    <s v="Emilly"/>
    <n v="1"/>
    <m/>
    <n v="1434"/>
    <d v="2015-05-28T00:00:00"/>
    <d v="2015-06-25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4854"/>
    <s v="FVV/127733"/>
    <s v="Fábio Villa Verde Moreno - Cód. 127733"/>
    <n v="0"/>
    <d v="2015-05-20T00:00:00"/>
    <d v="1899-12-30T19:02:55"/>
    <n v="10000"/>
    <n v="0"/>
    <n v="-2923676.4500002153"/>
    <m/>
    <m/>
    <m/>
    <n v="127733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74857"/>
    <s v="FVV/127734"/>
    <s v="Fábio Villa Verde Moreno - Cód. 127734"/>
    <n v="0"/>
    <d v="2015-05-20T00:00:00"/>
    <d v="1899-12-30T19:03:29"/>
    <n v="4000"/>
    <n v="0"/>
    <n v="-2927676.4500002153"/>
    <m/>
    <m/>
    <m/>
    <n v="127734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70915"/>
    <s v="015711/123961"/>
    <s v="Hidraulica Boa Esperança - Cód. 123961"/>
    <n v="0"/>
    <d v="2015-05-21T00:00:00"/>
    <d v="1899-12-30T08:43:41"/>
    <n v="10"/>
    <n v="0"/>
    <n v="-2927686.4500002153"/>
    <m/>
    <m/>
    <m/>
    <n v="123961"/>
    <n v="24"/>
    <s v="Emilly"/>
    <n v="1"/>
    <m/>
    <n v="161"/>
    <d v="2015-05-25T00:00:00"/>
    <d v="2015-05-25T00:00:00"/>
    <m/>
    <m/>
    <n v="2015"/>
    <n v="24"/>
    <m/>
    <m/>
    <m/>
    <m/>
    <s v="T-3.Material de Construção"/>
    <x v="1"/>
    <s v="COLÉGIO OLIMPO LTDA"/>
    <m/>
    <n v="56"/>
    <n v="1"/>
    <s v="Dinheiro"/>
    <m/>
    <n v="0"/>
    <m/>
    <n v="0"/>
    <m/>
    <m/>
    <s v="CAIXA TESOURARIA"/>
    <m/>
    <m/>
    <m/>
  </r>
  <r>
    <n v="270916"/>
    <s v="001359297/109688"/>
    <s v="Celg - Par. 109688(04-12)"/>
    <n v="0"/>
    <d v="2015-05-21T00:00:00"/>
    <d v="1899-12-30T08:47:17"/>
    <n v="7452.32"/>
    <n v="0"/>
    <n v="-2935138.7700002152"/>
    <m/>
    <m/>
    <m/>
    <n v="109688"/>
    <n v="24"/>
    <s v="Emilly"/>
    <n v="1"/>
    <m/>
    <n v="1390"/>
    <d v="2015-05-25T00:00:00"/>
    <d v="2015-05-25T00:00:00"/>
    <m/>
    <m/>
    <n v="2015"/>
    <n v="24"/>
    <m/>
    <m/>
    <m/>
    <m/>
    <s v="T-27.Energia Elétrica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17"/>
    <s v="10002343710/109676"/>
    <s v="Celg - Par. 109676(04-12)"/>
    <n v="0"/>
    <d v="2015-05-21T00:00:00"/>
    <d v="1899-12-30T08:52:52"/>
    <n v="5830.64"/>
    <n v="0"/>
    <n v="-2940969.4100002153"/>
    <m/>
    <m/>
    <m/>
    <n v="109676"/>
    <n v="24"/>
    <s v="Emilly"/>
    <n v="1"/>
    <m/>
    <n v="134"/>
    <d v="2015-05-25T00:00:00"/>
    <d v="2015-05-25T00:00:00"/>
    <m/>
    <m/>
    <n v="2015"/>
    <n v="24"/>
    <m/>
    <m/>
    <m/>
    <m/>
    <s v="T-3.Energia Elétrica "/>
    <x v="1"/>
    <s v="COLÉGIO OLIMPO LTDA"/>
    <m/>
    <n v="4"/>
    <n v="8"/>
    <s v="Transferência Bancária"/>
    <m/>
    <n v="0"/>
    <m/>
    <n v="0"/>
    <m/>
    <m/>
    <s v="BB [022382-4] [GYN] [CC]"/>
    <m/>
    <m/>
    <m/>
  </r>
  <r>
    <n v="270918"/>
    <s v="16883240/110396"/>
    <s v="Celg - Par. 110396(04-12)"/>
    <n v="0"/>
    <d v="2015-05-21T00:00:00"/>
    <d v="1899-12-30T08:55:22"/>
    <n v="3479.62"/>
    <n v="0"/>
    <n v="-2944449.0300002154"/>
    <m/>
    <m/>
    <m/>
    <n v="110396"/>
    <n v="24"/>
    <s v="Emilly"/>
    <n v="2"/>
    <m/>
    <n v="331"/>
    <d v="2015-05-25T00:00:00"/>
    <d v="2015-05-25T00:00:00"/>
    <m/>
    <m/>
    <n v="2015"/>
    <n v="24"/>
    <m/>
    <m/>
    <m/>
    <m/>
    <s v="Marista.Energia Elétrica "/>
    <x v="1"/>
    <s v="COLÉGIO OLIMPO LTDA"/>
    <m/>
    <n v="4"/>
    <n v="8"/>
    <s v="Transferência Bancária"/>
    <m/>
    <n v="0"/>
    <m/>
    <n v="0"/>
    <m/>
    <m/>
    <s v="BB [022382-4] [GYN] [CC]"/>
    <m/>
    <m/>
    <m/>
  </r>
  <r>
    <n v="270925"/>
    <s v="045105/123964"/>
    <s v="Posto De Combustível - Cód. 123964"/>
    <n v="0"/>
    <d v="2015-05-21T00:00:00"/>
    <d v="1899-12-30T09:12:14"/>
    <n v="100"/>
    <n v="0"/>
    <n v="-2944549.0300002154"/>
    <m/>
    <m/>
    <m/>
    <n v="123964"/>
    <n v="24"/>
    <s v="Emilly"/>
    <n v="1"/>
    <m/>
    <n v="512"/>
    <d v="2015-05-25T00:00:00"/>
    <d v="2015-05-25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0927"/>
    <s v="360/122926"/>
    <s v="LC Manutenção E Montagem - Cód. 122926"/>
    <n v="0"/>
    <d v="2015-05-21T00:00:00"/>
    <d v="1899-12-30T09:13:16"/>
    <n v="760"/>
    <n v="0"/>
    <n v="-2945309.0300002154"/>
    <m/>
    <m/>
    <m/>
    <n v="122926"/>
    <n v="24"/>
    <s v="Emilly"/>
    <n v="1"/>
    <m/>
    <n v="1569"/>
    <d v="2015-05-25T00:00:00"/>
    <d v="2015-05-25T00:00:00"/>
    <m/>
    <m/>
    <n v="2015"/>
    <n v="24"/>
    <m/>
    <m/>
    <m/>
    <m/>
    <s v="Aná.Aquisição Máquinas e Equipamento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801"/>
    <n v="189919"/>
    <s v="Par.(04/12) 018337/PEDRO DE SIQUEIRA FALEIRO - Mensalidades"/>
    <n v="1573"/>
    <d v="2015-05-21T00:00:00"/>
    <d v="1899-12-30T09:17:57"/>
    <n v="0"/>
    <n v="0"/>
    <n v="-2943736.0300002154"/>
    <m/>
    <m/>
    <n v="189919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695"/>
    <s v="03/2015/123837"/>
    <s v="Marcelo De Moraes Melo - Cód. 123837"/>
    <n v="0"/>
    <d v="2015-05-21T00:00:00"/>
    <d v="1899-12-30T09:21:34"/>
    <n v="1853.38"/>
    <n v="0"/>
    <n v="-2945589.4100002153"/>
    <m/>
    <m/>
    <m/>
    <n v="123837"/>
    <n v="24"/>
    <s v="Emilly"/>
    <n v="1"/>
    <m/>
    <n v="1455"/>
    <d v="2015-05-22T00:00:00"/>
    <d v="2015-05-22T00:00:00"/>
    <m/>
    <m/>
    <n v="2015"/>
    <n v="24"/>
    <m/>
    <m/>
    <m/>
    <m/>
    <s v="Marcelo.Despesas Particulare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4"/>
    <s v="Fgts/123840"/>
    <s v="Fgts - Par. 123840(03-24)"/>
    <n v="0"/>
    <d v="2015-05-21T00:00:00"/>
    <d v="1899-12-30T09:27:26"/>
    <n v="100.65"/>
    <n v="0"/>
    <n v="-2945690.0600002152"/>
    <m/>
    <m/>
    <m/>
    <n v="123840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7"/>
    <s v="Fgts/123841"/>
    <s v="Fgts - Par. 123841(04-24)"/>
    <n v="0"/>
    <d v="2015-05-21T00:00:00"/>
    <d v="1899-12-30T09:27:26"/>
    <n v="88.17"/>
    <n v="0"/>
    <n v="-2945778.2300002151"/>
    <m/>
    <m/>
    <m/>
    <n v="123841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0"/>
    <s v="Fgts/123842"/>
    <s v="Fgts - Par. 123842(05-24)"/>
    <n v="0"/>
    <d v="2015-05-21T00:00:00"/>
    <d v="1899-12-30T09:27:26"/>
    <n v="116.08"/>
    <n v="0"/>
    <n v="-2945894.3100002152"/>
    <m/>
    <m/>
    <m/>
    <n v="123842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2"/>
    <s v="Fgts/123843"/>
    <s v="Fgts - Par. 123843(06-24)"/>
    <n v="0"/>
    <d v="2015-05-21T00:00:00"/>
    <d v="1899-12-30T09:27:26"/>
    <n v="125.21"/>
    <n v="0"/>
    <n v="-2946019.5200002152"/>
    <m/>
    <m/>
    <m/>
    <n v="123843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4"/>
    <s v="Fgts/123844"/>
    <s v="Fgts - Par. 123844(07-24)"/>
    <n v="0"/>
    <d v="2015-05-21T00:00:00"/>
    <d v="1899-12-30T09:27:26"/>
    <n v="147.06"/>
    <n v="0"/>
    <n v="-2946166.5800002152"/>
    <m/>
    <m/>
    <m/>
    <n v="123844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6"/>
    <s v="Fgts/123845"/>
    <s v="Fgts - Par. 123845(08-24)"/>
    <n v="0"/>
    <d v="2015-05-21T00:00:00"/>
    <d v="1899-12-30T09:27:26"/>
    <n v="204.64"/>
    <n v="0"/>
    <n v="-2946371.2200002153"/>
    <m/>
    <m/>
    <m/>
    <n v="123845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8"/>
    <s v="Fgts/123846"/>
    <s v="Fgts - Par. 123846(09-24)"/>
    <n v="0"/>
    <d v="2015-05-21T00:00:00"/>
    <d v="1899-12-30T09:27:26"/>
    <n v="203.48"/>
    <n v="0"/>
    <n v="-2946574.7000002153"/>
    <m/>
    <m/>
    <m/>
    <n v="123846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698"/>
    <s v="Fgts/123838"/>
    <s v="Fgts - Par. 123838(01-24)"/>
    <n v="0"/>
    <d v="2015-05-21T00:00:00"/>
    <d v="1899-12-30T09:27:26"/>
    <n v="127.27"/>
    <n v="0"/>
    <n v="-2946701.9700002153"/>
    <m/>
    <m/>
    <m/>
    <n v="123838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1"/>
    <s v="Fgts/123839"/>
    <s v="Fgts - Par. 123839(02-24)"/>
    <n v="0"/>
    <d v="2015-05-21T00:00:00"/>
    <d v="1899-12-30T09:27:26"/>
    <n v="95.72"/>
    <n v="0"/>
    <n v="-2946797.6900002155"/>
    <m/>
    <m/>
    <m/>
    <n v="123839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5"/>
    <s v="Fgts/123850"/>
    <s v="Fgts - Par. 123850(13-24)"/>
    <n v="0"/>
    <d v="2015-05-21T00:00:00"/>
    <d v="1899-12-30T09:27:26"/>
    <n v="155.1"/>
    <n v="0"/>
    <n v="-2946952.7900002156"/>
    <m/>
    <m/>
    <m/>
    <n v="123850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8"/>
    <s v="Fgts/123851"/>
    <s v="Fgts - Par. 123851(14-24)"/>
    <n v="0"/>
    <d v="2015-05-21T00:00:00"/>
    <d v="1899-12-30T09:27:26"/>
    <n v="140.66"/>
    <n v="0"/>
    <n v="-2947093.4500002158"/>
    <m/>
    <m/>
    <m/>
    <n v="123851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1"/>
    <s v="Fgts/123852"/>
    <s v="Fgts - Par. 123852(15-24)"/>
    <n v="0"/>
    <d v="2015-05-21T00:00:00"/>
    <d v="1899-12-30T09:27:26"/>
    <n v="126.23"/>
    <n v="0"/>
    <n v="-2947219.6800002158"/>
    <m/>
    <m/>
    <m/>
    <n v="123852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3"/>
    <s v="Fgts/123853"/>
    <s v="Fgts - Par. 123853(16-24)"/>
    <n v="0"/>
    <d v="2015-05-21T00:00:00"/>
    <d v="1899-12-30T09:27:26"/>
    <n v="114.69"/>
    <n v="0"/>
    <n v="-2947334.3700002157"/>
    <m/>
    <m/>
    <m/>
    <n v="123853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5"/>
    <s v="Fgts/123854"/>
    <s v="Fgts - Par. 123854(17-24)"/>
    <n v="0"/>
    <d v="2015-05-21T00:00:00"/>
    <d v="1899-12-30T09:27:26"/>
    <n v="129.36000000000001"/>
    <n v="0"/>
    <n v="-2947463.7300002156"/>
    <m/>
    <m/>
    <m/>
    <n v="123854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7"/>
    <s v="Fgts/123855"/>
    <s v="Fgts - Par. 123855(18-24)"/>
    <n v="0"/>
    <d v="2015-05-21T00:00:00"/>
    <d v="1899-12-30T09:27:26"/>
    <n v="122.48"/>
    <n v="0"/>
    <n v="-2947586.2100002156"/>
    <m/>
    <m/>
    <m/>
    <n v="123855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9"/>
    <s v="Fgts/123856"/>
    <s v="Fgts - Par. 123856(19-24)"/>
    <n v="0"/>
    <d v="2015-05-21T00:00:00"/>
    <d v="1899-12-30T09:27:26"/>
    <n v="173.62"/>
    <n v="0"/>
    <n v="-2947759.8300002157"/>
    <m/>
    <m/>
    <m/>
    <n v="123856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696"/>
    <s v="Fgts/123847"/>
    <s v="Fgts - Par. 123847(10-24)"/>
    <n v="0"/>
    <d v="2015-05-21T00:00:00"/>
    <d v="1899-12-30T09:27:26"/>
    <n v="149.59"/>
    <n v="0"/>
    <n v="-2947909.4200002155"/>
    <m/>
    <m/>
    <m/>
    <n v="123847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699"/>
    <s v="Fgts/123848"/>
    <s v="Fgts - Par. 123848(11-24)"/>
    <n v="0"/>
    <d v="2015-05-21T00:00:00"/>
    <d v="1899-12-30T09:27:26"/>
    <n v="160.15"/>
    <n v="0"/>
    <n v="-2948069.5700002154"/>
    <m/>
    <m/>
    <m/>
    <n v="123848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2"/>
    <s v="Fgts/123849"/>
    <s v="Fgts - Par. 123849(12-24)"/>
    <n v="0"/>
    <d v="2015-05-21T00:00:00"/>
    <d v="1899-12-30T09:27:26"/>
    <n v="212.82"/>
    <n v="0"/>
    <n v="-2948282.3900002153"/>
    <m/>
    <m/>
    <m/>
    <n v="123849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6"/>
    <s v="Fgts/123860"/>
    <s v="Fgts - Par. 123860(23-24)"/>
    <n v="0"/>
    <d v="2015-05-21T00:00:00"/>
    <d v="1899-12-30T09:27:26"/>
    <n v="117.26"/>
    <n v="0"/>
    <n v="-2948399.650000215"/>
    <m/>
    <m/>
    <m/>
    <n v="123860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9"/>
    <s v="Fgts/123861"/>
    <s v="Fgts - Par. 123861(24-24)"/>
    <n v="0"/>
    <d v="2015-05-21T00:00:00"/>
    <d v="1899-12-30T09:27:26"/>
    <n v="117.92"/>
    <n v="0"/>
    <n v="-2948517.570000215"/>
    <m/>
    <m/>
    <m/>
    <n v="123861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697"/>
    <s v="Fgts/123857"/>
    <s v="Fgts - Par. 123857(20-24)"/>
    <n v="0"/>
    <d v="2015-05-21T00:00:00"/>
    <d v="1899-12-30T09:27:26"/>
    <n v="163.31"/>
    <n v="0"/>
    <n v="-2948680.880000215"/>
    <m/>
    <m/>
    <m/>
    <n v="123857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0"/>
    <s v="Fgts/123858"/>
    <s v="Fgts - Par. 123858(21-24)"/>
    <n v="0"/>
    <d v="2015-05-21T00:00:00"/>
    <d v="1899-12-30T09:27:26"/>
    <n v="166.18"/>
    <n v="0"/>
    <n v="-2948847.0600002152"/>
    <m/>
    <m/>
    <m/>
    <n v="123858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3"/>
    <s v="Fgts/123859"/>
    <s v="Fgts - Par. 123859(22-24)"/>
    <n v="0"/>
    <d v="2015-05-21T00:00:00"/>
    <d v="1899-12-30T09:27:26"/>
    <n v="153.6"/>
    <n v="0"/>
    <n v="-2949000.6600002153"/>
    <m/>
    <m/>
    <m/>
    <n v="123859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934"/>
    <s v="Extrato/123974"/>
    <s v="Caixa Econômica Federal - Cód. 123974"/>
    <n v="0"/>
    <d v="2015-05-21T00:00:00"/>
    <d v="1899-12-30T09:29:42"/>
    <n v="3.1"/>
    <n v="0"/>
    <n v="-2949003.7600002154"/>
    <m/>
    <m/>
    <m/>
    <n v="123974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44"/>
    <s v="Despesa/123990"/>
    <s v="Marcelo De Moraes Melo - Cód. 123990"/>
    <n v="0"/>
    <d v="2015-05-21T00:00:00"/>
    <d v="1899-12-30T10:00:02"/>
    <n v="120"/>
    <n v="0"/>
    <n v="-2949123.7600002154"/>
    <m/>
    <m/>
    <m/>
    <n v="123990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1013"/>
    <s v="GB/110755"/>
    <s v="Geni Bernadelli - Par. 110755(05-12)"/>
    <n v="0"/>
    <d v="2015-05-21T00:00:00"/>
    <d v="1899-12-30T10:04:58"/>
    <n v="500"/>
    <n v="0"/>
    <n v="-2949623.7600002154"/>
    <m/>
    <m/>
    <m/>
    <n v="110755"/>
    <n v="7"/>
    <s v="Anapaula"/>
    <n v="1"/>
    <m/>
    <n v="1071"/>
    <d v="2015-05-26T00:00:00"/>
    <d v="2015-05-26T00:00:00"/>
    <m/>
    <m/>
    <n v="2015"/>
    <n v="7"/>
    <m/>
    <m/>
    <m/>
    <m/>
    <s v="Bernadelli.Despesas particulares 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014"/>
    <s v="AA/110743"/>
    <s v="Aline Alkimim - Fornecedor - Par. 110743(05-12)"/>
    <n v="0"/>
    <d v="2015-05-21T00:00:00"/>
    <d v="1899-12-30T10:05:12"/>
    <n v="300"/>
    <n v="0"/>
    <n v="-2949923.7600002154"/>
    <m/>
    <m/>
    <m/>
    <n v="110743"/>
    <n v="7"/>
    <s v="Anapaula"/>
    <n v="1"/>
    <m/>
    <n v="1450"/>
    <d v="2015-05-26T00:00:00"/>
    <d v="2015-05-26T00:00:00"/>
    <m/>
    <m/>
    <n v="2015"/>
    <n v="7"/>
    <m/>
    <m/>
    <m/>
    <m/>
    <s v="CA.Juros Mensal Empréstimo PF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15"/>
    <s v="Abril/123999"/>
    <s v="Vera Lucia Rodrigues Franca - Cód. 123999"/>
    <n v="0"/>
    <d v="2015-05-21T00:00:00"/>
    <d v="1899-12-30T10:05:27"/>
    <n v="439.3"/>
    <n v="0"/>
    <n v="-2950363.0600002152"/>
    <m/>
    <m/>
    <m/>
    <n v="123999"/>
    <n v="7"/>
    <s v="Anapaula"/>
    <n v="2"/>
    <m/>
    <n v="1546"/>
    <d v="2015-05-26T00:00:00"/>
    <d v="2015-05-26T00:00:00"/>
    <m/>
    <m/>
    <n v="2015"/>
    <n v="7"/>
    <m/>
    <m/>
    <m/>
    <m/>
    <s v="Aná.Pagamento de Salário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016"/>
    <s v="VL/110731"/>
    <s v="Vera Lucia / Renato Vieira - Par. 110731(05-12)"/>
    <n v="0"/>
    <d v="2015-05-21T00:00:00"/>
    <d v="1899-12-30T10:05:40"/>
    <n v="1500"/>
    <n v="0"/>
    <n v="-2951863.0600002152"/>
    <m/>
    <m/>
    <m/>
    <n v="110731"/>
    <n v="7"/>
    <s v="Anapaula"/>
    <n v="1"/>
    <m/>
    <n v="1450"/>
    <d v="2015-05-26T00:00:00"/>
    <d v="2015-05-26T00:00:00"/>
    <m/>
    <m/>
    <n v="2015"/>
    <n v="7"/>
    <m/>
    <m/>
    <m/>
    <m/>
    <s v="CA.Juros Mensal Empréstimo PF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17"/>
    <s v="Extrato/124031"/>
    <s v="Bradesco S/A - Par. 124031(06-7)"/>
    <n v="0"/>
    <d v="2015-05-21T00:00:00"/>
    <d v="1899-12-30T10:09:28"/>
    <n v="7.9"/>
    <n v="0"/>
    <n v="-2951870.9600002151"/>
    <m/>
    <m/>
    <m/>
    <n v="124031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18"/>
    <s v="Extrato/124032"/>
    <s v="Bradesco S/A - Par. 124032(07-7)"/>
    <n v="0"/>
    <d v="2015-05-21T00:00:00"/>
    <d v="1899-12-30T10:09:28"/>
    <n v="7.9"/>
    <n v="0"/>
    <n v="-2951878.860000215"/>
    <m/>
    <m/>
    <m/>
    <n v="124032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2613"/>
    <n v="192622"/>
    <s v="Retorno: Par. 192622(05/12) - 019762/VAL - Mensalidades"/>
    <n v="1473"/>
    <d v="2015-05-21T00:00:00"/>
    <d v="1899-12-30T10:24:55"/>
    <n v="0"/>
    <n v="0"/>
    <n v="-2950405.860000215"/>
    <m/>
    <m/>
    <n v="192622"/>
    <m/>
    <n v="14"/>
    <s v="Renato"/>
    <n v="1"/>
    <m/>
    <n v="2"/>
    <d v="2015-06-09T00:00:00"/>
    <d v="2015-06-09T00:00:00"/>
    <n v="28922"/>
    <n v="20150521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4"/>
    <n v="193099"/>
    <s v="Retorno: Par. 193099(05/12) - 018254/LAU - Mensalidades"/>
    <n v="1473"/>
    <d v="2015-05-21T00:00:00"/>
    <d v="1899-12-30T10:24:55"/>
    <n v="0"/>
    <n v="0"/>
    <n v="-2948932.860000215"/>
    <m/>
    <m/>
    <n v="193099"/>
    <m/>
    <n v="14"/>
    <s v="Renato"/>
    <n v="1"/>
    <m/>
    <n v="2"/>
    <d v="2015-06-09T00:00:00"/>
    <d v="2015-06-09T00:00:00"/>
    <n v="28923"/>
    <n v="20150521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6291"/>
    <s v="Extrato/128719"/>
    <s v="Banco Safra - Cód. 128719"/>
    <n v="0"/>
    <d v="2015-05-21T00:00:00"/>
    <d v="1899-12-30T10:35:26"/>
    <n v="840"/>
    <n v="0"/>
    <n v="-2949772.860000215"/>
    <m/>
    <m/>
    <m/>
    <n v="128719"/>
    <n v="7"/>
    <s v="Anapaula"/>
    <n v="1"/>
    <m/>
    <n v="568"/>
    <d v="2015-07-06T00:00:00"/>
    <d v="2015-07-06T00:00:00"/>
    <m/>
    <m/>
    <n v="2015"/>
    <n v="7"/>
    <m/>
    <m/>
    <m/>
    <m/>
    <s v="CA.Resgate de Cheque rescisão (CUSTO)"/>
    <x v="1"/>
    <s v="COLÉGIO OLIMPO LTDA"/>
    <m/>
    <n v="107"/>
    <n v="9"/>
    <s v="Débito em conta"/>
    <m/>
    <n v="0"/>
    <m/>
    <n v="0"/>
    <m/>
    <m/>
    <s v="SAFRA [GYN] [000048-8] [CC]"/>
    <m/>
    <m/>
    <m/>
  </r>
  <r>
    <n v="270737"/>
    <s v="Extrato/123877"/>
    <s v="Banco Santander  - Par. 123877(01-1)"/>
    <n v="0"/>
    <d v="2015-05-21T00:00:00"/>
    <d v="1899-12-30T10:38:43"/>
    <n v="374"/>
    <n v="0"/>
    <n v="-2950146.860000215"/>
    <m/>
    <m/>
    <m/>
    <n v="123877"/>
    <n v="7"/>
    <s v="Anapaula"/>
    <n v="1"/>
    <m/>
    <n v="524"/>
    <d v="2015-05-22T00:00:00"/>
    <d v="2015-05-22T00:00:00"/>
    <m/>
    <m/>
    <n v="2015"/>
    <n v="7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0739"/>
    <s v="Fgts/123862"/>
    <s v="Fgts - Par. 123862(01-13)"/>
    <n v="0"/>
    <d v="2015-05-21T00:00:00"/>
    <d v="1899-12-30T10:43:08"/>
    <n v="78.900000000000006"/>
    <n v="0"/>
    <n v="-2950225.7600002149"/>
    <m/>
    <m/>
    <m/>
    <n v="123862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1"/>
    <s v="Fgts/123863"/>
    <s v="Fgts - Par. 123863(02-13)"/>
    <n v="0"/>
    <d v="2015-05-21T00:00:00"/>
    <d v="1899-12-30T10:43:08"/>
    <n v="88.51"/>
    <n v="0"/>
    <n v="-2950314.2700002147"/>
    <m/>
    <m/>
    <m/>
    <n v="123863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38"/>
    <s v="Fgts/123871"/>
    <s v="Fgts - Par. 123871(10-13)"/>
    <n v="0"/>
    <d v="2015-05-21T00:00:00"/>
    <d v="1899-12-30T10:43:08"/>
    <n v="109.99"/>
    <n v="0"/>
    <n v="-2950424.2600002149"/>
    <m/>
    <m/>
    <m/>
    <n v="123871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0"/>
    <s v="Fgts/123872"/>
    <s v="Fgts - Par. 123872(11-13)"/>
    <n v="0"/>
    <d v="2015-05-21T00:00:00"/>
    <d v="1899-12-30T10:43:08"/>
    <n v="109.46"/>
    <n v="0"/>
    <n v="-2950533.7200002149"/>
    <m/>
    <m/>
    <m/>
    <n v="123872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2"/>
    <s v="Fgts/123873"/>
    <s v="Fgts - Par. 123873(12-13)"/>
    <n v="0"/>
    <d v="2015-05-21T00:00:00"/>
    <d v="1899-12-30T10:43:08"/>
    <n v="83.43"/>
    <n v="0"/>
    <n v="-2950617.150000215"/>
    <m/>
    <m/>
    <m/>
    <n v="123873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3"/>
    <s v="Fgts/123864"/>
    <s v="Fgts - Par. 123864(03-13)"/>
    <n v="0"/>
    <d v="2015-05-21T00:00:00"/>
    <d v="1899-12-30T10:43:09"/>
    <n v="156.66"/>
    <n v="0"/>
    <n v="-2950773.8100002152"/>
    <m/>
    <m/>
    <m/>
    <n v="123864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5"/>
    <s v="Fgts/123865"/>
    <s v="Fgts - Par. 123865(04-13)"/>
    <n v="0"/>
    <d v="2015-05-21T00:00:00"/>
    <d v="1899-12-30T10:43:09"/>
    <n v="159.26"/>
    <n v="0"/>
    <n v="-2950933.070000215"/>
    <m/>
    <m/>
    <m/>
    <n v="123865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6"/>
    <s v="Fgts/123866"/>
    <s v="Fgts - Par. 123866(05-13)"/>
    <n v="0"/>
    <d v="2015-05-21T00:00:00"/>
    <d v="1899-12-30T10:43:09"/>
    <n v="151.22999999999999"/>
    <n v="0"/>
    <n v="-2951084.3000002149"/>
    <m/>
    <m/>
    <m/>
    <n v="123866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4"/>
    <s v="Fgts/123874"/>
    <s v="Fgts - Par. 123874(13-13)"/>
    <n v="0"/>
    <d v="2015-05-21T00:00:00"/>
    <d v="1899-12-30T10:43:09"/>
    <n v="79.69"/>
    <n v="0"/>
    <n v="-2951163.9900002149"/>
    <m/>
    <m/>
    <m/>
    <n v="123874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50"/>
    <s v="Fgts/123870"/>
    <s v="Fgts - Par. 123870(09-13)"/>
    <n v="0"/>
    <d v="2015-05-21T00:00:00"/>
    <d v="1899-12-30T10:43:10"/>
    <n v="108.88"/>
    <n v="0"/>
    <n v="-2951272.8700002148"/>
    <m/>
    <m/>
    <m/>
    <n v="123870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7"/>
    <s v="Fgts/123867"/>
    <s v="Fgts - Par. 123867(06-13)"/>
    <n v="0"/>
    <d v="2015-05-21T00:00:00"/>
    <d v="1899-12-30T10:43:10"/>
    <n v="107.18"/>
    <n v="0"/>
    <n v="-2951380.0500002149"/>
    <m/>
    <m/>
    <m/>
    <n v="123867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8"/>
    <s v="Fgts/123868"/>
    <s v="Fgts - Par. 123868(07-13)"/>
    <n v="0"/>
    <d v="2015-05-21T00:00:00"/>
    <d v="1899-12-30T10:43:10"/>
    <n v="107.77"/>
    <n v="0"/>
    <n v="-2951487.820000215"/>
    <m/>
    <m/>
    <m/>
    <n v="123868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9"/>
    <s v="Fgts/123869"/>
    <s v="Fgts - Par. 123869(08-13)"/>
    <n v="0"/>
    <d v="2015-05-21T00:00:00"/>
    <d v="1899-12-30T10:43:10"/>
    <n v="108.34"/>
    <n v="0"/>
    <n v="-2951596.1600002148"/>
    <m/>
    <m/>
    <m/>
    <n v="123869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65"/>
    <s v="Transferência Entre Conta"/>
    <s v="Transferência Entre Conta"/>
    <n v="0"/>
    <d v="2015-05-21T00:00:00"/>
    <d v="1899-12-30T10:56:25"/>
    <n v="2000"/>
    <n v="0"/>
    <n v="-2953596.1600002148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766"/>
    <s v="Transferência Entre Conta"/>
    <s v="Destino: 270765-Transferência Entre Conta"/>
    <n v="2000"/>
    <d v="2015-05-21T00:00:00"/>
    <d v="1899-12-30T10:56:25"/>
    <n v="0"/>
    <n v="0"/>
    <n v="-2951596.1600002148"/>
    <m/>
    <m/>
    <m/>
    <m/>
    <n v="24"/>
    <s v="Emilly"/>
    <n v="1"/>
    <m/>
    <n v="1449"/>
    <d v="2015-05-22T00:00:00"/>
    <d v="2015-05-22T00:00:00"/>
    <m/>
    <m/>
    <n v="2015"/>
    <n v="24"/>
    <m/>
    <m/>
    <n v="270765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2818"/>
    <s v="Extrato/123905"/>
    <s v="Banco Brb - Par. 123905(01-28)"/>
    <n v="0"/>
    <d v="2015-05-21T00:00:00"/>
    <d v="1899-12-30T10:56:34"/>
    <n v="0.38"/>
    <n v="0"/>
    <n v="-2951596.5400002147"/>
    <m/>
    <m/>
    <m/>
    <n v="12390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767"/>
    <s v="Transferência Entre Conta"/>
    <s v="Transferência Entre Conta"/>
    <n v="0"/>
    <d v="2015-05-21T00:00:00"/>
    <d v="1899-12-30T10:58:19"/>
    <n v="10000"/>
    <n v="0"/>
    <n v="-2961596.540000214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0768"/>
    <s v="Transferência Entre Conta"/>
    <s v="Destino: 270767-Transferência Entre Conta"/>
    <n v="10000"/>
    <d v="2015-05-21T00:00:00"/>
    <d v="1899-12-30T10:58:19"/>
    <n v="0"/>
    <n v="0"/>
    <n v="-2951596.5400002147"/>
    <m/>
    <m/>
    <m/>
    <m/>
    <n v="24"/>
    <s v="Emilly"/>
    <n v="1"/>
    <m/>
    <n v="1449"/>
    <d v="2015-05-22T00:00:00"/>
    <d v="2015-05-22T00:00:00"/>
    <m/>
    <m/>
    <n v="2015"/>
    <n v="24"/>
    <m/>
    <m/>
    <n v="27076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769"/>
    <s v="Transferência Entre Conta"/>
    <s v="Transferência Entre Conta"/>
    <n v="0"/>
    <d v="2015-05-21T00:00:00"/>
    <d v="1899-12-30T10:58:48"/>
    <n v="10000"/>
    <n v="0"/>
    <n v="-2961596.540000214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0770"/>
    <s v="Transferência Entre Conta"/>
    <s v="Destino: 270769-Transferência Entre Conta"/>
    <n v="10000"/>
    <d v="2015-05-21T00:00:00"/>
    <d v="1899-12-30T10:58:48"/>
    <n v="0"/>
    <n v="0"/>
    <n v="-2951596.5400002147"/>
    <m/>
    <m/>
    <m/>
    <m/>
    <n v="24"/>
    <s v="Emilly"/>
    <n v="1"/>
    <m/>
    <n v="1449"/>
    <d v="2015-05-22T00:00:00"/>
    <d v="2015-05-22T00:00:00"/>
    <m/>
    <m/>
    <n v="2015"/>
    <n v="24"/>
    <m/>
    <m/>
    <n v="270769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71"/>
    <s v="Transferência Entre Conta"/>
    <s v="Transferência Entre Conta"/>
    <n v="0"/>
    <d v="2015-05-21T00:00:00"/>
    <d v="1899-12-30T10:59:29"/>
    <n v="10000"/>
    <n v="0"/>
    <n v="-2961596.540000214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0772"/>
    <s v="Transferência Entre Conta"/>
    <s v="Destino: 270771-Transferência Entre Conta"/>
    <n v="10000"/>
    <d v="2015-05-21T00:00:00"/>
    <d v="1899-12-30T10:59:29"/>
    <n v="0"/>
    <n v="0"/>
    <n v="-2951596.5400002147"/>
    <m/>
    <m/>
    <m/>
    <m/>
    <n v="24"/>
    <s v="Emilly"/>
    <n v="1"/>
    <m/>
    <n v="1449"/>
    <d v="2015-05-22T00:00:00"/>
    <d v="2015-05-22T00:00:00"/>
    <m/>
    <m/>
    <n v="2015"/>
    <n v="24"/>
    <m/>
    <m/>
    <n v="270771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73"/>
    <s v="Transferência Entre Conta"/>
    <s v="Diversos Boletos"/>
    <n v="0"/>
    <d v="2015-05-21T00:00:00"/>
    <d v="1899-12-30T11:01:12"/>
    <n v="2000"/>
    <n v="0"/>
    <n v="-2953596.540000214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6"/>
    <s v="BB [022382-4] [GYN] [CC]"/>
    <m/>
    <m/>
    <m/>
  </r>
  <r>
    <n v="270774"/>
    <s v="Transferência Entre Conta"/>
    <s v="Destino: 270773-Diversos Boletos"/>
    <n v="2000"/>
    <d v="2015-05-21T00:00:00"/>
    <d v="1899-12-30T11:01:12"/>
    <n v="0"/>
    <n v="0"/>
    <n v="-2951596.5400002147"/>
    <m/>
    <m/>
    <m/>
    <m/>
    <n v="24"/>
    <s v="Emilly"/>
    <n v="1"/>
    <m/>
    <n v="1449"/>
    <d v="2015-05-22T00:00:00"/>
    <d v="2015-05-22T00:00:00"/>
    <m/>
    <m/>
    <n v="2015"/>
    <n v="24"/>
    <m/>
    <m/>
    <n v="270773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1062"/>
    <s v="Abril/121407"/>
    <s v="Jessyca Karla Campos - Cód. 121407"/>
    <n v="0"/>
    <d v="2015-05-21T00:00:00"/>
    <d v="1899-12-30T11:51:55"/>
    <n v="500"/>
    <n v="0"/>
    <n v="-2952096.5400002147"/>
    <m/>
    <m/>
    <m/>
    <n v="121407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4651"/>
    <n v="204719"/>
    <s v="Retorno: Par. 204719(05/12) - 18541/JOÃ - Mensalidades"/>
    <n v="1724"/>
    <d v="2015-05-21T00:00:00"/>
    <d v="1899-12-30T12:00:00"/>
    <n v="0"/>
    <n v="0"/>
    <n v="-2950372.5400002147"/>
    <m/>
    <m/>
    <n v="204719"/>
    <m/>
    <n v="1"/>
    <s v="Andre"/>
    <n v="1"/>
    <m/>
    <n v="2"/>
    <d v="2015-06-30T00:00:00"/>
    <d v="2015-06-30T00:00:00"/>
    <n v="2913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0803"/>
    <s v="Remessa Olimpo Fundamental"/>
    <s v="Remessa Olimpo Fundamental"/>
    <n v="1111"/>
    <d v="2015-05-21T00:00:00"/>
    <d v="1899-12-30T13:07:01"/>
    <n v="0"/>
    <n v="0"/>
    <n v="-2949261.5400002147"/>
    <m/>
    <m/>
    <m/>
    <m/>
    <n v="24"/>
    <s v="Emilly"/>
    <n v="1"/>
    <m/>
    <n v="1431"/>
    <d v="2015-05-22T00:00:00"/>
    <d v="2015-05-22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0804"/>
    <s v="Extrato/123914"/>
    <s v="Banco Brb - Par. 123914(10-28)"/>
    <n v="0"/>
    <d v="2015-05-21T00:00:00"/>
    <d v="1899-12-30T13:09:18"/>
    <n v="15"/>
    <n v="0"/>
    <n v="-2949276.5400002147"/>
    <m/>
    <m/>
    <m/>
    <n v="123914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05"/>
    <s v="Extrato/123924"/>
    <s v="Banco Brb - Par. 123924(20-28)"/>
    <n v="0"/>
    <d v="2015-05-21T00:00:00"/>
    <d v="1899-12-30T13:09:18"/>
    <n v="15"/>
    <n v="0"/>
    <n v="-2949291.5400002147"/>
    <m/>
    <m/>
    <m/>
    <n v="123924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07"/>
    <s v="Extrato/123915"/>
    <s v="Banco Brb - Par. 123915(11-28)"/>
    <n v="0"/>
    <d v="2015-05-21T00:00:00"/>
    <d v="1899-12-30T13:09:18"/>
    <n v="15"/>
    <n v="0"/>
    <n v="-2949306.5400002147"/>
    <m/>
    <m/>
    <m/>
    <n v="123915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08"/>
    <s v="Extrato/123925"/>
    <s v="Banco Brb - Par. 123925(21-28)"/>
    <n v="0"/>
    <d v="2015-05-21T00:00:00"/>
    <d v="1899-12-30T13:09:18"/>
    <n v="15"/>
    <n v="0"/>
    <n v="-2949321.5400002147"/>
    <m/>
    <m/>
    <m/>
    <n v="123925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1"/>
    <s v="Extrato/123910"/>
    <s v="Banco Brb - Par. 123910(06-28)"/>
    <n v="0"/>
    <d v="2015-05-21T00:00:00"/>
    <d v="1899-12-30T13:09:19"/>
    <n v="15"/>
    <n v="0"/>
    <n v="-2949336.5400002147"/>
    <m/>
    <m/>
    <m/>
    <n v="12391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2"/>
    <s v="Extrato/123920"/>
    <s v="Banco Brb - Par. 123920(16-28)"/>
    <n v="0"/>
    <d v="2015-05-21T00:00:00"/>
    <d v="1899-12-30T13:09:19"/>
    <n v="15"/>
    <n v="0"/>
    <n v="-2949351.5400002147"/>
    <m/>
    <m/>
    <m/>
    <n v="12392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3"/>
    <s v="Extrato/123930"/>
    <s v="Banco Brb - Par. 123930(26-28)"/>
    <n v="0"/>
    <d v="2015-05-21T00:00:00"/>
    <d v="1899-12-30T13:09:19"/>
    <n v="15"/>
    <n v="0"/>
    <n v="-2949366.5400002147"/>
    <m/>
    <m/>
    <m/>
    <n v="12393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4"/>
    <s v="Extrato/123911"/>
    <s v="Banco Brb - Par. 123911(07-28)"/>
    <n v="0"/>
    <d v="2015-05-21T00:00:00"/>
    <d v="1899-12-30T13:09:19"/>
    <n v="15"/>
    <n v="0"/>
    <n v="-2949381.5400002147"/>
    <m/>
    <m/>
    <m/>
    <n v="12391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5"/>
    <s v="Extrato/123921"/>
    <s v="Banco Brb - Par. 123921(17-28)"/>
    <n v="0"/>
    <d v="2015-05-21T00:00:00"/>
    <d v="1899-12-30T13:09:19"/>
    <n v="15"/>
    <n v="0"/>
    <n v="-2949396.5400002147"/>
    <m/>
    <m/>
    <m/>
    <n v="12392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6"/>
    <s v="Extrato/123931"/>
    <s v="Banco Brb - Par. 123931(27-28)"/>
    <n v="0"/>
    <d v="2015-05-21T00:00:00"/>
    <d v="1899-12-30T13:09:19"/>
    <n v="15"/>
    <n v="0"/>
    <n v="-2949411.5400002147"/>
    <m/>
    <m/>
    <m/>
    <n v="12393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7"/>
    <s v="Extrato/123912"/>
    <s v="Banco Brb - Par. 123912(08-28)"/>
    <n v="0"/>
    <d v="2015-05-21T00:00:00"/>
    <d v="1899-12-30T13:09:19"/>
    <n v="15"/>
    <n v="0"/>
    <n v="-2949426.5400002147"/>
    <m/>
    <m/>
    <m/>
    <n v="12391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8"/>
    <s v="Extrato/123922"/>
    <s v="Banco Brb - Par. 123922(18-28)"/>
    <n v="0"/>
    <d v="2015-05-21T00:00:00"/>
    <d v="1899-12-30T13:09:19"/>
    <n v="15"/>
    <n v="0"/>
    <n v="-2949441.5400002147"/>
    <m/>
    <m/>
    <m/>
    <n v="12392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9"/>
    <s v="Extrato/123932"/>
    <s v="Banco Brb - Par. 123932(28-28)"/>
    <n v="0"/>
    <d v="2015-05-21T00:00:00"/>
    <d v="1899-12-30T13:09:19"/>
    <n v="11.74"/>
    <n v="0"/>
    <n v="-2949453.2800002149"/>
    <m/>
    <m/>
    <m/>
    <n v="12393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09"/>
    <s v="Extrato/123906"/>
    <s v="Banco Brb - Par. 123906(02-28)"/>
    <n v="0"/>
    <d v="2015-05-21T00:00:00"/>
    <d v="1899-12-30T13:09:19"/>
    <n v="15"/>
    <n v="0"/>
    <n v="-2949468.2800002149"/>
    <m/>
    <m/>
    <m/>
    <n v="12390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0"/>
    <s v="Extrato/123916"/>
    <s v="Banco Brb - Par. 123916(12-28)"/>
    <n v="0"/>
    <d v="2015-05-21T00:00:00"/>
    <d v="1899-12-30T13:09:19"/>
    <n v="15"/>
    <n v="0"/>
    <n v="-2949483.2800002149"/>
    <m/>
    <m/>
    <m/>
    <n v="12391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1"/>
    <s v="Extrato/123926"/>
    <s v="Banco Brb - Par. 123926(22-28)"/>
    <n v="0"/>
    <d v="2015-05-21T00:00:00"/>
    <d v="1899-12-30T13:09:19"/>
    <n v="15"/>
    <n v="0"/>
    <n v="-2949498.2800002149"/>
    <m/>
    <m/>
    <m/>
    <n v="12392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2"/>
    <s v="Extrato/123907"/>
    <s v="Banco Brb - Par. 123907(03-28)"/>
    <n v="0"/>
    <d v="2015-05-21T00:00:00"/>
    <d v="1899-12-30T13:09:19"/>
    <n v="15"/>
    <n v="0"/>
    <n v="-2949513.2800002149"/>
    <m/>
    <m/>
    <m/>
    <n v="12390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3"/>
    <s v="Extrato/123917"/>
    <s v="Banco Brb - Par. 123917(13-28)"/>
    <n v="0"/>
    <d v="2015-05-21T00:00:00"/>
    <d v="1899-12-30T13:09:19"/>
    <n v="15"/>
    <n v="0"/>
    <n v="-2949528.2800002149"/>
    <m/>
    <m/>
    <m/>
    <n v="12391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4"/>
    <s v="Extrato/123927"/>
    <s v="Banco Brb - Par. 123927(23-28)"/>
    <n v="0"/>
    <d v="2015-05-21T00:00:00"/>
    <d v="1899-12-30T13:09:19"/>
    <n v="15"/>
    <n v="0"/>
    <n v="-2949543.2800002149"/>
    <m/>
    <m/>
    <m/>
    <n v="12392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5"/>
    <s v="Extrato/123908"/>
    <s v="Banco Brb - Par. 123908(04-28)"/>
    <n v="0"/>
    <d v="2015-05-21T00:00:00"/>
    <d v="1899-12-30T13:09:19"/>
    <n v="15"/>
    <n v="0"/>
    <n v="-2949558.2800002149"/>
    <m/>
    <m/>
    <m/>
    <n v="12390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6"/>
    <s v="Extrato/123918"/>
    <s v="Banco Brb - Par. 123918(14-28)"/>
    <n v="0"/>
    <d v="2015-05-21T00:00:00"/>
    <d v="1899-12-30T13:09:19"/>
    <n v="15"/>
    <n v="0"/>
    <n v="-2949573.2800002149"/>
    <m/>
    <m/>
    <m/>
    <n v="12391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7"/>
    <s v="Extrato/123928"/>
    <s v="Banco Brb - Par. 123928(24-28)"/>
    <n v="0"/>
    <d v="2015-05-21T00:00:00"/>
    <d v="1899-12-30T13:09:19"/>
    <n v="15"/>
    <n v="0"/>
    <n v="-2949588.2800002149"/>
    <m/>
    <m/>
    <m/>
    <n v="12392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8"/>
    <s v="Extrato/123909"/>
    <s v="Banco Brb - Par. 123909(05-28)"/>
    <n v="0"/>
    <d v="2015-05-21T00:00:00"/>
    <d v="1899-12-30T13:09:19"/>
    <n v="15"/>
    <n v="0"/>
    <n v="-2949603.2800002149"/>
    <m/>
    <m/>
    <m/>
    <n v="12390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9"/>
    <s v="Extrato/123919"/>
    <s v="Banco Brb - Par. 123919(15-28)"/>
    <n v="0"/>
    <d v="2015-05-21T00:00:00"/>
    <d v="1899-12-30T13:09:19"/>
    <n v="15"/>
    <n v="0"/>
    <n v="-2949618.2800002149"/>
    <m/>
    <m/>
    <m/>
    <n v="12391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0"/>
    <s v="Extrato/123929"/>
    <s v="Banco Brb - Par. 123929(25-28)"/>
    <n v="0"/>
    <d v="2015-05-21T00:00:00"/>
    <d v="1899-12-30T13:09:19"/>
    <n v="15"/>
    <n v="0"/>
    <n v="-2949633.2800002149"/>
    <m/>
    <m/>
    <m/>
    <n v="12392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30"/>
    <s v="Extrato/123913"/>
    <s v="Banco Brb - Par. 123913(09-28)"/>
    <n v="0"/>
    <d v="2015-05-21T00:00:00"/>
    <d v="1899-12-30T13:09:20"/>
    <n v="15"/>
    <n v="0"/>
    <n v="-2949648.2800002149"/>
    <m/>
    <m/>
    <m/>
    <n v="123913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31"/>
    <s v="Extrato/123923"/>
    <s v="Banco Brb - Par. 123923(19-28)"/>
    <n v="0"/>
    <d v="2015-05-21T00:00:00"/>
    <d v="1899-12-30T13:09:20"/>
    <n v="15"/>
    <n v="0"/>
    <n v="-2949663.2800002149"/>
    <m/>
    <m/>
    <m/>
    <n v="123923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33"/>
    <s v="Brb Sol 1488/73240"/>
    <s v="Prefeitura Municipal De Goiânia  - Cód. 073240"/>
    <n v="0"/>
    <d v="2015-05-21T00:00:00"/>
    <d v="1899-12-30T13:10:48"/>
    <n v="27500"/>
    <n v="0"/>
    <n v="-2977163.2800002149"/>
    <m/>
    <m/>
    <m/>
    <n v="73240"/>
    <n v="24"/>
    <s v="Emilly"/>
    <n v="1"/>
    <m/>
    <n v="536"/>
    <d v="2015-05-22T00:00:00"/>
    <d v="2015-05-22T00:00:00"/>
    <m/>
    <m/>
    <n v="2015"/>
    <n v="24"/>
    <m/>
    <m/>
    <m/>
    <m/>
    <s v="CA.Impostos (VERIFICAR)"/>
    <x v="1"/>
    <s v="COLÉGIO OLIMPO LTDA"/>
    <m/>
    <n v="52"/>
    <n v="2"/>
    <s v="Cheque"/>
    <m/>
    <n v="0"/>
    <m/>
    <n v="0"/>
    <m/>
    <m/>
    <s v="BRB [SOL] [012052-4] [CC] [COB]"/>
    <m/>
    <m/>
    <m/>
  </r>
  <r>
    <n v="270834"/>
    <s v="MRZ/110523"/>
    <s v="Marcelo Romero Zacarias - Cód. 110523"/>
    <n v="0"/>
    <d v="2015-05-21T00:00:00"/>
    <d v="1899-12-30T13:11:08"/>
    <n v="1750"/>
    <n v="0"/>
    <n v="-2978913.2800002149"/>
    <m/>
    <m/>
    <m/>
    <n v="110523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835"/>
    <s v="Ant.Cob/123934"/>
    <s v="Banco Brb - Cód. 123934"/>
    <n v="0"/>
    <d v="2015-05-21T00:00:00"/>
    <d v="1899-12-30T13:12:03"/>
    <n v="1111"/>
    <n v="0"/>
    <n v="-2980024.2800002149"/>
    <m/>
    <m/>
    <m/>
    <n v="123934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59"/>
    <s v="Ant.Cob/123945"/>
    <s v="Banco Brb - Cód. 123945"/>
    <n v="0"/>
    <d v="2015-05-21T00:00:00"/>
    <d v="1899-12-30T14:21:49"/>
    <n v="1473"/>
    <n v="0"/>
    <n v="-2981497.2800002149"/>
    <m/>
    <m/>
    <m/>
    <n v="123945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60"/>
    <s v="Ant.Cob/123946"/>
    <s v="Banco Brb - Cód. 123946"/>
    <n v="0"/>
    <d v="2015-05-21T00:00:00"/>
    <d v="1899-12-30T14:21:49"/>
    <n v="1473"/>
    <n v="0"/>
    <n v="-2982970.2800002149"/>
    <m/>
    <m/>
    <m/>
    <n v="123946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676"/>
    <s v="Recibo/123821"/>
    <s v="Estacionamento Bandeirante  - Cód. 123821"/>
    <n v="0"/>
    <d v="2015-05-21T00:00:00"/>
    <d v="1899-12-30T14:23:22"/>
    <n v="3"/>
    <n v="0"/>
    <n v="-2982973.2800002149"/>
    <m/>
    <m/>
    <m/>
    <n v="123821"/>
    <n v="24"/>
    <s v="Emilly"/>
    <n v="1"/>
    <m/>
    <n v="523"/>
    <d v="2015-05-21T00:00:00"/>
    <d v="2015-05-21T00:00:00"/>
    <m/>
    <m/>
    <n v="2015"/>
    <n v="24"/>
    <m/>
    <m/>
    <m/>
    <m/>
    <s v="CA.Despesas com Veículos (DESPESA)"/>
    <x v="1"/>
    <s v="COLÉGIO OLIMPO LTDA"/>
    <m/>
    <n v="56"/>
    <n v="1"/>
    <s v="Dinheiro"/>
    <m/>
    <n v="0"/>
    <m/>
    <n v="0"/>
    <m/>
    <m/>
    <s v="CAIXA TESOURARIA"/>
    <m/>
    <m/>
    <m/>
  </r>
  <r>
    <n v="270864"/>
    <s v="Extrato/123949"/>
    <s v="Banco Itaú Unibanco S.A. - Cód. 123949"/>
    <n v="0"/>
    <d v="2015-05-21T00:00:00"/>
    <d v="1899-12-30T15:33:35"/>
    <n v="7.95"/>
    <n v="0"/>
    <n v="-2982981.2300002151"/>
    <m/>
    <m/>
    <m/>
    <n v="123949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1480"/>
    <n v="184805"/>
    <s v="Par.(02/12) 018333/MATHEUS FARIA CUNHA - Mensalidades"/>
    <n v="1602.59"/>
    <d v="2015-05-21T00:00:00"/>
    <d v="1899-12-30T17:46:13"/>
    <n v="0"/>
    <n v="0"/>
    <n v="-2981378.6400002153"/>
    <m/>
    <m/>
    <n v="184805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35"/>
    <n v="2"/>
    <s v="Cheque"/>
    <m/>
    <n v="0"/>
    <m/>
    <n v="0"/>
    <m/>
    <m/>
    <s v="[OUTRAS] ESCRITÓRIO COBRANÇA"/>
    <m/>
    <m/>
    <m/>
  </r>
  <r>
    <n v="271481"/>
    <n v="188658"/>
    <s v="Par.(03/12) 018333/MATHEUS FARIA CUNHA - Mensalidades"/>
    <n v="1587.41"/>
    <d v="2015-05-21T00:00:00"/>
    <d v="1899-12-30T17:46:13"/>
    <n v="0"/>
    <n v="0"/>
    <n v="-2979791.2300002151"/>
    <m/>
    <m/>
    <n v="188658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35"/>
    <n v="2"/>
    <s v="Cheque"/>
    <m/>
    <n v="0"/>
    <m/>
    <n v="0"/>
    <m/>
    <m/>
    <s v="[OUTRAS] ESCRITÓRIO COBRANÇA"/>
    <m/>
    <m/>
    <m/>
  </r>
  <r>
    <n v="271482"/>
    <s v="DEPÓSITO 2015-05-21"/>
    <s v="PAGAMENTO DA MENSALIDADE DE MARÇO/2015, DO(A) ALUNO(A) LUIZA FERRO MARQUES MORAES_EMI"/>
    <n v="2332"/>
    <d v="2015-05-21T00:00:00"/>
    <d v="1899-12-30T17:49:10"/>
    <n v="0"/>
    <n v="0"/>
    <n v="-2977459.2300002151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4858"/>
    <s v="FVV/127735"/>
    <s v="Fábio Villa Verde Moreno - Cód. 127735"/>
    <n v="0"/>
    <d v="2015-05-21T00:00:00"/>
    <d v="1899-12-30T19:04:00"/>
    <n v="6000"/>
    <n v="0"/>
    <n v="-2983459.2300002151"/>
    <m/>
    <m/>
    <m/>
    <n v="127735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71795"/>
    <n v="192256"/>
    <s v="Par.(04/12) 018666/GUSTAVO RIBEIRO MESQUITA - Mensalidades"/>
    <n v="1842"/>
    <d v="2015-05-22T00:00:00"/>
    <d v="1899-12-30T08:51:09"/>
    <n v="0"/>
    <n v="0"/>
    <n v="-2981617.2300002151"/>
    <m/>
    <m/>
    <n v="192256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797"/>
    <n v="213030"/>
    <s v="Par.(03/12) 020499/JOÃO VICTOR PORTELLINHA D - Mensalidades"/>
    <n v="1860.25"/>
    <d v="2015-05-22T00:00:00"/>
    <d v="1899-12-30T08:57:03"/>
    <n v="0"/>
    <n v="0"/>
    <n v="-2979756.9800002151"/>
    <m/>
    <m/>
    <n v="213030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798"/>
    <n v="213031"/>
    <s v="Par.(04/12) 020499/JOÃO VICTOR PORTELLINHA D - Mensalidades"/>
    <n v="1843.15"/>
    <d v="2015-05-22T00:00:00"/>
    <d v="1899-12-30T08:57:03"/>
    <n v="0"/>
    <n v="0"/>
    <n v="-2977913.8300002152"/>
    <m/>
    <m/>
    <n v="213031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986"/>
    <n v="216876"/>
    <s v="Par.(01-1) 019894/AMANDA MALHEIROS - 1ª OU 2ª SÉRI"/>
    <n v="73"/>
    <d v="2015-05-22T00:00:00"/>
    <d v="1899-12-30T09:55:17"/>
    <n v="0"/>
    <n v="0"/>
    <n v="-2977840.8300002152"/>
    <m/>
    <m/>
    <n v="21687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87"/>
    <n v="216877"/>
    <s v="Par.(01-1) 019894/AMANDA MALHEIROS - 1ª OU 2ª SÉRI"/>
    <n v="73"/>
    <d v="2015-05-22T00:00:00"/>
    <d v="1899-12-30T09:55:17"/>
    <n v="0"/>
    <n v="0"/>
    <n v="-2977767.8300002152"/>
    <m/>
    <m/>
    <n v="21687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85"/>
    <n v="216878"/>
    <s v="Par.(01-1) 019894/AMANDA MALHEIROS - 1ª OU 2ª SÉRI"/>
    <n v="73"/>
    <d v="2015-05-22T00:00:00"/>
    <d v="1899-12-30T09:55:17"/>
    <n v="0"/>
    <n v="0"/>
    <n v="-2977694.8300002152"/>
    <m/>
    <m/>
    <n v="21687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1"/>
    <n v="216880"/>
    <s v="Par.(01-1) 019610/ANA CLAUDIA SILVA - 1ª OU 2ª SÉRI"/>
    <n v="73"/>
    <d v="2015-05-22T00:00:00"/>
    <d v="1899-12-30T09:56:00"/>
    <n v="0"/>
    <n v="0"/>
    <n v="-2977621.8300002152"/>
    <m/>
    <m/>
    <n v="216880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89"/>
    <n v="216881"/>
    <s v="Par.(01-1) 019610/ANA CLAUDIA SILVA - 1ª OU 2ª SÉRI"/>
    <n v="73"/>
    <d v="2015-05-22T00:00:00"/>
    <d v="1899-12-30T09:56:00"/>
    <n v="0"/>
    <n v="0"/>
    <n v="-2977548.8300002152"/>
    <m/>
    <m/>
    <n v="216881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0"/>
    <n v="216879"/>
    <s v="Par.(01-1) 019610/ANA CLAUDIA SILVA - 1ª OU 2ª SÉRI"/>
    <n v="73"/>
    <d v="2015-05-22T00:00:00"/>
    <d v="1899-12-30T09:56:00"/>
    <n v="0"/>
    <n v="0"/>
    <n v="-2977475.8300002152"/>
    <m/>
    <m/>
    <n v="21687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5"/>
    <n v="216882"/>
    <s v="Par.(01-1) 019570/FERNANDA ALCÂNTARA DA COS - 1ª OU 2ª SÉRI"/>
    <n v="73"/>
    <d v="2015-05-22T00:00:00"/>
    <d v="1899-12-30T09:56:37"/>
    <n v="0"/>
    <n v="0"/>
    <n v="-2977402.8300002152"/>
    <m/>
    <m/>
    <n v="216882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3"/>
    <n v="216883"/>
    <s v="Par.(01-1) 019570/FERNANDA ALCÂNTARA DA COS - 1ª OU 2ª SÉRI"/>
    <n v="73"/>
    <d v="2015-05-22T00:00:00"/>
    <d v="1899-12-30T09:56:37"/>
    <n v="0"/>
    <n v="0"/>
    <n v="-2977329.8300002152"/>
    <m/>
    <m/>
    <n v="216883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4"/>
    <n v="216884"/>
    <s v="Par.(01-1) 019570/FERNANDA ALCÂNTARA DA COS - 1ª OU 2ª SÉRI"/>
    <n v="73"/>
    <d v="2015-05-22T00:00:00"/>
    <d v="1899-12-30T09:56:37"/>
    <n v="0"/>
    <n v="0"/>
    <n v="-2977256.8300002152"/>
    <m/>
    <m/>
    <n v="216884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7"/>
    <n v="216887"/>
    <s v="Par.(01-1) 018199/GUSTAVO PEIXOTO DE OLIVEI - 1ª OU 2ª SÉRI"/>
    <n v="73"/>
    <d v="2015-05-22T00:00:00"/>
    <d v="1899-12-30T09:57:10"/>
    <n v="0"/>
    <n v="0"/>
    <n v="-2977183.8300002152"/>
    <m/>
    <m/>
    <n v="21688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8"/>
    <n v="216885"/>
    <s v="Par.(01-1) 018199/GUSTAVO PEIXOTO DE OLIVEI - 1ª OU 2ª SÉRI"/>
    <n v="73"/>
    <d v="2015-05-22T00:00:00"/>
    <d v="1899-12-30T09:57:11"/>
    <n v="0"/>
    <n v="0"/>
    <n v="-2977110.8300002152"/>
    <m/>
    <m/>
    <n v="216885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9"/>
    <n v="216886"/>
    <s v="Par.(01-1) 018199/GUSTAVO PEIXOTO DE OLIVEI - 1ª OU 2ª SÉRI"/>
    <n v="73"/>
    <d v="2015-05-22T00:00:00"/>
    <d v="1899-12-30T09:57:11"/>
    <n v="0"/>
    <n v="0"/>
    <n v="-2977037.8300002152"/>
    <m/>
    <m/>
    <n v="21688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1"/>
    <n v="216890"/>
    <s v="Par.(01-1) 020099/JULIA GARCIA GOUVEIA - 1ª OU 2ª SÉRI"/>
    <n v="73"/>
    <d v="2015-05-22T00:00:00"/>
    <d v="1899-12-30T09:57:51"/>
    <n v="0"/>
    <n v="0"/>
    <n v="-2976964.8300002152"/>
    <m/>
    <m/>
    <n v="216890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2"/>
    <n v="216888"/>
    <s v="Par.(01-1) 020099/JULIA GARCIA GOUVEIA - 1ª OU 2ª SÉRI"/>
    <n v="73"/>
    <d v="2015-05-22T00:00:00"/>
    <d v="1899-12-30T09:57:51"/>
    <n v="0"/>
    <n v="0"/>
    <n v="-2976891.8300002152"/>
    <m/>
    <m/>
    <n v="21688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3"/>
    <n v="216889"/>
    <s v="Par.(01-1) 020099/JULIA GARCIA GOUVEIA - 1ª OU 2ª SÉRI"/>
    <n v="73"/>
    <d v="2015-05-22T00:00:00"/>
    <d v="1899-12-30T09:57:52"/>
    <n v="0"/>
    <n v="0"/>
    <n v="-2976818.8300002152"/>
    <m/>
    <m/>
    <n v="21688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5"/>
    <n v="216891"/>
    <s v="Par.(01-1) 019361/JÚLIA SIQUEIRA RODRIGUES - 1ª OU 2ª SÉRI"/>
    <n v="73"/>
    <d v="2015-05-22T00:00:00"/>
    <d v="1899-12-30T09:58:22"/>
    <n v="0"/>
    <n v="0"/>
    <n v="-2976745.8300002152"/>
    <m/>
    <m/>
    <n v="216891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6"/>
    <n v="216892"/>
    <s v="Par.(01-1) 019361/JÚLIA SIQUEIRA RODRIGUES - 1ª OU 2ª SÉRI"/>
    <n v="73"/>
    <d v="2015-05-22T00:00:00"/>
    <d v="1899-12-30T09:58:22"/>
    <n v="0"/>
    <n v="0"/>
    <n v="-2976672.8300002152"/>
    <m/>
    <m/>
    <n v="216892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4"/>
    <n v="216893"/>
    <s v="Par.(01-1) 019361/JÚLIA SIQUEIRA RODRIGUES - 1ª OU 2ª SÉRI"/>
    <n v="73"/>
    <d v="2015-05-22T00:00:00"/>
    <d v="1899-12-30T09:58:22"/>
    <n v="0"/>
    <n v="0"/>
    <n v="-2976599.8300002152"/>
    <m/>
    <m/>
    <n v="216893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7"/>
    <n v="216894"/>
    <s v="Par.(01-1) 018276/JULIANA SOUTO DE OLIVEIRA - 1ª OU 2ª SÉRI"/>
    <n v="73"/>
    <d v="2015-05-22T00:00:00"/>
    <d v="1899-12-30T09:58:56"/>
    <n v="0"/>
    <n v="0"/>
    <n v="-2976526.8300002152"/>
    <m/>
    <m/>
    <n v="216894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8"/>
    <n v="216895"/>
    <s v="Par.(01-1) 018276/JULIANA SOUTO DE OLIVEIRA - 1ª OU 2ª SÉRI"/>
    <n v="73"/>
    <d v="2015-05-22T00:00:00"/>
    <d v="1899-12-30T09:58:56"/>
    <n v="0"/>
    <n v="0"/>
    <n v="-2976453.8300002152"/>
    <m/>
    <m/>
    <n v="216895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9"/>
    <n v="216896"/>
    <s v="Par.(01-1) 018276/JULIANA SOUTO DE OLIVEIRA - 1ª OU 2ª SÉRI"/>
    <n v="73"/>
    <d v="2015-05-22T00:00:00"/>
    <d v="1899-12-30T09:58:56"/>
    <n v="0"/>
    <n v="0"/>
    <n v="-2976380.8300002152"/>
    <m/>
    <m/>
    <n v="21689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10"/>
    <n v="216899"/>
    <s v="Par.(01-1) 018350/MATHEUS ROCHA CESILIO - 1ª OU 2ª SÉRI"/>
    <n v="73"/>
    <d v="2015-05-22T00:00:00"/>
    <d v="1899-12-30T09:59:41"/>
    <n v="0"/>
    <n v="0"/>
    <n v="-2976307.8300002152"/>
    <m/>
    <m/>
    <n v="21689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11"/>
    <n v="216897"/>
    <s v="Par.(01-1) 018350/MATHEUS ROCHA CESILIO - 1ª OU 2ª SÉRI"/>
    <n v="73"/>
    <d v="2015-05-22T00:00:00"/>
    <d v="1899-12-30T09:59:42"/>
    <n v="0"/>
    <n v="0"/>
    <n v="-2976234.8300002152"/>
    <m/>
    <m/>
    <n v="21689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12"/>
    <n v="216898"/>
    <s v="Par.(01-1) 018350/MATHEUS ROCHA CESILIO - 1ª OU 2ª SÉRI"/>
    <n v="73"/>
    <d v="2015-05-22T00:00:00"/>
    <d v="1899-12-30T09:59:42"/>
    <n v="0"/>
    <n v="0"/>
    <n v="-2976161.8300002152"/>
    <m/>
    <m/>
    <n v="21689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48"/>
    <s v="Rescisão/123992"/>
    <s v="Rescisão - Grupo Olimpo - Cód. 123992"/>
    <n v="0"/>
    <d v="2015-05-22T00:00:00"/>
    <d v="1899-12-30T10:01:13"/>
    <n v="1386"/>
    <n v="0"/>
    <n v="-2977547.8300002152"/>
    <m/>
    <m/>
    <m/>
    <n v="123992"/>
    <n v="24"/>
    <s v="Emilly"/>
    <n v="1"/>
    <m/>
    <n v="175"/>
    <d v="2015-05-25T00:00:00"/>
    <d v="2015-05-25T00:00:00"/>
    <m/>
    <m/>
    <n v="2015"/>
    <n v="24"/>
    <m/>
    <m/>
    <m/>
    <m/>
    <s v="T-3.Rescisão de contrato educacional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49"/>
    <s v="Recibo/123993"/>
    <s v="Grupo Olimpo - Cód. 123993"/>
    <n v="0"/>
    <d v="2015-05-22T00:00:00"/>
    <d v="1899-12-30T10:02:41"/>
    <n v="200"/>
    <n v="0"/>
    <n v="-2977747.8300002152"/>
    <m/>
    <m/>
    <m/>
    <n v="123993"/>
    <n v="24"/>
    <s v="Emilly"/>
    <n v="1"/>
    <m/>
    <n v="564"/>
    <d v="2015-05-25T00:00:00"/>
    <d v="2015-05-25T00:00:00"/>
    <m/>
    <m/>
    <n v="2015"/>
    <n v="24"/>
    <m/>
    <m/>
    <m/>
    <m/>
    <s v="CA.Reforma predial (INVESTIMENTO?)"/>
    <x v="1"/>
    <s v="COLÉGIO OLIMPO LTDA"/>
    <m/>
    <n v="56"/>
    <n v="1"/>
    <s v="Dinheiro"/>
    <m/>
    <n v="0"/>
    <m/>
    <n v="0"/>
    <m/>
    <m/>
    <s v="CAIXA TESOURARIA"/>
    <m/>
    <m/>
    <m/>
  </r>
  <r>
    <n v="270950"/>
    <s v="Recibo/123994"/>
    <s v="Grupo Olimpo - Cód. 123994"/>
    <n v="0"/>
    <d v="2015-05-22T00:00:00"/>
    <d v="1899-12-30T10:04:15"/>
    <n v="241.8"/>
    <n v="0"/>
    <n v="-2977989.630000215"/>
    <m/>
    <m/>
    <m/>
    <n v="123994"/>
    <n v="24"/>
    <s v="Emilly"/>
    <n v="1"/>
    <m/>
    <n v="537"/>
    <d v="2015-05-25T00:00:00"/>
    <d v="2015-05-25T00:00:00"/>
    <m/>
    <m/>
    <n v="2015"/>
    <n v="24"/>
    <m/>
    <m/>
    <m/>
    <m/>
    <s v="CA.Despesas Diversas (DESPESA)"/>
    <x v="1"/>
    <s v="COLÉGIO OLIMPO LTDA"/>
    <m/>
    <n v="56"/>
    <n v="1"/>
    <s v="Dinheiro"/>
    <m/>
    <n v="0"/>
    <m/>
    <n v="0"/>
    <m/>
    <m/>
    <s v="CAIXA TESOURARIA"/>
    <m/>
    <m/>
    <m/>
  </r>
  <r>
    <n v="270951"/>
    <s v="651/123995"/>
    <s v="Informe Federal Assessoria Propr. Intele - Cód. 123995"/>
    <n v="0"/>
    <d v="2015-05-22T00:00:00"/>
    <d v="1899-12-30T10:05:06"/>
    <n v="263.60000000000002"/>
    <n v="0"/>
    <n v="-2978253.2300002151"/>
    <m/>
    <m/>
    <m/>
    <n v="123995"/>
    <n v="24"/>
    <s v="Emilly"/>
    <n v="1"/>
    <m/>
    <n v="572"/>
    <d v="2015-05-25T00:00:00"/>
    <d v="2015-05-25T00:00:00"/>
    <m/>
    <m/>
    <n v="2015"/>
    <n v="24"/>
    <m/>
    <m/>
    <m/>
    <m/>
    <s v="CA.Seguros e proteções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52"/>
    <s v="Fiscais/123996"/>
    <s v="Fiscais De Prova - Cód. 123996"/>
    <n v="0"/>
    <d v="2015-05-22T00:00:00"/>
    <d v="1899-12-30T10:06:09"/>
    <n v="1575"/>
    <n v="0"/>
    <n v="-2979828.2300002151"/>
    <m/>
    <m/>
    <m/>
    <n v="123996"/>
    <n v="24"/>
    <s v="Emilly"/>
    <n v="1"/>
    <m/>
    <n v="1419"/>
    <d v="2015-05-25T00:00:00"/>
    <d v="2015-05-25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1445"/>
    <s v="Entrada"/>
    <s v="Biblioteca Fundamental"/>
    <n v="152"/>
    <d v="2015-05-22T00:00:00"/>
    <d v="1899-12-30T10:06:40"/>
    <n v="0"/>
    <n v="0"/>
    <n v="-2979676.2300002151"/>
    <m/>
    <m/>
    <m/>
    <m/>
    <n v="24"/>
    <s v="Emilly"/>
    <n v="2"/>
    <m/>
    <n v="59"/>
    <d v="2015-05-28T00:00:00"/>
    <d v="2015-05-28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0953"/>
    <s v="Fiscais/123997"/>
    <s v="Fiscais De Prova - Cód. 123997"/>
    <n v="0"/>
    <d v="2015-05-22T00:00:00"/>
    <d v="1899-12-30T10:08:38"/>
    <n v="630"/>
    <n v="0"/>
    <n v="-2980306.2300002151"/>
    <m/>
    <m/>
    <m/>
    <n v="123997"/>
    <n v="24"/>
    <s v="Emilly"/>
    <n v="1"/>
    <m/>
    <n v="139"/>
    <d v="2015-05-25T00:00:00"/>
    <d v="2015-05-25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0954"/>
    <s v="Fiscais/123998"/>
    <s v="Fiscais De Prova - Cód. 123998"/>
    <n v="0"/>
    <d v="2015-05-22T00:00:00"/>
    <d v="1899-12-30T10:09:27"/>
    <n v="1260"/>
    <n v="0"/>
    <n v="-2981566.2300002151"/>
    <m/>
    <m/>
    <m/>
    <n v="123998"/>
    <n v="24"/>
    <s v="Emilly"/>
    <n v="1"/>
    <m/>
    <n v="336"/>
    <d v="2015-05-25T00:00:00"/>
    <d v="2015-05-25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1023"/>
    <s v="Extrato/124030"/>
    <s v="Bradesco S/A - Par. 124030(05-7)"/>
    <n v="0"/>
    <d v="2015-05-22T00:00:00"/>
    <d v="1899-12-30T10:09:36"/>
    <n v="7.9"/>
    <n v="0"/>
    <n v="-2981574.130000215"/>
    <m/>
    <m/>
    <m/>
    <n v="124030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19"/>
    <s v="Extrato/124026"/>
    <s v="Bradesco S/A - Par. 124026(01-7)"/>
    <n v="0"/>
    <d v="2015-05-22T00:00:00"/>
    <d v="1899-12-30T10:09:36"/>
    <n v="7.9"/>
    <n v="0"/>
    <n v="-2981582.0300002149"/>
    <m/>
    <m/>
    <m/>
    <n v="124026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20"/>
    <s v="Extrato/124027"/>
    <s v="Bradesco S/A - Par. 124027(02-7)"/>
    <n v="0"/>
    <d v="2015-05-22T00:00:00"/>
    <d v="1899-12-30T10:09:36"/>
    <n v="7.9"/>
    <n v="0"/>
    <n v="-2981589.9300002148"/>
    <m/>
    <m/>
    <m/>
    <n v="124027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21"/>
    <s v="Extrato/124028"/>
    <s v="Bradesco S/A - Par. 124028(03-7)"/>
    <n v="0"/>
    <d v="2015-05-22T00:00:00"/>
    <d v="1899-12-30T10:09:36"/>
    <n v="7.9"/>
    <n v="0"/>
    <n v="-2981597.8300002147"/>
    <m/>
    <m/>
    <m/>
    <n v="124028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22"/>
    <s v="Extrato/124029"/>
    <s v="Bradesco S/A - Par. 124029(04-7)"/>
    <n v="0"/>
    <d v="2015-05-22T00:00:00"/>
    <d v="1899-12-30T10:09:36"/>
    <n v="7.9"/>
    <n v="0"/>
    <n v="-2981605.7300002147"/>
    <m/>
    <m/>
    <m/>
    <n v="124029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955"/>
    <s v="Rescisão/124000"/>
    <s v="Rescisão - Grupo Olimpo - Cód. 124000"/>
    <n v="0"/>
    <d v="2015-05-22T00:00:00"/>
    <d v="1899-12-30T10:11:37"/>
    <n v="190"/>
    <n v="0"/>
    <n v="-2981795.7300002147"/>
    <m/>
    <m/>
    <m/>
    <n v="124000"/>
    <n v="24"/>
    <s v="Emilly"/>
    <n v="1"/>
    <m/>
    <n v="175"/>
    <d v="2015-05-25T00:00:00"/>
    <d v="2015-05-25T00:00:00"/>
    <m/>
    <m/>
    <n v="2015"/>
    <n v="24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271485"/>
    <n v="216760"/>
    <s v="Par.(04-12) 020590/RICARDO BANDEIRA DE CARVA - PAGAMENTO CHE"/>
    <n v="1279.5"/>
    <d v="2015-05-22T00:00:00"/>
    <d v="1899-12-30T10:29:55"/>
    <n v="0"/>
    <n v="0"/>
    <n v="-2980516.2300002147"/>
    <m/>
    <m/>
    <n v="216760"/>
    <m/>
    <n v="8"/>
    <s v="Vinicius"/>
    <n v="1"/>
    <m/>
    <n v="1378"/>
    <d v="2015-05-29T00:00:00"/>
    <d v="2015-05-29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1486"/>
    <s v="ESPÉCIE 2015-05-22"/>
    <s v="PARTE PAGAMENTO DA RENEGOCIAÇÃO, DO ALUNO JOSÉ FLÁVIO DE OLIVEIRA NETO_EMI"/>
    <n v="2034.5"/>
    <d v="2015-05-22T00:00:00"/>
    <d v="1899-12-30T10:30:57"/>
    <n v="0"/>
    <n v="0"/>
    <n v="-2978481.7300002147"/>
    <m/>
    <m/>
    <m/>
    <m/>
    <n v="8"/>
    <s v="Vinicius"/>
    <n v="1"/>
    <m/>
    <n v="1431"/>
    <d v="2015-05-29T00:00:00"/>
    <d v="2015-05-29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1487"/>
    <s v="ESPÉCIE 2015-05-22"/>
    <s v="PAGAMENTO DA MENSALIDADE DE ABRIL/2015, DO(A) ALUNO(A) GUILHERME YURI SOUZA UTIDA_ESN"/>
    <n v="369"/>
    <d v="2015-05-22T00:00:00"/>
    <d v="1899-12-30T10:46:36"/>
    <n v="0"/>
    <n v="0"/>
    <n v="-2978112.7300002147"/>
    <m/>
    <m/>
    <m/>
    <m/>
    <n v="8"/>
    <s v="Vinicius"/>
    <n v="1"/>
    <m/>
    <n v="1434"/>
    <d v="2015-05-29T00:00:00"/>
    <d v="2015-05-29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051"/>
    <s v="Extrato"/>
    <s v="Aolicação auto mais "/>
    <n v="0.01"/>
    <d v="2015-05-22T00:00:00"/>
    <d v="1899-12-30T11:34:23"/>
    <n v="0"/>
    <n v="0"/>
    <n v="-2978112.7200002149"/>
    <m/>
    <m/>
    <m/>
    <m/>
    <n v="7"/>
    <s v="Anapaula"/>
    <n v="1"/>
    <m/>
    <n v="95"/>
    <d v="2015-05-26T00:00:00"/>
    <d v="2015-05-26T00:00:00"/>
    <m/>
    <m/>
    <n v="2015"/>
    <n v="7"/>
    <m/>
    <m/>
    <m/>
    <m/>
    <s v="Recebimento Diversos"/>
    <x v="1"/>
    <s v="COLÉGIO OLIMPO LTDA"/>
    <m/>
    <n v="26"/>
    <n v="8"/>
    <s v="Transferência Bancária"/>
    <m/>
    <m/>
    <m/>
    <n v="0"/>
    <m/>
    <m/>
    <s v="ITAÚ [SOL] [001691-4] [CC]"/>
    <m/>
    <m/>
    <m/>
  </r>
  <r>
    <n v="271052"/>
    <s v="Extrato/124035"/>
    <s v="Banco Itaú Unibanco S.A. - Par. 124035(01-2)"/>
    <n v="0"/>
    <d v="2015-05-22T00:00:00"/>
    <d v="1899-12-30T11:36:48"/>
    <n v="7.95"/>
    <n v="0"/>
    <n v="-2978120.6700002151"/>
    <m/>
    <m/>
    <m/>
    <n v="124035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6"/>
    <n v="8"/>
    <s v="Transferência Bancária"/>
    <m/>
    <n v="0"/>
    <m/>
    <n v="0"/>
    <m/>
    <m/>
    <s v="ITAÚ [SOL] [001691-4] [CC]"/>
    <m/>
    <m/>
    <m/>
  </r>
  <r>
    <n v="271053"/>
    <s v="Extrato/124036"/>
    <s v="Banco Itaú Unibanco S.A. - Par. 124036(02-2)"/>
    <n v="0"/>
    <d v="2015-05-22T00:00:00"/>
    <d v="1899-12-30T11:36:48"/>
    <n v="7.95"/>
    <n v="0"/>
    <n v="-2978128.6200002152"/>
    <m/>
    <m/>
    <m/>
    <n v="124036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6"/>
    <n v="8"/>
    <s v="Transferência Bancária"/>
    <m/>
    <n v="0"/>
    <m/>
    <n v="0"/>
    <m/>
    <m/>
    <s v="ITAÚ [SOL] [001691-4] [CC]"/>
    <m/>
    <m/>
    <m/>
  </r>
  <r>
    <n v="271063"/>
    <s v="Extrato"/>
    <s v="Depósito em Cheque "/>
    <n v="1567.25"/>
    <d v="2015-05-22T00:00:00"/>
    <d v="1899-12-30T11:54:27"/>
    <n v="0"/>
    <n v="0"/>
    <n v="-2976561.3700002152"/>
    <m/>
    <m/>
    <m/>
    <m/>
    <n v="7"/>
    <s v="Anapaula"/>
    <n v="1"/>
    <m/>
    <n v="1621"/>
    <d v="2015-05-26T00:00:00"/>
    <d v="2015-05-26T00:00:00"/>
    <m/>
    <m/>
    <n v="2015"/>
    <n v="7"/>
    <m/>
    <m/>
    <m/>
    <m/>
    <s v="Credito de Cheque Reapresentado"/>
    <x v="2"/>
    <s v="COLÉGIO OLIMPO LTDA"/>
    <m/>
    <n v="7"/>
    <n v="8"/>
    <s v="Transferência Bancária"/>
    <m/>
    <m/>
    <m/>
    <n v="0"/>
    <m/>
    <m/>
    <s v="SANT 936-9 GOIANIA"/>
    <m/>
    <m/>
    <m/>
  </r>
  <r>
    <n v="272081"/>
    <n v="197216"/>
    <s v="Retorno: Par. 197216(05/12) - 18475/VIC - Mensalidades"/>
    <n v="1724"/>
    <d v="2015-05-22T00:00:00"/>
    <d v="1899-12-30T12:00:00"/>
    <n v="0"/>
    <n v="0"/>
    <n v="-2974837.3700002152"/>
    <m/>
    <m/>
    <n v="197216"/>
    <m/>
    <n v="1"/>
    <s v="Andre"/>
    <n v="1"/>
    <m/>
    <n v="2"/>
    <d v="2015-06-05T00:00:00"/>
    <d v="2015-06-05T00:00:00"/>
    <n v="28510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828"/>
    <s v="Extrato"/>
    <s v="Deposito Ch Bloqueado"/>
    <n v="1386"/>
    <d v="2015-05-22T00:00:00"/>
    <d v="1899-12-30T13:08:01"/>
    <n v="0"/>
    <n v="0"/>
    <n v="-2973451.3700002152"/>
    <m/>
    <m/>
    <m/>
    <m/>
    <n v="24"/>
    <s v="Emilly"/>
    <n v="1"/>
    <m/>
    <n v="1588"/>
    <d v="2015-06-11T00:00:00"/>
    <d v="2015-06-11T00:00:00"/>
    <m/>
    <m/>
    <n v="2010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29"/>
    <s v="Remessa Olimpo Anápolis"/>
    <s v="Remessa Olimpo Anápolis"/>
    <n v="1637.8"/>
    <d v="2015-05-22T00:00:00"/>
    <d v="1899-12-30T13:08:58"/>
    <n v="0"/>
    <n v="0"/>
    <n v="-2971813.5700002154"/>
    <m/>
    <m/>
    <m/>
    <m/>
    <n v="24"/>
    <s v="Emilly"/>
    <n v="1"/>
    <m/>
    <n v="1526"/>
    <d v="2015-06-11T00:00:00"/>
    <d v="2015-06-11T00:00:00"/>
    <m/>
    <m/>
    <n v="2010"/>
    <n v="24"/>
    <m/>
    <m/>
    <m/>
    <m/>
    <s v="Remessa Olimpo Anápolis"/>
    <x v="1"/>
    <s v="COLÉGIO OLIMPO LTDA"/>
    <m/>
    <n v="12"/>
    <n v="2"/>
    <s v="Cheque"/>
    <m/>
    <m/>
    <m/>
    <n v="0"/>
    <m/>
    <m/>
    <s v="BRB [GYN] [011616-0] [CC] [COB]"/>
    <m/>
    <m/>
    <m/>
  </r>
  <r>
    <n v="272830"/>
    <s v="Extrato/125064"/>
    <s v="Banco Brb - Cód. 125064"/>
    <n v="0"/>
    <d v="2015-05-22T00:00:00"/>
    <d v="1899-12-30T13:14:09"/>
    <n v="37.5"/>
    <n v="0"/>
    <n v="-2971851.0700002154"/>
    <m/>
    <m/>
    <m/>
    <n v="125064"/>
    <n v="24"/>
    <s v="Emilly"/>
    <n v="1"/>
    <m/>
    <n v="575"/>
    <d v="2015-06-11T00:00:00"/>
    <d v="2015-06-11T00:00:00"/>
    <m/>
    <m/>
    <n v="2010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72831"/>
    <s v="Ant.Cob/125065"/>
    <s v="Banco Brb - Cód. 125065"/>
    <n v="0"/>
    <d v="2015-05-22T00:00:00"/>
    <d v="1899-12-30T13:15:12"/>
    <n v="1637.8"/>
    <n v="0"/>
    <n v="-2973488.8700002152"/>
    <m/>
    <m/>
    <m/>
    <n v="12506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064"/>
    <s v="Juros20150522/124041"/>
    <s v="Banco Brb - Cód. 124041"/>
    <n v="0"/>
    <d v="2015-05-22T00:00:00"/>
    <d v="1899-12-30T13:31:35"/>
    <n v="923.86"/>
    <n v="0"/>
    <n v="-2974412.7300002151"/>
    <m/>
    <m/>
    <m/>
    <n v="124041"/>
    <n v="24"/>
    <s v="Emilly"/>
    <n v="1"/>
    <m/>
    <n v="1459"/>
    <d v="2015-05-26T00:00:00"/>
    <d v="2015-05-26T00:00:00"/>
    <m/>
    <m/>
    <n v="2015"/>
    <n v="24"/>
    <m/>
    <m/>
    <m/>
    <m/>
    <s v="Juros e Despesas Descontos Chs e Boleto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065"/>
    <s v="DB20150522"/>
    <s v="Operação Desconto Boletos 2015.05.22"/>
    <n v="7357"/>
    <d v="2015-05-22T00:00:00"/>
    <d v="1899-12-30T13:31:48"/>
    <n v="0"/>
    <n v="0"/>
    <n v="-2967055.7300002151"/>
    <m/>
    <m/>
    <m/>
    <m/>
    <n v="24"/>
    <s v="Emilly"/>
    <n v="1"/>
    <m/>
    <n v="1505"/>
    <d v="2015-05-26T00:00:00"/>
    <d v="2015-05-26T00:00:00"/>
    <m/>
    <m/>
    <n v="2015"/>
    <n v="24"/>
    <m/>
    <m/>
    <m/>
    <m/>
    <s v="Desconto de boleto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1066"/>
    <s v="Extrato/124051"/>
    <s v="Banco Brb - Par. 124051(10-14)"/>
    <n v="0"/>
    <d v="2015-05-22T00:00:00"/>
    <d v="1899-12-30T13:45:37"/>
    <n v="15"/>
    <n v="0"/>
    <n v="-2967070.7300002151"/>
    <m/>
    <m/>
    <m/>
    <n v="12405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67"/>
    <s v="Extrato/124042"/>
    <s v="Banco Brb - Par. 124042(01-14)"/>
    <n v="0"/>
    <d v="2015-05-22T00:00:00"/>
    <d v="1899-12-30T13:45:38"/>
    <n v="3.26"/>
    <n v="0"/>
    <n v="-2967073.9900002149"/>
    <m/>
    <m/>
    <m/>
    <n v="12404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68"/>
    <s v="Extrato/124052"/>
    <s v="Banco Brb - Par. 124052(11-14)"/>
    <n v="0"/>
    <d v="2015-05-22T00:00:00"/>
    <d v="1899-12-30T13:45:38"/>
    <n v="15"/>
    <n v="0"/>
    <n v="-2967088.9900002149"/>
    <m/>
    <m/>
    <m/>
    <n v="12405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69"/>
    <s v="Extrato/124043"/>
    <s v="Banco Brb - Par. 124043(02-14)"/>
    <n v="0"/>
    <d v="2015-05-22T00:00:00"/>
    <d v="1899-12-30T13:45:38"/>
    <n v="15"/>
    <n v="0"/>
    <n v="-2967103.9900002149"/>
    <m/>
    <m/>
    <m/>
    <n v="12404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0"/>
    <s v="Extrato/124053"/>
    <s v="Banco Brb - Par. 124053(12-14)"/>
    <n v="0"/>
    <d v="2015-05-22T00:00:00"/>
    <d v="1899-12-30T13:45:38"/>
    <n v="15"/>
    <n v="0"/>
    <n v="-2967118.9900002149"/>
    <m/>
    <m/>
    <m/>
    <n v="12405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1"/>
    <s v="Extrato/124044"/>
    <s v="Banco Brb - Par. 124044(03-14)"/>
    <n v="0"/>
    <d v="2015-05-22T00:00:00"/>
    <d v="1899-12-30T13:45:38"/>
    <n v="15"/>
    <n v="0"/>
    <n v="-2967133.9900002149"/>
    <m/>
    <m/>
    <m/>
    <n v="12404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2"/>
    <s v="Extrato/124054"/>
    <s v="Banco Brb - Par. 124054(13-14)"/>
    <n v="0"/>
    <d v="2015-05-22T00:00:00"/>
    <d v="1899-12-30T13:45:39"/>
    <n v="15"/>
    <n v="0"/>
    <n v="-2967148.9900002149"/>
    <m/>
    <m/>
    <m/>
    <n v="12405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3"/>
    <s v="Extrato/124045"/>
    <s v="Banco Brb - Par. 124045(04-14)"/>
    <n v="0"/>
    <d v="2015-05-22T00:00:00"/>
    <d v="1899-12-30T13:45:39"/>
    <n v="15"/>
    <n v="0"/>
    <n v="-2967163.9900002149"/>
    <m/>
    <m/>
    <m/>
    <n v="12404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4"/>
    <s v="Extrato/124055"/>
    <s v="Banco Brb - Par. 124055(14-14)"/>
    <n v="0"/>
    <d v="2015-05-22T00:00:00"/>
    <d v="1899-12-30T13:45:39"/>
    <n v="15"/>
    <n v="0"/>
    <n v="-2967178.9900002149"/>
    <m/>
    <m/>
    <m/>
    <n v="12405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5"/>
    <s v="Extrato/124046"/>
    <s v="Banco Brb - Par. 124046(05-14)"/>
    <n v="0"/>
    <d v="2015-05-22T00:00:00"/>
    <d v="1899-12-30T13:45:39"/>
    <n v="15"/>
    <n v="0"/>
    <n v="-2967193.9900002149"/>
    <m/>
    <m/>
    <m/>
    <n v="12404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6"/>
    <s v="Extrato/124047"/>
    <s v="Banco Brb - Par. 124047(06-14)"/>
    <n v="0"/>
    <d v="2015-05-22T00:00:00"/>
    <d v="1899-12-30T13:45:39"/>
    <n v="15"/>
    <n v="0"/>
    <n v="-2967208.9900002149"/>
    <m/>
    <m/>
    <m/>
    <n v="12404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7"/>
    <s v="Extrato/124048"/>
    <s v="Banco Brb - Par. 124048(07-14)"/>
    <n v="0"/>
    <d v="2015-05-22T00:00:00"/>
    <d v="1899-12-30T13:45:39"/>
    <n v="15"/>
    <n v="0"/>
    <n v="-2967223.9900002149"/>
    <m/>
    <m/>
    <m/>
    <n v="12404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9"/>
    <s v="Extrato/124050"/>
    <s v="Banco Brb - Par. 124050(09-14)"/>
    <n v="0"/>
    <d v="2015-05-22T00:00:00"/>
    <d v="1899-12-30T13:45:40"/>
    <n v="15"/>
    <n v="0"/>
    <n v="-2967238.9900002149"/>
    <m/>
    <m/>
    <m/>
    <n v="12405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8"/>
    <s v="Extrato/124049"/>
    <s v="Banco Brb - Par. 124049(08-14)"/>
    <n v="0"/>
    <d v="2015-05-22T00:00:00"/>
    <d v="1899-12-30T13:45:40"/>
    <n v="15"/>
    <n v="0"/>
    <n v="-2967253.9900002149"/>
    <m/>
    <m/>
    <m/>
    <n v="12404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0"/>
    <s v="Extrato/124056"/>
    <s v="Banco Brb - Cód. 124056"/>
    <n v="0"/>
    <d v="2015-05-22T00:00:00"/>
    <d v="1899-12-30T13:48:42"/>
    <n v="42"/>
    <n v="0"/>
    <n v="-2967295.9900002149"/>
    <m/>
    <m/>
    <m/>
    <n v="12405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1"/>
    <s v="Extrato/124066"/>
    <s v="Banco Brb - Par. 124066(10-18)"/>
    <n v="0"/>
    <d v="2015-05-22T00:00:00"/>
    <d v="1899-12-30T13:58:16"/>
    <n v="15"/>
    <n v="0"/>
    <n v="-2967310.9900002149"/>
    <m/>
    <m/>
    <m/>
    <n v="12406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2"/>
    <s v="Extrato/124057"/>
    <s v="Banco Brb - Par. 124057(01-18)"/>
    <n v="0"/>
    <d v="2015-05-22T00:00:00"/>
    <d v="1899-12-30T13:58:16"/>
    <n v="11.92"/>
    <n v="0"/>
    <n v="-2967322.9100002148"/>
    <m/>
    <m/>
    <m/>
    <n v="12405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3"/>
    <s v="Extrato/124067"/>
    <s v="Banco Brb - Par. 124067(11-18)"/>
    <n v="0"/>
    <d v="2015-05-22T00:00:00"/>
    <d v="1899-12-30T13:58:16"/>
    <n v="15"/>
    <n v="0"/>
    <n v="-2967337.9100002148"/>
    <m/>
    <m/>
    <m/>
    <n v="12406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4"/>
    <s v="Extrato/124058"/>
    <s v="Banco Brb - Par. 124058(02-18)"/>
    <n v="0"/>
    <d v="2015-05-22T00:00:00"/>
    <d v="1899-12-30T13:58:16"/>
    <n v="6.58"/>
    <n v="0"/>
    <n v="-2967344.4900002149"/>
    <m/>
    <m/>
    <m/>
    <n v="12405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5"/>
    <s v="Extrato/124068"/>
    <s v="Banco Brb - Par. 124068(12-18)"/>
    <n v="0"/>
    <d v="2015-05-22T00:00:00"/>
    <d v="1899-12-30T13:58:16"/>
    <n v="15"/>
    <n v="0"/>
    <n v="-2967359.4900002149"/>
    <m/>
    <m/>
    <m/>
    <n v="12406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8"/>
    <s v="Extrato/124060"/>
    <s v="Banco Brb - Par. 124060(04-18)"/>
    <n v="0"/>
    <d v="2015-05-22T00:00:00"/>
    <d v="1899-12-30T13:58:17"/>
    <n v="42.31"/>
    <n v="0"/>
    <n v="-2967401.8000002149"/>
    <m/>
    <m/>
    <m/>
    <n v="12406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9"/>
    <s v="Extrato/124070"/>
    <s v="Banco Brb - Par. 124070(14-18)"/>
    <n v="0"/>
    <d v="2015-05-22T00:00:00"/>
    <d v="1899-12-30T13:58:17"/>
    <n v="15"/>
    <n v="0"/>
    <n v="-2967416.8000002149"/>
    <m/>
    <m/>
    <m/>
    <n v="12407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0"/>
    <s v="Extrato/124061"/>
    <s v="Banco Brb - Par. 124061(05-18)"/>
    <n v="0"/>
    <d v="2015-05-22T00:00:00"/>
    <d v="1899-12-30T13:58:17"/>
    <n v="9.4"/>
    <n v="0"/>
    <n v="-2967426.2000002149"/>
    <m/>
    <m/>
    <m/>
    <n v="12406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1"/>
    <s v="Extrato/124071"/>
    <s v="Banco Brb - Par. 124071(15-18)"/>
    <n v="0"/>
    <d v="2015-05-22T00:00:00"/>
    <d v="1899-12-30T13:58:17"/>
    <n v="15"/>
    <n v="0"/>
    <n v="-2967441.2000002149"/>
    <m/>
    <m/>
    <m/>
    <n v="12407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2"/>
    <s v="Extrato/124062"/>
    <s v="Banco Brb - Par. 124062(06-18)"/>
    <n v="0"/>
    <d v="2015-05-22T00:00:00"/>
    <d v="1899-12-30T13:58:17"/>
    <n v="15"/>
    <n v="0"/>
    <n v="-2967456.2000002149"/>
    <m/>
    <m/>
    <m/>
    <n v="12406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3"/>
    <s v="Extrato/124072"/>
    <s v="Banco Brb - Par. 124072(16-18)"/>
    <n v="0"/>
    <d v="2015-05-22T00:00:00"/>
    <d v="1899-12-30T13:58:17"/>
    <n v="15"/>
    <n v="0"/>
    <n v="-2967471.2000002149"/>
    <m/>
    <m/>
    <m/>
    <n v="12407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4"/>
    <s v="Extrato/124063"/>
    <s v="Banco Brb - Par. 124063(07-18)"/>
    <n v="0"/>
    <d v="2015-05-22T00:00:00"/>
    <d v="1899-12-30T13:58:17"/>
    <n v="15"/>
    <n v="0"/>
    <n v="-2967486.2000002149"/>
    <m/>
    <m/>
    <m/>
    <n v="12406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5"/>
    <s v="Extrato/124073"/>
    <s v="Banco Brb - Par. 124073(17-18)"/>
    <n v="0"/>
    <d v="2015-05-22T00:00:00"/>
    <d v="1899-12-30T13:58:17"/>
    <n v="15"/>
    <n v="0"/>
    <n v="-2967501.2000002149"/>
    <m/>
    <m/>
    <m/>
    <n v="12407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6"/>
    <s v="Extrato/124064"/>
    <s v="Banco Brb - Par. 124064(08-18)"/>
    <n v="0"/>
    <d v="2015-05-22T00:00:00"/>
    <d v="1899-12-30T13:58:17"/>
    <n v="15"/>
    <n v="0"/>
    <n v="-2967516.2000002149"/>
    <m/>
    <m/>
    <m/>
    <n v="12406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7"/>
    <s v="Extrato/124074"/>
    <s v="Banco Brb - Par. 124074(18-18)"/>
    <n v="0"/>
    <d v="2015-05-22T00:00:00"/>
    <d v="1899-12-30T13:58:17"/>
    <n v="15"/>
    <n v="0"/>
    <n v="-2967531.2000002149"/>
    <m/>
    <m/>
    <m/>
    <n v="12407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6"/>
    <s v="Extrato/124059"/>
    <s v="Banco Brb - Par. 124059(03-18)"/>
    <n v="0"/>
    <d v="2015-05-22T00:00:00"/>
    <d v="1899-12-30T13:58:17"/>
    <n v="6.24"/>
    <n v="0"/>
    <n v="-2967537.4400002151"/>
    <m/>
    <m/>
    <m/>
    <n v="12405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7"/>
    <s v="Extrato/124069"/>
    <s v="Banco Brb - Par. 124069(13-18)"/>
    <n v="0"/>
    <d v="2015-05-22T00:00:00"/>
    <d v="1899-12-30T13:58:17"/>
    <n v="15"/>
    <n v="0"/>
    <n v="-2967552.4400002151"/>
    <m/>
    <m/>
    <m/>
    <n v="12406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8"/>
    <s v="Extrato/124065"/>
    <s v="Banco Brb - Par. 124065(09-18)"/>
    <n v="0"/>
    <d v="2015-05-22T00:00:00"/>
    <d v="1899-12-30T13:58:18"/>
    <n v="15"/>
    <n v="0"/>
    <n v="-2967567.4400002151"/>
    <m/>
    <m/>
    <m/>
    <n v="12406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450"/>
    <s v="ESPÉCIE 2015-05-22"/>
    <s v="PAGAMENTO DAS MENSALIDADES DE MARÇO E ABRIL/2015, DO(A) ALUNO(A) BEATRIZ DA SILVA RESENDE_ESN"/>
    <n v="745"/>
    <d v="2015-05-22T00:00:00"/>
    <d v="1899-12-30T13:58:46"/>
    <n v="0"/>
    <n v="0"/>
    <n v="-2966822.4400002151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099"/>
    <s v="Extrato/124075"/>
    <s v="Banco Brb - Cód. 124075"/>
    <n v="0"/>
    <d v="2015-05-22T00:00:00"/>
    <d v="1899-12-30T13:59:10"/>
    <n v="30"/>
    <n v="0"/>
    <n v="-2966852.4400002151"/>
    <m/>
    <m/>
    <m/>
    <n v="12407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4080"/>
    <s v="Extrato"/>
    <s v="Ch Pre Brb Sol 3000- Fabio Villa Verde"/>
    <n v="0"/>
    <d v="2015-05-22T00:00:00"/>
    <d v="1899-12-30T13:59:28"/>
    <n v="11389"/>
    <n v="0"/>
    <n v="-2978241.4400002151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4081"/>
    <s v="Extrato"/>
    <s v="Ch Pre Brb Sol 3022- Fabio Villa Verde"/>
    <n v="0"/>
    <d v="2015-05-22T00:00:00"/>
    <d v="1899-12-30T14:00:44"/>
    <n v="5560"/>
    <n v="0"/>
    <n v="-2983801.4400002151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4082"/>
    <s v="Extrato "/>
    <s v="Ch Pre Brb Sol 3448- Mauricio Vieira"/>
    <n v="0"/>
    <d v="2015-05-22T00:00:00"/>
    <d v="1899-12-30T14:01:43"/>
    <n v="6570"/>
    <n v="0"/>
    <n v="-2990371.4400002151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4083"/>
    <s v="Extrato"/>
    <s v="Ch Pre Brb Sol 3693- Luciano Prudente De Barros"/>
    <n v="0"/>
    <d v="2015-05-22T00:00:00"/>
    <d v="1899-12-30T14:02:41"/>
    <n v="25000"/>
    <n v="0"/>
    <n v="-3015371.4400002151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1100"/>
    <s v="Extrato/124085"/>
    <s v="Banco Brb - Par. 124085(10-12)"/>
    <n v="0"/>
    <d v="2015-05-22T00:00:00"/>
    <d v="1899-12-30T14:03:43"/>
    <n v="15"/>
    <n v="0"/>
    <n v="-3015386.4400002151"/>
    <m/>
    <m/>
    <m/>
    <n v="12408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1"/>
    <s v="Extrato/124076"/>
    <s v="Banco Brb - Par. 124076(01-12)"/>
    <n v="0"/>
    <d v="2015-05-22T00:00:00"/>
    <d v="1899-12-30T14:03:43"/>
    <n v="15"/>
    <n v="0"/>
    <n v="-3015401.4400002151"/>
    <m/>
    <m/>
    <m/>
    <n v="12407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2"/>
    <s v="Extrato/124086"/>
    <s v="Banco Brb - Par. 124086(11-12)"/>
    <n v="0"/>
    <d v="2015-05-22T00:00:00"/>
    <d v="1899-12-30T14:03:43"/>
    <n v="15"/>
    <n v="0"/>
    <n v="-3015416.4400002151"/>
    <m/>
    <m/>
    <m/>
    <n v="12408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7"/>
    <s v="Extrato/124080"/>
    <s v="Banco Brb - Par. 124080(05-12)"/>
    <n v="0"/>
    <d v="2015-05-22T00:00:00"/>
    <d v="1899-12-30T14:03:44"/>
    <n v="15"/>
    <n v="0"/>
    <n v="-3015431.4400002151"/>
    <m/>
    <m/>
    <m/>
    <n v="12408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8"/>
    <s v="Extrato/124081"/>
    <s v="Banco Brb - Par. 124081(06-12)"/>
    <n v="0"/>
    <d v="2015-05-22T00:00:00"/>
    <d v="1899-12-30T14:03:44"/>
    <n v="15"/>
    <n v="0"/>
    <n v="-3015446.4400002151"/>
    <m/>
    <m/>
    <m/>
    <n v="12408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9"/>
    <s v="Extrato/124082"/>
    <s v="Banco Brb - Par. 124082(07-12)"/>
    <n v="0"/>
    <d v="2015-05-22T00:00:00"/>
    <d v="1899-12-30T14:03:44"/>
    <n v="15"/>
    <n v="0"/>
    <n v="-3015461.4400002151"/>
    <m/>
    <m/>
    <m/>
    <n v="12408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0"/>
    <s v="Extrato/124083"/>
    <s v="Banco Brb - Par. 124083(08-12)"/>
    <n v="0"/>
    <d v="2015-05-22T00:00:00"/>
    <d v="1899-12-30T14:03:44"/>
    <n v="15"/>
    <n v="0"/>
    <n v="-3015476.4400002151"/>
    <m/>
    <m/>
    <m/>
    <n v="12408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1"/>
    <s v="Extrato/124084"/>
    <s v="Banco Brb - Par. 124084(09-12)"/>
    <n v="0"/>
    <d v="2015-05-22T00:00:00"/>
    <d v="1899-12-30T14:03:44"/>
    <n v="15"/>
    <n v="0"/>
    <n v="-3015491.4400002151"/>
    <m/>
    <m/>
    <m/>
    <n v="12408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3"/>
    <s v="Extrato/124077"/>
    <s v="Banco Brb - Par. 124077(02-12)"/>
    <n v="0"/>
    <d v="2015-05-22T00:00:00"/>
    <d v="1899-12-30T14:03:44"/>
    <n v="15"/>
    <n v="0"/>
    <n v="-3015506.4400002151"/>
    <m/>
    <m/>
    <m/>
    <n v="12407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4"/>
    <s v="Extrato/124087"/>
    <s v="Banco Brb - Par. 124087(12-12)"/>
    <n v="0"/>
    <d v="2015-05-22T00:00:00"/>
    <d v="1899-12-30T14:03:44"/>
    <n v="15"/>
    <n v="0"/>
    <n v="-3015521.4400002151"/>
    <m/>
    <m/>
    <m/>
    <n v="12408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5"/>
    <s v="Extrato/124078"/>
    <s v="Banco Brb - Par. 124078(03-12)"/>
    <n v="0"/>
    <d v="2015-05-22T00:00:00"/>
    <d v="1899-12-30T14:03:44"/>
    <n v="15"/>
    <n v="0"/>
    <n v="-3015536.4400002151"/>
    <m/>
    <m/>
    <m/>
    <n v="12407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6"/>
    <s v="Extrato/124079"/>
    <s v="Banco Brb - Par. 124079(04-12)"/>
    <n v="0"/>
    <d v="2015-05-22T00:00:00"/>
    <d v="1899-12-30T14:03:44"/>
    <n v="15"/>
    <n v="0"/>
    <n v="-3015551.4400002151"/>
    <m/>
    <m/>
    <m/>
    <n v="12407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452"/>
    <n v="189999"/>
    <s v="Par.(04/12) 018317/EDUARDO OLIMPIO NASCIMENT - Mensalidades"/>
    <n v="1569"/>
    <d v="2015-05-22T00:00:00"/>
    <d v="1899-12-30T14:04:17"/>
    <n v="0"/>
    <n v="0"/>
    <n v="-3013982.4400002151"/>
    <m/>
    <m/>
    <n v="189999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71112"/>
    <s v="Extrato/124097"/>
    <s v="Banco Brb - Par. 124097(10-14)"/>
    <n v="0"/>
    <d v="2015-05-22T00:00:00"/>
    <d v="1899-12-30T14:07:06"/>
    <n v="30"/>
    <n v="0"/>
    <n v="-3014012.4400002151"/>
    <m/>
    <m/>
    <m/>
    <n v="12409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3"/>
    <s v="Extrato/124088"/>
    <s v="Banco Brb - Par. 124088(01-14)"/>
    <n v="0"/>
    <d v="2015-05-22T00:00:00"/>
    <d v="1899-12-30T14:07:06"/>
    <n v="30"/>
    <n v="0"/>
    <n v="-3014042.4400002151"/>
    <m/>
    <m/>
    <m/>
    <n v="12408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4"/>
    <s v="Extrato/124098"/>
    <s v="Banco Brb - Par. 124098(11-14)"/>
    <n v="0"/>
    <d v="2015-05-22T00:00:00"/>
    <d v="1899-12-30T14:07:06"/>
    <n v="30"/>
    <n v="0"/>
    <n v="-3014072.4400002151"/>
    <m/>
    <m/>
    <m/>
    <n v="12409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5"/>
    <s v="Extrato/124089"/>
    <s v="Banco Brb - Par. 124089(02-14)"/>
    <n v="0"/>
    <d v="2015-05-22T00:00:00"/>
    <d v="1899-12-30T14:07:06"/>
    <n v="30"/>
    <n v="0"/>
    <n v="-3014102.4400002151"/>
    <m/>
    <m/>
    <m/>
    <n v="12408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8"/>
    <s v="Extrato/124100"/>
    <s v="Banco Brb - Par. 124100(13-14)"/>
    <n v="0"/>
    <d v="2015-05-22T00:00:00"/>
    <d v="1899-12-30T14:07:07"/>
    <n v="30"/>
    <n v="0"/>
    <n v="-3014132.4400002151"/>
    <m/>
    <m/>
    <m/>
    <n v="12410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7"/>
    <s v="Extrato/124090"/>
    <s v="Banco Brb - Par. 124090(03-14)"/>
    <n v="0"/>
    <d v="2015-05-22T00:00:00"/>
    <d v="1899-12-30T14:07:07"/>
    <n v="30"/>
    <n v="0"/>
    <n v="-3014162.4400002151"/>
    <m/>
    <m/>
    <m/>
    <n v="12409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0"/>
    <s v="Extrato/124101"/>
    <s v="Banco Brb - Par. 124101(14-14)"/>
    <n v="0"/>
    <d v="2015-05-22T00:00:00"/>
    <d v="1899-12-30T14:07:07"/>
    <n v="30"/>
    <n v="0"/>
    <n v="-3014192.4400002151"/>
    <m/>
    <m/>
    <m/>
    <n v="12410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9"/>
    <s v="Extrato/124091"/>
    <s v="Banco Brb - Par. 124091(04-14)"/>
    <n v="0"/>
    <d v="2015-05-22T00:00:00"/>
    <d v="1899-12-30T14:07:07"/>
    <n v="30"/>
    <n v="0"/>
    <n v="-3014222.4400002151"/>
    <m/>
    <m/>
    <m/>
    <n v="12409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1"/>
    <s v="Extrato/124092"/>
    <s v="Banco Brb - Par. 124092(05-14)"/>
    <n v="0"/>
    <d v="2015-05-22T00:00:00"/>
    <d v="1899-12-30T14:07:07"/>
    <n v="30"/>
    <n v="0"/>
    <n v="-3014252.4400002151"/>
    <m/>
    <m/>
    <m/>
    <n v="12409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2"/>
    <s v="Extrato/124093"/>
    <s v="Banco Brb - Par. 124093(06-14)"/>
    <n v="0"/>
    <d v="2015-05-22T00:00:00"/>
    <d v="1899-12-30T14:07:07"/>
    <n v="30"/>
    <n v="0"/>
    <n v="-3014282.4400002151"/>
    <m/>
    <m/>
    <m/>
    <n v="12409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3"/>
    <s v="Extrato/124094"/>
    <s v="Banco Brb - Par. 124094(07-14)"/>
    <n v="0"/>
    <d v="2015-05-22T00:00:00"/>
    <d v="1899-12-30T14:07:07"/>
    <n v="30"/>
    <n v="0"/>
    <n v="-3014312.4400002151"/>
    <m/>
    <m/>
    <m/>
    <n v="12409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6"/>
    <s v="Extrato/124099"/>
    <s v="Banco Brb - Par. 124099(12-14)"/>
    <n v="0"/>
    <d v="2015-05-22T00:00:00"/>
    <d v="1899-12-30T14:07:07"/>
    <n v="30"/>
    <n v="0"/>
    <n v="-3014342.4400002151"/>
    <m/>
    <m/>
    <m/>
    <n v="12409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4"/>
    <s v="Extrato/124095"/>
    <s v="Banco Brb - Par. 124095(08-14)"/>
    <n v="0"/>
    <d v="2015-05-22T00:00:00"/>
    <d v="1899-12-30T14:07:08"/>
    <n v="30"/>
    <n v="0"/>
    <n v="-3014372.4400002151"/>
    <m/>
    <m/>
    <m/>
    <n v="12409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5"/>
    <s v="Extrato/124096"/>
    <s v="Banco Brb - Par. 124096(09-14)"/>
    <n v="0"/>
    <d v="2015-05-22T00:00:00"/>
    <d v="1899-12-30T14:07:08"/>
    <n v="30"/>
    <n v="0"/>
    <n v="-3014402.4400002151"/>
    <m/>
    <m/>
    <m/>
    <n v="12409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9"/>
    <s v="Extrato/124110"/>
    <s v="Banco Brb - Par. 124110(09-14)"/>
    <n v="0"/>
    <d v="2015-05-22T00:00:00"/>
    <d v="1899-12-30T14:08:51"/>
    <n v="0.35"/>
    <n v="0"/>
    <n v="-3014402.7900002152"/>
    <m/>
    <m/>
    <m/>
    <n v="12411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6"/>
    <s v="Extrato/124111"/>
    <s v="Banco Brb - Par. 124111(10-14)"/>
    <n v="0"/>
    <d v="2015-05-22T00:00:00"/>
    <d v="1899-12-30T14:08:51"/>
    <n v="0.35"/>
    <n v="0"/>
    <n v="-3014403.1400002153"/>
    <m/>
    <m/>
    <m/>
    <n v="12411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7"/>
    <s v="Extrato/124102"/>
    <s v="Banco Brb - Par. 124102(01-14)"/>
    <n v="0"/>
    <d v="2015-05-22T00:00:00"/>
    <d v="1899-12-30T14:08:51"/>
    <n v="0.35"/>
    <n v="0"/>
    <n v="-3014403.4900002154"/>
    <m/>
    <m/>
    <m/>
    <n v="12410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8"/>
    <s v="Extrato/124112"/>
    <s v="Banco Brb - Par. 124112(11-14)"/>
    <n v="0"/>
    <d v="2015-05-22T00:00:00"/>
    <d v="1899-12-30T14:08:51"/>
    <n v="0.35"/>
    <n v="0"/>
    <n v="-3014403.8400002155"/>
    <m/>
    <m/>
    <m/>
    <n v="12411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9"/>
    <s v="Extrato/124103"/>
    <s v="Banco Brb - Par. 124103(02-14)"/>
    <n v="0"/>
    <d v="2015-05-22T00:00:00"/>
    <d v="1899-12-30T14:08:51"/>
    <n v="0.35"/>
    <n v="0"/>
    <n v="-3014404.1900002155"/>
    <m/>
    <m/>
    <m/>
    <n v="12410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0"/>
    <s v="Extrato/124113"/>
    <s v="Banco Brb - Par. 124113(12-14)"/>
    <n v="0"/>
    <d v="2015-05-22T00:00:00"/>
    <d v="1899-12-30T14:08:51"/>
    <n v="0.35"/>
    <n v="0"/>
    <n v="-3014404.5400002156"/>
    <m/>
    <m/>
    <m/>
    <n v="12411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1"/>
    <s v="Extrato/124104"/>
    <s v="Banco Brb - Par. 124104(03-14)"/>
    <n v="0"/>
    <d v="2015-05-22T00:00:00"/>
    <d v="1899-12-30T14:08:51"/>
    <n v="0.35"/>
    <n v="0"/>
    <n v="-3014404.8900002157"/>
    <m/>
    <m/>
    <m/>
    <n v="12410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2"/>
    <s v="Extrato/124114"/>
    <s v="Banco Brb - Par. 124114(13-14)"/>
    <n v="0"/>
    <d v="2015-05-22T00:00:00"/>
    <d v="1899-12-30T14:08:51"/>
    <n v="0.35"/>
    <n v="0"/>
    <n v="-3014405.2400002158"/>
    <m/>
    <m/>
    <m/>
    <n v="12411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3"/>
    <s v="Extrato/124105"/>
    <s v="Banco Brb - Par. 124105(04-14)"/>
    <n v="0"/>
    <d v="2015-05-22T00:00:00"/>
    <d v="1899-12-30T14:08:51"/>
    <n v="0.35"/>
    <n v="0"/>
    <n v="-3014405.5900002159"/>
    <m/>
    <m/>
    <m/>
    <n v="12410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4"/>
    <s v="Extrato/124115"/>
    <s v="Banco Brb - Par. 124115(14-14)"/>
    <n v="0"/>
    <d v="2015-05-22T00:00:00"/>
    <d v="1899-12-30T14:08:51"/>
    <n v="0.35"/>
    <n v="0"/>
    <n v="-3014405.940000216"/>
    <m/>
    <m/>
    <m/>
    <n v="12411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5"/>
    <s v="Extrato/124106"/>
    <s v="Banco Brb - Par. 124106(05-14)"/>
    <n v="0"/>
    <d v="2015-05-22T00:00:00"/>
    <d v="1899-12-30T14:08:51"/>
    <n v="0.35"/>
    <n v="0"/>
    <n v="-3014406.2900002161"/>
    <m/>
    <m/>
    <m/>
    <n v="12410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6"/>
    <s v="Extrato/124107"/>
    <s v="Banco Brb - Par. 124107(06-14)"/>
    <n v="0"/>
    <d v="2015-05-22T00:00:00"/>
    <d v="1899-12-30T14:08:51"/>
    <n v="0.35"/>
    <n v="0"/>
    <n v="-3014406.6400002162"/>
    <m/>
    <m/>
    <m/>
    <n v="12410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7"/>
    <s v="Extrato/124108"/>
    <s v="Banco Brb - Par. 124108(07-14)"/>
    <n v="0"/>
    <d v="2015-05-22T00:00:00"/>
    <d v="1899-12-30T14:08:51"/>
    <n v="0.35"/>
    <n v="0"/>
    <n v="-3014406.9900002163"/>
    <m/>
    <m/>
    <m/>
    <n v="12410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8"/>
    <s v="Extrato/124109"/>
    <s v="Banco Brb - Par. 124109(08-14)"/>
    <n v="0"/>
    <d v="2015-05-22T00:00:00"/>
    <d v="1899-12-30T14:08:51"/>
    <n v="0.35"/>
    <n v="0"/>
    <n v="-3014407.3400002164"/>
    <m/>
    <m/>
    <m/>
    <n v="12410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0"/>
    <s v="Extrato/124125"/>
    <s v="Banco Brb - Par. 124125(10-29)"/>
    <n v="0"/>
    <d v="2015-05-22T00:00:00"/>
    <d v="1899-12-30T14:10:54"/>
    <n v="15"/>
    <n v="0"/>
    <n v="-3014422.3400002164"/>
    <m/>
    <m/>
    <m/>
    <n v="12412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1"/>
    <s v="Extrato/124135"/>
    <s v="Banco Brb - Par. 124135(20-29)"/>
    <n v="0"/>
    <d v="2015-05-22T00:00:00"/>
    <d v="1899-12-30T14:10:54"/>
    <n v="15"/>
    <n v="0"/>
    <n v="-3014437.3400002164"/>
    <m/>
    <m/>
    <m/>
    <n v="12413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2"/>
    <s v="Extrato/124116"/>
    <s v="Banco Brb - Par. 124116(01-29)"/>
    <n v="0"/>
    <d v="2015-05-22T00:00:00"/>
    <d v="1899-12-30T14:10:54"/>
    <n v="15"/>
    <n v="0"/>
    <n v="-3014452.3400002164"/>
    <m/>
    <m/>
    <m/>
    <n v="12411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3"/>
    <s v="Extrato/124126"/>
    <s v="Banco Brb - Par. 124126(11-29)"/>
    <n v="0"/>
    <d v="2015-05-22T00:00:00"/>
    <d v="1899-12-30T14:10:54"/>
    <n v="15"/>
    <n v="0"/>
    <n v="-3014467.3400002164"/>
    <m/>
    <m/>
    <m/>
    <n v="12412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4"/>
    <s v="Extrato/124136"/>
    <s v="Banco Brb - Par. 124136(21-29)"/>
    <n v="0"/>
    <d v="2015-05-22T00:00:00"/>
    <d v="1899-12-30T14:10:54"/>
    <n v="15"/>
    <n v="0"/>
    <n v="-3014482.3400002164"/>
    <m/>
    <m/>
    <m/>
    <n v="12413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5"/>
    <s v="Extrato/124117"/>
    <s v="Banco Brb - Par. 124117(02-29)"/>
    <n v="0"/>
    <d v="2015-05-22T00:00:00"/>
    <d v="1899-12-30T14:10:54"/>
    <n v="15"/>
    <n v="0"/>
    <n v="-3014497.3400002164"/>
    <m/>
    <m/>
    <m/>
    <n v="12411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6"/>
    <s v="Extrato/124127"/>
    <s v="Banco Brb - Par. 124127(12-29)"/>
    <n v="0"/>
    <d v="2015-05-22T00:00:00"/>
    <d v="1899-12-30T14:10:54"/>
    <n v="15"/>
    <n v="0"/>
    <n v="-3014512.3400002164"/>
    <m/>
    <m/>
    <m/>
    <n v="12412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4"/>
    <s v="Extrato/124120"/>
    <s v="Banco Brb - Par. 124120(05-29)"/>
    <n v="0"/>
    <d v="2015-05-22T00:00:00"/>
    <d v="1899-12-30T14:10:55"/>
    <n v="15"/>
    <n v="0"/>
    <n v="-3014527.3400002164"/>
    <m/>
    <m/>
    <m/>
    <n v="12412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7"/>
    <s v="Extrato/124137"/>
    <s v="Banco Brb - Par. 124137(22-29)"/>
    <n v="0"/>
    <d v="2015-05-22T00:00:00"/>
    <d v="1899-12-30T14:10:55"/>
    <n v="15"/>
    <n v="0"/>
    <n v="-3014542.3400002164"/>
    <m/>
    <m/>
    <m/>
    <n v="12413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8"/>
    <s v="Extrato/124118"/>
    <s v="Banco Brb - Par. 124118(03-29)"/>
    <n v="0"/>
    <d v="2015-05-22T00:00:00"/>
    <d v="1899-12-30T14:10:55"/>
    <n v="15"/>
    <n v="0"/>
    <n v="-3014557.3400002164"/>
    <m/>
    <m/>
    <m/>
    <n v="12411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9"/>
    <s v="Extrato/124128"/>
    <s v="Banco Brb - Par. 124128(13-29)"/>
    <n v="0"/>
    <d v="2015-05-22T00:00:00"/>
    <d v="1899-12-30T14:10:55"/>
    <n v="15"/>
    <n v="0"/>
    <n v="-3014572.3400002164"/>
    <m/>
    <m/>
    <m/>
    <n v="12412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0"/>
    <s v="Extrato/124138"/>
    <s v="Banco Brb - Par. 124138(23-29)"/>
    <n v="0"/>
    <d v="2015-05-22T00:00:00"/>
    <d v="1899-12-30T14:10:55"/>
    <n v="15"/>
    <n v="0"/>
    <n v="-3014587.3400002164"/>
    <m/>
    <m/>
    <m/>
    <n v="12413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1"/>
    <s v="Extrato/124119"/>
    <s v="Banco Brb - Par. 124119(04-29)"/>
    <n v="0"/>
    <d v="2015-05-22T00:00:00"/>
    <d v="1899-12-30T14:10:55"/>
    <n v="15"/>
    <n v="0"/>
    <n v="-3014602.3400002164"/>
    <m/>
    <m/>
    <m/>
    <n v="12411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2"/>
    <s v="Extrato/124129"/>
    <s v="Banco Brb - Par. 124129(14-29)"/>
    <n v="0"/>
    <d v="2015-05-22T00:00:00"/>
    <d v="1899-12-30T14:10:55"/>
    <n v="15"/>
    <n v="0"/>
    <n v="-3014617.3400002164"/>
    <m/>
    <m/>
    <m/>
    <n v="12412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3"/>
    <s v="Extrato/124139"/>
    <s v="Banco Brb - Par. 124139(24-29)"/>
    <n v="0"/>
    <d v="2015-05-22T00:00:00"/>
    <d v="1899-12-30T14:10:55"/>
    <n v="15"/>
    <n v="0"/>
    <n v="-3014632.3400002164"/>
    <m/>
    <m/>
    <m/>
    <n v="12413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5"/>
    <s v="Extrato/124130"/>
    <s v="Banco Brb - Par. 124130(15-29)"/>
    <n v="0"/>
    <d v="2015-05-22T00:00:00"/>
    <d v="1899-12-30T14:10:56"/>
    <n v="15"/>
    <n v="0"/>
    <n v="-3014647.3400002164"/>
    <m/>
    <m/>
    <m/>
    <n v="12413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6"/>
    <s v="Extrato/124140"/>
    <s v="Banco Brb - Par. 124140(25-29)"/>
    <n v="0"/>
    <d v="2015-05-22T00:00:00"/>
    <d v="1899-12-30T14:10:56"/>
    <n v="15"/>
    <n v="0"/>
    <n v="-3014662.3400002164"/>
    <m/>
    <m/>
    <m/>
    <n v="12414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7"/>
    <s v="Extrato/124121"/>
    <s v="Banco Brb - Par. 124121(06-29)"/>
    <n v="0"/>
    <d v="2015-05-22T00:00:00"/>
    <d v="1899-12-30T14:10:56"/>
    <n v="15"/>
    <n v="0"/>
    <n v="-3014677.3400002164"/>
    <m/>
    <m/>
    <m/>
    <n v="12412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8"/>
    <s v="Extrato/124131"/>
    <s v="Banco Brb - Par. 124131(16-29)"/>
    <n v="0"/>
    <d v="2015-05-22T00:00:00"/>
    <d v="1899-12-30T14:10:56"/>
    <n v="15"/>
    <n v="0"/>
    <n v="-3014692.3400002164"/>
    <m/>
    <m/>
    <m/>
    <n v="12413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9"/>
    <s v="Extrato/124141"/>
    <s v="Banco Brb - Par. 124141(26-29)"/>
    <n v="0"/>
    <d v="2015-05-22T00:00:00"/>
    <d v="1899-12-30T14:10:56"/>
    <n v="15"/>
    <n v="0"/>
    <n v="-3014707.3400002164"/>
    <m/>
    <m/>
    <m/>
    <n v="12414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0"/>
    <s v="Extrato/124122"/>
    <s v="Banco Brb - Par. 124122(07-29)"/>
    <n v="0"/>
    <d v="2015-05-22T00:00:00"/>
    <d v="1899-12-30T14:10:56"/>
    <n v="15"/>
    <n v="0"/>
    <n v="-3014722.3400002164"/>
    <m/>
    <m/>
    <m/>
    <n v="12412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1"/>
    <s v="Extrato/124132"/>
    <s v="Banco Brb - Par. 124132(17-29)"/>
    <n v="0"/>
    <d v="2015-05-22T00:00:00"/>
    <d v="1899-12-30T14:10:57"/>
    <n v="15"/>
    <n v="0"/>
    <n v="-3014737.3400002164"/>
    <m/>
    <m/>
    <m/>
    <n v="12413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2"/>
    <s v="Extrato/124142"/>
    <s v="Banco Brb - Par. 124142(27-29)"/>
    <n v="0"/>
    <d v="2015-05-22T00:00:00"/>
    <d v="1899-12-30T14:10:57"/>
    <n v="15"/>
    <n v="0"/>
    <n v="-3014752.3400002164"/>
    <m/>
    <m/>
    <m/>
    <n v="12414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3"/>
    <s v="Extrato/124123"/>
    <s v="Banco Brb - Par. 124123(08-29)"/>
    <n v="0"/>
    <d v="2015-05-22T00:00:00"/>
    <d v="1899-12-30T14:10:57"/>
    <n v="15"/>
    <n v="0"/>
    <n v="-3014767.3400002164"/>
    <m/>
    <m/>
    <m/>
    <n v="12412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4"/>
    <s v="Extrato/124133"/>
    <s v="Banco Brb - Par. 124133(18-29)"/>
    <n v="0"/>
    <d v="2015-05-22T00:00:00"/>
    <d v="1899-12-30T14:10:57"/>
    <n v="15"/>
    <n v="0"/>
    <n v="-3014782.3400002164"/>
    <m/>
    <m/>
    <m/>
    <n v="12413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5"/>
    <s v="Extrato/124143"/>
    <s v="Banco Brb - Par. 124143(28-29)"/>
    <n v="0"/>
    <d v="2015-05-22T00:00:00"/>
    <d v="1899-12-30T14:10:57"/>
    <n v="15"/>
    <n v="0"/>
    <n v="-3014797.3400002164"/>
    <m/>
    <m/>
    <m/>
    <n v="12414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6"/>
    <s v="Extrato/124124"/>
    <s v="Banco Brb - Par. 124124(09-29)"/>
    <n v="0"/>
    <d v="2015-05-22T00:00:00"/>
    <d v="1899-12-30T14:10:57"/>
    <n v="15"/>
    <n v="0"/>
    <n v="-3014812.3400002164"/>
    <m/>
    <m/>
    <m/>
    <n v="12412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7"/>
    <s v="Extrato/124134"/>
    <s v="Banco Brb - Par. 124134(19-29)"/>
    <n v="0"/>
    <d v="2015-05-22T00:00:00"/>
    <d v="1899-12-30T14:10:57"/>
    <n v="15"/>
    <n v="0"/>
    <n v="-3014827.3400002164"/>
    <m/>
    <m/>
    <m/>
    <n v="12413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8"/>
    <s v="Extrato/124144"/>
    <s v="Banco Brb - Par. 124144(29-29)"/>
    <n v="0"/>
    <d v="2015-05-22T00:00:00"/>
    <d v="1899-12-30T14:10:57"/>
    <n v="15"/>
    <n v="0"/>
    <n v="-3014842.3400002164"/>
    <m/>
    <m/>
    <m/>
    <n v="12414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9"/>
    <s v="Extrato/124145"/>
    <s v="Banco Brb - Cód. 124145"/>
    <n v="0"/>
    <d v="2015-05-22T00:00:00"/>
    <d v="1899-12-30T14:12:39"/>
    <n v="230"/>
    <n v="0"/>
    <n v="-3015072.3400002164"/>
    <m/>
    <m/>
    <m/>
    <n v="12414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0"/>
    <s v="Extrato/124146"/>
    <s v="Banco Brb - Cód. 124146"/>
    <n v="0"/>
    <d v="2015-05-22T00:00:00"/>
    <d v="1899-12-30T14:12:39"/>
    <n v="30"/>
    <n v="0"/>
    <n v="-3015102.3400002164"/>
    <m/>
    <m/>
    <m/>
    <n v="12414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1"/>
    <s v="Extrato/124147"/>
    <s v="Banco Brb - Cód. 124147"/>
    <n v="0"/>
    <d v="2015-05-22T00:00:00"/>
    <d v="1899-12-30T14:12:39"/>
    <n v="0.35"/>
    <n v="0"/>
    <n v="-3015102.6900002165"/>
    <m/>
    <m/>
    <m/>
    <n v="12414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2"/>
    <s v="Extrato/124148"/>
    <s v="Banco Brb - Cód. 124148"/>
    <n v="0"/>
    <d v="2015-05-22T00:00:00"/>
    <d v="1899-12-30T14:14:06"/>
    <n v="13"/>
    <n v="0"/>
    <n v="-3015115.6900002165"/>
    <m/>
    <m/>
    <m/>
    <n v="12414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4"/>
    <s v="Extrato/124150"/>
    <s v="Banco Brb - Cód. 124150"/>
    <n v="0"/>
    <d v="2015-05-22T00:00:00"/>
    <d v="1899-12-30T14:15:40"/>
    <n v="26.56"/>
    <n v="0"/>
    <n v="-3015142.2500002165"/>
    <m/>
    <m/>
    <m/>
    <n v="12415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5"/>
    <s v="Extrato/124151"/>
    <s v="Banco Brb - Cód. 124151"/>
    <n v="0"/>
    <d v="2015-05-22T00:00:00"/>
    <d v="1899-12-30T14:15:40"/>
    <n v="11"/>
    <n v="0"/>
    <n v="-3015153.2500002165"/>
    <m/>
    <m/>
    <m/>
    <n v="12415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3"/>
    <s v="Extrato/124149"/>
    <s v="Banco Brb - Cód. 124149"/>
    <n v="0"/>
    <d v="2015-05-22T00:00:00"/>
    <d v="1899-12-30T14:15:40"/>
    <n v="27.01"/>
    <n v="0"/>
    <n v="-3015180.2600002163"/>
    <m/>
    <m/>
    <m/>
    <n v="12414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6"/>
    <s v="Extrato/124161"/>
    <s v="Banco Brb - Par. 124161(10-11)"/>
    <n v="0"/>
    <d v="2015-05-22T00:00:00"/>
    <d v="1899-12-30T14:16:49"/>
    <n v="15"/>
    <n v="0"/>
    <n v="-3015195.2600002163"/>
    <m/>
    <m/>
    <m/>
    <n v="12416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7"/>
    <s v="Extrato/124152"/>
    <s v="Banco Brb - Par. 124152(01-11)"/>
    <n v="0"/>
    <d v="2015-05-22T00:00:00"/>
    <d v="1899-12-30T14:16:49"/>
    <n v="15"/>
    <n v="0"/>
    <n v="-3015210.2600002163"/>
    <m/>
    <m/>
    <m/>
    <n v="12415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6"/>
    <s v="Extrato/124160"/>
    <s v="Banco Brb - Par. 124160(09-11)"/>
    <n v="0"/>
    <d v="2015-05-22T00:00:00"/>
    <d v="1899-12-30T14:16:50"/>
    <n v="15"/>
    <n v="0"/>
    <n v="-3015225.2600002163"/>
    <m/>
    <m/>
    <m/>
    <n v="12416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8"/>
    <s v="Extrato/124162"/>
    <s v="Banco Brb - Par. 124162(11-11)"/>
    <n v="0"/>
    <d v="2015-05-22T00:00:00"/>
    <d v="1899-12-30T14:16:50"/>
    <n v="15"/>
    <n v="0"/>
    <n v="-3015240.2600002163"/>
    <m/>
    <m/>
    <m/>
    <n v="12416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9"/>
    <s v="Extrato/124153"/>
    <s v="Banco Brb - Par. 124153(02-11)"/>
    <n v="0"/>
    <d v="2015-05-22T00:00:00"/>
    <d v="1899-12-30T14:16:50"/>
    <n v="15"/>
    <n v="0"/>
    <n v="-3015255.2600002163"/>
    <m/>
    <m/>
    <m/>
    <n v="12415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0"/>
    <s v="Extrato/124154"/>
    <s v="Banco Brb - Par. 124154(03-11)"/>
    <n v="0"/>
    <d v="2015-05-22T00:00:00"/>
    <d v="1899-12-30T14:16:50"/>
    <n v="15"/>
    <n v="0"/>
    <n v="-3015270.2600002163"/>
    <m/>
    <m/>
    <m/>
    <n v="12415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1"/>
    <s v="Extrato/124155"/>
    <s v="Banco Brb - Par. 124155(04-11)"/>
    <n v="0"/>
    <d v="2015-05-22T00:00:00"/>
    <d v="1899-12-30T14:16:50"/>
    <n v="15"/>
    <n v="0"/>
    <n v="-3015285.2600002163"/>
    <m/>
    <m/>
    <m/>
    <n v="12415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2"/>
    <s v="Extrato/124156"/>
    <s v="Banco Brb - Par. 124156(05-11)"/>
    <n v="0"/>
    <d v="2015-05-22T00:00:00"/>
    <d v="1899-12-30T14:16:50"/>
    <n v="15"/>
    <n v="0"/>
    <n v="-3015300.2600002163"/>
    <m/>
    <m/>
    <m/>
    <n v="12415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3"/>
    <s v="Extrato/124157"/>
    <s v="Banco Brb - Par. 124157(06-11)"/>
    <n v="0"/>
    <d v="2015-05-22T00:00:00"/>
    <d v="1899-12-30T14:16:50"/>
    <n v="15"/>
    <n v="0"/>
    <n v="-3015315.2600002163"/>
    <m/>
    <m/>
    <m/>
    <n v="12415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4"/>
    <s v="Extrato/124158"/>
    <s v="Banco Brb - Par. 124158(07-11)"/>
    <n v="0"/>
    <d v="2015-05-22T00:00:00"/>
    <d v="1899-12-30T14:16:50"/>
    <n v="15"/>
    <n v="0"/>
    <n v="-3015330.2600002163"/>
    <m/>
    <m/>
    <m/>
    <n v="12415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5"/>
    <s v="Extrato/124159"/>
    <s v="Banco Brb - Par. 124159(08-11)"/>
    <n v="0"/>
    <d v="2015-05-22T00:00:00"/>
    <d v="1899-12-30T14:16:50"/>
    <n v="15"/>
    <n v="0"/>
    <n v="-3015345.2600002163"/>
    <m/>
    <m/>
    <m/>
    <n v="12415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7"/>
    <s v="Extrato/124163"/>
    <s v="Banco Brb - Cód. 124163"/>
    <n v="0"/>
    <d v="2015-05-22T00:00:00"/>
    <d v="1899-12-30T14:19:24"/>
    <n v="30"/>
    <n v="0"/>
    <n v="-3015375.2600002163"/>
    <m/>
    <m/>
    <m/>
    <n v="12416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8"/>
    <s v="Extrato/124164"/>
    <s v="Banco Brb - Cód. 124164"/>
    <n v="0"/>
    <d v="2015-05-22T00:00:00"/>
    <d v="1899-12-30T14:20:14"/>
    <n v="0.35"/>
    <n v="0"/>
    <n v="-3015375.6100002164"/>
    <m/>
    <m/>
    <m/>
    <n v="12416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9"/>
    <s v="Extrato/124165"/>
    <s v="Banco Brb - Cód. 124165"/>
    <n v="0"/>
    <d v="2015-05-22T00:00:00"/>
    <d v="1899-12-30T14:20:14"/>
    <n v="0.35"/>
    <n v="0"/>
    <n v="-3015375.9600002165"/>
    <m/>
    <m/>
    <m/>
    <n v="12416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5"/>
    <s v="Extrato/124170"/>
    <s v="Banco Brb - Par. 124170(05-8)"/>
    <n v="0"/>
    <d v="2015-05-22T00:00:00"/>
    <d v="1899-12-30T14:21:53"/>
    <n v="15"/>
    <n v="0"/>
    <n v="-3015390.9600002165"/>
    <m/>
    <m/>
    <m/>
    <n v="12417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6"/>
    <s v="Extrato/124171"/>
    <s v="Banco Brb - Par. 124171(06-8)"/>
    <n v="0"/>
    <d v="2015-05-22T00:00:00"/>
    <d v="1899-12-30T14:21:53"/>
    <n v="15"/>
    <n v="0"/>
    <n v="-3015405.9600002165"/>
    <m/>
    <m/>
    <m/>
    <n v="12417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7"/>
    <s v="Extrato/124172"/>
    <s v="Banco Brb - Par. 124172(07-8)"/>
    <n v="0"/>
    <d v="2015-05-22T00:00:00"/>
    <d v="1899-12-30T14:21:53"/>
    <n v="15"/>
    <n v="0"/>
    <n v="-3015420.9600002165"/>
    <m/>
    <m/>
    <m/>
    <n v="12417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8"/>
    <s v="Extrato/124173"/>
    <s v="Banco Brb - Par. 124173(08-8)"/>
    <n v="0"/>
    <d v="2015-05-22T00:00:00"/>
    <d v="1899-12-30T14:21:53"/>
    <n v="15"/>
    <n v="0"/>
    <n v="-3015435.9600002165"/>
    <m/>
    <m/>
    <m/>
    <n v="12417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1"/>
    <s v="Extrato/124166"/>
    <s v="Banco Brb - Par. 124166(01-8)"/>
    <n v="0"/>
    <d v="2015-05-22T00:00:00"/>
    <d v="1899-12-30T14:21:53"/>
    <n v="15"/>
    <n v="0"/>
    <n v="-3015450.9600002165"/>
    <m/>
    <m/>
    <m/>
    <n v="12416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2"/>
    <s v="Extrato/124167"/>
    <s v="Banco Brb - Par. 124167(02-8)"/>
    <n v="0"/>
    <d v="2015-05-22T00:00:00"/>
    <d v="1899-12-30T14:21:53"/>
    <n v="15"/>
    <n v="0"/>
    <n v="-3015465.9600002165"/>
    <m/>
    <m/>
    <m/>
    <n v="12416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3"/>
    <s v="Extrato/124168"/>
    <s v="Banco Brb - Par. 124168(03-8)"/>
    <n v="0"/>
    <d v="2015-05-22T00:00:00"/>
    <d v="1899-12-30T14:21:53"/>
    <n v="15"/>
    <n v="0"/>
    <n v="-3015480.9600002165"/>
    <m/>
    <m/>
    <m/>
    <n v="12416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4"/>
    <s v="Extrato/124169"/>
    <s v="Banco Brb - Par. 124169(04-8)"/>
    <n v="0"/>
    <d v="2015-05-22T00:00:00"/>
    <d v="1899-12-30T14:21:53"/>
    <n v="15"/>
    <n v="0"/>
    <n v="-3015495.9600002165"/>
    <m/>
    <m/>
    <m/>
    <n v="12416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9"/>
    <s v="Extrato/124174"/>
    <s v="Banco Brb - Cód. 124174"/>
    <n v="0"/>
    <d v="2015-05-22T00:00:00"/>
    <d v="1899-12-30T14:24:34"/>
    <n v="30"/>
    <n v="0"/>
    <n v="-3015525.9600002165"/>
    <m/>
    <m/>
    <m/>
    <n v="12417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0"/>
    <s v="Extrato/124175"/>
    <s v="Banco Brb - Cód. 124175"/>
    <n v="0"/>
    <d v="2015-05-22T00:00:00"/>
    <d v="1899-12-30T14:25:06"/>
    <n v="0.35"/>
    <n v="0"/>
    <n v="-3015526.3100002166"/>
    <m/>
    <m/>
    <m/>
    <n v="12417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1"/>
    <s v="Extrato/124176"/>
    <s v="Banco Brb - Cód. 124176"/>
    <n v="0"/>
    <d v="2015-05-22T00:00:00"/>
    <d v="1899-12-30T14:26:24"/>
    <n v="30"/>
    <n v="0"/>
    <n v="-3015556.3100002166"/>
    <m/>
    <m/>
    <m/>
    <n v="12417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2"/>
    <s v="Extrato/124177"/>
    <s v="Banco Brb - Cód. 124177"/>
    <n v="0"/>
    <d v="2015-05-22T00:00:00"/>
    <d v="1899-12-30T14:26:24"/>
    <n v="30"/>
    <n v="0"/>
    <n v="-3015586.3100002166"/>
    <m/>
    <m/>
    <m/>
    <n v="12417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5"/>
    <s v="Extrato/124180"/>
    <s v="Banco Brb - Par. 124180(03-4)"/>
    <n v="0"/>
    <d v="2015-05-22T00:00:00"/>
    <d v="1899-12-30T14:27:45"/>
    <n v="15"/>
    <n v="0"/>
    <n v="-3015601.3100002166"/>
    <m/>
    <m/>
    <m/>
    <n v="12418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6"/>
    <s v="Extrato/124181"/>
    <s v="Banco Brb - Par. 124181(04-4)"/>
    <n v="0"/>
    <d v="2015-05-22T00:00:00"/>
    <d v="1899-12-30T14:27:45"/>
    <n v="15"/>
    <n v="0"/>
    <n v="-3015616.3100002166"/>
    <m/>
    <m/>
    <m/>
    <n v="12418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3"/>
    <s v="Extrato/124178"/>
    <s v="Banco Brb - Par. 124178(01-4)"/>
    <n v="0"/>
    <d v="2015-05-22T00:00:00"/>
    <d v="1899-12-30T14:27:45"/>
    <n v="8.8000000000000007"/>
    <n v="0"/>
    <n v="-3015625.1100002164"/>
    <m/>
    <m/>
    <m/>
    <n v="12417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4"/>
    <s v="Extrato/124179"/>
    <s v="Banco Brb - Par. 124179(02-4)"/>
    <n v="0"/>
    <d v="2015-05-22T00:00:00"/>
    <d v="1899-12-30T14:27:45"/>
    <n v="15"/>
    <n v="0"/>
    <n v="-3015640.1100002164"/>
    <m/>
    <m/>
    <m/>
    <n v="12417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7"/>
    <s v="Extrato/124182"/>
    <s v="Banco Brb - Cód. 124182"/>
    <n v="0"/>
    <d v="2015-05-22T00:00:00"/>
    <d v="1899-12-30T14:28:22"/>
    <n v="30"/>
    <n v="0"/>
    <n v="-3015670.1100002164"/>
    <m/>
    <m/>
    <m/>
    <n v="12418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8"/>
    <s v="Extrato/124183"/>
    <s v="Banco Brb - Par. 124183(01-4)"/>
    <n v="0"/>
    <d v="2015-05-22T00:00:00"/>
    <d v="1899-12-30T14:29:33"/>
    <n v="30.25"/>
    <n v="0"/>
    <n v="-3015700.3600002164"/>
    <m/>
    <m/>
    <m/>
    <n v="12418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9"/>
    <s v="Extrato/124184"/>
    <s v="Banco Brb - Par. 124184(02-4)"/>
    <n v="0"/>
    <d v="2015-05-22T00:00:00"/>
    <d v="1899-12-30T14:29:33"/>
    <n v="15"/>
    <n v="0"/>
    <n v="-3015715.3600002164"/>
    <m/>
    <m/>
    <m/>
    <n v="12418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10"/>
    <s v="Extrato/124185"/>
    <s v="Banco Brb - Par. 124185(03-4)"/>
    <n v="0"/>
    <d v="2015-05-22T00:00:00"/>
    <d v="1899-12-30T14:29:34"/>
    <n v="15"/>
    <n v="0"/>
    <n v="-3015730.3600002164"/>
    <m/>
    <m/>
    <m/>
    <n v="12418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11"/>
    <s v="Extrato/124186"/>
    <s v="Banco Brb - Par. 124186(04-4)"/>
    <n v="0"/>
    <d v="2015-05-22T00:00:00"/>
    <d v="1899-12-30T14:29:34"/>
    <n v="15"/>
    <n v="0"/>
    <n v="-3015745.3600002164"/>
    <m/>
    <m/>
    <m/>
    <n v="12418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12"/>
    <s v="Extrato/124187"/>
    <s v="Banco Brb - Cód. 124187"/>
    <n v="0"/>
    <d v="2015-05-22T00:00:00"/>
    <d v="1899-12-30T14:30:12"/>
    <n v="47.5"/>
    <n v="0"/>
    <n v="-3015792.8600002164"/>
    <m/>
    <m/>
    <m/>
    <n v="12418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13"/>
    <s v="Ant.Cob/124188"/>
    <s v="Banco Brb - Cód. 124188"/>
    <n v="0"/>
    <d v="2015-05-22T00:00:00"/>
    <d v="1899-12-30T14:31:23"/>
    <n v="1111"/>
    <n v="0"/>
    <n v="-3016903.8600002164"/>
    <m/>
    <m/>
    <m/>
    <n v="124188"/>
    <n v="24"/>
    <s v="Emilly"/>
    <n v="1"/>
    <m/>
    <n v="1579"/>
    <d v="2015-05-26T00:00:00"/>
    <d v="2015-05-26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217"/>
    <s v="LRF/124001"/>
    <s v="Lr Fomento - Cód. 124001"/>
    <n v="0"/>
    <d v="2015-05-22T00:00:00"/>
    <d v="1899-12-30T14:32:41"/>
    <n v="37106.29"/>
    <n v="0"/>
    <n v="-3054010.1500002164"/>
    <m/>
    <m/>
    <m/>
    <n v="124001"/>
    <n v="24"/>
    <s v="Emilly"/>
    <n v="1"/>
    <m/>
    <n v="1436"/>
    <d v="2015-05-26T00:00:00"/>
    <d v="2015-05-26T00:00:00"/>
    <m/>
    <m/>
    <n v="2015"/>
    <n v="24"/>
    <m/>
    <m/>
    <m/>
    <m/>
    <s v="Operação de Crédito"/>
    <x v="2"/>
    <s v="COLÉGIO OLIMPO LTDA"/>
    <m/>
    <n v="52"/>
    <n v="2"/>
    <s v="Cheque"/>
    <m/>
    <n v="0"/>
    <m/>
    <n v="0"/>
    <m/>
    <m/>
    <s v="BRB [SOL] [012052-4] [CC] [COB]"/>
    <m/>
    <m/>
    <m/>
  </r>
  <r>
    <n v="271219"/>
    <s v="Extrato"/>
    <s v="Remessa Olimpo Fundamental"/>
    <n v="1111"/>
    <d v="2015-05-22T00:00:00"/>
    <d v="1899-12-30T14:33:02"/>
    <n v="0"/>
    <n v="0"/>
    <n v="-3052899.1500002164"/>
    <m/>
    <m/>
    <m/>
    <m/>
    <n v="24"/>
    <s v="Emilly"/>
    <n v="1"/>
    <m/>
    <n v="1431"/>
    <d v="2015-05-26T00:00:00"/>
    <d v="2015-05-26T00:00:00"/>
    <m/>
    <m/>
    <n v="2015"/>
    <n v="24"/>
    <m/>
    <m/>
    <m/>
    <m/>
    <s v="Remessa Olimpo Fundamental"/>
    <x v="1"/>
    <s v="COLÉGIO OLIMPO LTDA"/>
    <m/>
    <n v="52"/>
    <n v="9"/>
    <s v="Débito em conta"/>
    <m/>
    <m/>
    <m/>
    <n v="0"/>
    <m/>
    <m/>
    <s v="BRB [SOL] [012052-4] [CC] [COB]"/>
    <m/>
    <m/>
    <m/>
  </r>
  <r>
    <n v="271454"/>
    <s v="ESPÉCIE 2015-05-22"/>
    <s v="PAGAMENTO DAS MENSALIDADES DE MARÇO E ABRIL/2015, DO(A) ALUNO(A) MARCOS VINÍCIUS REIS PACHECO_ESN"/>
    <n v="713"/>
    <d v="2015-05-22T00:00:00"/>
    <d v="1899-12-30T14:37:28"/>
    <n v="0"/>
    <n v="0"/>
    <n v="-3052186.1500002164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457"/>
    <s v="ESPÉCIE 2015-05-22"/>
    <s v="PAGAMENTO DAS MENSALIDADES DE FEV., MARÇO E ABRIL/2015, DO(A) ALUNO(A) MARCUS FELIPE BEZERRA MACEDO_EM"/>
    <n v="5570"/>
    <d v="2015-05-22T00:00:00"/>
    <d v="1899-12-30T15:15:58"/>
    <n v="0"/>
    <n v="0"/>
    <n v="-3046616.1500002164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1790"/>
    <s v="Extrato"/>
    <s v="Contrato Emprétimo"/>
    <n v="725000"/>
    <d v="2015-05-22T00:00:00"/>
    <d v="1899-12-30T16:08:39"/>
    <n v="0"/>
    <n v="0"/>
    <n v="-2321616.1500002164"/>
    <m/>
    <m/>
    <m/>
    <m/>
    <n v="24"/>
    <s v="Emilly"/>
    <n v="1"/>
    <m/>
    <n v="1373"/>
    <d v="2015-06-03T00:00:00"/>
    <d v="2015-06-03T00:00:00"/>
    <m/>
    <m/>
    <n v="2015"/>
    <n v="24"/>
    <m/>
    <m/>
    <m/>
    <m/>
    <s v="Empréstimo Pessoa Jurídica"/>
    <x v="1"/>
    <s v="COLÉGIO OLIMPO LTDA"/>
    <m/>
    <n v="5"/>
    <n v="9"/>
    <s v="Débito em conta"/>
    <m/>
    <m/>
    <m/>
    <n v="0"/>
    <m/>
    <m/>
    <s v="MERC [GYN] [02.011938-7] [CC]"/>
    <m/>
    <m/>
    <m/>
  </r>
  <r>
    <n v="271791"/>
    <s v="Extrato/124533"/>
    <s v="Mercantil Do Brasil - Cód. 124533"/>
    <n v="0"/>
    <d v="2015-05-22T00:00:00"/>
    <d v="1899-12-30T16:10:00"/>
    <n v="163143.79"/>
    <n v="0"/>
    <n v="-2484759.9400002165"/>
    <m/>
    <m/>
    <m/>
    <n v="124533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792"/>
    <s v="Extrato/124534"/>
    <s v="Mercantil Do Brasil - Cód. 124534"/>
    <n v="0"/>
    <d v="2015-05-22T00:00:00"/>
    <d v="1899-12-30T16:10:00"/>
    <n v="551674.96"/>
    <n v="0"/>
    <n v="-3036434.9000002164"/>
    <m/>
    <m/>
    <m/>
    <n v="124534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470"/>
    <s v="ESPÉCIE 2015-05-22"/>
    <s v="PAGAMENTO DA MENSALIDADE DE ABRIL/2015, DO(A) ALUNO(A) ISADORA DA SILVA CALDEIRA_EF"/>
    <n v="1186"/>
    <d v="2015-05-22T00:00:00"/>
    <d v="1899-12-30T16:40:06"/>
    <n v="0"/>
    <n v="0"/>
    <n v="-3035248.9000002164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0882"/>
    <s v="Transferência Entre Conta"/>
    <s v="Transferência Entre Conta"/>
    <n v="0"/>
    <d v="2015-05-22T00:00:00"/>
    <d v="1899-12-30T16:42:06"/>
    <n v="10000"/>
    <n v="0"/>
    <n v="-3045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0883"/>
    <s v="Transferência Entre Conta"/>
    <s v="Destino: 270882-Transferência Entre Conta"/>
    <n v="10000"/>
    <d v="2015-05-22T00:00:00"/>
    <d v="1899-12-30T16:42:06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82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884"/>
    <s v="Transferência Entre Conta"/>
    <s v="Transferência Entre Conta"/>
    <n v="0"/>
    <d v="2015-05-22T00:00:00"/>
    <d v="1899-12-30T16:42:34"/>
    <n v="11000"/>
    <n v="0"/>
    <n v="-3046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885"/>
    <s v="Transferência Entre Conta"/>
    <s v="Destino: 270884-Transferência Entre Conta"/>
    <n v="11000"/>
    <d v="2015-05-22T00:00:00"/>
    <d v="1899-12-30T16:42:34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8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886"/>
    <s v="Transferência Entre Conta"/>
    <s v="Transferência Entre Conta"/>
    <n v="0"/>
    <d v="2015-05-22T00:00:00"/>
    <d v="1899-12-30T16:43:07"/>
    <n v="8000"/>
    <n v="0"/>
    <n v="-3043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0887"/>
    <s v="Transferência Entre Conta"/>
    <s v="Destino: 270886-Transferência Entre Conta"/>
    <n v="8000"/>
    <d v="2015-05-22T00:00:00"/>
    <d v="1899-12-30T16:43:07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86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888"/>
    <s v="Transferência Entre Conta"/>
    <s v="Transferência Entre Conta"/>
    <n v="0"/>
    <d v="2015-05-22T00:00:00"/>
    <d v="1899-12-30T16:43:34"/>
    <n v="6500"/>
    <n v="0"/>
    <n v="-30417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0889"/>
    <s v="Transferência Entre Conta"/>
    <s v="Destino: 270888-Transferência Entre Conta"/>
    <n v="6500"/>
    <d v="2015-05-22T00:00:00"/>
    <d v="1899-12-30T16:43:34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88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890"/>
    <s v="Transferência Entre Conta"/>
    <s v="Transferência Entre Conta"/>
    <n v="0"/>
    <d v="2015-05-22T00:00:00"/>
    <d v="1899-12-30T16:44:01"/>
    <n v="8000"/>
    <n v="0"/>
    <n v="-3043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0891"/>
    <s v="Transferência Entre Conta"/>
    <s v="Destino: 270890-Transferência Entre Conta"/>
    <n v="8000"/>
    <d v="2015-05-22T00:00:00"/>
    <d v="1899-12-30T16:44:01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892"/>
    <s v="Transferência Entre Conta"/>
    <s v="Transferência Entre Conta"/>
    <n v="0"/>
    <d v="2015-05-22T00:00:00"/>
    <d v="1899-12-30T16:44:32"/>
    <n v="8000"/>
    <n v="0"/>
    <n v="-3043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893"/>
    <s v="Transferência Entre Conta"/>
    <s v="Destino: 270892-Transferência Entre Conta"/>
    <n v="8000"/>
    <d v="2015-05-22T00:00:00"/>
    <d v="1899-12-30T16:44:32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894"/>
    <s v="Transferência Entre Conta"/>
    <s v="Transferência Entre Conta"/>
    <n v="0"/>
    <d v="2015-05-22T00:00:00"/>
    <d v="1899-12-30T16:44:53"/>
    <n v="4000"/>
    <n v="0"/>
    <n v="-3039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5"/>
    <s v="BRADESCO [002429-5] [GYN [CC]"/>
    <m/>
    <m/>
    <m/>
  </r>
  <r>
    <n v="270895"/>
    <s v="Transferência Entre Conta"/>
    <s v="Destino: 270894-Transferência Entre Conta"/>
    <n v="4000"/>
    <d v="2015-05-22T00:00:00"/>
    <d v="1899-12-30T16:44:53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4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0896"/>
    <s v="Transferência Entre Conta"/>
    <s v="Transferência Entre Conta"/>
    <n v="0"/>
    <d v="2015-05-22T00:00:00"/>
    <d v="1899-12-30T16:45:24"/>
    <n v="2000"/>
    <n v="0"/>
    <n v="-3037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0897"/>
    <s v="Transferência Entre Conta"/>
    <s v="Destino: 270896-Transferência Entre Conta"/>
    <n v="2000"/>
    <d v="2015-05-22T00:00:00"/>
    <d v="1899-12-30T16:45:24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6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898"/>
    <s v="Transferência Entre Conta"/>
    <s v="Transferência Entre Conta"/>
    <n v="0"/>
    <d v="2015-05-22T00:00:00"/>
    <d v="1899-12-30T16:45:51"/>
    <n v="2000"/>
    <n v="0"/>
    <n v="-3037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19"/>
    <s v="ITAÚ [SOL] [001691-4] [CC]"/>
    <m/>
    <m/>
    <m/>
  </r>
  <r>
    <n v="270899"/>
    <s v="Transferência Entre Conta"/>
    <s v="Destino: 270898-Transferência Entre Conta"/>
    <n v="2000"/>
    <d v="2015-05-22T00:00:00"/>
    <d v="1899-12-30T16:45:51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8"/>
    <m/>
    <s v="Transferência entre contas"/>
    <x v="2"/>
    <s v="COLÉGIO OLIMPO LTDA"/>
    <m/>
    <n v="19"/>
    <n v="8"/>
    <s v="Transferência Bancária"/>
    <m/>
    <m/>
    <m/>
    <n v="0"/>
    <m/>
    <m/>
    <s v="MERC [MAR] [01.011490-1] [CC]"/>
    <m/>
    <m/>
    <m/>
  </r>
  <r>
    <n v="270900"/>
    <s v="Transferência Entre Conta"/>
    <s v="Transferência Entre Conta"/>
    <n v="0"/>
    <d v="2015-05-22T00:00:00"/>
    <d v="1899-12-30T16:46:17"/>
    <n v="11000"/>
    <n v="0"/>
    <n v="-3046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0901"/>
    <s v="Transferência Entre Conta"/>
    <s v="Destino: 270900-Transferência Entre Conta"/>
    <n v="11000"/>
    <d v="2015-05-22T00:00:00"/>
    <d v="1899-12-30T16:46:17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900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520"/>
    <s v="Recibo/124354"/>
    <s v="Marcelo De Moraes Melo - Cód. 124354"/>
    <n v="0"/>
    <d v="2015-05-22T00:00:00"/>
    <d v="1899-12-30T17:05:24"/>
    <n v="2000"/>
    <n v="0"/>
    <n v="-3037248.9000002164"/>
    <m/>
    <m/>
    <m/>
    <n v="124354"/>
    <n v="24"/>
    <s v="Emilly"/>
    <n v="1"/>
    <m/>
    <n v="1455"/>
    <d v="2015-06-01T00:00:00"/>
    <d v="2015-06-01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3092"/>
    <s v="MMMB/110774"/>
    <s v="Marilia Maria De Moura Barros - Par. 110774(05-12)"/>
    <n v="0"/>
    <d v="2015-05-22T00:00:00"/>
    <d v="1899-12-30T18:10:31"/>
    <n v="7600"/>
    <n v="0"/>
    <n v="-3044848.9000002164"/>
    <m/>
    <m/>
    <m/>
    <n v="110774"/>
    <n v="24"/>
    <s v="Emilly"/>
    <n v="1"/>
    <m/>
    <n v="1450"/>
    <d v="2015-06-15T00:00:00"/>
    <d v="2015-06-15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93"/>
    <s v="Rescisão/124274"/>
    <s v="Rescisão - Grupo Olimpo - Cód. 124274"/>
    <n v="0"/>
    <d v="2015-05-22T00:00:00"/>
    <d v="1899-12-30T18:10:44"/>
    <n v="950"/>
    <n v="0"/>
    <n v="-3045798.9000002164"/>
    <m/>
    <m/>
    <m/>
    <n v="124274"/>
    <n v="24"/>
    <s v="Emilly"/>
    <n v="2"/>
    <m/>
    <n v="1587"/>
    <d v="2015-06-15T00:00:00"/>
    <d v="2015-06-15T00:00:00"/>
    <m/>
    <m/>
    <n v="2015"/>
    <n v="24"/>
    <m/>
    <m/>
    <m/>
    <m/>
    <s v="Uber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094"/>
    <s v="Rescisão/124275"/>
    <s v="Rescisão - Grupo Olimpo - Cód. 124275"/>
    <n v="0"/>
    <d v="2015-05-22T00:00:00"/>
    <d v="1899-12-30T18:10:57"/>
    <n v="1386"/>
    <n v="0"/>
    <n v="-3047184.9000002164"/>
    <m/>
    <m/>
    <m/>
    <n v="124275"/>
    <n v="24"/>
    <s v="Emilly"/>
    <n v="2"/>
    <m/>
    <n v="175"/>
    <d v="2015-06-15T00:00:00"/>
    <d v="2015-06-15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095"/>
    <s v="Acerto/124612"/>
    <s v="Fabio Geraldo Araujo  - Cód. 124612"/>
    <n v="0"/>
    <d v="2015-05-22T00:00:00"/>
    <d v="1899-12-30T18:11:11"/>
    <n v="20000"/>
    <n v="0"/>
    <n v="-3067184.9000002164"/>
    <m/>
    <m/>
    <m/>
    <n v="124612"/>
    <n v="24"/>
    <s v="Emilly"/>
    <n v="1"/>
    <m/>
    <n v="371"/>
    <d v="2015-06-15T00:00:00"/>
    <d v="2015-06-15T00:00:00"/>
    <m/>
    <m/>
    <n v="2015"/>
    <n v="24"/>
    <m/>
    <m/>
    <m/>
    <m/>
    <s v="Marista.Rescisão de contrato de trabalho"/>
    <x v="1"/>
    <s v="COLÉGIO OLIMPO LTDA"/>
    <m/>
    <n v="2"/>
    <n v="2"/>
    <s v="Cheque"/>
    <m/>
    <n v="0"/>
    <m/>
    <n v="0"/>
    <m/>
    <m/>
    <s v="BRADESCO [002429-5] [GYN [CC]"/>
    <m/>
    <m/>
    <m/>
  </r>
  <r>
    <n v="273096"/>
    <s v="REMESSA GF FOMENTO"/>
    <s v="REMESSA GF FOMENTO"/>
    <n v="1186.6400000000001"/>
    <d v="2015-05-25T00:00:00"/>
    <d v="1899-12-30T08:55:13"/>
    <n v="0"/>
    <n v="0"/>
    <n v="-3065998.2600002163"/>
    <m/>
    <m/>
    <m/>
    <m/>
    <n v="60"/>
    <s v="Francielly"/>
    <n v="2"/>
    <m/>
    <n v="1524"/>
    <d v="2015-06-16T00:00:00"/>
    <d v="2015-06-23T00:00:00"/>
    <m/>
    <m/>
    <n v="2015"/>
    <n v="24"/>
    <m/>
    <m/>
    <m/>
    <m/>
    <s v="Crédito boleto pago após recompra"/>
    <x v="1"/>
    <s v="COLÉGIO OLIMPO LTDA"/>
    <m/>
    <n v="2"/>
    <n v="8"/>
    <s v="Transferência Bancária"/>
    <m/>
    <m/>
    <m/>
    <n v="0"/>
    <m/>
    <m/>
    <s v="BRADESCO [002429-5] [GYN [CC]"/>
    <m/>
    <m/>
    <m/>
  </r>
  <r>
    <n v="273097"/>
    <s v="JCDS/110808"/>
    <s v="José Carlos Da Silva  - Par. 110808(05-12)"/>
    <n v="0"/>
    <d v="2015-05-25T00:00:00"/>
    <d v="1899-12-30T08:56:27"/>
    <n v="2300"/>
    <n v="0"/>
    <n v="-3068298.2600002163"/>
    <m/>
    <m/>
    <m/>
    <n v="110808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98"/>
    <s v="RVF/111863"/>
    <s v="Renato Vieira Ferro - Par. 111863(05-12)"/>
    <n v="0"/>
    <d v="2015-05-25T00:00:00"/>
    <d v="1899-12-30T08:56:44"/>
    <n v="4500"/>
    <n v="0"/>
    <n v="-3072798.2600002163"/>
    <m/>
    <m/>
    <m/>
    <n v="111863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99"/>
    <s v="Extrato/126924"/>
    <s v="Bradesco - Cód. 126924"/>
    <n v="0"/>
    <d v="2015-05-25T00:00:00"/>
    <d v="1899-12-30T08:59:03"/>
    <n v="760.63"/>
    <n v="0"/>
    <n v="-3073558.8900002162"/>
    <m/>
    <m/>
    <m/>
    <n v="126924"/>
    <n v="24"/>
    <s v="Emilly"/>
    <n v="1"/>
    <m/>
    <n v="1577"/>
    <d v="2015-06-16T00:00:00"/>
    <d v="2015-06-16T00:00:00"/>
    <m/>
    <m/>
    <n v="2015"/>
    <n v="24"/>
    <m/>
    <m/>
    <m/>
    <m/>
    <s v="CA.Pre-seguro de vida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4033"/>
    <s v="Extrato"/>
    <s v="Deposito Em Dinheiro"/>
    <n v="10000"/>
    <d v="2015-05-25T00:00:00"/>
    <d v="1899-12-30T09:03:36"/>
    <n v="0"/>
    <n v="0"/>
    <n v="-3063558.8900002162"/>
    <m/>
    <m/>
    <m/>
    <m/>
    <n v="24"/>
    <s v="Emilly"/>
    <n v="1"/>
    <m/>
    <n v="1630"/>
    <d v="2015-06-25T00:00:00"/>
    <d v="2015-06-25T00:00:00"/>
    <m/>
    <m/>
    <n v="2015"/>
    <n v="24"/>
    <m/>
    <m/>
    <m/>
    <m/>
    <s v="Recebimento de Alunos"/>
    <x v="1"/>
    <s v="COLÉGIO OLIMPO LTDA"/>
    <m/>
    <n v="26"/>
    <n v="1"/>
    <s v="Dinheiro"/>
    <m/>
    <m/>
    <m/>
    <n v="0"/>
    <m/>
    <m/>
    <s v="ITAÚ [SOL] [001691-4] [CC]"/>
    <m/>
    <m/>
    <m/>
  </r>
  <r>
    <n v="274043"/>
    <s v="Extrato/127354"/>
    <s v="Banco Itaú Unibanco S.A. - Cód. 127354"/>
    <n v="0"/>
    <d v="2015-05-25T00:00:00"/>
    <d v="1899-12-30T09:13:11"/>
    <n v="7.95"/>
    <n v="0"/>
    <n v="-3063566.8400002164"/>
    <m/>
    <m/>
    <m/>
    <n v="127354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1408"/>
    <s v="444-4/4/110981"/>
    <s v="Liderar Climatização - Cód. 110981"/>
    <n v="0"/>
    <d v="2015-05-25T00:00:00"/>
    <d v="1899-12-30T09:14:24"/>
    <n v="3451.04"/>
    <n v="0"/>
    <n v="-3067017.8800002164"/>
    <m/>
    <m/>
    <m/>
    <n v="110981"/>
    <n v="24"/>
    <s v="Emilly"/>
    <n v="1"/>
    <m/>
    <n v="1397"/>
    <d v="2015-05-28T00:00:00"/>
    <d v="2015-05-28T00:00:00"/>
    <m/>
    <m/>
    <n v="2015"/>
    <n v="24"/>
    <m/>
    <m/>
    <m/>
    <m/>
    <s v="T-27.Aquisi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1409"/>
    <s v="17981/124269"/>
    <s v="Rodrigo Bernadelli Dos Santos - Cód. 124269"/>
    <n v="0"/>
    <d v="2015-05-25T00:00:00"/>
    <d v="1899-12-30T09:18:39"/>
    <n v="1536.23"/>
    <n v="0"/>
    <n v="-3068554.1100002164"/>
    <m/>
    <m/>
    <m/>
    <n v="124269"/>
    <n v="24"/>
    <s v="Emilly"/>
    <n v="1"/>
    <m/>
    <n v="1071"/>
    <d v="2015-05-28T00:00:00"/>
    <d v="2015-05-28T00:00:00"/>
    <m/>
    <m/>
    <n v="2015"/>
    <n v="24"/>
    <m/>
    <m/>
    <m/>
    <m/>
    <s v="Bernadelli.Despesas particulares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0"/>
    <s v="21446/119573"/>
    <s v="Mixx Comercio De Materiais Eletricos - Cód. 119573"/>
    <n v="0"/>
    <d v="2015-05-25T00:00:00"/>
    <d v="1899-12-30T09:19:10"/>
    <n v="330.87"/>
    <n v="0"/>
    <n v="-3068884.9800002165"/>
    <m/>
    <m/>
    <m/>
    <n v="119573"/>
    <n v="24"/>
    <s v="Emilly"/>
    <n v="1"/>
    <m/>
    <n v="1392"/>
    <d v="2015-05-28T00:00:00"/>
    <d v="2015-05-28T00:00:00"/>
    <m/>
    <m/>
    <n v="2015"/>
    <n v="24"/>
    <m/>
    <m/>
    <m/>
    <m/>
    <s v="T-27.Material de construção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1"/>
    <s v="3783/1/119195"/>
    <s v="Tm Higienização Ltda - Cód. 119195"/>
    <n v="0"/>
    <d v="2015-05-25T00:00:00"/>
    <d v="1899-12-30T09:19:42"/>
    <n v="2107.6"/>
    <n v="0"/>
    <n v="-3070992.5800002166"/>
    <m/>
    <m/>
    <m/>
    <n v="119195"/>
    <n v="24"/>
    <s v="Emilly"/>
    <n v="1"/>
    <m/>
    <n v="365"/>
    <d v="2015-05-28T00:00:00"/>
    <d v="2015-05-28T00:00:00"/>
    <m/>
    <m/>
    <n v="2015"/>
    <n v="24"/>
    <m/>
    <m/>
    <m/>
    <m/>
    <s v="Marista.Produtos de Limpeza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6"/>
    <s v="Entrada"/>
    <s v="Sr° Marcelo Passou em Dh Credito Dele"/>
    <n v="2700"/>
    <d v="2015-05-25T00:00:00"/>
    <d v="1899-12-30T09:23:34"/>
    <n v="0"/>
    <n v="0"/>
    <n v="-3068292.5800002166"/>
    <m/>
    <m/>
    <m/>
    <m/>
    <n v="24"/>
    <s v="Emilly"/>
    <n v="2"/>
    <m/>
    <n v="95"/>
    <d v="2015-05-28T00:00:00"/>
    <d v="2015-05-28T00:00:00"/>
    <m/>
    <m/>
    <n v="2015"/>
    <n v="24"/>
    <m/>
    <m/>
    <m/>
    <m/>
    <s v="Recebimento Diversos"/>
    <x v="1"/>
    <s v="COLÉGIO OLIMPO LTDA"/>
    <m/>
    <n v="56"/>
    <n v="1"/>
    <s v="Dinheiro"/>
    <m/>
    <m/>
    <m/>
    <n v="0"/>
    <m/>
    <m/>
    <s v="CAIXA TESOURARIA"/>
    <m/>
    <m/>
    <m/>
  </r>
  <r>
    <n v="271417"/>
    <s v="Entrada"/>
    <s v="Transferência Entre Conta "/>
    <n v="0"/>
    <d v="2015-05-25T00:00:00"/>
    <d v="1899-12-30T09:24:35"/>
    <n v="52000"/>
    <n v="0"/>
    <n v="-3120292.5800002166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57"/>
    <n v="8"/>
    <s v="Transferência Bancária"/>
    <m/>
    <m/>
    <m/>
    <n v="0"/>
    <m/>
    <n v="52"/>
    <s v="FACT: SENIZE "/>
    <m/>
    <m/>
    <m/>
  </r>
  <r>
    <n v="271418"/>
    <s v="Entrada"/>
    <s v="Destino: 271417-Transferência Entre Conta "/>
    <n v="52000"/>
    <d v="2015-05-25T00:00:00"/>
    <d v="1899-12-30T09:24:35"/>
    <n v="0"/>
    <n v="0"/>
    <n v="-3068292.5800002166"/>
    <m/>
    <m/>
    <m/>
    <m/>
    <n v="24"/>
    <s v="Emilly"/>
    <n v="2"/>
    <m/>
    <n v="1449"/>
    <d v="2015-05-28T00:00:00"/>
    <d v="2015-05-28T00:00:00"/>
    <m/>
    <m/>
    <n v="2015"/>
    <n v="24"/>
    <m/>
    <m/>
    <n v="27141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419"/>
    <s v="SRP/111470"/>
    <s v="Silvanio Rodrigues Peres - Par. 111470(05-12)"/>
    <n v="0"/>
    <d v="2015-05-25T00:00:00"/>
    <d v="1899-12-30T09:29:24"/>
    <n v="200"/>
    <n v="0"/>
    <n v="-3068492.5800002166"/>
    <m/>
    <m/>
    <m/>
    <n v="111470"/>
    <n v="24"/>
    <s v="Emilly"/>
    <n v="1"/>
    <m/>
    <n v="1450"/>
    <d v="2015-05-28T00:00:00"/>
    <d v="2015-05-28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1803"/>
    <s v="DEPÓSITO 2015-05-25"/>
    <s v="PAGAMENTO DA MENSALIDADE DE ABRIL/2015, DO(A) ALUNO(A) LUÍS FERNANDO FERREIRA DE SOUSA_ESN"/>
    <n v="354.4"/>
    <d v="2015-05-25T00:00:00"/>
    <d v="1899-12-30T09:53:57"/>
    <n v="0"/>
    <n v="0"/>
    <n v="-3068138.1800002167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1804"/>
    <s v="DEPÓSITO 2015-05-25"/>
    <s v="PAGAMENTO DA MENSALIDADE DE MARÇO/2015, DO(A) ALUNO(A) GUSTAVO MAIA XAVIER_ESN"/>
    <n v="360"/>
    <d v="2015-05-25T00:00:00"/>
    <d v="1899-12-30T09:59:36"/>
    <n v="0"/>
    <n v="0"/>
    <n v="-3067778.1800002167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1425"/>
    <s v="Transferência Entre Conta"/>
    <s v="Transferência Entre Conta"/>
    <n v="0"/>
    <d v="2015-05-25T00:00:00"/>
    <d v="1899-12-30T10:00:52"/>
    <n v="5600"/>
    <n v="0"/>
    <n v="-3073378.180000216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1426"/>
    <s v="Transferência Entre Conta"/>
    <s v="Destino: 271425-Transferência Entre Conta"/>
    <n v="5600"/>
    <d v="2015-05-25T00:00:00"/>
    <d v="1899-12-30T10:00:52"/>
    <n v="0"/>
    <n v="0"/>
    <n v="-3067778.1800002167"/>
    <m/>
    <m/>
    <m/>
    <m/>
    <n v="24"/>
    <s v="Emilly"/>
    <n v="2"/>
    <m/>
    <n v="1449"/>
    <d v="2015-05-28T00:00:00"/>
    <d v="2015-05-28T00:00:00"/>
    <m/>
    <m/>
    <n v="2015"/>
    <n v="24"/>
    <m/>
    <m/>
    <n v="271425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427"/>
    <s v="Transferência Entre Conta"/>
    <s v="Transferência Entre Conta"/>
    <n v="0"/>
    <d v="2015-05-25T00:00:00"/>
    <d v="1899-12-30T10:01:16"/>
    <n v="6000"/>
    <n v="0"/>
    <n v="-3073778.180000216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2"/>
    <s v="ITAÚ [SOL] [001691-4] [CC]"/>
    <m/>
    <m/>
    <m/>
  </r>
  <r>
    <n v="271428"/>
    <s v="Transferência Entre Conta"/>
    <s v="Destino: 271427-Transferência Entre Conta"/>
    <n v="6000"/>
    <d v="2015-05-25T00:00:00"/>
    <d v="1899-12-30T10:01:16"/>
    <n v="0"/>
    <n v="0"/>
    <n v="-3067778.1800002167"/>
    <m/>
    <m/>
    <m/>
    <m/>
    <n v="24"/>
    <s v="Emilly"/>
    <n v="2"/>
    <m/>
    <n v="1449"/>
    <d v="2015-05-28T00:00:00"/>
    <d v="2015-05-28T00:00:00"/>
    <m/>
    <m/>
    <n v="2015"/>
    <n v="24"/>
    <m/>
    <m/>
    <n v="271427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2620"/>
    <n v="192731"/>
    <s v="Retorno: Par. 192731(05/12) - 019533/RAI - Mensalidades"/>
    <n v="1473"/>
    <d v="2015-05-25T00:00:00"/>
    <d v="1899-12-30T10:26:49"/>
    <n v="0"/>
    <n v="0"/>
    <n v="-3066305.1800002167"/>
    <m/>
    <m/>
    <n v="192731"/>
    <m/>
    <n v="14"/>
    <s v="Renato"/>
    <n v="1"/>
    <m/>
    <n v="2"/>
    <d v="2015-06-09T00:00:00"/>
    <d v="2015-06-09T00:00:00"/>
    <n v="28935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8"/>
    <n v="192562"/>
    <s v="Retorno: Par. 192562(05/12) - 019342/DOU - Mensalidades"/>
    <n v="1473"/>
    <d v="2015-05-25T00:00:00"/>
    <d v="1899-12-30T10:26:49"/>
    <n v="0"/>
    <n v="0"/>
    <n v="-3064832.1800002167"/>
    <m/>
    <m/>
    <n v="192562"/>
    <m/>
    <n v="14"/>
    <s v="Renato"/>
    <n v="1"/>
    <m/>
    <n v="2"/>
    <d v="2015-06-09T00:00:00"/>
    <d v="2015-06-09T00:00:00"/>
    <n v="28933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9"/>
    <n v="192568"/>
    <s v="Retorno: Par. 192568(05/12) - 019358/PED - Mensalidades"/>
    <n v="1473"/>
    <d v="2015-05-25T00:00:00"/>
    <d v="1899-12-30T10:26:49"/>
    <n v="0"/>
    <n v="0"/>
    <n v="-3063359.1800002167"/>
    <m/>
    <m/>
    <n v="192568"/>
    <m/>
    <n v="14"/>
    <s v="Renato"/>
    <n v="1"/>
    <m/>
    <n v="2"/>
    <d v="2015-06-09T00:00:00"/>
    <d v="2015-06-09T00:00:00"/>
    <n v="28934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2"/>
    <n v="192614"/>
    <s v="Retorno: Par. 192614(05/12) - 019745/HIZ - Mensalidades"/>
    <n v="1473"/>
    <d v="2015-05-25T00:00:00"/>
    <d v="1899-12-30T10:26:50"/>
    <n v="0"/>
    <n v="0"/>
    <n v="-3061886.1800002167"/>
    <m/>
    <m/>
    <n v="192614"/>
    <m/>
    <n v="14"/>
    <s v="Renato"/>
    <n v="1"/>
    <m/>
    <n v="2"/>
    <d v="2015-06-09T00:00:00"/>
    <d v="2015-06-09T00:00:00"/>
    <n v="28937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1"/>
    <n v="192889"/>
    <s v="Retorno: Par. 192889(05/12) - 018228/ART - Mensalidades"/>
    <n v="1399.35"/>
    <d v="2015-05-25T00:00:00"/>
    <d v="1899-12-30T10:26:50"/>
    <n v="0"/>
    <n v="0"/>
    <n v="-3060486.8300002166"/>
    <m/>
    <m/>
    <n v="192889"/>
    <m/>
    <n v="14"/>
    <s v="Renato"/>
    <n v="1"/>
    <m/>
    <n v="2"/>
    <d v="2015-06-09T00:00:00"/>
    <d v="2015-06-09T00:00:00"/>
    <n v="28936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6007"/>
    <s v="Extrato"/>
    <s v="Deposito em Dinheiro"/>
    <n v="2700"/>
    <d v="2015-05-25T00:00:00"/>
    <d v="1899-12-30T10:27:05"/>
    <n v="0"/>
    <n v="0"/>
    <n v="-3057786.8300002166"/>
    <m/>
    <m/>
    <m/>
    <m/>
    <n v="7"/>
    <s v="Anapaula"/>
    <n v="1"/>
    <m/>
    <n v="1471"/>
    <d v="2015-07-03T00:00:00"/>
    <d v="2015-07-03T00:00:00"/>
    <m/>
    <m/>
    <n v="2015"/>
    <n v="7"/>
    <m/>
    <m/>
    <m/>
    <m/>
    <s v="Transferência Entre Contas"/>
    <x v="2"/>
    <s v="COLÉGIO OLIMPO LTDA"/>
    <m/>
    <n v="7"/>
    <n v="1"/>
    <s v="Dinheiro"/>
    <m/>
    <m/>
    <m/>
    <n v="0"/>
    <m/>
    <m/>
    <s v="SANT 936-9 GOIANIA"/>
    <m/>
    <m/>
    <m/>
  </r>
  <r>
    <n v="271618"/>
    <s v="Transferência Entre Conta"/>
    <s v="Transferência Entre Conta"/>
    <n v="0"/>
    <d v="2015-05-25T00:00:00"/>
    <d v="1899-12-30T11:00:07"/>
    <n v="632.59"/>
    <n v="0"/>
    <n v="-3058419.4200002165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23"/>
    <n v="8"/>
    <s v="Transferência Bancária"/>
    <m/>
    <m/>
    <m/>
    <n v="0"/>
    <m/>
    <n v="7"/>
    <s v="SANTANDER SOL 3369-0"/>
    <m/>
    <m/>
    <m/>
  </r>
  <r>
    <n v="271620"/>
    <s v="Transferência Entre Conta"/>
    <s v="Destino: 271618-Transferência Entre Conta"/>
    <n v="632.59"/>
    <d v="2015-05-25T00:00:00"/>
    <d v="1899-12-30T11:00:07"/>
    <n v="0"/>
    <n v="0"/>
    <n v="-3057786.8300002166"/>
    <m/>
    <m/>
    <m/>
    <m/>
    <n v="24"/>
    <s v="Emilly"/>
    <n v="2"/>
    <m/>
    <n v="1449"/>
    <d v="2015-06-02T00:00:00"/>
    <d v="2015-06-02T00:00:00"/>
    <m/>
    <m/>
    <n v="2015"/>
    <n v="24"/>
    <m/>
    <m/>
    <n v="271618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21"/>
    <s v="Transferência Entre Conta"/>
    <s v="Transferência Entre Conta"/>
    <n v="0"/>
    <d v="2015-05-25T00:00:00"/>
    <d v="1899-12-30T11:01:14"/>
    <n v="225.78"/>
    <n v="0"/>
    <n v="-3058012.6100002164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22"/>
    <n v="8"/>
    <s v="Transferência Bancária"/>
    <m/>
    <m/>
    <m/>
    <n v="0"/>
    <m/>
    <n v="7"/>
    <s v="SANTANDER SOL 3381-0"/>
    <m/>
    <m/>
    <m/>
  </r>
  <r>
    <n v="271622"/>
    <s v="Transferência Entre Conta"/>
    <s v="Destino: 271621-Transferência Entre Conta"/>
    <n v="225.78"/>
    <d v="2015-05-25T00:00:00"/>
    <d v="1899-12-30T11:01:14"/>
    <n v="0"/>
    <n v="0"/>
    <n v="-3057786.8300002166"/>
    <m/>
    <m/>
    <m/>
    <m/>
    <n v="24"/>
    <s v="Emilly"/>
    <n v="2"/>
    <m/>
    <n v="1449"/>
    <d v="2015-06-02T00:00:00"/>
    <d v="2015-06-02T00:00:00"/>
    <m/>
    <m/>
    <n v="2015"/>
    <n v="24"/>
    <m/>
    <m/>
    <n v="271621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23"/>
    <s v="Transferência Entre Conta"/>
    <s v="Transferência Entre Conta"/>
    <n v="0"/>
    <d v="2015-05-25T00:00:00"/>
    <d v="1899-12-30T11:02:07"/>
    <n v="37"/>
    <n v="0"/>
    <n v="-3057823.8300002166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95"/>
    <n v="8"/>
    <s v="Transferência Bancária"/>
    <m/>
    <m/>
    <m/>
    <n v="0"/>
    <m/>
    <n v="7"/>
    <s v="SANTANDER 130005389 "/>
    <m/>
    <m/>
    <m/>
  </r>
  <r>
    <n v="271624"/>
    <s v="Transferência Entre Conta"/>
    <s v="Destino: 271623-Transferência Entre Conta"/>
    <n v="37"/>
    <d v="2015-05-25T00:00:00"/>
    <d v="1899-12-30T11:02:07"/>
    <n v="0"/>
    <n v="0"/>
    <n v="-3057786.8300002166"/>
    <m/>
    <m/>
    <m/>
    <m/>
    <n v="24"/>
    <s v="Emilly"/>
    <n v="2"/>
    <m/>
    <n v="1449"/>
    <d v="2015-06-02T00:00:00"/>
    <d v="2015-06-02T00:00:00"/>
    <m/>
    <m/>
    <n v="2015"/>
    <n v="24"/>
    <m/>
    <m/>
    <n v="271623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26"/>
    <s v="Transferência Entre Conta"/>
    <s v="Transferência Entre Conta"/>
    <n v="0"/>
    <d v="2015-05-25T00:00:00"/>
    <d v="1899-12-30T11:04:46"/>
    <n v="596.52"/>
    <n v="0"/>
    <n v="-3058383.350000216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29"/>
    <n v="8"/>
    <s v="Transferência Bancária"/>
    <m/>
    <m/>
    <m/>
    <n v="0"/>
    <m/>
    <n v="7"/>
    <s v="SANTANDER UBERLÂNDIA"/>
    <m/>
    <m/>
    <m/>
  </r>
  <r>
    <n v="271627"/>
    <s v="Transferência Entre Conta"/>
    <s v="Destino: 271626-Transferência Entre Conta"/>
    <n v="596.52"/>
    <d v="2015-05-25T00:00:00"/>
    <d v="1899-12-30T11:04:46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26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28"/>
    <s v="Transferência Entre Conta"/>
    <s v="Transferência Entre Conta"/>
    <n v="0"/>
    <d v="2015-05-25T00:00:00"/>
    <d v="1899-12-30T11:05:32"/>
    <n v="75.34"/>
    <n v="0"/>
    <n v="-3057862.1700002165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98"/>
    <n v="8"/>
    <s v="Transferência Bancária"/>
    <m/>
    <m/>
    <m/>
    <n v="0"/>
    <m/>
    <n v="7"/>
    <s v="SANT 3743 13003351-1"/>
    <m/>
    <m/>
    <m/>
  </r>
  <r>
    <n v="271629"/>
    <s v="Transferência Entre Conta"/>
    <s v="Destino: 271628-Transferência Entre Conta"/>
    <n v="75.34"/>
    <d v="2015-05-25T00:00:00"/>
    <d v="1899-12-30T11:05:32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28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30"/>
    <s v="Transferência Entre Conta"/>
    <s v="Transferência Entre Conta"/>
    <n v="0"/>
    <d v="2015-05-25T00:00:00"/>
    <d v="1899-12-30T11:06:01"/>
    <n v="60000"/>
    <n v="0"/>
    <n v="-3117786.830000216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03"/>
    <n v="8"/>
    <s v="Transferência Bancária"/>
    <m/>
    <m/>
    <m/>
    <n v="0"/>
    <m/>
    <n v="7"/>
    <s v="SANTANDER EDITORA"/>
    <m/>
    <m/>
    <m/>
  </r>
  <r>
    <n v="271631"/>
    <s v="Transferência Entre Conta"/>
    <s v="Destino: 271630-Transferência Entre Conta"/>
    <n v="60000"/>
    <d v="2015-05-25T00:00:00"/>
    <d v="1899-12-30T11:06:01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30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32"/>
    <s v="Transferência Entre Conta"/>
    <s v="Transferência Entre Conta"/>
    <n v="0"/>
    <d v="2015-05-25T00:00:00"/>
    <d v="1899-12-30T11:06:30"/>
    <n v="2520.04"/>
    <n v="0"/>
    <n v="-3060306.870000216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03"/>
    <n v="8"/>
    <s v="Transferência Bancária"/>
    <m/>
    <m/>
    <m/>
    <n v="0"/>
    <m/>
    <n v="7"/>
    <s v="SANTANDER EDITORA"/>
    <m/>
    <m/>
    <m/>
  </r>
  <r>
    <n v="271633"/>
    <s v="Transferência Entre Conta"/>
    <s v="Destino: 271632-Transferência Entre Conta"/>
    <n v="2520.04"/>
    <d v="2015-05-25T00:00:00"/>
    <d v="1899-12-30T11:06:30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32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35"/>
    <s v="Transferência Entre Conta"/>
    <s v="Transferência Entre Conta"/>
    <n v="0"/>
    <d v="2015-05-25T00:00:00"/>
    <d v="1899-12-30T11:08:07"/>
    <n v="7555.76"/>
    <n v="0"/>
    <n v="-3065342.590000216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31"/>
    <n v="8"/>
    <s v="Transferência Bancária"/>
    <m/>
    <m/>
    <m/>
    <n v="0"/>
    <m/>
    <n v="7"/>
    <s v="SANT CASA ANTONIETA"/>
    <m/>
    <m/>
    <m/>
  </r>
  <r>
    <n v="271636"/>
    <s v="Transferência Entre Conta"/>
    <s v="Destino: 271635-Transferência Entre Conta"/>
    <n v="7555.76"/>
    <d v="2015-05-25T00:00:00"/>
    <d v="1899-12-30T11:08:07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35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3678"/>
    <n v="190030"/>
    <s v="Par.(04/12) 018382/ISABELA ARAÚJO ROSA - Mensalidades"/>
    <n v="1514.71"/>
    <d v="2015-05-25T00:00:00"/>
    <d v="1899-12-30T11:32:11"/>
    <n v="0"/>
    <n v="0"/>
    <n v="-3056272.1200002166"/>
    <m/>
    <m/>
    <n v="190030"/>
    <m/>
    <n v="60"/>
    <s v="Francielly"/>
    <n v="1"/>
    <m/>
    <n v="2"/>
    <d v="2015-06-23T00:00:00"/>
    <d v="2015-06-23T00:00:00"/>
    <m/>
    <m/>
    <n v="2015"/>
    <n v="60"/>
    <m/>
    <m/>
    <m/>
    <m/>
    <s v="Mensalidade Ensino Médio"/>
    <x v="1"/>
    <s v="COLÉGIO OLIMPO LTDA"/>
    <m/>
    <n v="2"/>
    <n v="2"/>
    <s v="Cheque"/>
    <m/>
    <n v="0"/>
    <m/>
    <n v="0"/>
    <m/>
    <m/>
    <s v="BRADESCO [002429-5] [GYN [CC]"/>
    <m/>
    <m/>
    <m/>
  </r>
  <r>
    <n v="276022"/>
    <s v="DEPÓSITO 2015-05-25"/>
    <s v="RENEGOCIAÇÃO DAS MENSALIDADES DE MARÇO E ABRIL/15 DO(A) ALUNO(A) ÁLVARO FRANÇA_EM"/>
    <n v="1473"/>
    <d v="2015-05-25T00:00:00"/>
    <d v="1899-12-30T11:39:02"/>
    <n v="0"/>
    <n v="0"/>
    <n v="-3054799.1200002166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6026"/>
    <s v="DEPÓSITO 2015-05-25"/>
    <s v="RENEGOCIAÇÃO DAS MENSALIDADES DE MARÇO E ABRIL/15 DO(A) ALUNO(A) ÁLVARO FRANÇA_EM"/>
    <n v="1473"/>
    <d v="2015-05-25T00:00:00"/>
    <d v="1899-12-30T11:40:39"/>
    <n v="0"/>
    <n v="0"/>
    <n v="-3053326.1200002166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6028"/>
    <s v="DEPÓSITO 2015-05-25"/>
    <s v="RENEGOCIAÇÃO DAS MENSALIDADES DE MARÇO E ABRIL/15 DO(A) ALUNO(A) VICTOR FRANÇA_EF"/>
    <n v="1111"/>
    <d v="2015-05-25T00:00:00"/>
    <d v="1899-12-30T11:46:02"/>
    <n v="0"/>
    <n v="0"/>
    <n v="-3052215.1200002166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6029"/>
    <s v="DEPÓSITO 2015-05-25"/>
    <s v="RENEGOCIAÇÃO DAS MENSALIDADES DE MARÇO E ABRIL/15 DO(A) ALUNO(A) VICTOR FRANÇA_EF"/>
    <n v="1111"/>
    <d v="2015-05-25T00:00:00"/>
    <d v="1899-12-30T11:46:48"/>
    <n v="0"/>
    <n v="0"/>
    <n v="-3051104.1200002166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2088"/>
    <n v="197204"/>
    <s v="Retorno: Par. 197204(05/12) - 18457/KÁT - Mensalidades"/>
    <n v="1724"/>
    <d v="2015-05-25T00:00:00"/>
    <d v="1899-12-30T12:00:00"/>
    <n v="0"/>
    <n v="0"/>
    <n v="-3049380.1200002166"/>
    <m/>
    <m/>
    <n v="197204"/>
    <m/>
    <n v="1"/>
    <s v="Andre"/>
    <n v="1"/>
    <m/>
    <n v="2"/>
    <d v="2015-06-05T00:00:00"/>
    <d v="2015-06-05T00:00:00"/>
    <n v="28517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3"/>
    <n v="197465"/>
    <s v="Retorno: Par. 197465(05/12) - 19922/LUC - Mensalidades"/>
    <n v="1473"/>
    <d v="2015-05-25T00:00:00"/>
    <d v="1899-12-30T12:00:00"/>
    <n v="0"/>
    <n v="0"/>
    <n v="-3047907.1200002166"/>
    <m/>
    <m/>
    <n v="197465"/>
    <m/>
    <n v="1"/>
    <s v="Andre"/>
    <n v="1"/>
    <m/>
    <n v="2"/>
    <d v="2015-06-05T00:00:00"/>
    <d v="2015-06-05T00:00:00"/>
    <n v="28512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5"/>
    <n v="197285"/>
    <s v="Retorno: Par. 197285(05/12) - 19892/BRU - Mensalidades"/>
    <n v="1724"/>
    <d v="2015-05-25T00:00:00"/>
    <d v="1899-12-30T12:00:00"/>
    <n v="0"/>
    <n v="0"/>
    <n v="-3046183.1200002166"/>
    <m/>
    <m/>
    <n v="197285"/>
    <m/>
    <n v="1"/>
    <s v="Andre"/>
    <n v="1"/>
    <m/>
    <n v="2"/>
    <d v="2015-06-05T00:00:00"/>
    <d v="2015-06-05T00:00:00"/>
    <n v="28514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4"/>
    <n v="197466"/>
    <s v="Retorno: Par. 197466(06/12) - 19922/LUC - Mensalidades"/>
    <n v="1473"/>
    <d v="2015-05-25T00:00:00"/>
    <d v="1899-12-30T12:00:00"/>
    <n v="0"/>
    <n v="0"/>
    <n v="-3044710.1200002166"/>
    <m/>
    <m/>
    <n v="197466"/>
    <m/>
    <n v="1"/>
    <s v="Andre"/>
    <n v="1"/>
    <m/>
    <n v="2"/>
    <d v="2015-06-05T00:00:00"/>
    <d v="2015-06-05T00:00:00"/>
    <n v="28513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2"/>
    <n v="197796"/>
    <s v="Retorno: Par. 197796(05/12) - 19902/BEA - Mensalidades"/>
    <n v="1473"/>
    <d v="2015-05-25T00:00:00"/>
    <d v="1899-12-30T12:00:00"/>
    <n v="0"/>
    <n v="0"/>
    <n v="-3043237.1200002166"/>
    <m/>
    <m/>
    <n v="197796"/>
    <m/>
    <n v="1"/>
    <s v="Andre"/>
    <n v="1"/>
    <m/>
    <n v="2"/>
    <d v="2015-06-05T00:00:00"/>
    <d v="2015-06-05T00:00:00"/>
    <n v="28511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7"/>
    <n v="197048"/>
    <s v="Retorno: Par. 197048(05/12) - 18558/GAB - Mensalidades"/>
    <n v="1724"/>
    <d v="2015-05-25T00:00:00"/>
    <d v="1899-12-30T12:00:00"/>
    <n v="0"/>
    <n v="0"/>
    <n v="-3041513.1200002166"/>
    <m/>
    <m/>
    <n v="197048"/>
    <m/>
    <n v="1"/>
    <s v="Andre"/>
    <n v="1"/>
    <m/>
    <n v="2"/>
    <d v="2015-06-05T00:00:00"/>
    <d v="2015-06-05T00:00:00"/>
    <n v="28516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6"/>
    <n v="197198"/>
    <s v="Retorno: Par. 197198(05/12) - 18482/DAN - Mensalidades"/>
    <n v="1724"/>
    <d v="2015-05-25T00:00:00"/>
    <d v="1899-12-30T12:00:00"/>
    <n v="0"/>
    <n v="0"/>
    <n v="-3039789.1200002166"/>
    <m/>
    <m/>
    <n v="197198"/>
    <m/>
    <n v="1"/>
    <s v="Andre"/>
    <n v="1"/>
    <m/>
    <n v="2"/>
    <d v="2015-06-05T00:00:00"/>
    <d v="2015-06-05T00:00:00"/>
    <n v="28515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9"/>
    <n v="197039"/>
    <s v="Retorno: Par. 197039(05/12) - 18675/MAR - Mensalidades"/>
    <n v="1724"/>
    <d v="2015-05-25T00:00:00"/>
    <d v="1899-12-30T12:00:00"/>
    <n v="0"/>
    <n v="0"/>
    <n v="-3038065.1200002166"/>
    <m/>
    <m/>
    <n v="197039"/>
    <m/>
    <n v="1"/>
    <s v="Andre"/>
    <n v="1"/>
    <m/>
    <n v="2"/>
    <d v="2015-06-05T00:00:00"/>
    <d v="2015-06-05T00:00:00"/>
    <n v="28518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821"/>
    <s v="MO/103031"/>
    <s v="Marcelo Oliveira - Cód. 103031"/>
    <n v="0"/>
    <d v="2015-05-25T00:00:00"/>
    <d v="1899-12-30T13:03:07"/>
    <n v="9000"/>
    <n v="0"/>
    <n v="-3047065.1200002166"/>
    <m/>
    <m/>
    <m/>
    <n v="103031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22"/>
    <s v="DMDP/116405"/>
    <s v="Dalva Mendes / Dorvano Pedro - Cód. 116405"/>
    <n v="0"/>
    <d v="2015-05-25T00:00:00"/>
    <d v="1899-12-30T13:03:28"/>
    <n v="4000"/>
    <n v="0"/>
    <n v="-3051065.1200002166"/>
    <m/>
    <m/>
    <m/>
    <n v="116405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23"/>
    <s v="ROSL/119639"/>
    <s v="Ronnicher Orias Silva Lopes - Cód. 119639"/>
    <n v="0"/>
    <d v="2015-05-25T00:00:00"/>
    <d v="1899-12-30T13:03:55"/>
    <n v="2700"/>
    <n v="0"/>
    <n v="-3053765.1200002166"/>
    <m/>
    <m/>
    <m/>
    <n v="119639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25"/>
    <s v="Abril/121414"/>
    <s v="Weber Lopes da Silva - Cód. 121414"/>
    <n v="0"/>
    <d v="2015-05-25T00:00:00"/>
    <d v="1899-12-30T13:04:18"/>
    <n v="488.04"/>
    <n v="0"/>
    <n v="-3054253.1600002167"/>
    <m/>
    <m/>
    <m/>
    <n v="121414"/>
    <n v="60"/>
    <s v="Francielly"/>
    <n v="1"/>
    <m/>
    <n v="877"/>
    <d v="2015-06-11T00:00:00"/>
    <d v="2015-06-11T00:00:00"/>
    <m/>
    <m/>
    <n v="2015"/>
    <n v="60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2826"/>
    <s v="MAFR/123584"/>
    <s v="Marco Antônio Ferreira Rios - Cód. 123584"/>
    <n v="0"/>
    <d v="2015-05-25T00:00:00"/>
    <d v="1899-12-30T13:04:47"/>
    <n v="8000"/>
    <n v="0"/>
    <n v="-3062253.1600002167"/>
    <m/>
    <m/>
    <m/>
    <n v="12358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27"/>
    <s v="Brb Sol 3684/123604"/>
    <s v="Jásper  - Cód. 123604"/>
    <n v="0"/>
    <d v="2015-05-25T00:00:00"/>
    <d v="1899-12-30T13:05:26"/>
    <n v="21182"/>
    <n v="0"/>
    <n v="-3083435.1600002167"/>
    <m/>
    <m/>
    <m/>
    <n v="12360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33"/>
    <s v="Remessa Olimpo Anápolis"/>
    <s v="Remessa Olimpo Anápolis"/>
    <n v="1724"/>
    <d v="2015-05-25T00:00:00"/>
    <d v="1899-12-30T13:16:49"/>
    <n v="0"/>
    <n v="0"/>
    <n v="-3081711.1600002167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835"/>
    <s v="Extrato"/>
    <s v="Credito Regularização Cobrança"/>
    <n v="1473"/>
    <d v="2015-05-25T00:00:00"/>
    <d v="1899-12-30T13:18:17"/>
    <n v="0"/>
    <n v="0"/>
    <n v="-3080238.1600002167"/>
    <m/>
    <m/>
    <m/>
    <m/>
    <n v="24"/>
    <s v="Emilly"/>
    <n v="1"/>
    <m/>
    <n v="1449"/>
    <d v="2015-06-11T00:00:00"/>
    <d v="2015-06-11T00:00:00"/>
    <m/>
    <m/>
    <n v="2015"/>
    <n v="24"/>
    <m/>
    <m/>
    <m/>
    <m/>
    <s v="Transferência entre contas"/>
    <x v="2"/>
    <s v="COLÉGIO OLIMPO LTDA"/>
    <m/>
    <n v="12"/>
    <n v="9"/>
    <s v="Débito em conta"/>
    <m/>
    <m/>
    <m/>
    <n v="0"/>
    <m/>
    <m/>
    <s v="BRB [GYN] [011616-0] [CC] [COB]"/>
    <m/>
    <m/>
    <m/>
  </r>
  <r>
    <n v="272840"/>
    <s v="Ant.Cob/125070"/>
    <s v="Banco Brb - Par. 125070(05-6)"/>
    <n v="0"/>
    <d v="2015-05-25T00:00:00"/>
    <d v="1899-12-30T13:20:08"/>
    <n v="1399.35"/>
    <n v="0"/>
    <n v="-3081637.5100002168"/>
    <m/>
    <m/>
    <m/>
    <n v="12507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1"/>
    <s v="Ant.Cob/125071"/>
    <s v="Banco Brb - Par. 125071(06-6)"/>
    <n v="0"/>
    <d v="2015-05-25T00:00:00"/>
    <d v="1899-12-30T13:20:08"/>
    <n v="1473"/>
    <n v="0"/>
    <n v="-3083110.5100002168"/>
    <m/>
    <m/>
    <m/>
    <n v="12507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36"/>
    <s v="Ant.Cob/125066"/>
    <s v="Banco Brb - Par. 125066(01-6)"/>
    <n v="0"/>
    <d v="2015-05-25T00:00:00"/>
    <d v="1899-12-30T13:20:08"/>
    <n v="1473"/>
    <n v="0"/>
    <n v="-3084583.5100002168"/>
    <m/>
    <m/>
    <m/>
    <n v="125066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37"/>
    <s v="Ant.Cob/125067"/>
    <s v="Banco Brb - Par. 125067(02-6)"/>
    <n v="0"/>
    <d v="2015-05-25T00:00:00"/>
    <d v="1899-12-30T13:20:08"/>
    <n v="1724"/>
    <n v="0"/>
    <n v="-3086307.5100002168"/>
    <m/>
    <m/>
    <m/>
    <n v="125067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38"/>
    <s v="Ant.Cob/125068"/>
    <s v="Banco Brb - Par. 125068(03-6)"/>
    <n v="0"/>
    <d v="2015-05-25T00:00:00"/>
    <d v="1899-12-30T13:20:08"/>
    <n v="1473"/>
    <n v="0"/>
    <n v="-3087780.5100002168"/>
    <m/>
    <m/>
    <m/>
    <n v="125068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39"/>
    <s v="Ant.Cob/125069"/>
    <s v="Banco Brb - Par. 125069(04-6)"/>
    <n v="0"/>
    <d v="2015-05-25T00:00:00"/>
    <d v="1899-12-30T13:20:08"/>
    <n v="1473"/>
    <n v="0"/>
    <n v="-3089253.5100002168"/>
    <m/>
    <m/>
    <m/>
    <n v="12506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4072"/>
    <s v="Transferencia Entre Contas"/>
    <s v="Transferencia Entre Contas"/>
    <n v="0"/>
    <d v="2015-05-25T00:00:00"/>
    <d v="1899-12-30T13:34:56"/>
    <n v="30000"/>
    <n v="0"/>
    <n v="-3119253.5100002168"/>
    <m/>
    <m/>
    <m/>
    <m/>
    <n v="60"/>
    <s v="Francielly"/>
    <n v="1"/>
    <m/>
    <n v="1449"/>
    <d v="2015-06-25T00:00:00"/>
    <d v="2015-06-25T00:00:00"/>
    <m/>
    <m/>
    <n v="2015"/>
    <n v="60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4073"/>
    <s v="Transferencia Entre Contas"/>
    <s v="Destino: 274072-Transferencia Entre Contas"/>
    <n v="30000"/>
    <d v="2015-05-25T00:00:00"/>
    <d v="1899-12-30T13:34:56"/>
    <n v="0"/>
    <n v="0"/>
    <n v="-3089253.5100002168"/>
    <m/>
    <m/>
    <m/>
    <m/>
    <n v="60"/>
    <s v="Francielly"/>
    <n v="1"/>
    <m/>
    <n v="1449"/>
    <d v="2015-06-25T00:00:00"/>
    <d v="2015-06-25T00:00:00"/>
    <m/>
    <m/>
    <n v="2015"/>
    <n v="60"/>
    <m/>
    <m/>
    <n v="27407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2864"/>
    <n v="191815"/>
    <s v="Par.(04/12) 018403/DIOGO ASSIS NASCIMENTO - Mensalidades"/>
    <n v="1837"/>
    <d v="2015-05-25T00:00:00"/>
    <d v="1899-12-30T13:47:26"/>
    <n v="0"/>
    <n v="0"/>
    <n v="-3087416.5100002168"/>
    <m/>
    <m/>
    <n v="191815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72865"/>
    <n v="189801"/>
    <s v="Par.(04/12) 019604/GUSTAVO GABRIEL BRAZ MART - Mensalidades"/>
    <n v="1569.73"/>
    <d v="2015-05-25T00:00:00"/>
    <d v="1899-12-30T13:48:17"/>
    <n v="0"/>
    <n v="0"/>
    <n v="-3085846.7800002168"/>
    <m/>
    <m/>
    <n v="189801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72866"/>
    <n v="216965"/>
    <s v="Par.(01-4) 016572/VITORIA PEREIRA DA SILVA  - Renegociado"/>
    <n v="1400"/>
    <d v="2015-05-25T00:00:00"/>
    <d v="1899-12-30T13:49:41"/>
    <n v="0"/>
    <n v="0"/>
    <n v="-3084446.7800002168"/>
    <m/>
    <m/>
    <n v="216965"/>
    <m/>
    <n v="60"/>
    <s v="Francielly"/>
    <n v="1"/>
    <m/>
    <n v="1378"/>
    <d v="2015-06-11T00:00:00"/>
    <d v="2015-06-11T00:00:00"/>
    <m/>
    <m/>
    <n v="2014"/>
    <n v="60"/>
    <m/>
    <m/>
    <m/>
    <m/>
    <s v="Pagamento de cheque devolvido"/>
    <x v="1"/>
    <s v="COLÉGIO OLIMPO LTDA"/>
    <m/>
    <n v="52"/>
    <n v="2"/>
    <s v="Cheque"/>
    <m/>
    <n v="0"/>
    <m/>
    <n v="0"/>
    <m/>
    <m/>
    <s v="BRB [SOL] [012052-4] [CC] [COB]"/>
    <m/>
    <m/>
    <m/>
  </r>
  <r>
    <n v="272867"/>
    <n v="188523"/>
    <s v="Par.(03/12) 018361/LETICIA SALDANHA CAMARGOS - Mensalidades"/>
    <n v="1586.95"/>
    <d v="2015-05-25T00:00:00"/>
    <d v="1899-12-30T13:50:19"/>
    <n v="0"/>
    <n v="0"/>
    <n v="-3082859.8300002166"/>
    <m/>
    <m/>
    <n v="188523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72868"/>
    <s v="Remessa Olimpo Fundamental"/>
    <s v="Remessa Olimpo Fundamental"/>
    <n v="5007.7"/>
    <d v="2015-05-25T00:00:00"/>
    <d v="1899-12-30T13:59:29"/>
    <n v="0"/>
    <n v="0"/>
    <n v="-3077852.1300002164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72869"/>
    <s v="Extrato "/>
    <s v="Credito Devolução De Cheque Brb Sol 3000"/>
    <n v="11389"/>
    <d v="2015-05-25T00:00:00"/>
    <d v="1899-12-30T14:03:50"/>
    <n v="0"/>
    <n v="0"/>
    <n v="-3066463.13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1"/>
    <s v="Extrato"/>
    <s v="Credito Devolução De Cheque Brb Sol 3022"/>
    <n v="5560"/>
    <d v="2015-05-25T00:00:00"/>
    <d v="1899-12-30T14:06:20"/>
    <n v="0"/>
    <n v="0"/>
    <n v="-3060903.13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2"/>
    <s v="Extrato"/>
    <s v="Credito Devolução De Cheque Brb Sol 3448"/>
    <n v="6570"/>
    <d v="2015-05-25T00:00:00"/>
    <d v="1899-12-30T14:09:16"/>
    <n v="0"/>
    <n v="0"/>
    <n v="-3054333.13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3"/>
    <s v="Extrato"/>
    <s v="Credito Devolução De Cheque Brb Sol 3451"/>
    <n v="37106.29"/>
    <d v="2015-05-25T00:00:00"/>
    <d v="1899-12-30T14:10:01"/>
    <n v="0"/>
    <n v="0"/>
    <n v="-3017226.84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4"/>
    <s v="Extrato"/>
    <s v="Credito Devolução De Cheque Brb Sol 3693"/>
    <n v="25000"/>
    <d v="2015-05-25T00:00:00"/>
    <d v="1899-12-30T14:10:49"/>
    <n v="0"/>
    <n v="0"/>
    <n v="-2992226.84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9"/>
    <s v="Extrato/125090"/>
    <s v="Banco Brb - Cód. 125090"/>
    <n v="0"/>
    <d v="2015-05-25T00:00:00"/>
    <d v="1899-12-30T14:20:33"/>
    <n v="30"/>
    <n v="0"/>
    <n v="-2992256.8400002164"/>
    <m/>
    <m/>
    <m/>
    <n v="125090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1"/>
    <s v="Extrato/125092"/>
    <s v="Banco Brb - Cód. 125092"/>
    <n v="0"/>
    <d v="2015-05-25T00:00:00"/>
    <d v="1899-12-30T14:20:33"/>
    <n v="0.35"/>
    <n v="0"/>
    <n v="-2992257.1900002165"/>
    <m/>
    <m/>
    <m/>
    <n v="125092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2"/>
    <s v="Extrato/125093"/>
    <s v="Banco Brb - Cód. 125093"/>
    <n v="0"/>
    <d v="2015-05-25T00:00:00"/>
    <d v="1899-12-30T14:20:33"/>
    <n v="0.35"/>
    <n v="0"/>
    <n v="-2992257.5400002166"/>
    <m/>
    <m/>
    <m/>
    <n v="125093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3"/>
    <s v="Extrato/125094"/>
    <s v="Banco Brb - Cód. 125094"/>
    <n v="0"/>
    <d v="2015-05-25T00:00:00"/>
    <d v="1899-12-30T14:20:33"/>
    <n v="0.35"/>
    <n v="0"/>
    <n v="-2992257.8900002167"/>
    <m/>
    <m/>
    <m/>
    <n v="125094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75"/>
    <s v="Extrato/125086"/>
    <s v="Banco Brb - Cód. 125086"/>
    <n v="0"/>
    <d v="2015-05-25T00:00:00"/>
    <d v="1899-12-30T14:20:33"/>
    <n v="30"/>
    <n v="0"/>
    <n v="-2992287.8900002167"/>
    <m/>
    <m/>
    <m/>
    <n v="125086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76"/>
    <s v="Extrato/125087"/>
    <s v="Banco Brb - Cód. 125087"/>
    <n v="0"/>
    <d v="2015-05-25T00:00:00"/>
    <d v="1899-12-30T14:20:33"/>
    <n v="30"/>
    <n v="0"/>
    <n v="-2992317.8900002167"/>
    <m/>
    <m/>
    <m/>
    <n v="125087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77"/>
    <s v="Extrato/125088"/>
    <s v="Banco Brb - Cód. 125088"/>
    <n v="0"/>
    <d v="2015-05-25T00:00:00"/>
    <d v="1899-12-30T14:20:33"/>
    <n v="30"/>
    <n v="0"/>
    <n v="-2992347.8900002167"/>
    <m/>
    <m/>
    <m/>
    <n v="125088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78"/>
    <s v="Extrato/125089"/>
    <s v="Banco Brb - Cód. 125089"/>
    <n v="0"/>
    <d v="2015-05-25T00:00:00"/>
    <d v="1899-12-30T14:20:33"/>
    <n v="30"/>
    <n v="0"/>
    <n v="-2992377.8900002167"/>
    <m/>
    <m/>
    <m/>
    <n v="125089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4"/>
    <s v="Extrato/125095"/>
    <s v="Banco Brb - Cód. 125095"/>
    <n v="0"/>
    <d v="2015-05-25T00:00:00"/>
    <d v="1899-12-30T14:20:33"/>
    <n v="0.35"/>
    <n v="0"/>
    <n v="-2992378.2400002168"/>
    <m/>
    <m/>
    <m/>
    <n v="12509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6"/>
    <s v="Ant.Cob/125097"/>
    <s v="Banco Brb - Cód. 125097"/>
    <n v="0"/>
    <d v="2015-05-25T00:00:00"/>
    <d v="1899-12-30T14:20:33"/>
    <n v="1051"/>
    <n v="0"/>
    <n v="-2993429.2400002168"/>
    <m/>
    <m/>
    <m/>
    <n v="125097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7"/>
    <s v="Ant.Cob/125098"/>
    <s v="Banco Brb - Cód. 125098"/>
    <n v="0"/>
    <d v="2015-05-25T00:00:00"/>
    <d v="1899-12-30T14:20:33"/>
    <n v="1111"/>
    <n v="0"/>
    <n v="-2994540.2400002168"/>
    <m/>
    <m/>
    <m/>
    <n v="125098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8"/>
    <s v="Ant.Cob/125099"/>
    <s v="Banco Brb - Cód. 125099"/>
    <n v="0"/>
    <d v="2015-05-25T00:00:00"/>
    <d v="1899-12-30T14:20:34"/>
    <n v="1724"/>
    <n v="0"/>
    <n v="-2996264.2400002168"/>
    <m/>
    <m/>
    <m/>
    <n v="125099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9"/>
    <s v="Extrato/125096"/>
    <s v="Banco Brb - Cód. 125096"/>
    <n v="0"/>
    <d v="2015-05-25T00:00:00"/>
    <d v="1899-12-30T14:21:09"/>
    <n v="0.35"/>
    <n v="0"/>
    <n v="-2996264.5900002168"/>
    <m/>
    <m/>
    <m/>
    <n v="125096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3061"/>
    <s v="Extrato/126910"/>
    <s v="Caixa Econômica Federal - Cód. 126910"/>
    <n v="0"/>
    <d v="2015-05-25T00:00:00"/>
    <d v="1899-12-30T14:36:17"/>
    <n v="1.55"/>
    <n v="0"/>
    <n v="-2996266.1400002167"/>
    <m/>
    <m/>
    <m/>
    <n v="126910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3062"/>
    <s v="Extrato/126911"/>
    <s v="Caixa Econômica Federal - Cód. 126911"/>
    <n v="0"/>
    <d v="2015-05-25T00:00:00"/>
    <d v="1899-12-30T14:36:17"/>
    <n v="5.9"/>
    <n v="0"/>
    <n v="-2996272.0400002166"/>
    <m/>
    <m/>
    <m/>
    <n v="126911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1777"/>
    <s v="Extrato/124522"/>
    <s v="Banco Santander  - Cód. 124522"/>
    <n v="0"/>
    <d v="2015-05-25T00:00:00"/>
    <d v="1899-12-30T16:00:09"/>
    <n v="60000"/>
    <n v="0"/>
    <n v="-3056272.0400002166"/>
    <m/>
    <m/>
    <m/>
    <n v="124522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1778"/>
    <s v="Extrato/124523"/>
    <s v="Banco Santander  - Cód. 124523"/>
    <n v="0"/>
    <d v="2015-05-25T00:00:00"/>
    <d v="1899-12-30T16:00:35"/>
    <n v="14330.43"/>
    <n v="0"/>
    <n v="-3070602.4700002167"/>
    <m/>
    <m/>
    <m/>
    <n v="124523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1376"/>
    <n v="216868"/>
    <s v="Par.(01-1) 018375/MARCELA LARA ALBUQUERQUE  - 1ª OU 2ª SÉRI"/>
    <n v="73"/>
    <d v="2015-05-25T00:00:00"/>
    <d v="1899-12-30T16:33:42"/>
    <n v="0"/>
    <n v="0"/>
    <n v="-3070529.4700002167"/>
    <m/>
    <m/>
    <n v="216868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77"/>
    <n v="216869"/>
    <s v="Par.(01-1) 018375/MARCELA LARA ALBUQUERQUE  - 1ª OU 2ª SÉRI"/>
    <n v="73"/>
    <d v="2015-05-25T00:00:00"/>
    <d v="1899-12-30T16:33:42"/>
    <n v="0"/>
    <n v="0"/>
    <n v="-3070456.4700002167"/>
    <m/>
    <m/>
    <n v="216869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78"/>
    <n v="216870"/>
    <s v="Par.(01-1) 018375/MARCELA LARA ALBUQUERQUE  - 1ª OU 2ª SÉRI"/>
    <n v="73"/>
    <d v="2015-05-25T00:00:00"/>
    <d v="1899-12-30T16:33:43"/>
    <n v="0"/>
    <n v="0"/>
    <n v="-3070383.4700002167"/>
    <m/>
    <m/>
    <n v="216870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3977"/>
    <s v="Transferência Entre Conta"/>
    <s v="Transferência Entre Conta"/>
    <n v="0"/>
    <d v="2015-05-25T00:00:00"/>
    <d v="1899-12-30T16:34:17"/>
    <n v="63.33"/>
    <n v="0"/>
    <n v="-3070446.8000002168"/>
    <m/>
    <m/>
    <m/>
    <m/>
    <n v="60"/>
    <s v="Francielly"/>
    <n v="1"/>
    <m/>
    <n v="1449"/>
    <d v="2015-06-24T00:00:00"/>
    <d v="2015-06-25T00:00:00"/>
    <m/>
    <m/>
    <n v="2015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3978"/>
    <s v="Transferência Entre Conta"/>
    <s v="Destino: 273977-Transferência Entre Conta"/>
    <n v="63.33"/>
    <d v="2015-05-25T00:00:00"/>
    <d v="1899-12-30T16:34:17"/>
    <n v="0"/>
    <n v="0"/>
    <n v="-3070383.4700002167"/>
    <m/>
    <m/>
    <m/>
    <m/>
    <n v="60"/>
    <s v="Francielly"/>
    <n v="1"/>
    <m/>
    <n v="1449"/>
    <d v="2015-06-24T00:00:00"/>
    <d v="2015-06-25T00:00:00"/>
    <m/>
    <m/>
    <n v="2015"/>
    <n v="24"/>
    <m/>
    <m/>
    <n v="273977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3979"/>
    <s v="Transferência Entre Conta"/>
    <s v="Transferência Entre Conta"/>
    <n v="0"/>
    <d v="2015-05-25T00:00:00"/>
    <d v="1899-12-30T16:34:57"/>
    <n v="6462.6"/>
    <n v="0"/>
    <n v="-3076846.0700002168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3980"/>
    <s v="Transferência Entre Conta"/>
    <s v="Destino: 273979-Transferência Entre Conta"/>
    <n v="6462.6"/>
    <d v="2015-05-25T00:00:00"/>
    <d v="1899-12-30T16:34:57"/>
    <n v="0"/>
    <n v="0"/>
    <n v="-3070383.4700002167"/>
    <m/>
    <m/>
    <m/>
    <m/>
    <n v="24"/>
    <s v="Emilly"/>
    <n v="1"/>
    <m/>
    <n v="1449"/>
    <d v="2015-06-24T00:00:00"/>
    <d v="2015-06-24T00:00:00"/>
    <m/>
    <m/>
    <n v="2015"/>
    <n v="24"/>
    <m/>
    <m/>
    <n v="273979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3981"/>
    <s v="Transferência Entre Conta"/>
    <s v="Transferência Entre Conta"/>
    <n v="0"/>
    <d v="2015-05-25T00:00:00"/>
    <d v="1899-12-30T16:35:31"/>
    <n v="1108"/>
    <n v="0"/>
    <n v="-3071491.4700002167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3982"/>
    <s v="Transferência Entre Conta"/>
    <s v="Destino: 273981-Transferência Entre Conta"/>
    <n v="1108"/>
    <d v="2015-05-25T00:00:00"/>
    <d v="1899-12-30T16:35:31"/>
    <n v="0"/>
    <n v="0"/>
    <n v="-3070383.4700002167"/>
    <m/>
    <m/>
    <m/>
    <m/>
    <n v="24"/>
    <s v="Emilly"/>
    <n v="1"/>
    <m/>
    <n v="1449"/>
    <d v="2015-06-24T00:00:00"/>
    <d v="2015-06-24T00:00:00"/>
    <m/>
    <m/>
    <n v="2015"/>
    <n v="24"/>
    <m/>
    <m/>
    <n v="273981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1381"/>
    <n v="216871"/>
    <s v="Par.(01-1) 018241/TOMAS BRAGA MATTOS - 1ª OU 2ª SÉRI"/>
    <n v="73"/>
    <d v="2015-05-25T00:00:00"/>
    <d v="1899-12-30T16:36:26"/>
    <n v="0"/>
    <n v="0"/>
    <n v="-3070310.4700002167"/>
    <m/>
    <m/>
    <n v="216871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82"/>
    <n v="216872"/>
    <s v="Par.(01-1) 018241/TOMAS BRAGA MATTOS - 1ª OU 2ª SÉRI"/>
    <n v="73"/>
    <d v="2015-05-25T00:00:00"/>
    <d v="1899-12-30T16:36:26"/>
    <n v="0"/>
    <n v="0"/>
    <n v="-3070237.4700002167"/>
    <m/>
    <m/>
    <n v="216872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80"/>
    <n v="216873"/>
    <s v="Par.(01-1) 018241/TOMAS BRAGA MATTOS - 1ª OU 2ª SÉRI"/>
    <n v="73"/>
    <d v="2015-05-25T00:00:00"/>
    <d v="1899-12-30T16:36:26"/>
    <n v="0"/>
    <n v="0"/>
    <n v="-3070164.4700002167"/>
    <m/>
    <m/>
    <n v="216873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3983"/>
    <s v="Transferência Entre Conta"/>
    <s v="Operação Titulo Descontado"/>
    <n v="0"/>
    <d v="2015-05-25T00:00:00"/>
    <d v="1899-12-30T16:36:52"/>
    <n v="7484.14"/>
    <n v="0"/>
    <n v="-3077648.6100002169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75"/>
    <s v="MERC [GYN] [02.011938-7] [CC]"/>
    <m/>
    <m/>
    <m/>
  </r>
  <r>
    <n v="273984"/>
    <s v="Transferência Entre Conta"/>
    <s v="Destino: 273983-Operação Titulo Descontado"/>
    <n v="7484.14"/>
    <d v="2015-05-25T00:00:00"/>
    <d v="1899-12-30T16:36:52"/>
    <n v="0"/>
    <n v="0"/>
    <n v="-3070164.4700002167"/>
    <m/>
    <m/>
    <m/>
    <m/>
    <n v="24"/>
    <s v="Emilly"/>
    <n v="1"/>
    <m/>
    <n v="1449"/>
    <d v="2015-06-24T00:00:00"/>
    <d v="2015-06-24T00:00:00"/>
    <m/>
    <m/>
    <n v="2015"/>
    <n v="24"/>
    <m/>
    <m/>
    <n v="273983"/>
    <m/>
    <s v="Transferência entre contas"/>
    <x v="2"/>
    <s v="COLÉGIO OLIMPO LTDA"/>
    <m/>
    <n v="75"/>
    <n v="8"/>
    <s v="Transferência Bancária"/>
    <m/>
    <m/>
    <m/>
    <n v="0"/>
    <m/>
    <m/>
    <s v="MERC [GYN] [OPERAÇÕES]"/>
    <m/>
    <m/>
    <m/>
  </r>
  <r>
    <n v="271385"/>
    <n v="216866"/>
    <s v="Par.(01-1) 019742/LUCAS MACIEL ALVES DE LIM - 1ª OU 2ª SÉRI"/>
    <n v="73"/>
    <d v="2015-05-25T00:00:00"/>
    <d v="1899-12-30T16:38:47"/>
    <n v="0"/>
    <n v="0"/>
    <n v="-3070091.4700002167"/>
    <m/>
    <m/>
    <n v="216866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86"/>
    <n v="216865"/>
    <s v="Par.(01-1) 019742/LUCAS MACIEL ALVES DE LIM - 1ª OU 2ª SÉRI"/>
    <n v="73"/>
    <d v="2015-05-25T00:00:00"/>
    <d v="1899-12-30T16:38:48"/>
    <n v="0"/>
    <n v="0"/>
    <n v="-3070018.4700002167"/>
    <m/>
    <m/>
    <n v="216865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87"/>
    <n v="216867"/>
    <s v="Par.(01-1) 019742/LUCAS MACIEL ALVES DE LIM - 1ª OU 2ª SÉRI"/>
    <n v="73"/>
    <d v="2015-05-25T00:00:00"/>
    <d v="1899-12-30T16:38:48"/>
    <n v="0"/>
    <n v="0"/>
    <n v="-3069945.4700002167"/>
    <m/>
    <m/>
    <n v="216867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3988"/>
    <s v="14074/126802"/>
    <s v="Mercantil Do Brasil - Par. 126802(01-84)"/>
    <n v="0"/>
    <d v="2015-05-25T00:00:00"/>
    <d v="1899-12-30T16:39:12"/>
    <n v="200"/>
    <n v="0"/>
    <n v="-3070145.4700002167"/>
    <m/>
    <m/>
    <m/>
    <n v="12680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87"/>
    <s v="14073/126718"/>
    <s v="Mercantil Do Brasil - Par. 126718(01-84)"/>
    <n v="0"/>
    <d v="2015-05-25T00:00:00"/>
    <d v="1899-12-30T16:39:12"/>
    <n v="200"/>
    <n v="0"/>
    <n v="-3070345.4700002167"/>
    <m/>
    <m/>
    <m/>
    <n v="12671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89"/>
    <s v="14075/126634"/>
    <s v="Mercantil Do Brasil - Par. 126634(01-84)"/>
    <n v="0"/>
    <d v="2015-05-25T00:00:00"/>
    <d v="1899-12-30T16:39:12"/>
    <n v="200"/>
    <n v="0"/>
    <n v="-3070545.4700002167"/>
    <m/>
    <m/>
    <m/>
    <n v="12663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86"/>
    <s v="14072/125542"/>
    <s v="Mercantil Do Brasil - Par. 125542(01-84)"/>
    <n v="0"/>
    <d v="2015-05-25T00:00:00"/>
    <d v="1899-12-30T16:39:12"/>
    <n v="200"/>
    <n v="0"/>
    <n v="-3070745.4700002167"/>
    <m/>
    <m/>
    <m/>
    <n v="12554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85"/>
    <s v="14071/126382"/>
    <s v="Mercantil Do Brasil - Par. 126382(01-84)"/>
    <n v="0"/>
    <d v="2015-05-25T00:00:00"/>
    <d v="1899-12-30T16:39:12"/>
    <n v="200"/>
    <n v="0"/>
    <n v="-3070945.4700002167"/>
    <m/>
    <m/>
    <m/>
    <n v="12638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0"/>
    <s v="14076/125290"/>
    <s v="Mercantil Do Brasil - Par. 125290(01-84)"/>
    <n v="0"/>
    <d v="2015-05-25T00:00:00"/>
    <d v="1899-12-30T16:39:12"/>
    <n v="200"/>
    <n v="0"/>
    <n v="-3071145.4700002167"/>
    <m/>
    <m/>
    <m/>
    <n v="12529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1"/>
    <s v="14087/126214"/>
    <s v="Mercantil Do Brasil - Par. 126214(01-84)"/>
    <n v="0"/>
    <d v="2015-05-25T00:00:00"/>
    <d v="1899-12-30T16:39:13"/>
    <n v="200"/>
    <n v="0"/>
    <n v="-3071345.4700002167"/>
    <m/>
    <m/>
    <m/>
    <n v="12621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6"/>
    <s v="14082/125710"/>
    <s v="Mercantil Do Brasil - Par. 125710(01-84)"/>
    <n v="0"/>
    <d v="2015-05-25T00:00:00"/>
    <d v="1899-12-30T16:39:13"/>
    <n v="200"/>
    <n v="0"/>
    <n v="-3071545.4700002167"/>
    <m/>
    <m/>
    <m/>
    <n v="12571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0"/>
    <s v="14086/125626"/>
    <s v="Mercantil Do Brasil - Par. 125626(01-84)"/>
    <n v="0"/>
    <d v="2015-05-25T00:00:00"/>
    <d v="1899-12-30T16:39:13"/>
    <n v="200"/>
    <n v="0"/>
    <n v="-3071745.4700002167"/>
    <m/>
    <m/>
    <m/>
    <n v="12562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3"/>
    <s v="14089/126130"/>
    <s v="Mercantil Do Brasil - Par. 126130(01-84)"/>
    <n v="0"/>
    <d v="2015-05-25T00:00:00"/>
    <d v="1899-12-30T16:39:13"/>
    <n v="200"/>
    <n v="0"/>
    <n v="-3071945.4700002167"/>
    <m/>
    <m/>
    <m/>
    <n v="12613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7"/>
    <s v="14083/126046"/>
    <s v="Mercantil Do Brasil - Par. 126046(01-84)"/>
    <n v="0"/>
    <d v="2015-05-25T00:00:00"/>
    <d v="1899-12-30T16:39:13"/>
    <n v="200"/>
    <n v="0"/>
    <n v="-3072145.4700002167"/>
    <m/>
    <m/>
    <m/>
    <n v="12604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8"/>
    <s v="14084/125458"/>
    <s v="Mercantil Do Brasil - Par. 125458(01-84)"/>
    <n v="0"/>
    <d v="2015-05-25T00:00:00"/>
    <d v="1899-12-30T16:39:13"/>
    <n v="200"/>
    <n v="0"/>
    <n v="-3072345.4700002167"/>
    <m/>
    <m/>
    <m/>
    <n v="12545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1"/>
    <s v="14077/126550"/>
    <s v="Mercantil Do Brasil - Par. 126550(01-84)"/>
    <n v="0"/>
    <d v="2015-05-25T00:00:00"/>
    <d v="1899-12-30T16:39:13"/>
    <n v="200"/>
    <n v="0"/>
    <n v="-3072545.4700002167"/>
    <m/>
    <m/>
    <m/>
    <n v="12655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3"/>
    <s v="14079/126466"/>
    <s v="Mercantil Do Brasil - Par. 126466(01-84)"/>
    <n v="0"/>
    <d v="2015-05-25T00:00:00"/>
    <d v="1899-12-30T16:39:13"/>
    <n v="200"/>
    <n v="0"/>
    <n v="-3072745.4700002167"/>
    <m/>
    <m/>
    <m/>
    <n v="12646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5"/>
    <s v="14081/125962"/>
    <s v="Mercantil Do Brasil - Par. 125962(01-84)"/>
    <n v="0"/>
    <d v="2015-05-25T00:00:00"/>
    <d v="1899-12-30T16:39:13"/>
    <n v="200"/>
    <n v="0"/>
    <n v="-3072945.4700002167"/>
    <m/>
    <m/>
    <m/>
    <n v="12596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2"/>
    <s v="14088/125374"/>
    <s v="Mercantil Do Brasil - Par. 125374(01-84)"/>
    <n v="0"/>
    <d v="2015-05-25T00:00:00"/>
    <d v="1899-12-30T16:39:13"/>
    <n v="200"/>
    <n v="0"/>
    <n v="-3073145.4700002167"/>
    <m/>
    <m/>
    <m/>
    <n v="12537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2"/>
    <s v="14078/125878"/>
    <s v="Mercantil Do Brasil - Par. 125878(01-84)"/>
    <n v="0"/>
    <d v="2015-05-25T00:00:00"/>
    <d v="1899-12-30T16:39:13"/>
    <n v="200"/>
    <n v="0"/>
    <n v="-3073345.4700002167"/>
    <m/>
    <m/>
    <m/>
    <n v="12587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9"/>
    <s v="14085/126298"/>
    <s v="Mercantil Do Brasil - Par. 126298(01-84)"/>
    <n v="0"/>
    <d v="2015-05-25T00:00:00"/>
    <d v="1899-12-30T16:39:13"/>
    <n v="200"/>
    <n v="0"/>
    <n v="-3073545.4700002167"/>
    <m/>
    <m/>
    <m/>
    <n v="12629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4"/>
    <s v="14080/125794"/>
    <s v="Mercantil Do Brasil - Par. 125794(01-84)"/>
    <n v="0"/>
    <d v="2015-05-25T00:00:00"/>
    <d v="1899-12-30T16:39:13"/>
    <n v="200"/>
    <n v="0"/>
    <n v="-3073745.4700002167"/>
    <m/>
    <m/>
    <m/>
    <n v="12579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4"/>
    <s v="14070/125206"/>
    <s v="Mercantil Do Brasil - Par. 125206(01-84)"/>
    <n v="0"/>
    <d v="2015-05-25T00:00:00"/>
    <d v="1899-12-30T16:39:14"/>
    <n v="200"/>
    <n v="0"/>
    <n v="-3073945.4700002167"/>
    <m/>
    <m/>
    <m/>
    <n v="12520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389"/>
    <s v="0032560526/58220"/>
    <s v="Banco Volkswagen - Par. 058220(11-33)"/>
    <n v="0"/>
    <d v="2015-05-25T00:00:00"/>
    <d v="1899-12-30T16:40:14"/>
    <n v="1331.57"/>
    <n v="0"/>
    <n v="-3075277.0400002166"/>
    <m/>
    <m/>
    <m/>
    <n v="58220"/>
    <n v="24"/>
    <s v="Emilly"/>
    <n v="1"/>
    <m/>
    <n v="500"/>
    <d v="2015-05-27T00:00:00"/>
    <d v="2015-05-27T00:00:00"/>
    <m/>
    <m/>
    <n v="2015"/>
    <n v="24"/>
    <m/>
    <m/>
    <m/>
    <m/>
    <s v="CA.Aquisição de Veículo (ATIVO)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90"/>
    <s v="Remessa GF Fomento"/>
    <s v="Remessa GF Fomento"/>
    <n v="1186.6400000000001"/>
    <d v="2015-05-25T00:00:00"/>
    <d v="1899-12-30T16:41:15"/>
    <n v="0"/>
    <n v="0"/>
    <n v="-3074090.4000002164"/>
    <m/>
    <m/>
    <m/>
    <m/>
    <n v="7"/>
    <s v="Anapaula"/>
    <n v="2"/>
    <m/>
    <n v="1524"/>
    <d v="2015-05-27T00:00:00"/>
    <d v="2015-07-01T00:00:00"/>
    <m/>
    <m/>
    <n v="2015"/>
    <n v="7"/>
    <m/>
    <m/>
    <m/>
    <m/>
    <s v="Crédito boleto pago após recompra"/>
    <x v="1"/>
    <s v="COLÉGIO OLIMPO LTDA"/>
    <m/>
    <n v="77"/>
    <n v="2"/>
    <s v="Cheque"/>
    <m/>
    <m/>
    <m/>
    <n v="0"/>
    <m/>
    <m/>
    <s v="BRB [GYN] [OPERAÇÕES]"/>
    <m/>
    <m/>
    <m/>
  </r>
  <r>
    <n v="273078"/>
    <s v="Extrato/126917"/>
    <s v="Banco Do Brasil - Cód. 126917"/>
    <n v="0"/>
    <d v="2015-05-25T00:00:00"/>
    <d v="1899-12-30T17:30:42"/>
    <n v="7.8"/>
    <n v="0"/>
    <n v="-3074098.2000002163"/>
    <m/>
    <m/>
    <m/>
    <n v="126917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3079"/>
    <s v="Extrato/126918"/>
    <s v="Banco Do Brasil - Cód. 126918"/>
    <n v="0"/>
    <d v="2015-05-25T00:00:00"/>
    <d v="1899-12-30T17:30:42"/>
    <n v="7.8"/>
    <n v="0"/>
    <n v="-3074106.0000002161"/>
    <m/>
    <m/>
    <m/>
    <n v="126918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1397"/>
    <s v="3476-1/122149"/>
    <s v="Sr Impressoras E Copiadoras Ltda Me - Cód. 122149"/>
    <n v="0"/>
    <d v="2015-05-26T00:00:00"/>
    <d v="1899-12-30T08:55:40"/>
    <n v="352.74"/>
    <n v="0"/>
    <n v="-3074458.7400002163"/>
    <m/>
    <m/>
    <m/>
    <n v="122149"/>
    <n v="24"/>
    <s v="Emilly"/>
    <n v="1"/>
    <m/>
    <n v="383"/>
    <d v="2015-05-28T00:00:00"/>
    <d v="2015-05-28T00:00:00"/>
    <m/>
    <m/>
    <n v="2015"/>
    <n v="24"/>
    <m/>
    <m/>
    <m/>
    <m/>
    <s v="Marista.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98"/>
    <s v="3477-1/122151"/>
    <s v="Sr Impressoras E Copiadoras Ltda Me - Cód. 122151"/>
    <n v="0"/>
    <d v="2015-05-26T00:00:00"/>
    <d v="1899-12-30T08:56:11"/>
    <n v="252.26"/>
    <n v="0"/>
    <n v="-3074711.0000002161"/>
    <m/>
    <m/>
    <m/>
    <n v="122151"/>
    <n v="24"/>
    <s v="Emilly"/>
    <n v="1"/>
    <m/>
    <n v="1398"/>
    <d v="2015-05-28T00:00:00"/>
    <d v="2015-05-28T00:00:00"/>
    <m/>
    <m/>
    <n v="2015"/>
    <n v="24"/>
    <m/>
    <m/>
    <m/>
    <m/>
    <s v="T-27 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3100"/>
    <s v="Transferência Entre Conta"/>
    <s v="Transferência Entre Conta"/>
    <n v="20000"/>
    <d v="2015-05-26T00:00:00"/>
    <d v="1899-12-30T09:00:09"/>
    <n v="0"/>
    <n v="0"/>
    <n v="-3054711.0000002161"/>
    <m/>
    <m/>
    <m/>
    <m/>
    <n v="24"/>
    <s v="Emilly"/>
    <n v="1"/>
    <m/>
    <n v="1449"/>
    <d v="2015-06-16T00:00:00"/>
    <d v="2015-06-16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3101"/>
    <s v="Acerto/124538"/>
    <s v="Ney Marcondes Portilho De Oliveira - Cód. 124538"/>
    <n v="0"/>
    <d v="2015-05-26T00:00:00"/>
    <d v="1899-12-30T09:02:18"/>
    <n v="10000"/>
    <n v="0"/>
    <n v="-3064711.0000002161"/>
    <m/>
    <m/>
    <m/>
    <n v="124538"/>
    <n v="24"/>
    <s v="Emilly"/>
    <n v="1"/>
    <m/>
    <n v="371"/>
    <d v="2015-06-16T00:00:00"/>
    <d v="2015-06-16T00:00:00"/>
    <m/>
    <m/>
    <n v="2015"/>
    <n v="24"/>
    <m/>
    <m/>
    <m/>
    <m/>
    <s v="Marista.Rescisão de contrato de trabalho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3102"/>
    <s v="Extrato/126925"/>
    <s v="Bradesco - Cód. 126925"/>
    <n v="0"/>
    <d v="2015-05-26T00:00:00"/>
    <d v="1899-12-30T09:03:49"/>
    <n v="7.9"/>
    <n v="0"/>
    <n v="-3064718.900000216"/>
    <m/>
    <m/>
    <m/>
    <n v="126925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03"/>
    <s v="Extrato/126926"/>
    <s v="Bradesco - Cód. 126926"/>
    <n v="0"/>
    <d v="2015-05-26T00:00:00"/>
    <d v="1899-12-30T09:03:49"/>
    <n v="7.9"/>
    <n v="0"/>
    <n v="-3064726.8000002159"/>
    <m/>
    <m/>
    <m/>
    <n v="126926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04"/>
    <s v="Extrato/126927"/>
    <s v="Bradesco - Cód. 126927"/>
    <n v="0"/>
    <d v="2015-05-26T00:00:00"/>
    <d v="1899-12-30T09:03:49"/>
    <n v="7.9"/>
    <n v="0"/>
    <n v="-3064734.7000002158"/>
    <m/>
    <m/>
    <m/>
    <n v="126927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05"/>
    <s v="Extrato/126928"/>
    <s v="Bradesco - Cód. 126928"/>
    <n v="0"/>
    <d v="2015-05-26T00:00:00"/>
    <d v="1899-12-30T09:03:49"/>
    <n v="7.9"/>
    <n v="0"/>
    <n v="-3064742.6000002157"/>
    <m/>
    <m/>
    <m/>
    <n v="126928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06"/>
    <s v="SRP/111448"/>
    <s v="Silvanio Rodrigues Peres - Par. 111448(05-12)"/>
    <n v="0"/>
    <d v="2015-05-26T00:00:00"/>
    <d v="1899-12-30T09:04:31"/>
    <n v="360"/>
    <n v="0"/>
    <n v="-3065102.6000002157"/>
    <m/>
    <m/>
    <m/>
    <n v="111448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107"/>
    <s v="SRP/111483"/>
    <s v="Silvanio Rodrigues Peres - Par. 111483(05-12)"/>
    <n v="0"/>
    <d v="2015-05-26T00:00:00"/>
    <d v="1899-12-30T09:04:46"/>
    <n v="1101.5999999999999"/>
    <n v="0"/>
    <n v="-3066204.2000002158"/>
    <m/>
    <m/>
    <m/>
    <n v="111483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108"/>
    <s v="EMPS/111924"/>
    <s v="Enio Marcos Pereira Santos - Par. 111924(05-12)"/>
    <n v="0"/>
    <d v="2015-05-26T00:00:00"/>
    <d v="1899-12-30T09:05:01"/>
    <n v="3000"/>
    <n v="0"/>
    <n v="-3069204.2000002158"/>
    <m/>
    <m/>
    <m/>
    <n v="111924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109"/>
    <s v="JRAC/111495"/>
    <s v="José Roberto de Almeida Camargo - Par. 111495(05-12)"/>
    <n v="0"/>
    <d v="2015-05-26T00:00:00"/>
    <d v="1899-12-30T09:05:15"/>
    <n v="900"/>
    <n v="0"/>
    <n v="-3070104.2000002158"/>
    <m/>
    <m/>
    <m/>
    <n v="111495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1400"/>
    <s v="22-8/117834"/>
    <s v="Skill Sinalização E Impressão Ltda-ME - Cód. 117834"/>
    <n v="0"/>
    <d v="2015-05-26T00:00:00"/>
    <d v="1899-12-30T09:08:20"/>
    <n v="1338.18"/>
    <n v="0"/>
    <n v="-3071442.380000216"/>
    <m/>
    <m/>
    <m/>
    <n v="117834"/>
    <n v="24"/>
    <s v="Emilly"/>
    <n v="1"/>
    <m/>
    <n v="359"/>
    <d v="2015-05-28T00:00:00"/>
    <d v="2015-05-28T00:00:00"/>
    <m/>
    <m/>
    <n v="2015"/>
    <n v="24"/>
    <m/>
    <m/>
    <m/>
    <m/>
    <s v="Marista.Material Didático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401"/>
    <s v="0961/123348"/>
    <s v="Skill Sinalização E Impressão Ltda-ME - Cód. 123348"/>
    <n v="0"/>
    <d v="2015-05-26T00:00:00"/>
    <d v="1899-12-30T09:08:58"/>
    <n v="28.5"/>
    <n v="0"/>
    <n v="-3071470.880000216"/>
    <m/>
    <m/>
    <m/>
    <n v="123348"/>
    <n v="24"/>
    <s v="Emilly"/>
    <n v="1"/>
    <m/>
    <n v="1555"/>
    <d v="2015-05-28T00:00:00"/>
    <d v="2015-05-28T00:00:00"/>
    <m/>
    <m/>
    <n v="2015"/>
    <n v="24"/>
    <m/>
    <m/>
    <m/>
    <m/>
    <s v="Aná.Material Didático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4039"/>
    <s v="Extrato/127352"/>
    <s v="Banco Itaú Unibanco S.A. - Cód. 127352"/>
    <n v="0"/>
    <d v="2015-05-26T00:00:00"/>
    <d v="1899-12-30T09:10:13"/>
    <n v="5.6"/>
    <n v="0"/>
    <n v="-3071476.480000216"/>
    <m/>
    <m/>
    <m/>
    <n v="127352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4040"/>
    <s v="Extrato/127353"/>
    <s v="Banco Itaú Unibanco S.A. - Cód. 127353"/>
    <n v="0"/>
    <d v="2015-05-26T00:00:00"/>
    <d v="1899-12-30T09:10:13"/>
    <n v="15.9"/>
    <n v="0"/>
    <n v="-3071492.380000216"/>
    <m/>
    <m/>
    <m/>
    <n v="127353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1402"/>
    <s v="3434-1/124252"/>
    <s v="Sr Impressoras E Copiadoras Ltda Me - Cód. 124252"/>
    <n v="0"/>
    <d v="2015-05-26T00:00:00"/>
    <d v="1899-12-30T09:10:18"/>
    <n v="207.68"/>
    <n v="0"/>
    <n v="-3071700.0600002161"/>
    <m/>
    <m/>
    <m/>
    <n v="124252"/>
    <n v="24"/>
    <s v="Emilly"/>
    <n v="1"/>
    <m/>
    <n v="1399"/>
    <d v="2015-05-28T00:00:00"/>
    <d v="2015-05-28T00:00:00"/>
    <m/>
    <m/>
    <n v="2015"/>
    <n v="24"/>
    <m/>
    <m/>
    <m/>
    <m/>
    <s v="SolNascente.Tecnologia da Informação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3"/>
    <s v="686/121227"/>
    <s v="Sd Viagens Turismo Ltda Me - Cód. 121227"/>
    <n v="0"/>
    <d v="2015-05-26T00:00:00"/>
    <d v="1899-12-30T09:10:58"/>
    <n v="463.4"/>
    <n v="0"/>
    <n v="-3072163.460000216"/>
    <m/>
    <m/>
    <m/>
    <n v="121227"/>
    <n v="24"/>
    <s v="Emilly"/>
    <n v="1"/>
    <m/>
    <n v="557"/>
    <d v="2015-05-28T00:00:00"/>
    <d v="2015-05-28T00:00:00"/>
    <m/>
    <m/>
    <n v="2015"/>
    <n v="24"/>
    <m/>
    <m/>
    <m/>
    <m/>
    <s v="CA.Passagem Aerea (DESPESA)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4"/>
    <s v="23266/119567"/>
    <s v="CASA DA LIMPEZA - Cód. 119567"/>
    <n v="0"/>
    <d v="2015-05-26T00:00:00"/>
    <d v="1899-12-30T09:11:24"/>
    <n v="436.72"/>
    <n v="0"/>
    <n v="-3072600.1800002162"/>
    <m/>
    <m/>
    <m/>
    <n v="119567"/>
    <n v="24"/>
    <s v="Emilly"/>
    <n v="1"/>
    <m/>
    <n v="168"/>
    <d v="2015-05-28T00:00:00"/>
    <d v="2015-05-28T00:00:00"/>
    <m/>
    <m/>
    <n v="2015"/>
    <n v="24"/>
    <m/>
    <m/>
    <m/>
    <m/>
    <s v="T-3.Produtos de Limpeza 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5"/>
    <s v="23265/119196"/>
    <s v="CASA DA LIMPEZA - Cód. 119196"/>
    <n v="0"/>
    <d v="2015-05-26T00:00:00"/>
    <d v="1899-12-30T09:11:49"/>
    <n v="684.65"/>
    <n v="0"/>
    <n v="-3073284.8300002161"/>
    <m/>
    <m/>
    <m/>
    <n v="119196"/>
    <n v="24"/>
    <s v="Emilly"/>
    <n v="1"/>
    <m/>
    <n v="365"/>
    <d v="2015-05-28T00:00:00"/>
    <d v="2015-05-28T00:00:00"/>
    <m/>
    <m/>
    <n v="2015"/>
    <n v="24"/>
    <m/>
    <m/>
    <m/>
    <m/>
    <s v="Marista.Produtos de Limpeza 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6"/>
    <s v="1243/119194"/>
    <s v="ABSECL - Senna Embalagens - Cód. 119194"/>
    <n v="0"/>
    <d v="2015-05-26T00:00:00"/>
    <d v="1899-12-30T09:12:16"/>
    <n v="636.4"/>
    <n v="0"/>
    <n v="-3073921.230000216"/>
    <m/>
    <m/>
    <m/>
    <n v="119194"/>
    <n v="24"/>
    <s v="Emilly"/>
    <n v="1"/>
    <m/>
    <n v="1568"/>
    <d v="2015-05-28T00:00:00"/>
    <d v="2015-05-28T00:00:00"/>
    <m/>
    <m/>
    <n v="2015"/>
    <n v="24"/>
    <m/>
    <m/>
    <m/>
    <m/>
    <s v="Aná.Produtos de Limpez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7"/>
    <s v="6093/119752"/>
    <s v="Termosul Ar Condicionado E Refrigeração - Cód. 119752"/>
    <n v="0"/>
    <d v="2015-05-26T00:00:00"/>
    <d v="1899-12-30T09:13:30"/>
    <n v="150"/>
    <n v="0"/>
    <n v="-3074071.230000216"/>
    <m/>
    <m/>
    <m/>
    <n v="119752"/>
    <n v="24"/>
    <s v="Emilly"/>
    <n v="1"/>
    <m/>
    <n v="354"/>
    <d v="2015-05-28T00:00:00"/>
    <d v="2015-05-28T00:00:00"/>
    <m/>
    <m/>
    <n v="2015"/>
    <n v="24"/>
    <m/>
    <m/>
    <m/>
    <m/>
    <s v="Marista.Manutenção Máquinas e Equipamento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2"/>
    <s v="Transferência/124270"/>
    <s v="Marcelo De Moraes Melo - Cód. 124270"/>
    <n v="0"/>
    <d v="2015-05-26T00:00:00"/>
    <d v="1899-12-30T09:21:23"/>
    <n v="2000"/>
    <n v="0"/>
    <n v="-3076071.230000216"/>
    <m/>
    <m/>
    <m/>
    <n v="124270"/>
    <n v="24"/>
    <s v="Emilly"/>
    <n v="1"/>
    <m/>
    <n v="1455"/>
    <d v="2015-05-28T00:00:00"/>
    <d v="2015-05-28T00:00:00"/>
    <m/>
    <m/>
    <n v="2015"/>
    <n v="24"/>
    <m/>
    <m/>
    <m/>
    <m/>
    <s v="Marcelo.Despesas Particulares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1413"/>
    <s v="045523/124271"/>
    <s v="Posto De Combustível - Cód. 124271"/>
    <n v="0"/>
    <d v="2015-05-26T00:00:00"/>
    <d v="1899-12-30T09:22:03"/>
    <n v="100"/>
    <n v="0"/>
    <n v="-3076171.230000216"/>
    <m/>
    <m/>
    <m/>
    <n v="124271"/>
    <n v="24"/>
    <s v="Emilly"/>
    <n v="1"/>
    <m/>
    <n v="512"/>
    <d v="2015-05-28T00:00:00"/>
    <d v="2015-05-28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414"/>
    <s v="3478-1/122150"/>
    <s v="Sr Impressoras E Copiadoras Ltda Me - Cód. 122150"/>
    <n v="0"/>
    <d v="2015-05-26T00:00:00"/>
    <d v="1899-12-30T09:22:34"/>
    <n v="375.8"/>
    <n v="0"/>
    <n v="-3076547.0300002159"/>
    <m/>
    <m/>
    <m/>
    <n v="122150"/>
    <n v="24"/>
    <s v="Emilly"/>
    <n v="1"/>
    <m/>
    <n v="1398"/>
    <d v="2015-05-28T00:00:00"/>
    <d v="2015-05-28T00:00:00"/>
    <m/>
    <m/>
    <n v="2015"/>
    <n v="24"/>
    <m/>
    <m/>
    <m/>
    <m/>
    <s v="T-27 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5"/>
    <s v="3475-1/122148"/>
    <s v="Sr Impressoras E Copiadoras Ltda Me - Cód. 122148"/>
    <n v="0"/>
    <d v="2015-05-26T00:00:00"/>
    <d v="1899-12-30T09:22:59"/>
    <n v="223.78"/>
    <n v="0"/>
    <n v="-3076770.8100002157"/>
    <m/>
    <m/>
    <m/>
    <n v="122148"/>
    <n v="24"/>
    <s v="Emilly"/>
    <n v="1"/>
    <m/>
    <n v="186"/>
    <d v="2015-05-28T00:00:00"/>
    <d v="2015-05-28T00:00:00"/>
    <m/>
    <m/>
    <n v="2015"/>
    <n v="24"/>
    <m/>
    <m/>
    <m/>
    <m/>
    <s v="T-3.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20"/>
    <s v="000.182/122925"/>
    <s v="CB Const E Ferrag Eireli - ME - Cód. 122925"/>
    <n v="0"/>
    <d v="2015-05-26T00:00:00"/>
    <d v="1899-12-30T09:33:20"/>
    <n v="306.63"/>
    <n v="0"/>
    <n v="-3077077.4400002155"/>
    <m/>
    <m/>
    <m/>
    <n v="122925"/>
    <n v="24"/>
    <s v="Emilly"/>
    <n v="1"/>
    <m/>
    <n v="1544"/>
    <d v="2015-05-28T00:00:00"/>
    <d v="2015-05-28T00:00:00"/>
    <m/>
    <m/>
    <n v="2015"/>
    <n v="24"/>
    <m/>
    <m/>
    <m/>
    <m/>
    <s v="Aná.Reform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21"/>
    <s v="673588/122924"/>
    <s v="Tecnoseg Tecnologia Em Serviços Ltda - Cód. 122924"/>
    <n v="0"/>
    <d v="2015-05-26T00:00:00"/>
    <d v="1899-12-30T09:33:49"/>
    <n v="162.94999999999999"/>
    <n v="0"/>
    <n v="-3077240.3900002157"/>
    <m/>
    <m/>
    <m/>
    <n v="122924"/>
    <n v="24"/>
    <s v="Emilly"/>
    <n v="1"/>
    <m/>
    <n v="1582"/>
    <d v="2015-05-28T00:00:00"/>
    <d v="2015-05-28T00:00:00"/>
    <m/>
    <m/>
    <n v="2015"/>
    <n v="24"/>
    <m/>
    <m/>
    <m/>
    <m/>
    <s v="Aná.Despesa Divers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22"/>
    <s v="Peri.20/02 a 20/03/124273"/>
    <s v="Corretores De Provas - Cód. 124273"/>
    <n v="0"/>
    <d v="2015-05-26T00:00:00"/>
    <d v="1899-12-30T09:37:16"/>
    <n v="774"/>
    <n v="0"/>
    <n v="-3078014.3900002157"/>
    <m/>
    <m/>
    <m/>
    <n v="124273"/>
    <n v="24"/>
    <s v="Emilly"/>
    <n v="2"/>
    <m/>
    <n v="1521"/>
    <d v="2015-05-28T00:00:00"/>
    <d v="2015-05-28T00:00:00"/>
    <m/>
    <m/>
    <n v="2015"/>
    <n v="24"/>
    <m/>
    <m/>
    <m/>
    <m/>
    <s v="T-27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1429"/>
    <s v="Transferência Entre Conta"/>
    <s v="Transferência Entre Conta"/>
    <n v="0"/>
    <d v="2015-05-26T00:00:00"/>
    <d v="1899-12-30T10:01:43"/>
    <n v="2000"/>
    <n v="0"/>
    <n v="-3080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52"/>
    <n v="8"/>
    <s v="Transferência Bancária"/>
    <m/>
    <m/>
    <m/>
    <n v="0"/>
    <m/>
    <n v="2"/>
    <s v="BRB [SOL] [012052-4] [CC] [COB]"/>
    <m/>
    <m/>
    <m/>
  </r>
  <r>
    <n v="271430"/>
    <s v="Transferência Entre Conta"/>
    <s v="Destino: 271429-Transferência Entre Conta"/>
    <n v="2000"/>
    <d v="2015-05-26T00:00:00"/>
    <d v="1899-12-30T10:01:43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29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431"/>
    <s v="Transferência Entre Conta"/>
    <s v="Transferência Entre Conta"/>
    <n v="0"/>
    <d v="2015-05-26T00:00:00"/>
    <d v="1899-12-30T10:02:10"/>
    <n v="4800"/>
    <n v="0"/>
    <n v="-30828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2"/>
    <s v="ITAÚ [SOL] [001691-4] [CC]"/>
    <m/>
    <m/>
    <m/>
  </r>
  <r>
    <n v="271432"/>
    <s v="Transferência Entre Conta"/>
    <s v="Destino: 271431-Transferência Entre Conta"/>
    <n v="4800"/>
    <d v="2015-05-26T00:00:00"/>
    <d v="1899-12-30T10:02:10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1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433"/>
    <s v="Transferência Entre Conta"/>
    <s v="Transferência Entre Conta"/>
    <n v="0"/>
    <d v="2015-05-26T00:00:00"/>
    <d v="1899-12-30T10:02:34"/>
    <n v="37000"/>
    <n v="0"/>
    <n v="-3115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52"/>
    <n v="8"/>
    <s v="Transferência Bancária"/>
    <m/>
    <m/>
    <m/>
    <n v="0"/>
    <m/>
    <n v="2"/>
    <s v="BRB [SOL] [012052-4] [CC] [COB]"/>
    <m/>
    <m/>
    <m/>
  </r>
  <r>
    <n v="271434"/>
    <s v="Transferência Entre Conta"/>
    <s v="Destino: 271433-Transferência Entre Conta"/>
    <n v="37000"/>
    <d v="2015-05-26T00:00:00"/>
    <d v="1899-12-30T10:02:34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3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435"/>
    <s v="Transferência Entre Conta"/>
    <s v="Transferência Entre Conta"/>
    <n v="0"/>
    <d v="2015-05-26T00:00:00"/>
    <d v="1899-12-30T10:04:00"/>
    <n v="11000"/>
    <n v="0"/>
    <n v="-3089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1436"/>
    <s v="Transferência Entre Conta"/>
    <s v="Destino: 271435-Transferência Entre Conta"/>
    <n v="11000"/>
    <d v="2015-05-26T00:00:00"/>
    <d v="1899-12-30T10:04:00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5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437"/>
    <s v="Transferência Entre Conta"/>
    <s v="Transferência Entre Conta"/>
    <n v="0"/>
    <d v="2015-05-26T00:00:00"/>
    <d v="1899-12-30T10:04:30"/>
    <n v="10000"/>
    <n v="0"/>
    <n v="-3088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12"/>
    <s v="BRADESCO [002429-5] [GYN [CC]"/>
    <m/>
    <m/>
    <m/>
  </r>
  <r>
    <n v="271438"/>
    <s v="Transferência Entre Conta"/>
    <s v="Destino: 271437-Transferência Entre Conta"/>
    <n v="10000"/>
    <d v="2015-05-26T00:00:00"/>
    <d v="1899-12-30T10:04:30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7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1439"/>
    <s v="Transferência Entre Conta"/>
    <s v="Transferência Entre Conta"/>
    <n v="0"/>
    <d v="2015-05-26T00:00:00"/>
    <d v="1899-12-30T10:04:59"/>
    <n v="11000"/>
    <n v="0"/>
    <n v="-3089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1440"/>
    <s v="Transferência Entre Conta"/>
    <s v="Destino: 271439-Transferência Entre Conta"/>
    <n v="11000"/>
    <d v="2015-05-26T00:00:00"/>
    <d v="1899-12-30T10:04:59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9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3029"/>
    <s v="Extrato"/>
    <s v="Estorno Deb. Empréstimo"/>
    <n v="551674.96"/>
    <d v="2015-05-26T00:00:00"/>
    <d v="1899-12-30T10:06:42"/>
    <n v="0"/>
    <n v="0"/>
    <n v="-2526339.4300002158"/>
    <m/>
    <m/>
    <m/>
    <m/>
    <n v="24"/>
    <s v="Emilly"/>
    <n v="1"/>
    <m/>
    <n v="1373"/>
    <d v="2015-06-12T00:00:00"/>
    <d v="2015-06-12T00:00:00"/>
    <m/>
    <m/>
    <n v="2015"/>
    <n v="24"/>
    <m/>
    <m/>
    <m/>
    <m/>
    <s v="Empréstimo Pessoa Jurídica"/>
    <x v="1"/>
    <s v="COLÉGIO OLIMPO LTDA"/>
    <m/>
    <n v="5"/>
    <n v="9"/>
    <s v="Débito em conta"/>
    <m/>
    <m/>
    <m/>
    <n v="0"/>
    <m/>
    <m/>
    <s v="MERC [GYN] [02.011938-7] [CC]"/>
    <m/>
    <m/>
    <m/>
  </r>
  <r>
    <n v="273030"/>
    <s v="Extrato/125177"/>
    <s v="Mercantil Do Brasil - Cód. 125177"/>
    <n v="0"/>
    <d v="2015-05-26T00:00:00"/>
    <d v="1899-12-30T10:08:04"/>
    <n v="547446.48"/>
    <n v="0"/>
    <n v="-3073785.9100002158"/>
    <m/>
    <m/>
    <m/>
    <n v="125177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031"/>
    <s v="Extrato/125178"/>
    <s v="Mercantil Do Brasil - Cód. 125178"/>
    <n v="0"/>
    <d v="2015-05-26T00:00:00"/>
    <d v="1899-12-30T10:09:34"/>
    <n v="1444"/>
    <n v="0"/>
    <n v="-3075229.9100002158"/>
    <m/>
    <m/>
    <m/>
    <n v="125178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2"/>
    <s v="Extrato/125179"/>
    <s v="Mercantil Do Brasil - Cód. 125179"/>
    <n v="0"/>
    <d v="2015-05-26T00:00:00"/>
    <d v="1899-12-30T10:09:34"/>
    <n v="2166"/>
    <n v="0"/>
    <n v="-3077395.9100002158"/>
    <m/>
    <m/>
    <m/>
    <n v="125179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3"/>
    <s v="Extrato/125180"/>
    <s v="Mercantil Do Brasil - Cód. 125180"/>
    <n v="0"/>
    <d v="2015-05-26T00:00:00"/>
    <d v="1899-12-30T10:09:34"/>
    <n v="831.6"/>
    <n v="0"/>
    <n v="-3078227.5100002158"/>
    <m/>
    <m/>
    <m/>
    <n v="125180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4"/>
    <s v="Extrato/125181"/>
    <s v="Mercantil Do Brasil - Cód. 125181"/>
    <n v="0"/>
    <d v="2015-05-26T00:00:00"/>
    <d v="1899-12-30T10:09:34"/>
    <n v="1386"/>
    <n v="0"/>
    <n v="-3079613.5100002158"/>
    <m/>
    <m/>
    <m/>
    <n v="125181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5"/>
    <s v="Extrato/125182"/>
    <s v="Mercantil Do Brasil - Cód. 125182"/>
    <n v="0"/>
    <d v="2015-05-26T00:00:00"/>
    <d v="1899-12-30T10:09:34"/>
    <n v="693"/>
    <n v="0"/>
    <n v="-3080306.5100002158"/>
    <m/>
    <m/>
    <m/>
    <n v="125182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2616"/>
    <n v="192811"/>
    <s v="Retorno: Par. 192811(05/12) - 018199/GUS - Mensalidades"/>
    <n v="1473"/>
    <d v="2015-05-26T00:00:00"/>
    <d v="1899-12-30T10:25:40"/>
    <n v="0"/>
    <n v="0"/>
    <n v="-3078833.5100002158"/>
    <m/>
    <m/>
    <n v="192811"/>
    <m/>
    <n v="14"/>
    <s v="Renato"/>
    <n v="1"/>
    <m/>
    <n v="2"/>
    <d v="2015-06-09T00:00:00"/>
    <d v="2015-06-09T00:00:00"/>
    <n v="28929"/>
    <n v="20150526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7"/>
    <n v="192914"/>
    <s v="Retorno: Par. 192914(05/12) - 018108/VAN - Mensalidades"/>
    <n v="1473"/>
    <d v="2015-05-26T00:00:00"/>
    <d v="1899-12-30T10:25:40"/>
    <n v="0"/>
    <n v="0"/>
    <n v="-3077360.5100002158"/>
    <m/>
    <m/>
    <n v="192914"/>
    <m/>
    <n v="14"/>
    <s v="Renato"/>
    <n v="1"/>
    <m/>
    <n v="2"/>
    <d v="2015-06-09T00:00:00"/>
    <d v="2015-06-09T00:00:00"/>
    <n v="28930"/>
    <n v="20150526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5"/>
    <n v="192706"/>
    <s v="Retorno: Par. 192706(05/12) - 019587/BRU - Mensalidades"/>
    <n v="1473"/>
    <d v="2015-05-26T00:00:00"/>
    <d v="1899-12-30T10:25:40"/>
    <n v="0"/>
    <n v="0"/>
    <n v="-3075887.5100002158"/>
    <m/>
    <m/>
    <n v="192706"/>
    <m/>
    <n v="14"/>
    <s v="Renato"/>
    <n v="1"/>
    <m/>
    <n v="2"/>
    <d v="2015-06-09T00:00:00"/>
    <d v="2015-06-09T00:00:00"/>
    <n v="28928"/>
    <n v="20150526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1246"/>
    <s v="Transferência/124256"/>
    <s v="Automaticket Impressos Publicitarios - Cód. 124256"/>
    <n v="0"/>
    <d v="2015-05-26T00:00:00"/>
    <d v="1899-12-30T10:34:52"/>
    <n v="99"/>
    <n v="0"/>
    <n v="-3075986.5100002158"/>
    <m/>
    <m/>
    <m/>
    <n v="124256"/>
    <n v="24"/>
    <s v="Emilly"/>
    <n v="1"/>
    <m/>
    <n v="1527"/>
    <d v="2015-05-27T00:00:00"/>
    <d v="2015-05-27T00:00:00"/>
    <m/>
    <m/>
    <n v="2015"/>
    <n v="24"/>
    <m/>
    <m/>
    <m/>
    <m/>
    <s v="Uber.Despesa diversas"/>
    <x v="1"/>
    <s v="COLÉGIO OLIMPO LTDA"/>
    <m/>
    <n v="56"/>
    <n v="1"/>
    <s v="Dinheiro"/>
    <m/>
    <n v="0"/>
    <m/>
    <n v="0"/>
    <m/>
    <m/>
    <s v="CAIXA TESOURARIA"/>
    <m/>
    <m/>
    <m/>
  </r>
  <r>
    <n v="271247"/>
    <s v="175/123573"/>
    <s v="Locaweb  - Cód. 123573"/>
    <n v="0"/>
    <d v="2015-05-26T00:00:00"/>
    <d v="1899-12-30T10:35:39"/>
    <n v="570"/>
    <n v="0"/>
    <n v="-3076556.5100002158"/>
    <m/>
    <m/>
    <m/>
    <n v="123573"/>
    <n v="24"/>
    <s v="Emilly"/>
    <n v="1"/>
    <m/>
    <n v="552"/>
    <d v="2015-05-27T00:00:00"/>
    <d v="2015-05-27T00:00:00"/>
    <m/>
    <m/>
    <n v="2015"/>
    <n v="24"/>
    <m/>
    <m/>
    <m/>
    <m/>
    <s v="CA.Marketing (CUSTO)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248"/>
    <n v="211371"/>
    <s v="Par.(11/12) 018171/EDUARDA SOUZA SALLY - Mensalidades"/>
    <n v="1443.54"/>
    <d v="2015-05-26T00:00:00"/>
    <d v="1899-12-30T10:40:45"/>
    <n v="0"/>
    <n v="0"/>
    <n v="-3075112.9700002158"/>
    <m/>
    <m/>
    <n v="21137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447"/>
    <s v="6796/122239"/>
    <s v="Life Manutenção M e Ltda - Cód. 122239"/>
    <n v="0"/>
    <d v="2015-05-26T00:00:00"/>
    <d v="1899-12-30T10:49:38"/>
    <n v="158.29"/>
    <n v="0"/>
    <n v="-3075271.2600002158"/>
    <m/>
    <m/>
    <m/>
    <n v="122239"/>
    <n v="24"/>
    <s v="Emilly"/>
    <n v="1"/>
    <m/>
    <n v="354"/>
    <d v="2015-05-28T00:00:00"/>
    <d v="2015-05-28T00:00:00"/>
    <m/>
    <m/>
    <n v="2015"/>
    <n v="24"/>
    <m/>
    <m/>
    <m/>
    <m/>
    <s v="Marista.Manutenção Máquinas e Equipamento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249"/>
    <n v="216639"/>
    <s v="Par.(11/12) 020810/MARIA PAULA PERILLO FERRE - Parcelas"/>
    <n v="1386"/>
    <d v="2015-05-26T00:00:00"/>
    <d v="1899-12-30T10:49:43"/>
    <n v="0"/>
    <n v="0"/>
    <n v="-3073885.2600002158"/>
    <m/>
    <m/>
    <n v="216639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448"/>
    <s v="6797/122238"/>
    <s v="Life Manutenção M e Ltda - Cód. 122238"/>
    <n v="0"/>
    <d v="2015-05-26T00:00:00"/>
    <d v="1899-12-30T10:50:28"/>
    <n v="204.79"/>
    <n v="0"/>
    <n v="-3074090.0500002159"/>
    <m/>
    <m/>
    <m/>
    <n v="122238"/>
    <n v="24"/>
    <s v="Emilly"/>
    <n v="1"/>
    <m/>
    <n v="157"/>
    <d v="2015-05-28T00:00:00"/>
    <d v="2015-05-28T00:00:00"/>
    <m/>
    <m/>
    <n v="2015"/>
    <n v="24"/>
    <m/>
    <m/>
    <m/>
    <m/>
    <s v="T-3.Manutenção Máquinas e Equipamento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250"/>
    <n v="213170"/>
    <s v="Par.(12/12) 020749/ALANA PUERTAS DE MATOS  - Parcelas"/>
    <n v="1386"/>
    <d v="2015-05-26T00:00:00"/>
    <d v="1899-12-30T10:53:15"/>
    <n v="0"/>
    <n v="0"/>
    <n v="-3072704.0500002159"/>
    <m/>
    <m/>
    <n v="21317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51"/>
    <n v="210332"/>
    <s v="Par.(11/12) 020257/YASMIN DE MELO BARROS DAM - Parcelas"/>
    <n v="700"/>
    <d v="2015-05-26T00:00:00"/>
    <d v="1899-12-30T10:55:28"/>
    <n v="0"/>
    <n v="0"/>
    <n v="-3072004.0500002159"/>
    <m/>
    <m/>
    <n v="21033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52"/>
    <n v="210333"/>
    <s v="Par.(12/12) 020257/YASMIN DE MELO BARROS DAM - Parcelas"/>
    <n v="700"/>
    <d v="2015-05-26T00:00:00"/>
    <d v="1899-12-30T10:55:30"/>
    <n v="0"/>
    <n v="0"/>
    <n v="-3071304.0500002159"/>
    <m/>
    <m/>
    <n v="210333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54"/>
    <n v="215652"/>
    <s v="Par.(10/10) 020802/BÁRBARA SEIXAS MENGAI - Parcelas"/>
    <n v="220"/>
    <d v="2015-05-26T00:00:00"/>
    <d v="1899-12-30T10:56:28"/>
    <n v="0"/>
    <n v="0"/>
    <n v="-3071084.0500002159"/>
    <m/>
    <m/>
    <n v="215652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3"/>
    <n v="215651"/>
    <s v="Par.(09/10) 020802/BÁRBARA SEIXAS MENGAI - Parcelas"/>
    <n v="220"/>
    <d v="2015-05-26T00:00:00"/>
    <d v="1899-12-30T10:56:28"/>
    <n v="0"/>
    <n v="0"/>
    <n v="-3070864.0500002159"/>
    <m/>
    <m/>
    <n v="21565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7"/>
    <n v="215458"/>
    <s v="Par.(10/10) 020796/ISADORA CUNHA MANATA - Parcelas"/>
    <n v="220"/>
    <d v="2015-05-26T00:00:00"/>
    <d v="1899-12-30T11:03:08"/>
    <n v="0"/>
    <n v="0"/>
    <n v="-3070644.0500002159"/>
    <m/>
    <m/>
    <n v="21545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6"/>
    <n v="215457"/>
    <s v="Par.(09/10) 020796/ISADORA CUNHA MANATA - Parcelas"/>
    <n v="220"/>
    <d v="2015-05-26T00:00:00"/>
    <d v="1899-12-30T11:03:08"/>
    <n v="0"/>
    <n v="0"/>
    <n v="-3070424.0500002159"/>
    <m/>
    <m/>
    <n v="21545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8"/>
    <n v="212427"/>
    <s v="Par.(10/10) 020687/GABRIELA REZENDE SPINI - Parcelas"/>
    <n v="220"/>
    <d v="2015-05-26T00:00:00"/>
    <d v="1899-12-30T11:05:12"/>
    <n v="0"/>
    <n v="0"/>
    <n v="-3070204.0500002159"/>
    <m/>
    <m/>
    <n v="21242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9"/>
    <n v="213181"/>
    <s v="Par.(11/12) 020747/GABRIEL ALVES MEIRELLES - Parcelas"/>
    <n v="1386"/>
    <d v="2015-05-26T00:00:00"/>
    <d v="1899-12-30T11:06:13"/>
    <n v="0"/>
    <n v="0"/>
    <n v="-3068818.0500002159"/>
    <m/>
    <m/>
    <n v="21318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60"/>
    <n v="213182"/>
    <s v="Par.(12/12) 020747/GABRIEL ALVES MEIRELLES - Parcelas"/>
    <n v="1386"/>
    <d v="2015-05-26T00:00:00"/>
    <d v="1899-12-30T11:06:14"/>
    <n v="0"/>
    <n v="0"/>
    <n v="-3067432.0500002159"/>
    <m/>
    <m/>
    <n v="21318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64"/>
    <n v="213657"/>
    <s v="Par.(12/12) 018311/VITORIA TEIXEIRA MUSTAPHA - Mensalidades"/>
    <n v="1440"/>
    <d v="2015-05-26T00:00:00"/>
    <d v="1899-12-30T11:15:01"/>
    <n v="0"/>
    <n v="0"/>
    <n v="-3065992.0500002159"/>
    <m/>
    <m/>
    <n v="21365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69"/>
    <n v="208590"/>
    <s v="Par.(08/12) 020208/VITORIA CHAGAS BENEVIDES - Parcelas"/>
    <n v="1386"/>
    <d v="2015-05-26T00:00:00"/>
    <d v="1899-12-30T11:17:18"/>
    <n v="0"/>
    <n v="0"/>
    <n v="-3064606.0500002159"/>
    <m/>
    <m/>
    <n v="208590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0"/>
    <n v="208591"/>
    <s v="Par.(09/12) 020208/VITORIA CHAGAS BENEVIDES - Parcelas"/>
    <n v="1386"/>
    <d v="2015-05-26T00:00:00"/>
    <d v="1899-12-30T11:17:53"/>
    <n v="0"/>
    <n v="0"/>
    <n v="-3063220.0500002159"/>
    <m/>
    <m/>
    <n v="208591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1"/>
    <n v="216710"/>
    <s v="Par.(03-3) 015822/MARIANA SANTOS GUIMARÃES - Renegociado"/>
    <n v="961"/>
    <d v="2015-05-26T00:00:00"/>
    <d v="1899-12-30T11:24:25"/>
    <n v="0"/>
    <n v="0"/>
    <n v="-3062259.0500002159"/>
    <m/>
    <m/>
    <n v="216710"/>
    <m/>
    <n v="24"/>
    <s v="Emilly"/>
    <n v="1"/>
    <m/>
    <n v="1378"/>
    <d v="2015-05-27T00:00:00"/>
    <d v="2015-05-27T00:00:00"/>
    <m/>
    <m/>
    <n v="2015"/>
    <n v="24"/>
    <m/>
    <m/>
    <m/>
    <m/>
    <s v="Pagamento de cheque devolvido"/>
    <x v="1"/>
    <s v="COLÉGIO OLIMPO LTDA"/>
    <m/>
    <n v="55"/>
    <n v="11"/>
    <s v="Antec. de Cheque"/>
    <m/>
    <n v="0"/>
    <m/>
    <n v="0"/>
    <m/>
    <m/>
    <s v="FACT: LR FOMENTO "/>
    <m/>
    <m/>
    <m/>
  </r>
  <r>
    <n v="271272"/>
    <n v="216709"/>
    <s v="Par.(02-3) 015822/MARIANA SANTOS GUIMARÃES - Renegociado"/>
    <n v="961"/>
    <d v="2015-05-26T00:00:00"/>
    <d v="1899-12-30T11:25:06"/>
    <n v="0"/>
    <n v="0"/>
    <n v="-3061298.0500002159"/>
    <m/>
    <m/>
    <n v="216709"/>
    <m/>
    <n v="24"/>
    <s v="Emilly"/>
    <n v="1"/>
    <m/>
    <n v="1378"/>
    <d v="2015-05-27T00:00:00"/>
    <d v="2015-05-27T00:00:00"/>
    <m/>
    <m/>
    <n v="2015"/>
    <n v="24"/>
    <m/>
    <m/>
    <m/>
    <m/>
    <s v="Pagamento de cheque devolvido"/>
    <x v="1"/>
    <s v="COLÉGIO OLIMPO LTDA"/>
    <m/>
    <n v="55"/>
    <n v="11"/>
    <s v="Antec. de Cheque"/>
    <m/>
    <n v="0"/>
    <m/>
    <n v="0"/>
    <m/>
    <m/>
    <s v="FACT: LR FOMENTO "/>
    <m/>
    <m/>
    <m/>
  </r>
  <r>
    <n v="271273"/>
    <n v="194827"/>
    <s v="Par.(11/12) 018584/ISABELLA CONRADO DE ALMEI - Mensalidades"/>
    <n v="1689"/>
    <d v="2015-05-26T00:00:00"/>
    <d v="1899-12-30T11:25:20"/>
    <n v="0"/>
    <n v="0"/>
    <n v="-3059609.0500002159"/>
    <m/>
    <m/>
    <n v="19482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74"/>
    <n v="194828"/>
    <s v="Par.(12/12) 018584/ISABELLA CONRADO DE ALMEI - Mensalidades"/>
    <n v="1689"/>
    <d v="2015-05-26T00:00:00"/>
    <d v="1899-12-30T11:25:21"/>
    <n v="0"/>
    <n v="0"/>
    <n v="-3057920.0500002159"/>
    <m/>
    <m/>
    <n v="194828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75"/>
    <n v="207693"/>
    <s v="Par.(07/12) 020366/KELLEN KATHERINE ROCHA SA - Parcelas"/>
    <n v="1094.95"/>
    <d v="2015-05-26T00:00:00"/>
    <d v="1899-12-30T11:26:32"/>
    <n v="0"/>
    <n v="0"/>
    <n v="-3056825.1000002157"/>
    <m/>
    <m/>
    <n v="207693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8"/>
    <n v="207696"/>
    <s v="Par.(10/12) 020366/KELLEN KATHERINE ROCHA SA - Parcelas"/>
    <n v="1386"/>
    <d v="2015-05-26T00:00:00"/>
    <d v="1899-12-30T11:26:33"/>
    <n v="0"/>
    <n v="0"/>
    <n v="-3055439.1000002157"/>
    <m/>
    <m/>
    <n v="207696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6"/>
    <n v="207694"/>
    <s v="Par.(08/12) 020366/KELLEN KATHERINE ROCHA SA - Parcelas"/>
    <n v="1386"/>
    <d v="2015-05-26T00:00:00"/>
    <d v="1899-12-30T11:26:33"/>
    <n v="0"/>
    <n v="0"/>
    <n v="-3054053.1000002157"/>
    <m/>
    <m/>
    <n v="207694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7"/>
    <n v="207695"/>
    <s v="Par.(09/12) 020366/KELLEN KATHERINE ROCHA SA - Parcelas"/>
    <n v="1386"/>
    <d v="2015-05-26T00:00:00"/>
    <d v="1899-12-30T11:26:33"/>
    <n v="0"/>
    <n v="0"/>
    <n v="-3052667.1000002157"/>
    <m/>
    <m/>
    <n v="207695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9"/>
    <n v="207697"/>
    <s v="Par.(11/12) 020366/KELLEN KATHERINE ROCHA SA - Parcelas"/>
    <n v="1386"/>
    <d v="2015-05-26T00:00:00"/>
    <d v="1899-12-30T11:26:34"/>
    <n v="0"/>
    <n v="0"/>
    <n v="-3051281.1000002157"/>
    <m/>
    <m/>
    <n v="207697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80"/>
    <n v="207698"/>
    <s v="Par.(12/12) 020366/KELLEN KATHERINE ROCHA SA - Parcelas"/>
    <n v="1386"/>
    <d v="2015-05-26T00:00:00"/>
    <d v="1899-12-30T11:26:34"/>
    <n v="0"/>
    <n v="0"/>
    <n v="-3049895.1000002157"/>
    <m/>
    <m/>
    <n v="207698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81"/>
    <n v="211657"/>
    <s v="Par.(12/12) 018658/ANTONIO CÉZAR BATISTA FIL - Mensalidades"/>
    <n v="1551.6"/>
    <d v="2015-05-26T00:00:00"/>
    <d v="1899-12-30T11:26:41"/>
    <n v="0"/>
    <n v="0"/>
    <n v="-3048343.5000002156"/>
    <m/>
    <m/>
    <n v="21165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82"/>
    <n v="214729"/>
    <s v="Par.(12/12) 018336/PEDRO POTENCIANO DE CARVA - Mensalidades"/>
    <n v="883.8"/>
    <d v="2015-05-26T00:00:00"/>
    <d v="1899-12-30T11:27:27"/>
    <n v="0"/>
    <n v="0"/>
    <n v="-3047459.7000002158"/>
    <m/>
    <m/>
    <n v="214729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83"/>
    <n v="215576"/>
    <s v="Par.(12/12) 018335/VICTOR MELO GIFFONI DE AL - Mensalidades"/>
    <n v="1443.54"/>
    <d v="2015-05-26T00:00:00"/>
    <d v="1899-12-30T11:28:10"/>
    <n v="0"/>
    <n v="0"/>
    <n v="-3046016.1600002158"/>
    <m/>
    <m/>
    <n v="21557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84"/>
    <n v="208980"/>
    <s v="Par.(07/12) 020103/LEONARDO BERNARDES DA SIL - Parcelas"/>
    <n v="1386"/>
    <d v="2015-05-26T00:00:00"/>
    <d v="1899-12-30T11:28:34"/>
    <n v="0"/>
    <n v="0"/>
    <n v="-3044630.1600002158"/>
    <m/>
    <m/>
    <n v="208980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85"/>
    <n v="205159"/>
    <s v="Par.(12/12) 019703/JÚLIA CAROLINE COIMBRA CO - Mensalidades"/>
    <n v="1473"/>
    <d v="2015-05-26T00:00:00"/>
    <d v="1899-12-30T11:29:12"/>
    <n v="0"/>
    <n v="0"/>
    <n v="-3043157.1600002158"/>
    <m/>
    <m/>
    <n v="205159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86"/>
    <n v="208981"/>
    <s v="Par.(08/12) 020103/LEONARDO BERNARDES DA SIL - Parcelas"/>
    <n v="1386"/>
    <d v="2015-05-26T00:00:00"/>
    <d v="1899-12-30T11:30:35"/>
    <n v="0"/>
    <n v="0"/>
    <n v="-3041771.1600002158"/>
    <m/>
    <m/>
    <n v="208981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87"/>
    <n v="216854"/>
    <s v="Par.(09/10) 020818/ADARIO DANTAS CARNEIRO - Parcelas"/>
    <n v="220"/>
    <d v="2015-05-26T00:00:00"/>
    <d v="1899-12-30T11:31:14"/>
    <n v="0"/>
    <n v="0"/>
    <n v="-3041551.1600002158"/>
    <m/>
    <m/>
    <n v="21685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2091"/>
    <n v="196691"/>
    <s v="Retorno: Par. 196691(05/12) - 19838/THY - Mensalidades"/>
    <n v="1724"/>
    <d v="2015-05-26T00:00:00"/>
    <d v="1899-12-30T12:00:00"/>
    <n v="0"/>
    <n v="0"/>
    <n v="-3039827.1600002158"/>
    <m/>
    <m/>
    <n v="196691"/>
    <m/>
    <n v="1"/>
    <s v="Andre"/>
    <n v="1"/>
    <m/>
    <n v="2"/>
    <d v="2015-06-05T00:00:00"/>
    <d v="2015-06-05T00:00:00"/>
    <n v="28520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90"/>
    <n v="197237"/>
    <s v="Retorno: Par. 197237(05/12) - 18500/MAR - Mensalidades"/>
    <n v="1724"/>
    <d v="2015-05-26T00:00:00"/>
    <d v="1899-12-30T12:00:00"/>
    <n v="0"/>
    <n v="0"/>
    <n v="-3038103.1600002158"/>
    <m/>
    <m/>
    <n v="197237"/>
    <m/>
    <n v="1"/>
    <s v="Andre"/>
    <n v="1"/>
    <m/>
    <n v="2"/>
    <d v="2015-06-05T00:00:00"/>
    <d v="2015-06-05T00:00:00"/>
    <n v="28519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52"/>
    <n v="204681"/>
    <s v="Retorno: Par. 204681(05/12) - 18476/CAR - Mensalidades"/>
    <n v="1724"/>
    <d v="2015-05-26T00:00:00"/>
    <d v="1899-12-30T12:00:00"/>
    <n v="0"/>
    <n v="0"/>
    <n v="-3036379.1600002158"/>
    <m/>
    <m/>
    <n v="204681"/>
    <m/>
    <n v="1"/>
    <s v="Andre"/>
    <n v="1"/>
    <m/>
    <n v="2"/>
    <d v="2015-06-30T00:00:00"/>
    <d v="2015-06-30T00:00:00"/>
    <n v="2913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2842"/>
    <s v="Remessa Olimpo Anápolis"/>
    <s v="Remessa Olimpo Anápolis"/>
    <n v="4576.2"/>
    <d v="2015-05-26T00:00:00"/>
    <d v="1899-12-30T13:21:01"/>
    <n v="0"/>
    <n v="0"/>
    <n v="-3031802.9600002156"/>
    <m/>
    <m/>
    <m/>
    <m/>
    <n v="24"/>
    <s v="Emilly"/>
    <n v="2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843"/>
    <s v="Ant.Cob/125072"/>
    <s v="Banco Brb - Par. 125072(01-6)"/>
    <n v="0"/>
    <d v="2015-05-26T00:00:00"/>
    <d v="1899-12-30T13:22:44"/>
    <n v="1551.6"/>
    <n v="0"/>
    <n v="-3033354.5600002157"/>
    <m/>
    <m/>
    <m/>
    <n v="125072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4"/>
    <s v="Ant.Cob/125073"/>
    <s v="Banco Brb - Par. 125073(02-6)"/>
    <n v="0"/>
    <d v="2015-05-26T00:00:00"/>
    <d v="1899-12-30T13:22:44"/>
    <n v="1551.6"/>
    <n v="0"/>
    <n v="-3034906.1600002158"/>
    <m/>
    <m/>
    <m/>
    <n v="125073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5"/>
    <s v="Ant.Cob/125074"/>
    <s v="Banco Brb - Par. 125074(03-6)"/>
    <n v="0"/>
    <d v="2015-05-26T00:00:00"/>
    <d v="1899-12-30T13:22:44"/>
    <n v="1473"/>
    <n v="0"/>
    <n v="-3036379.1600002158"/>
    <m/>
    <m/>
    <m/>
    <n v="125074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6"/>
    <s v="Ant.Cob/125075"/>
    <s v="Banco Brb - Par. 125075(04-6)"/>
    <n v="0"/>
    <d v="2015-05-26T00:00:00"/>
    <d v="1899-12-30T13:22:44"/>
    <n v="1473"/>
    <n v="0"/>
    <n v="-3037852.1600002158"/>
    <m/>
    <m/>
    <m/>
    <n v="12507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7"/>
    <s v="Ant.Cob/125076"/>
    <s v="Banco Brb - Par. 125076(05-6)"/>
    <n v="0"/>
    <d v="2015-05-26T00:00:00"/>
    <d v="1899-12-30T13:22:44"/>
    <n v="1473"/>
    <n v="0"/>
    <n v="-3039325.1600002158"/>
    <m/>
    <m/>
    <m/>
    <n v="125076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8"/>
    <s v="Ant.Cob/125077"/>
    <s v="Banco Brb - Par. 125077(06-6)"/>
    <n v="0"/>
    <d v="2015-05-26T00:00:00"/>
    <d v="1899-12-30T13:22:44"/>
    <n v="1473"/>
    <n v="0"/>
    <n v="-3040798.1600002158"/>
    <m/>
    <m/>
    <m/>
    <n v="125077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295"/>
    <n v="216951"/>
    <s v="Par.(06/10) 020807/NEIDE ALVES ALMEIDA ALVAR - Parcelas"/>
    <n v="160"/>
    <d v="2015-05-26T00:00:00"/>
    <d v="1899-12-30T13:52:42"/>
    <n v="0"/>
    <n v="0"/>
    <n v="-3040638.1600002158"/>
    <m/>
    <m/>
    <n v="216951"/>
    <m/>
    <n v="24"/>
    <s v="Emilly"/>
    <n v="2"/>
    <m/>
    <n v="62"/>
    <d v="2015-05-27T00:00:00"/>
    <d v="2015-05-27T00:00:00"/>
    <m/>
    <m/>
    <n v="2015"/>
    <n v="24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96"/>
    <n v="216950"/>
    <s v="Par.(05/10) 020807/NEIDE ALVES ALMEIDA ALVAR - Parcelas"/>
    <n v="160"/>
    <d v="2015-05-26T00:00:00"/>
    <d v="1899-12-30T13:53:08"/>
    <n v="0"/>
    <n v="0"/>
    <n v="-3040478.1600002158"/>
    <m/>
    <m/>
    <n v="216950"/>
    <m/>
    <n v="24"/>
    <s v="Emilly"/>
    <n v="2"/>
    <m/>
    <n v="62"/>
    <d v="2015-05-27T00:00:00"/>
    <d v="2015-05-27T00:00:00"/>
    <m/>
    <m/>
    <n v="2015"/>
    <n v="24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97"/>
    <s v="Entrada"/>
    <s v="Ch Pre Unicred 5458 Maira Costa"/>
    <n v="2500"/>
    <d v="2015-05-26T00:00:00"/>
    <d v="1899-12-30T13:57:21"/>
    <n v="0"/>
    <n v="0"/>
    <n v="-3037978.1600002158"/>
    <m/>
    <m/>
    <m/>
    <m/>
    <n v="24"/>
    <s v="Emilly"/>
    <n v="1"/>
    <m/>
    <n v="95"/>
    <d v="2015-05-27T00:00:00"/>
    <d v="2015-05-27T00:00:00"/>
    <m/>
    <m/>
    <n v="2015"/>
    <n v="24"/>
    <m/>
    <m/>
    <m/>
    <m/>
    <s v="Recebimento Diversos"/>
    <x v="1"/>
    <s v="COLÉGIO OLIMPO LTDA"/>
    <m/>
    <n v="55"/>
    <n v="8"/>
    <s v="Transferência Bancária"/>
    <m/>
    <m/>
    <m/>
    <n v="0"/>
    <m/>
    <m/>
    <s v="FACT: LR FOMENTO "/>
    <m/>
    <m/>
    <m/>
  </r>
  <r>
    <n v="271298"/>
    <s v="Entrada"/>
    <s v="Ch Pre Unicre 149 Maira Costa"/>
    <n v="2500"/>
    <d v="2015-05-26T00:00:00"/>
    <d v="1899-12-30T13:58:45"/>
    <n v="0"/>
    <n v="0"/>
    <n v="-3035478.1600002158"/>
    <m/>
    <m/>
    <m/>
    <m/>
    <n v="24"/>
    <s v="Emilly"/>
    <n v="1"/>
    <m/>
    <n v="95"/>
    <d v="2015-05-27T00:00:00"/>
    <d v="2015-05-27T00:00:00"/>
    <m/>
    <m/>
    <n v="2015"/>
    <n v="24"/>
    <m/>
    <m/>
    <m/>
    <m/>
    <s v="Recebimento Diversos"/>
    <x v="1"/>
    <s v="COLÉGIO OLIMPO LTDA"/>
    <m/>
    <n v="55"/>
    <n v="8"/>
    <s v="Transferência Bancária"/>
    <m/>
    <m/>
    <m/>
    <n v="0"/>
    <m/>
    <m/>
    <s v="FACT: LR FOMENTO "/>
    <m/>
    <m/>
    <m/>
  </r>
  <r>
    <n v="271299"/>
    <n v="216799"/>
    <s v="Par.(07/10) 020814/CAIRO MENDES MIRANDA SILV - Parcelas"/>
    <n v="220"/>
    <d v="2015-05-26T00:00:00"/>
    <d v="1899-12-30T13:58:55"/>
    <n v="0"/>
    <n v="0"/>
    <n v="-3035258.1600002158"/>
    <m/>
    <m/>
    <n v="21679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2"/>
    <s v="Cheque"/>
    <m/>
    <n v="0"/>
    <m/>
    <n v="0"/>
    <m/>
    <m/>
    <s v="FACT: LR FOMENTO "/>
    <m/>
    <m/>
    <m/>
  </r>
  <r>
    <n v="271300"/>
    <s v="Entrada"/>
    <s v="Operação de Credito Ch Pre Brb Sol 3711"/>
    <n v="26000"/>
    <d v="2015-05-26T00:00:00"/>
    <d v="1899-12-30T13:59:24"/>
    <n v="0"/>
    <n v="0"/>
    <n v="-3009258.1600002158"/>
    <m/>
    <m/>
    <m/>
    <m/>
    <n v="24"/>
    <s v="Emilly"/>
    <n v="1"/>
    <m/>
    <n v="1471"/>
    <d v="2015-05-27T00:00:00"/>
    <d v="2015-05-27T00:00:00"/>
    <m/>
    <m/>
    <n v="2015"/>
    <n v="24"/>
    <m/>
    <m/>
    <m/>
    <m/>
    <s v="Transferência Entre Contas"/>
    <x v="2"/>
    <s v="COLÉGIO OLIMPO LTDA"/>
    <m/>
    <n v="55"/>
    <n v="2"/>
    <s v="Cheque"/>
    <m/>
    <m/>
    <m/>
    <n v="0"/>
    <m/>
    <m/>
    <s v="FACT: LR FOMENTO "/>
    <m/>
    <m/>
    <m/>
  </r>
  <r>
    <n v="271301"/>
    <n v="216774"/>
    <s v="Par.(07/10) 020809/ANDRÉ LUCAS SEIXAS MACALÃ - Parcelas"/>
    <n v="154"/>
    <d v="2015-05-26T00:00:00"/>
    <d v="1899-12-30T14:02:16"/>
    <n v="0"/>
    <n v="0"/>
    <n v="-3009104.1600002158"/>
    <m/>
    <m/>
    <n v="21677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2"/>
    <s v="Entrada"/>
    <s v="Operação de Credito Ch Pre Brb Sol 3710 "/>
    <n v="26000"/>
    <d v="2015-05-26T00:00:00"/>
    <d v="1899-12-30T14:02:25"/>
    <n v="0"/>
    <n v="0"/>
    <n v="-2983104.1600002158"/>
    <m/>
    <m/>
    <m/>
    <m/>
    <n v="24"/>
    <s v="Emilly"/>
    <n v="1"/>
    <m/>
    <n v="1471"/>
    <d v="2015-05-27T00:00:00"/>
    <d v="2015-05-27T00:00:00"/>
    <m/>
    <m/>
    <n v="2015"/>
    <n v="24"/>
    <m/>
    <m/>
    <m/>
    <m/>
    <s v="Transferência Entre Contas"/>
    <x v="2"/>
    <s v="COLÉGIO OLIMPO LTDA"/>
    <m/>
    <n v="55"/>
    <n v="8"/>
    <s v="Transferência Bancária"/>
    <m/>
    <m/>
    <m/>
    <n v="0"/>
    <m/>
    <m/>
    <s v="FACT: LR FOMENTO "/>
    <m/>
    <m/>
    <m/>
  </r>
  <r>
    <n v="271303"/>
    <n v="216786"/>
    <s v="Par.(07/10) 020813/DAYANNE SILVA AMARAL - Parcelas"/>
    <n v="220"/>
    <d v="2015-05-26T00:00:00"/>
    <d v="1899-12-30T14:03:11"/>
    <n v="0"/>
    <n v="0"/>
    <n v="-2982884.1600002158"/>
    <m/>
    <m/>
    <n v="21678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4"/>
    <n v="215628"/>
    <s v="Par.(10/12) 020799/JOANA D´ARC OLIVEIRA DAMA - Parcelas"/>
    <n v="1386"/>
    <d v="2015-05-26T00:00:00"/>
    <d v="1899-12-30T14:04:45"/>
    <n v="0"/>
    <n v="0"/>
    <n v="-2981498.1600002158"/>
    <m/>
    <m/>
    <n v="215628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4084"/>
    <s v="Recibo/122363"/>
    <s v="Olimpo Uberlândia - Cód. 122363"/>
    <n v="0"/>
    <d v="2015-05-26T00:00:00"/>
    <d v="1899-12-30T14:04:48"/>
    <n v="22791"/>
    <n v="0"/>
    <n v="-3004289.1600002158"/>
    <m/>
    <m/>
    <m/>
    <n v="122363"/>
    <n v="60"/>
    <s v="Francielly"/>
    <n v="1"/>
    <m/>
    <n v="1533"/>
    <d v="2015-06-25T00:00:00"/>
    <d v="2015-06-25T00:00:00"/>
    <m/>
    <m/>
    <n v="2015"/>
    <n v="60"/>
    <m/>
    <m/>
    <m/>
    <m/>
    <s v="Uber.Aluguel"/>
    <x v="1"/>
    <s v="COLÉGIO OLIMPO LTDA"/>
    <m/>
    <n v="52"/>
    <n v="2"/>
    <s v="Cheque"/>
    <m/>
    <n v="0"/>
    <m/>
    <n v="0"/>
    <m/>
    <m/>
    <s v="BRB [SOL] [012052-4] [CC] [COB]"/>
    <m/>
    <m/>
    <m/>
  </r>
  <r>
    <n v="271305"/>
    <n v="215641"/>
    <s v="Par.(11/12) 020798/MARCOS ADRIANO SILVA FILH - Parcelas"/>
    <n v="1000"/>
    <d v="2015-05-26T00:00:00"/>
    <d v="1899-12-30T14:05:15"/>
    <n v="0"/>
    <n v="0"/>
    <n v="-3003289.1600002158"/>
    <m/>
    <m/>
    <n v="21564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06"/>
    <n v="215467"/>
    <s v="Par.(09/10) 020797/RODOLFO OLIVEIRA ABREU - Parcelas"/>
    <n v="220"/>
    <d v="2015-05-26T00:00:00"/>
    <d v="1899-12-30T14:07:23"/>
    <n v="0"/>
    <n v="0"/>
    <n v="-3003069.1600002158"/>
    <m/>
    <m/>
    <n v="21546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7"/>
    <n v="214600"/>
    <s v="Par.(09/10) 020775/GIOVANA VIEIRA NUNES - Parcelas"/>
    <n v="220"/>
    <d v="2015-05-26T00:00:00"/>
    <d v="1899-12-30T14:08:52"/>
    <n v="0"/>
    <n v="0"/>
    <n v="-3002849.1600002158"/>
    <m/>
    <m/>
    <n v="21460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8"/>
    <n v="213107"/>
    <s v="Par.(09/10) 020738/HILLARY STEFANNY NEIAS RI - Parcelas"/>
    <n v="190"/>
    <d v="2015-05-26T00:00:00"/>
    <d v="1899-12-30T14:09:21"/>
    <n v="0"/>
    <n v="0"/>
    <n v="-3002659.1600002158"/>
    <m/>
    <m/>
    <n v="21310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9"/>
    <n v="216802"/>
    <s v="Par.(10/10) 020814/CAIRO MENDES MIRANDA SILV - Parcelas"/>
    <n v="220"/>
    <d v="2015-05-26T00:00:00"/>
    <d v="1899-12-30T14:10:10"/>
    <n v="0"/>
    <n v="0"/>
    <n v="-3002439.1600002158"/>
    <m/>
    <m/>
    <n v="216802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10"/>
    <n v="216789"/>
    <s v="Par.(10/10) 020813/DAYANNE SILVA AMARAL - Parcelas"/>
    <n v="220"/>
    <d v="2015-05-26T00:00:00"/>
    <d v="1899-12-30T14:10:44"/>
    <n v="0"/>
    <n v="0"/>
    <n v="-3002219.1600002158"/>
    <m/>
    <m/>
    <n v="21678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502"/>
    <n v="216992"/>
    <s v="Par.(03-10) 020545/GABRIEL DE PAULA BARROS B - PAGAMENTO CHE"/>
    <n v="191.12"/>
    <d v="2015-05-26T00:00:00"/>
    <d v="1899-12-30T14:13:41"/>
    <n v="0"/>
    <n v="0"/>
    <n v="-3002028.0400002156"/>
    <m/>
    <m/>
    <n v="216992"/>
    <m/>
    <n v="8"/>
    <s v="Vinicius"/>
    <n v="2"/>
    <m/>
    <n v="1378"/>
    <d v="2015-06-01T00:00:00"/>
    <d v="2015-06-01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1503"/>
    <n v="216991"/>
    <s v="Par.(05-12) 018643/GABRIEL DE PAULA BARROS B - PAGAMENTO CHE"/>
    <n v="1068.8800000000001"/>
    <d v="2015-05-26T00:00:00"/>
    <d v="1899-12-30T14:13:41"/>
    <n v="0"/>
    <n v="0"/>
    <n v="-3000959.1600002158"/>
    <m/>
    <m/>
    <n v="216991"/>
    <m/>
    <n v="8"/>
    <s v="Vinicius"/>
    <n v="1"/>
    <m/>
    <n v="1378"/>
    <d v="2015-06-01T00:00:00"/>
    <d v="2015-06-01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1311"/>
    <n v="216777"/>
    <s v="Par.(10/10) 020809/ANDRÉ LUCAS SEIXAS MACALÃ - Parcelas"/>
    <n v="154"/>
    <d v="2015-05-26T00:00:00"/>
    <d v="1899-12-30T14:13:44"/>
    <n v="0"/>
    <n v="0"/>
    <n v="-3000805.1600002158"/>
    <m/>
    <m/>
    <n v="21677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2071"/>
    <s v="2635/58505"/>
    <s v="Gentleman Serviços - Par. 058505(10-12)"/>
    <n v="0"/>
    <d v="2015-05-26T00:00:00"/>
    <d v="1899-12-30T14:14:24"/>
    <n v="243.04"/>
    <n v="0"/>
    <n v="-3001048.2000002158"/>
    <m/>
    <m/>
    <m/>
    <n v="58505"/>
    <n v="24"/>
    <s v="Emilly"/>
    <n v="1"/>
    <m/>
    <n v="377"/>
    <d v="2015-06-05T00:00:00"/>
    <d v="2015-06-05T00:00:00"/>
    <m/>
    <m/>
    <n v="2015"/>
    <n v="24"/>
    <m/>
    <m/>
    <m/>
    <m/>
    <s v="Marista.Seguros e proteções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12"/>
    <n v="216801"/>
    <s v="Par.(09/10) 020814/CAIRO MENDES MIRANDA SILV - Parcelas"/>
    <n v="220"/>
    <d v="2015-05-26T00:00:00"/>
    <d v="1899-12-30T14:17:18"/>
    <n v="0"/>
    <n v="0"/>
    <n v="-3000828.2000002158"/>
    <m/>
    <m/>
    <n v="21680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13"/>
    <n v="215630"/>
    <s v="Par.(12/12) 020799/JOANA D´ARC OLIVEIRA DAMA - Parcelas"/>
    <n v="1386"/>
    <d v="2015-05-26T00:00:00"/>
    <d v="1899-12-30T14:17:45"/>
    <n v="0"/>
    <n v="0"/>
    <n v="-2999442.2000002158"/>
    <m/>
    <m/>
    <n v="21563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14"/>
    <n v="215360"/>
    <s v="Par.(10/10) 020790/JEORTON FILGUEIRA SILVA - Parcelas"/>
    <n v="187"/>
    <d v="2015-05-26T00:00:00"/>
    <d v="1899-12-30T14:18:58"/>
    <n v="0"/>
    <n v="0"/>
    <n v="-2999255.2000002158"/>
    <m/>
    <m/>
    <n v="21536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15"/>
    <n v="215370"/>
    <s v="Par.(10/10) 020789/JEORTON FILGUEIRA SILVA - Parcelas"/>
    <n v="161.5"/>
    <d v="2015-05-26T00:00:00"/>
    <d v="1899-12-30T14:20:05"/>
    <n v="0"/>
    <n v="0"/>
    <n v="-2999093.7000002158"/>
    <m/>
    <m/>
    <n v="21537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16"/>
    <n v="215382"/>
    <s v="Par.(12/12) 020791/SARAH EVELYN SILVA FERNAN - Parcelas"/>
    <n v="693"/>
    <d v="2015-05-26T00:00:00"/>
    <d v="1899-12-30T14:20:44"/>
    <n v="0"/>
    <n v="0"/>
    <n v="-2998400.7000002158"/>
    <m/>
    <m/>
    <n v="215382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17"/>
    <n v="215310"/>
    <s v="Par.(10/10) 020786/ANA CLARA PEREIRA MENDES - Parcelas"/>
    <n v="220"/>
    <d v="2015-05-26T00:00:00"/>
    <d v="1899-12-30T14:21:34"/>
    <n v="0"/>
    <n v="0"/>
    <n v="-2998180.7000002158"/>
    <m/>
    <m/>
    <n v="21531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2890"/>
    <s v="Remessa Olimpo Fundamental"/>
    <s v="Remessa Olimpo Fundamental"/>
    <n v="1051"/>
    <d v="2015-05-26T00:00:00"/>
    <d v="1899-12-30T14:26:43"/>
    <n v="0"/>
    <n v="0"/>
    <n v="-2997129.7000002158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71220"/>
    <s v="69729/124189"/>
    <s v="Rhtron Informática Ltda - Cód. 124189"/>
    <n v="0"/>
    <d v="2015-05-26T00:00:00"/>
    <d v="1899-12-30T14:38:16"/>
    <n v="880"/>
    <n v="0"/>
    <n v="-2998009.7000002158"/>
    <m/>
    <m/>
    <m/>
    <n v="124189"/>
    <n v="24"/>
    <s v="Emilly"/>
    <n v="1"/>
    <m/>
    <n v="1564"/>
    <d v="2015-05-26T00:00:00"/>
    <d v="2015-05-26T00:00:00"/>
    <m/>
    <m/>
    <n v="2015"/>
    <n v="24"/>
    <m/>
    <m/>
    <m/>
    <m/>
    <s v="T-3.Software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3063"/>
    <s v="Extrato/126912"/>
    <s v="Caixa Econômica Federal - Cód. 126912"/>
    <n v="0"/>
    <d v="2015-05-26T00:00:00"/>
    <d v="1899-12-30T14:39:08"/>
    <n v="1.55"/>
    <n v="0"/>
    <n v="-2998011.2500002156"/>
    <m/>
    <m/>
    <m/>
    <n v="126912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2891"/>
    <s v="Extrato/125100"/>
    <s v="Banco Brb - Cód. 125100"/>
    <n v="0"/>
    <d v="2015-05-26T00:00:00"/>
    <d v="1899-12-30T14:41:09"/>
    <n v="9.9"/>
    <n v="0"/>
    <n v="-2998021.1500002155"/>
    <m/>
    <m/>
    <m/>
    <n v="125100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92"/>
    <s v="Extrato/125101"/>
    <s v="Banco Brb - Cód. 125101"/>
    <n v="0"/>
    <d v="2015-05-26T00:00:00"/>
    <d v="1899-12-30T14:41:09"/>
    <n v="8.8000000000000007"/>
    <n v="0"/>
    <n v="-2998029.9500002153"/>
    <m/>
    <m/>
    <m/>
    <n v="125101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93"/>
    <s v="Extrato/125102"/>
    <s v="Banco Brb - Cód. 125102"/>
    <n v="0"/>
    <d v="2015-05-26T00:00:00"/>
    <d v="1899-12-30T14:41:09"/>
    <n v="23.3"/>
    <n v="0"/>
    <n v="-2998053.2500002151"/>
    <m/>
    <m/>
    <m/>
    <n v="125102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94"/>
    <s v="Ant.Cob/125103"/>
    <s v="Banco Brb - Cód. 125103"/>
    <n v="0"/>
    <d v="2015-05-26T00:00:00"/>
    <d v="1899-12-30T14:41:09"/>
    <n v="1051"/>
    <n v="0"/>
    <n v="-2999104.2500002151"/>
    <m/>
    <m/>
    <m/>
    <n v="125103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95"/>
    <s v="Ch Brb Sol 3000/114182"/>
    <s v="Fábio Villa Verde Moreno - Cód. 114182"/>
    <n v="0"/>
    <d v="2015-05-26T00:00:00"/>
    <d v="1899-12-30T14:43:45"/>
    <n v="11389"/>
    <n v="0"/>
    <n v="-3010493.2500002151"/>
    <m/>
    <m/>
    <m/>
    <n v="114182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96"/>
    <s v="Ch Brb Sol 3022/114194"/>
    <s v="Fábio Villa Verde Moreno - Cód. 114194"/>
    <n v="0"/>
    <d v="2015-05-26T00:00:00"/>
    <d v="1899-12-30T14:44:58"/>
    <n v="5560"/>
    <n v="0"/>
    <n v="-3016053.2500002151"/>
    <m/>
    <m/>
    <m/>
    <n v="11419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97"/>
    <s v="MVDM/119846"/>
    <s v="Maurício Vieira De Melo - Cód. 119846"/>
    <n v="0"/>
    <d v="2015-05-26T00:00:00"/>
    <d v="1899-12-30T14:45:22"/>
    <n v="6570"/>
    <n v="0"/>
    <n v="-3022623.2500002151"/>
    <m/>
    <m/>
    <m/>
    <n v="119846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320"/>
    <n v="213888"/>
    <s v="Par.(12/12) 020417/LUCCAS CARDOSO DE ALMEIDA - Parcelas"/>
    <n v="1386"/>
    <d v="2015-05-26T00:00:00"/>
    <d v="1899-12-30T15:27:07"/>
    <n v="0"/>
    <n v="0"/>
    <n v="-3021237.2500002151"/>
    <m/>
    <m/>
    <n v="213888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21"/>
    <n v="213008"/>
    <s v="Par.(12/12) 020735/CAIO BAHMAD BOTOSSO VELOS - Parcelas"/>
    <n v="1386"/>
    <d v="2015-05-26T00:00:00"/>
    <d v="1899-12-30T15:28:06"/>
    <n v="0"/>
    <n v="0"/>
    <n v="-3019851.2500002151"/>
    <m/>
    <m/>
    <n v="213008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22"/>
    <n v="208970"/>
    <s v="Par.(12/12) 020485/FRANK LUIZ PEREIRA CARNES - Parcelas"/>
    <n v="600"/>
    <d v="2015-05-26T00:00:00"/>
    <d v="1899-12-30T15:32:55"/>
    <n v="0"/>
    <n v="0"/>
    <n v="-3019251.2500002151"/>
    <m/>
    <m/>
    <n v="20897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23"/>
    <n v="209241"/>
    <s v="Par.(12/12) 020484/NATHALIA LORRAYNE FERNAND - Parcelas"/>
    <n v="1386"/>
    <d v="2015-05-26T00:00:00"/>
    <d v="1899-12-30T15:33:43"/>
    <n v="0"/>
    <n v="0"/>
    <n v="-3017865.2500002151"/>
    <m/>
    <m/>
    <n v="209241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24"/>
    <n v="216788"/>
    <s v="Par.(09/10) 020813/DAYANNE SILVA AMARAL - Parcelas"/>
    <n v="220"/>
    <d v="2015-05-26T00:00:00"/>
    <d v="1899-12-30T15:37:31"/>
    <n v="0"/>
    <n v="0"/>
    <n v="-3017645.2500002151"/>
    <m/>
    <m/>
    <n v="21678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25"/>
    <n v="216776"/>
    <s v="Par.(09/10) 020809/ANDRÉ LUCAS SEIXAS MACALÃ - Parcelas"/>
    <n v="154"/>
    <d v="2015-05-26T00:00:00"/>
    <d v="1899-12-30T15:38:48"/>
    <n v="0"/>
    <n v="0"/>
    <n v="-3017491.2500002151"/>
    <m/>
    <m/>
    <n v="21677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26"/>
    <n v="216855"/>
    <s v="Par.(10/10) 020818/ADARIO DANTAS CARNEIRO - Parcelas"/>
    <n v="220"/>
    <d v="2015-05-26T00:00:00"/>
    <d v="1899-12-30T15:39:43"/>
    <n v="0"/>
    <n v="0"/>
    <n v="-3017271.2500002151"/>
    <m/>
    <m/>
    <n v="216855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28"/>
    <n v="216640"/>
    <s v="Par.(12/12) 020810/MARIA PAULA PERILLO FERRE - Parcelas"/>
    <n v="1386"/>
    <d v="2015-05-26T00:00:00"/>
    <d v="1899-12-30T15:40:12"/>
    <n v="0"/>
    <n v="0"/>
    <n v="-3015885.2500002151"/>
    <m/>
    <m/>
    <n v="216640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31"/>
    <n v="216787"/>
    <s v="Par.(08/10) 020813/DAYANNE SILVA AMARAL - Parcelas"/>
    <n v="220"/>
    <d v="2015-05-26T00:00:00"/>
    <d v="1899-12-30T15:42:33"/>
    <n v="0"/>
    <n v="0"/>
    <n v="-3015665.2500002151"/>
    <m/>
    <m/>
    <n v="21678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33"/>
    <n v="216775"/>
    <s v="Par.(08/10) 020809/ANDRÉ LUCAS SEIXAS MACALÃ - Parcelas"/>
    <n v="154"/>
    <d v="2015-05-26T00:00:00"/>
    <d v="1899-12-30T15:42:55"/>
    <n v="0"/>
    <n v="0"/>
    <n v="-3015511.2500002151"/>
    <m/>
    <m/>
    <n v="216775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35"/>
    <n v="216800"/>
    <s v="Par.(08/10) 020814/CAIRO MENDES MIRANDA SILV - Parcelas"/>
    <n v="220"/>
    <d v="2015-05-26T00:00:00"/>
    <d v="1899-12-30T15:43:38"/>
    <n v="0"/>
    <n v="0"/>
    <n v="-3015291.2500002151"/>
    <m/>
    <m/>
    <n v="21680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36"/>
    <n v="215629"/>
    <s v="Par.(11/12) 020799/JOANA D´ARC OLIVEIRA DAMA - Parcelas"/>
    <n v="1386"/>
    <d v="2015-05-26T00:00:00"/>
    <d v="1899-12-30T15:44:41"/>
    <n v="0"/>
    <n v="0"/>
    <n v="-3013905.2500002151"/>
    <m/>
    <m/>
    <n v="215629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37"/>
    <n v="215642"/>
    <s v="Par.(12/12) 020798/MARCOS ADRIANO SILVA FILH - Parcelas"/>
    <n v="1000"/>
    <d v="2015-05-26T00:00:00"/>
    <d v="1899-12-30T15:45:12"/>
    <n v="0"/>
    <n v="0"/>
    <n v="-3012905.2500002151"/>
    <m/>
    <m/>
    <n v="21564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39"/>
    <n v="209033"/>
    <s v="Par.(12/12) 020185/PATRÍCIA ROCHA MARQUES - Parcelas"/>
    <n v="1386"/>
    <d v="2015-05-26T00:00:00"/>
    <d v="1899-12-30T15:45:50"/>
    <n v="0"/>
    <n v="0"/>
    <n v="-3011519.2500002151"/>
    <m/>
    <m/>
    <n v="209033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40"/>
    <n v="215468"/>
    <s v="Par.(10/10) 020797/RODOLFO OLIVEIRA ABREU - Parcelas"/>
    <n v="220"/>
    <d v="2015-05-26T00:00:00"/>
    <d v="1899-12-30T15:46:15"/>
    <n v="0"/>
    <n v="0"/>
    <n v="-3011299.2500002151"/>
    <m/>
    <m/>
    <n v="21546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1"/>
    <n v="212651"/>
    <s v="Par.(12/12) 018699/GABRIEL AUGUSTO WANDEKOKE - Mensalidades"/>
    <n v="1155.08"/>
    <d v="2015-05-26T00:00:00"/>
    <d v="1899-12-30T15:50:25"/>
    <n v="0"/>
    <n v="0"/>
    <n v="-3010144.1700002151"/>
    <m/>
    <m/>
    <n v="21265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42"/>
    <n v="212247"/>
    <s v="Par.(10/10) 020581/MURYLLO HENRIQUE FERREIRA - Parcelas"/>
    <n v="190"/>
    <d v="2015-05-26T00:00:00"/>
    <d v="1899-12-30T15:51:17"/>
    <n v="0"/>
    <n v="0"/>
    <n v="-3009954.1700002151"/>
    <m/>
    <m/>
    <n v="21224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3"/>
    <n v="212996"/>
    <s v="Par.(12/12) 018260/RAQUEL RAMOS VILLA VERDE - Mensalidades"/>
    <n v="736.5"/>
    <d v="2015-05-26T00:00:00"/>
    <d v="1899-12-30T15:51:54"/>
    <n v="0"/>
    <n v="0"/>
    <n v="-3009217.6700002151"/>
    <m/>
    <m/>
    <n v="21299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44"/>
    <n v="212364"/>
    <s v="Par.(12/12) 018401/ANTONIO PEDRO SERVULO MOL - Mensalidades"/>
    <n v="1413.68"/>
    <d v="2015-05-26T00:00:00"/>
    <d v="1899-12-30T15:56:33"/>
    <n v="0"/>
    <n v="0"/>
    <n v="-3007803.9900002149"/>
    <m/>
    <m/>
    <n v="212364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45"/>
    <n v="213108"/>
    <s v="Par.(10/10) 020738/HILLARY STEFANNY NEIAS RI - Parcelas"/>
    <n v="190"/>
    <d v="2015-05-26T00:00:00"/>
    <d v="1899-12-30T15:57:30"/>
    <n v="0"/>
    <n v="0"/>
    <n v="-3007613.9900002149"/>
    <m/>
    <m/>
    <n v="21310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6"/>
    <n v="200281"/>
    <s v="Par.(12/12) 019896/MATHEUS DE SOUSA KRIUNAS - Mensalidades"/>
    <n v="1206.8"/>
    <d v="2015-05-26T00:00:00"/>
    <d v="1899-12-30T15:58:24"/>
    <n v="0"/>
    <n v="0"/>
    <n v="-3006407.1900002151"/>
    <m/>
    <m/>
    <n v="20028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47"/>
    <n v="212661"/>
    <s v="Par.(10/10) 020716/RENAN FERNANDES VASCONCEL - Parcelas"/>
    <n v="190"/>
    <d v="2015-05-26T00:00:00"/>
    <d v="1899-12-30T15:59:01"/>
    <n v="0"/>
    <n v="0"/>
    <n v="-3006217.1900002151"/>
    <m/>
    <m/>
    <n v="21266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8"/>
    <n v="213494"/>
    <s v="Par.(10/10) 020757/AMANDA VIANA BASTOS CURAD - Parcelas"/>
    <n v="220"/>
    <d v="2015-05-26T00:00:00"/>
    <d v="1899-12-30T15:59:41"/>
    <n v="0"/>
    <n v="0"/>
    <n v="-3005997.1900002151"/>
    <m/>
    <m/>
    <n v="21349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9"/>
    <n v="214128"/>
    <s v="Par.(10/10) 020765/RENATA PESSOA CHEIN JORGE - Parcelas"/>
    <n v="220"/>
    <d v="2015-05-26T00:00:00"/>
    <d v="1899-12-30T16:00:09"/>
    <n v="0"/>
    <n v="0"/>
    <n v="-3005777.1900002151"/>
    <m/>
    <m/>
    <n v="21412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0"/>
    <n v="212313"/>
    <s v="Par.(10/10) 020702/MARILIA LEMES SANTOS  - Parcelas"/>
    <n v="190"/>
    <d v="2015-05-26T00:00:00"/>
    <d v="1899-12-30T16:00:36"/>
    <n v="0"/>
    <n v="0"/>
    <n v="-3005587.1900002151"/>
    <m/>
    <m/>
    <n v="21231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1"/>
    <n v="208969"/>
    <s v="Par.(11/12) 020485/FRANK LUIZ PEREIRA CARNES - Parcelas"/>
    <n v="600"/>
    <d v="2015-05-26T00:00:00"/>
    <d v="1899-12-30T16:01:15"/>
    <n v="0"/>
    <n v="0"/>
    <n v="-3004987.1900002151"/>
    <m/>
    <m/>
    <n v="208969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779"/>
    <s v="Extrato/124524"/>
    <s v="Banco Santander  - Cód. 124524"/>
    <n v="0"/>
    <d v="2015-05-26T00:00:00"/>
    <d v="1899-12-30T16:01:44"/>
    <n v="1501.85"/>
    <n v="0"/>
    <n v="-3006489.0400002152"/>
    <m/>
    <m/>
    <m/>
    <n v="124524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1780"/>
    <s v="Extrato/124525"/>
    <s v="Banco Santander  - Cód. 124525"/>
    <n v="0"/>
    <d v="2015-05-26T00:00:00"/>
    <d v="1899-12-30T16:01:44"/>
    <n v="78"/>
    <n v="0"/>
    <n v="-3006567.0400002152"/>
    <m/>
    <m/>
    <m/>
    <n v="124525"/>
    <n v="24"/>
    <s v="Emilly"/>
    <n v="1"/>
    <m/>
    <n v="575"/>
    <d v="2015-06-03T00:00:00"/>
    <d v="2015-06-03T00:00:00"/>
    <m/>
    <m/>
    <n v="2015"/>
    <n v="24"/>
    <m/>
    <m/>
    <m/>
    <m/>
    <s v="CA.Tarifas Bancárias"/>
    <x v="2"/>
    <s v="COLÉGIO OLIMPO LTDA"/>
    <m/>
    <n v="7"/>
    <n v="9"/>
    <s v="Débito em conta"/>
    <m/>
    <n v="0"/>
    <m/>
    <n v="0"/>
    <m/>
    <m/>
    <s v="SANT 936-9 GOIANIA"/>
    <m/>
    <m/>
    <m/>
  </r>
  <r>
    <n v="271352"/>
    <n v="213656"/>
    <s v="Par.(11/12) 018311/VITORIA TEIXEIRA MUSTAPHA - Mensalidades"/>
    <n v="1440"/>
    <d v="2015-05-26T00:00:00"/>
    <d v="1899-12-30T16:01:52"/>
    <n v="0"/>
    <n v="0"/>
    <n v="-3005127.0400002152"/>
    <m/>
    <m/>
    <n v="21365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53"/>
    <n v="212458"/>
    <s v="Par.(10/10) 020690/VICTORIIA PEREIRA PEDREIR - Parcelas"/>
    <n v="220"/>
    <d v="2015-05-26T00:00:00"/>
    <d v="1899-12-30T16:02:48"/>
    <n v="0"/>
    <n v="0"/>
    <n v="-3004907.0400002152"/>
    <m/>
    <m/>
    <n v="21245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4"/>
    <n v="212380"/>
    <s v="Par.(10/10) 020634/SÉRGIO TÚLIO ARAÚJO LIMA - Parcelas"/>
    <n v="190"/>
    <d v="2015-05-26T00:00:00"/>
    <d v="1899-12-30T16:03:50"/>
    <n v="0"/>
    <n v="0"/>
    <n v="-3004717.0400002152"/>
    <m/>
    <m/>
    <n v="21238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5"/>
    <n v="212396"/>
    <s v="Par.(10/10) 020631/MATEUS ELIAS LOURENÇO VAS - Parcelas"/>
    <n v="220"/>
    <d v="2015-05-26T00:00:00"/>
    <d v="1899-12-30T16:04:39"/>
    <n v="0"/>
    <n v="0"/>
    <n v="-3004497.0400002152"/>
    <m/>
    <m/>
    <n v="21239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6"/>
    <n v="212406"/>
    <s v="Par.(10/10) 020630/MATEUS ELIAS LOURENÇO VAS - Parcelas"/>
    <n v="190"/>
    <d v="2015-05-26T00:00:00"/>
    <d v="1899-12-30T16:04:59"/>
    <n v="0"/>
    <n v="0"/>
    <n v="-3004307.0400002152"/>
    <m/>
    <m/>
    <n v="21240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7"/>
    <n v="212303"/>
    <s v="Par.(10/10) 020699/ESTHER ELOISA MAGALHAES D - Parcelas"/>
    <n v="190"/>
    <d v="2015-05-26T00:00:00"/>
    <d v="1899-12-30T16:06:28"/>
    <n v="0"/>
    <n v="0"/>
    <n v="-3004117.0400002152"/>
    <m/>
    <m/>
    <n v="21230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8"/>
    <n v="212623"/>
    <s v="Par.(10/10) 020715/JULIA LOGRADO GOMES - Parcelas"/>
    <n v="190"/>
    <d v="2015-05-26T00:00:00"/>
    <d v="1899-12-30T16:06:55"/>
    <n v="0"/>
    <n v="0"/>
    <n v="-3003927.0400002152"/>
    <m/>
    <m/>
    <n v="21262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9"/>
    <n v="213018"/>
    <s v="Par.(10/10) 020734/KARINE MONTEIRO FERREIRA - Parcelas"/>
    <n v="190"/>
    <d v="2015-05-26T00:00:00"/>
    <d v="1899-12-30T16:07:30"/>
    <n v="0"/>
    <n v="0"/>
    <n v="-3003737.0400002152"/>
    <m/>
    <m/>
    <n v="21301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0"/>
    <n v="213007"/>
    <s v="Par.(11/12) 020735/CAIO BAHMAD BOTOSSO VELOS - Parcelas"/>
    <n v="1386"/>
    <d v="2015-05-26T00:00:00"/>
    <d v="1899-12-30T16:08:05"/>
    <n v="0"/>
    <n v="0"/>
    <n v="-3002351.0400002152"/>
    <m/>
    <m/>
    <n v="21300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61"/>
    <n v="213098"/>
    <s v="Par.(10/10) 020741/SAYRA MAGDALA PEREIRA DE  - Parcelas"/>
    <n v="190"/>
    <d v="2015-05-26T00:00:00"/>
    <d v="1899-12-30T16:08:41"/>
    <n v="0"/>
    <n v="0"/>
    <n v="-3002161.0400002152"/>
    <m/>
    <m/>
    <n v="21309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2"/>
    <n v="212359"/>
    <s v="Par.(10/10) 020700/LARYSSA MOURA DIAS - Parcelas"/>
    <n v="190"/>
    <d v="2015-05-26T00:00:00"/>
    <d v="1899-12-30T16:11:24"/>
    <n v="0"/>
    <n v="0"/>
    <n v="-3001971.0400002152"/>
    <m/>
    <m/>
    <n v="21235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3"/>
    <n v="212333"/>
    <s v="Par.(10/10) 020705/DÉBORAH OLIVEIRA BARROS A - Parcelas"/>
    <n v="190"/>
    <d v="2015-05-26T00:00:00"/>
    <d v="1899-12-30T16:11:50"/>
    <n v="0"/>
    <n v="0"/>
    <n v="-3001781.0400002152"/>
    <m/>
    <m/>
    <n v="21233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4"/>
    <n v="213887"/>
    <s v="Par.(11/12) 020417/LUCCAS CARDOSO DE ALMEIDA - Parcelas"/>
    <n v="1386"/>
    <d v="2015-05-26T00:00:00"/>
    <d v="1899-12-30T16:12:15"/>
    <n v="0"/>
    <n v="0"/>
    <n v="-3000395.0400002152"/>
    <m/>
    <m/>
    <n v="21388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65"/>
    <n v="208997"/>
    <s v="Par.(12/12) 020229/RODRIGO FERREIRA BELLO - Parcelas"/>
    <n v="1386"/>
    <d v="2015-05-26T00:00:00"/>
    <d v="1899-12-30T16:12:48"/>
    <n v="0"/>
    <n v="0"/>
    <n v="-2999009.0400002152"/>
    <m/>
    <m/>
    <n v="20899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66"/>
    <n v="215261"/>
    <s v="Par.(12/12) 020767/DIOGO VELASCO VALADAO - Parcelas"/>
    <n v="1386"/>
    <d v="2015-05-26T00:00:00"/>
    <d v="1899-12-30T16:13:12"/>
    <n v="0"/>
    <n v="0"/>
    <n v="-2997623.0400002152"/>
    <m/>
    <m/>
    <n v="21526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67"/>
    <n v="214601"/>
    <s v="Par.(10/10) 020775/GIOVANA VIEIRA NUNES - Parcelas"/>
    <n v="220"/>
    <d v="2015-05-26T00:00:00"/>
    <d v="1899-12-30T16:13:41"/>
    <n v="0"/>
    <n v="0"/>
    <n v="-2997403.0400002152"/>
    <m/>
    <m/>
    <n v="21460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8"/>
    <n v="214613"/>
    <s v="Par.(12/12) 020773/DANIEL DELISIEUX DINIZ FE - Parcelas"/>
    <n v="1386"/>
    <d v="2015-05-26T00:00:00"/>
    <d v="1899-12-30T16:14:20"/>
    <n v="0"/>
    <n v="0"/>
    <n v="-2996017.0400002152"/>
    <m/>
    <m/>
    <n v="214613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70"/>
    <n v="215149"/>
    <s v="Par.(10/10) 020778/NATALIA FUJIOKA MATSUOKA - Parcelas"/>
    <n v="244.45"/>
    <d v="2015-05-26T00:00:00"/>
    <d v="1899-12-30T16:17:33"/>
    <n v="0"/>
    <n v="0"/>
    <n v="-2995772.590000215"/>
    <m/>
    <m/>
    <n v="21514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71"/>
    <n v="214567"/>
    <s v="Par.(12/12) 020777/EDIENY SOARES DE CARVALHO - Parcelas"/>
    <n v="1386"/>
    <d v="2015-05-26T00:00:00"/>
    <d v="1899-12-30T16:18:31"/>
    <n v="0"/>
    <n v="0"/>
    <n v="-2994386.590000215"/>
    <m/>
    <m/>
    <n v="21456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72"/>
    <n v="215309"/>
    <s v="Par.(09/10) 020786/ANA CLARA PEREIRA MENDES - Parcelas"/>
    <n v="220"/>
    <d v="2015-05-26T00:00:00"/>
    <d v="1899-12-30T16:19:19"/>
    <n v="0"/>
    <n v="0"/>
    <n v="-2994166.590000215"/>
    <m/>
    <m/>
    <n v="21530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73"/>
    <n v="215381"/>
    <s v="Par.(11/12) 020791/SARAH EVELYN SILVA FERNAN - Parcelas"/>
    <n v="693"/>
    <d v="2015-05-26T00:00:00"/>
    <d v="1899-12-30T16:19:59"/>
    <n v="0"/>
    <n v="0"/>
    <n v="-2993473.590000215"/>
    <m/>
    <m/>
    <n v="215381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74"/>
    <n v="215369"/>
    <s v="Par.(09/10) 020789/JEORTON FILGUEIRA SILVA - Parcelas"/>
    <n v="161.5"/>
    <d v="2015-05-26T00:00:00"/>
    <d v="1899-12-30T16:20:26"/>
    <n v="0"/>
    <n v="0"/>
    <n v="-2993312.090000215"/>
    <m/>
    <m/>
    <n v="21536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75"/>
    <n v="215359"/>
    <s v="Par.(09/10) 020790/JEORTON FILGUEIRA SILVA - Parcelas"/>
    <n v="187"/>
    <d v="2015-05-26T00:00:00"/>
    <d v="1899-12-30T16:20:48"/>
    <n v="0"/>
    <n v="0"/>
    <n v="-2993125.090000215"/>
    <m/>
    <m/>
    <n v="21535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79"/>
    <s v="2659/58518"/>
    <s v="Gentleman Serviços - Par. 058518(10-12)"/>
    <n v="0"/>
    <d v="2015-05-26T00:00:00"/>
    <d v="1899-12-30T16:36:13"/>
    <n v="221.4"/>
    <n v="0"/>
    <n v="-2993346.4900002149"/>
    <m/>
    <m/>
    <m/>
    <n v="58518"/>
    <n v="24"/>
    <s v="Emilly"/>
    <n v="1"/>
    <m/>
    <n v="1440"/>
    <d v="2015-05-27T00:00:00"/>
    <d v="2015-05-27T00:00:00"/>
    <m/>
    <m/>
    <n v="2015"/>
    <n v="24"/>
    <m/>
    <m/>
    <m/>
    <m/>
    <s v="T-27.Seguro e Proteçõ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83"/>
    <s v="0986/58532"/>
    <s v="Gentleman Serviços - Par. 058532(11-12)"/>
    <n v="0"/>
    <d v="2015-05-26T00:00:00"/>
    <d v="1899-12-30T16:37:01"/>
    <n v="208.19"/>
    <n v="0"/>
    <n v="-2993554.6800002148"/>
    <m/>
    <m/>
    <m/>
    <n v="58532"/>
    <n v="24"/>
    <s v="Emilly"/>
    <n v="1"/>
    <m/>
    <n v="1443"/>
    <d v="2015-05-27T00:00:00"/>
    <d v="2015-05-27T00:00:00"/>
    <m/>
    <m/>
    <n v="2015"/>
    <n v="24"/>
    <m/>
    <m/>
    <m/>
    <m/>
    <s v="SolNascente.Seguro e proteçõ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84"/>
    <s v="2276/58492"/>
    <s v="Gentleman Serviços - Par. 058492(11-12)"/>
    <n v="0"/>
    <d v="2015-05-26T00:00:00"/>
    <d v="1899-12-30T16:37:51"/>
    <n v="223.82"/>
    <n v="0"/>
    <n v="-2993778.5000002147"/>
    <m/>
    <m/>
    <m/>
    <n v="58492"/>
    <n v="24"/>
    <s v="Emilly"/>
    <n v="1"/>
    <m/>
    <n v="180"/>
    <d v="2015-05-27T00:00:00"/>
    <d v="2015-05-27T00:00:00"/>
    <m/>
    <m/>
    <n v="2015"/>
    <n v="24"/>
    <m/>
    <m/>
    <m/>
    <m/>
    <s v="T-3.Seguros e proteções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88"/>
    <s v="CAMARO/124265"/>
    <s v="Banco Itaú Financiamentos - Cód. 124265"/>
    <n v="0"/>
    <d v="2015-05-26T00:00:00"/>
    <d v="1899-12-30T16:39:28"/>
    <n v="5834.08"/>
    <n v="0"/>
    <n v="-2999612.5800002147"/>
    <m/>
    <m/>
    <m/>
    <n v="124265"/>
    <n v="24"/>
    <s v="Emilly"/>
    <n v="1"/>
    <m/>
    <n v="892"/>
    <d v="2015-05-27T00:00:00"/>
    <d v="2015-05-27T00:00:00"/>
    <m/>
    <m/>
    <n v="2015"/>
    <n v="24"/>
    <m/>
    <m/>
    <m/>
    <m/>
    <s v="Marcelo.Aquisição de Veícul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517"/>
    <s v="0247292-9/111348"/>
    <s v="Saneago - Par. 111348(04-11)"/>
    <n v="0"/>
    <d v="2015-05-26T00:00:00"/>
    <d v="1899-12-30T16:58:42"/>
    <n v="986.86"/>
    <n v="0"/>
    <n v="-3000599.4400002146"/>
    <m/>
    <m/>
    <m/>
    <n v="111348"/>
    <n v="24"/>
    <s v="Emilly"/>
    <n v="1"/>
    <m/>
    <n v="1547"/>
    <d v="2015-06-01T00:00:00"/>
    <d v="2015-06-01T00:00:00"/>
    <m/>
    <m/>
    <n v="2015"/>
    <n v="24"/>
    <m/>
    <m/>
    <m/>
    <m/>
    <s v="Aná.Águ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518"/>
    <s v="118130084/122235"/>
    <s v="Claro - Cód. 122235"/>
    <n v="0"/>
    <d v="2015-05-26T00:00:00"/>
    <d v="1899-12-30T17:00:22"/>
    <n v="410.13"/>
    <n v="0"/>
    <n v="-3001009.5700002145"/>
    <m/>
    <m/>
    <m/>
    <n v="122235"/>
    <n v="24"/>
    <s v="Emilly"/>
    <n v="1"/>
    <m/>
    <n v="1427"/>
    <d v="2015-06-01T00:00:00"/>
    <d v="2015-06-01T00:00:00"/>
    <m/>
    <m/>
    <n v="2015"/>
    <n v="24"/>
    <m/>
    <m/>
    <m/>
    <m/>
    <s v="T-27.Telefone Fixo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519"/>
    <s v="2037635-9/111590"/>
    <s v="Saneago - Par. 111590(04-12)"/>
    <n v="0"/>
    <d v="2015-05-26T00:00:00"/>
    <d v="1899-12-30T17:02:46"/>
    <n v="2307.54"/>
    <n v="0"/>
    <n v="-3003317.1100002145"/>
    <m/>
    <m/>
    <m/>
    <n v="111590"/>
    <n v="24"/>
    <s v="Emilly"/>
    <n v="1"/>
    <m/>
    <n v="1429"/>
    <d v="2015-06-01T00:00:00"/>
    <d v="2015-06-01T00:00:00"/>
    <m/>
    <m/>
    <n v="2015"/>
    <n v="24"/>
    <m/>
    <m/>
    <m/>
    <m/>
    <s v="T-27.Águ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393"/>
    <s v="Remessa Olimpo Fundamental"/>
    <s v="Remessa Olimpo Fundamental"/>
    <n v="8264.5"/>
    <d v="2015-05-26T00:00:00"/>
    <d v="1899-12-30T17:14:54"/>
    <n v="0"/>
    <n v="0"/>
    <n v="-2995052.6100002145"/>
    <m/>
    <m/>
    <m/>
    <m/>
    <n v="7"/>
    <s v="Anapaula"/>
    <n v="1"/>
    <m/>
    <n v="1431"/>
    <d v="2015-05-27T00:00:00"/>
    <d v="2015-05-27T00:00:00"/>
    <m/>
    <m/>
    <n v="2015"/>
    <n v="7"/>
    <m/>
    <m/>
    <m/>
    <m/>
    <s v="Remessa Olimpo Fundamental"/>
    <x v="1"/>
    <s v="COLÉGIO OLIMPO LTDA"/>
    <m/>
    <n v="55"/>
    <n v="2"/>
    <s v="Cheque"/>
    <m/>
    <m/>
    <m/>
    <n v="0"/>
    <m/>
    <m/>
    <s v="FACT: LR FOMENTO "/>
    <m/>
    <m/>
    <m/>
  </r>
  <r>
    <n v="271394"/>
    <s v="Remessa Olimpo Anápolis"/>
    <s v="Remessa Olimpo Anápolis"/>
    <n v="14154"/>
    <d v="2015-05-26T00:00:00"/>
    <d v="1899-12-30T17:20:09"/>
    <n v="0"/>
    <n v="0"/>
    <n v="-2980898.6100002145"/>
    <m/>
    <m/>
    <m/>
    <m/>
    <n v="7"/>
    <s v="Anapaula"/>
    <n v="1"/>
    <m/>
    <n v="1526"/>
    <d v="2015-05-27T00:00:00"/>
    <d v="2015-05-27T00:00:00"/>
    <m/>
    <m/>
    <n v="2015"/>
    <n v="7"/>
    <m/>
    <m/>
    <m/>
    <m/>
    <s v="Remessa Olimpo Anápolis"/>
    <x v="1"/>
    <s v="COLÉGIO OLIMPO LTDA"/>
    <m/>
    <n v="55"/>
    <n v="9"/>
    <s v="Débito em conta"/>
    <m/>
    <m/>
    <m/>
    <n v="0"/>
    <m/>
    <m/>
    <s v="FACT: LR FOMENTO "/>
    <m/>
    <m/>
    <m/>
  </r>
  <r>
    <n v="271395"/>
    <s v="Remessa Olimpo Uberlândia "/>
    <s v="Remessa Olimpo Uberlândia "/>
    <n v="6470"/>
    <d v="2015-05-26T00:00:00"/>
    <d v="1899-12-30T17:34:29"/>
    <n v="0"/>
    <n v="0"/>
    <n v="-2974428.6100002145"/>
    <m/>
    <m/>
    <m/>
    <m/>
    <n v="7"/>
    <s v="Anapaula"/>
    <n v="1"/>
    <m/>
    <n v="1528"/>
    <d v="2015-05-27T00:00:00"/>
    <d v="2015-05-27T00:00:00"/>
    <m/>
    <m/>
    <n v="2015"/>
    <n v="7"/>
    <m/>
    <m/>
    <m/>
    <m/>
    <s v="Remessa Olimpo Uberlândia"/>
    <x v="1"/>
    <s v="COLÉGIO OLIMPO LTDA"/>
    <m/>
    <n v="55"/>
    <n v="9"/>
    <s v="Débito em conta"/>
    <m/>
    <m/>
    <m/>
    <n v="0"/>
    <m/>
    <m/>
    <s v="FACT: LR FOMENTO "/>
    <m/>
    <m/>
    <m/>
  </r>
  <r>
    <n v="271396"/>
    <s v="Remessa Educ. Sol Nascente"/>
    <s v="Remessa Educ. Sol Nascente"/>
    <n v="2428.9"/>
    <d v="2015-05-26T00:00:00"/>
    <d v="1899-12-30T17:35:09"/>
    <n v="0"/>
    <n v="0"/>
    <n v="-2971999.7100002146"/>
    <m/>
    <m/>
    <m/>
    <m/>
    <n v="7"/>
    <s v="Anapaula"/>
    <n v="1"/>
    <m/>
    <n v="1434"/>
    <d v="2015-05-27T00:00:00"/>
    <d v="2015-05-27T00:00:00"/>
    <m/>
    <m/>
    <n v="2015"/>
    <n v="7"/>
    <m/>
    <m/>
    <m/>
    <m/>
    <s v="Remessa Educ. Sol Nascente"/>
    <x v="1"/>
    <s v="COLÉGIO OLIMPO LTDA"/>
    <m/>
    <n v="55"/>
    <n v="9"/>
    <s v="Débito em conta"/>
    <m/>
    <m/>
    <m/>
    <n v="0"/>
    <m/>
    <m/>
    <s v="FACT: LR FOMENTO "/>
    <m/>
    <m/>
    <m/>
  </r>
  <r>
    <n v="271399"/>
    <s v="413/124250"/>
    <s v="Ata Manutenção De Piscinas Ltda - Cód. 124250"/>
    <n v="0"/>
    <d v="2015-05-27T00:00:00"/>
    <d v="1899-12-30T09:07:24"/>
    <n v="230"/>
    <n v="0"/>
    <n v="-2972229.7100002146"/>
    <m/>
    <m/>
    <m/>
    <n v="124250"/>
    <n v="24"/>
    <s v="Emilly"/>
    <n v="1"/>
    <m/>
    <n v="1572"/>
    <d v="2015-05-28T00:00:00"/>
    <d v="2015-05-28T00:00:00"/>
    <m/>
    <m/>
    <n v="2015"/>
    <n v="24"/>
    <m/>
    <m/>
    <m/>
    <m/>
    <s v="SolNascente.Manutenção Piscina / Jardinagem"/>
    <x v="1"/>
    <s v="COLÉGIO OLIMPO LTDA"/>
    <m/>
    <n v="56"/>
    <n v="1"/>
    <s v="Dinheiro"/>
    <m/>
    <n v="0"/>
    <m/>
    <n v="0"/>
    <m/>
    <m/>
    <s v="CAIXA TESOURARIA"/>
    <m/>
    <m/>
    <m/>
  </r>
  <r>
    <n v="273111"/>
    <s v="Extrato/126930"/>
    <s v="Bradesco - Cód. 126930"/>
    <n v="0"/>
    <d v="2015-05-27T00:00:00"/>
    <d v="1899-12-30T09:07:32"/>
    <n v="7.9"/>
    <n v="0"/>
    <n v="-2972237.6100002145"/>
    <m/>
    <m/>
    <m/>
    <n v="126930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10"/>
    <s v="Extrato/126929"/>
    <s v="Bradesco - Cód. 126929"/>
    <n v="0"/>
    <d v="2015-05-27T00:00:00"/>
    <d v="1899-12-30T09:07:32"/>
    <n v="22"/>
    <n v="0"/>
    <n v="-2972259.6100002145"/>
    <m/>
    <m/>
    <m/>
    <n v="126929"/>
    <n v="24"/>
    <s v="Emilly"/>
    <n v="1"/>
    <m/>
    <n v="575"/>
    <d v="2015-06-16T00:00:00"/>
    <d v="2015-06-16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12"/>
    <s v="ALFG/111912"/>
    <s v="André Luiz Ferreira Gomes  - Par. 111912(05-12)"/>
    <n v="0"/>
    <d v="2015-05-27T00:00:00"/>
    <d v="1899-12-30T09:07:45"/>
    <n v="5750"/>
    <n v="0"/>
    <n v="-2978009.6100002145"/>
    <m/>
    <m/>
    <m/>
    <n v="111912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02"/>
    <s v="Extrato"/>
    <s v="Rend Pago Aplic"/>
    <n v="0.01"/>
    <d v="2015-05-27T00:00:00"/>
    <d v="1899-12-30T09:33:00"/>
    <n v="0"/>
    <n v="0"/>
    <n v="-2978009.6000002148"/>
    <m/>
    <m/>
    <m/>
    <m/>
    <n v="24"/>
    <s v="Emilly"/>
    <n v="1"/>
    <m/>
    <n v="95"/>
    <d v="2015-06-12T00:00:00"/>
    <d v="2015-06-12T00:00:00"/>
    <m/>
    <m/>
    <n v="2015"/>
    <n v="24"/>
    <m/>
    <m/>
    <m/>
    <m/>
    <s v="Recebimento Diversos"/>
    <x v="1"/>
    <s v="COLÉGIO OLIMPO LTDA"/>
    <m/>
    <n v="8"/>
    <n v="9"/>
    <s v="Débito em conta"/>
    <m/>
    <m/>
    <m/>
    <n v="0"/>
    <m/>
    <m/>
    <s v="ITAÚ [GYN] [026016-5] []"/>
    <m/>
    <m/>
    <m/>
  </r>
  <r>
    <n v="276287"/>
    <s v="Transferência Entre Contas"/>
    <s v="Transferência Entre Contas"/>
    <n v="0"/>
    <d v="2015-05-27T00:00:00"/>
    <d v="1899-12-30T09:43:29"/>
    <n v="3448"/>
    <n v="0"/>
    <n v="-2981457.6000002148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71423"/>
    <s v="Transferência Entre Conta"/>
    <s v="Transferência Entre Conta"/>
    <n v="0"/>
    <d v="2015-05-27T00:00:00"/>
    <d v="1899-12-30T10:00:13"/>
    <n v="10000"/>
    <n v="0"/>
    <n v="-2991457.6000002148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1424"/>
    <s v="Transferência Entre Conta"/>
    <s v="Destino: 271423-Transferência Entre Conta"/>
    <n v="10000"/>
    <d v="2015-05-27T00:00:00"/>
    <d v="1899-12-30T10:00:13"/>
    <n v="0"/>
    <n v="0"/>
    <n v="-2981457.6000002148"/>
    <m/>
    <m/>
    <m/>
    <m/>
    <n v="24"/>
    <s v="Emilly"/>
    <n v="2"/>
    <m/>
    <n v="1449"/>
    <d v="2015-05-28T00:00:00"/>
    <d v="2015-05-28T00:00:00"/>
    <m/>
    <m/>
    <n v="2015"/>
    <n v="24"/>
    <m/>
    <m/>
    <n v="27142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805"/>
    <s v="Recibo/124537"/>
    <s v="Antonio de Souza Castro - Cód. 124537"/>
    <n v="0"/>
    <d v="2015-05-27T00:00:00"/>
    <d v="1899-12-30T10:03:25"/>
    <n v="375"/>
    <n v="0"/>
    <n v="-2981832.6000002148"/>
    <m/>
    <m/>
    <m/>
    <n v="124537"/>
    <n v="25"/>
    <s v="Marcela"/>
    <n v="1"/>
    <m/>
    <n v="504"/>
    <d v="2015-06-05T00:00:00"/>
    <d v="2015-06-05T00:00:00"/>
    <m/>
    <m/>
    <n v="2015"/>
    <n v="25"/>
    <m/>
    <m/>
    <m/>
    <m/>
    <s v="CA.Aulas extras (CUSTO)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41"/>
    <s v="Transferência Entre Conta"/>
    <s v="Transferência Entre Conta"/>
    <n v="0"/>
    <d v="2015-05-27T00:00:00"/>
    <d v="1899-12-30T10:05:31"/>
    <n v="8600"/>
    <n v="0"/>
    <n v="-2990432.6000002148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1442"/>
    <s v="Transferência Entre Conta"/>
    <s v="Destino: 271441-Transferência Entre Conta"/>
    <n v="8600"/>
    <d v="2015-05-27T00:00:00"/>
    <d v="1899-12-30T10:05:31"/>
    <n v="0"/>
    <n v="0"/>
    <n v="-2981832.6000002148"/>
    <m/>
    <m/>
    <m/>
    <m/>
    <n v="24"/>
    <s v="Emilly"/>
    <n v="2"/>
    <m/>
    <n v="1449"/>
    <d v="2015-05-28T00:00:00"/>
    <d v="2015-05-28T00:00:00"/>
    <m/>
    <m/>
    <n v="2015"/>
    <n v="24"/>
    <m/>
    <m/>
    <n v="271441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443"/>
    <s v="Transferência Entre Conta"/>
    <s v="Transferência Entre Conta"/>
    <n v="0"/>
    <d v="2015-05-27T00:00:00"/>
    <d v="1899-12-30T10:06:01"/>
    <n v="8600"/>
    <n v="0"/>
    <n v="-2990432.6000002148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1444"/>
    <s v="Transferência Entre Conta"/>
    <s v="Destino: 271443-Transferência Entre Conta"/>
    <n v="8600"/>
    <d v="2015-05-27T00:00:00"/>
    <d v="1899-12-30T10:06:01"/>
    <n v="0"/>
    <n v="0"/>
    <n v="-2981832.6000002148"/>
    <m/>
    <m/>
    <m/>
    <m/>
    <n v="24"/>
    <s v="Emilly"/>
    <n v="2"/>
    <m/>
    <n v="1449"/>
    <d v="2015-05-28T00:00:00"/>
    <d v="2015-05-28T00:00:00"/>
    <m/>
    <m/>
    <n v="2015"/>
    <n v="24"/>
    <m/>
    <m/>
    <n v="27144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446"/>
    <s v="Recibo/124293"/>
    <s v="Olimpo Belo Horizonte - Cód. 124293"/>
    <n v="0"/>
    <d v="2015-05-27T00:00:00"/>
    <d v="1899-12-30T10:08:23"/>
    <n v="31.6"/>
    <n v="0"/>
    <n v="-2981864.2000002149"/>
    <m/>
    <m/>
    <m/>
    <n v="124293"/>
    <n v="24"/>
    <s v="Emilly"/>
    <n v="1"/>
    <m/>
    <n v="1626"/>
    <d v="2015-05-28T00:00:00"/>
    <d v="2015-05-28T00:00:00"/>
    <m/>
    <m/>
    <n v="2015"/>
    <n v="24"/>
    <m/>
    <m/>
    <m/>
    <m/>
    <s v="BH. Despesas Diversas"/>
    <x v="1"/>
    <s v="COLÉGIO OLIMPO LTDA"/>
    <m/>
    <n v="56"/>
    <n v="1"/>
    <s v="Dinheiro"/>
    <m/>
    <n v="0"/>
    <m/>
    <n v="0"/>
    <m/>
    <m/>
    <s v="CAIXA TESOURARIA"/>
    <m/>
    <m/>
    <m/>
  </r>
  <r>
    <n v="273036"/>
    <s v="Extrato/125183"/>
    <s v="Mercantil Do Brasil - Cód. 125183"/>
    <n v="0"/>
    <d v="2015-05-27T00:00:00"/>
    <d v="1899-12-30T10:10:13"/>
    <n v="8"/>
    <n v="0"/>
    <n v="-2981872.2000002149"/>
    <m/>
    <m/>
    <m/>
    <n v="125183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5295"/>
    <n v="195001"/>
    <s v="Ret. Par. 195001(05/12) - 018571/ISABELA QUEIROZ LOBO - Mensalidades"/>
    <n v="1724"/>
    <d v="2015-05-27T00:00:00"/>
    <d v="1899-12-30T10:20:49"/>
    <n v="0"/>
    <n v="0"/>
    <n v="-2980148.2000002149"/>
    <m/>
    <m/>
    <n v="195001"/>
    <m/>
    <n v="8"/>
    <s v="Vinicius"/>
    <n v="1"/>
    <m/>
    <n v="2"/>
    <d v="2015-07-02T00:00:00"/>
    <d v="2015-07-03T00:00:00"/>
    <n v="29201"/>
    <n v="27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5294"/>
    <n v="195156"/>
    <s v="Ret. Par. 195156(05/12) - 018592/FRANCISCO ALVES DA SILVA NE - Mensalidades"/>
    <n v="1724"/>
    <d v="2015-05-27T00:00:00"/>
    <d v="1899-12-30T10:20:49"/>
    <n v="0"/>
    <n v="0"/>
    <n v="-2978424.2000002149"/>
    <m/>
    <m/>
    <n v="195156"/>
    <m/>
    <n v="8"/>
    <s v="Vinicius"/>
    <n v="1"/>
    <m/>
    <n v="2"/>
    <d v="2015-07-02T00:00:00"/>
    <d v="2015-07-03T00:00:00"/>
    <n v="29202"/>
    <n v="27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2606"/>
    <n v="192615"/>
    <s v="Retorno: Par. 192615(05/12) - 019747/PAU - Mensalidades"/>
    <n v="1473"/>
    <d v="2015-05-27T00:00:00"/>
    <d v="1899-12-30T10:24:17"/>
    <n v="0"/>
    <n v="0"/>
    <n v="-2976951.2000002149"/>
    <m/>
    <m/>
    <n v="192615"/>
    <m/>
    <n v="14"/>
    <s v="Renato"/>
    <n v="1"/>
    <m/>
    <n v="2"/>
    <d v="2015-06-09T00:00:00"/>
    <d v="2015-06-09T00:00:00"/>
    <n v="28916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5"/>
    <n v="192587"/>
    <s v="Retorno: Par. 192587(05/12) - 019669/ALU - Mensalidades"/>
    <n v="1473"/>
    <d v="2015-05-27T00:00:00"/>
    <d v="1899-12-30T10:24:17"/>
    <n v="0"/>
    <n v="0"/>
    <n v="-2975478.2000002149"/>
    <m/>
    <m/>
    <n v="192587"/>
    <m/>
    <n v="14"/>
    <s v="Renato"/>
    <n v="1"/>
    <m/>
    <n v="2"/>
    <d v="2015-06-09T00:00:00"/>
    <d v="2015-06-09T00:00:00"/>
    <n v="28915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4"/>
    <n v="198789"/>
    <s v="Retorno: Par. 198789(06/12) - 019560/ART - Mensalidades"/>
    <n v="1473"/>
    <d v="2015-05-27T00:00:00"/>
    <d v="1899-12-30T10:24:17"/>
    <n v="0"/>
    <n v="0"/>
    <n v="-2974005.2000002149"/>
    <m/>
    <m/>
    <n v="198789"/>
    <m/>
    <n v="14"/>
    <s v="Renato"/>
    <n v="1"/>
    <m/>
    <n v="2"/>
    <d v="2015-06-09T00:00:00"/>
    <d v="2015-06-09T00:00:00"/>
    <n v="28914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1"/>
    <n v="192840"/>
    <s v="Retorno: Par. 192840(05/12) - 018169/JOÃ - Mensalidades"/>
    <n v="1473"/>
    <d v="2015-05-27T00:00:00"/>
    <d v="1899-12-30T10:24:18"/>
    <n v="0"/>
    <n v="0"/>
    <n v="-2972532.2000002149"/>
    <m/>
    <m/>
    <n v="192840"/>
    <m/>
    <n v="14"/>
    <s v="Renato"/>
    <n v="1"/>
    <m/>
    <n v="2"/>
    <d v="2015-06-09T00:00:00"/>
    <d v="2015-06-09T00:00:00"/>
    <n v="28921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8"/>
    <n v="192790"/>
    <s v="Retorno: Par. 192790(05/12) - 019816/ELO - Mensalidades"/>
    <n v="1473"/>
    <d v="2015-05-27T00:00:00"/>
    <d v="1899-12-30T10:24:18"/>
    <n v="0"/>
    <n v="0"/>
    <n v="-2971059.2000002149"/>
    <m/>
    <m/>
    <n v="192790"/>
    <m/>
    <n v="14"/>
    <s v="Renato"/>
    <n v="1"/>
    <m/>
    <n v="2"/>
    <d v="2015-06-09T00:00:00"/>
    <d v="2015-06-09T00:00:00"/>
    <n v="28918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9"/>
    <n v="193101"/>
    <s v="Retorno: Par. 193101(05/12) - 019706/EDU - Mensalidades"/>
    <n v="1473"/>
    <d v="2015-05-27T00:00:00"/>
    <d v="1899-12-30T10:24:18"/>
    <n v="0"/>
    <n v="0"/>
    <n v="-2969586.2000002149"/>
    <m/>
    <m/>
    <n v="193101"/>
    <m/>
    <n v="14"/>
    <s v="Renato"/>
    <n v="1"/>
    <m/>
    <n v="2"/>
    <d v="2015-06-09T00:00:00"/>
    <d v="2015-06-09T00:00:00"/>
    <n v="28919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7"/>
    <n v="192623"/>
    <s v="Retorno: Par. 192623(05/12) - 019761/SAM - Mensalidades"/>
    <n v="1473"/>
    <d v="2015-05-27T00:00:00"/>
    <d v="1899-12-30T10:24:18"/>
    <n v="0"/>
    <n v="0"/>
    <n v="-2968113.2000002149"/>
    <m/>
    <m/>
    <n v="192623"/>
    <m/>
    <n v="14"/>
    <s v="Renato"/>
    <n v="1"/>
    <m/>
    <n v="2"/>
    <d v="2015-06-09T00:00:00"/>
    <d v="2015-06-09T00:00:00"/>
    <n v="28917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0"/>
    <n v="192849"/>
    <s v="Retorno: Par. 192849(05/12) - 018356/ELE - Mensalidades"/>
    <n v="1473"/>
    <d v="2015-05-27T00:00:00"/>
    <d v="1899-12-30T10:24:18"/>
    <n v="0"/>
    <n v="0"/>
    <n v="-2966640.2000002149"/>
    <m/>
    <m/>
    <n v="192849"/>
    <m/>
    <n v="14"/>
    <s v="Renato"/>
    <n v="1"/>
    <m/>
    <n v="2"/>
    <d v="2015-06-09T00:00:00"/>
    <d v="2015-06-09T00:00:00"/>
    <n v="28920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1579"/>
    <s v="Entrada"/>
    <s v="Empréstimo LR Roberta Ch Itau Luis Cristiano 3289"/>
    <n v="15000"/>
    <d v="2015-05-27T00:00:00"/>
    <d v="1899-12-30T10:38:18"/>
    <n v="0"/>
    <n v="0"/>
    <n v="-2951640.2000002149"/>
    <m/>
    <m/>
    <m/>
    <m/>
    <n v="7"/>
    <s v="Anapaula"/>
    <n v="1"/>
    <m/>
    <n v="1372"/>
    <d v="2015-06-02T00:00:00"/>
    <d v="2015-06-15T00:00:00"/>
    <m/>
    <m/>
    <n v="2015"/>
    <n v="24"/>
    <m/>
    <m/>
    <m/>
    <m/>
    <s v="Empréstimo Pessoa Física"/>
    <x v="1"/>
    <s v="COLÉGIO OLIMPO LTDA"/>
    <m/>
    <n v="12"/>
    <n v="2"/>
    <s v="Cheque"/>
    <m/>
    <m/>
    <m/>
    <n v="0"/>
    <m/>
    <m/>
    <s v="BRB [GYN] [011616-0] [CC] [COB]"/>
    <m/>
    <m/>
    <m/>
  </r>
  <r>
    <n v="271594"/>
    <s v="Transferência Entre Conta"/>
    <s v="Transferência Entre Conta"/>
    <n v="0"/>
    <d v="2015-05-27T00:00:00"/>
    <d v="1899-12-30T10:50:56"/>
    <n v="4000"/>
    <n v="0"/>
    <n v="-2955640.2000002149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2"/>
    <s v="ITAÚ [GYN] [026016-5] []"/>
    <m/>
    <m/>
    <m/>
  </r>
  <r>
    <n v="271595"/>
    <s v="Transferência Entre Conta"/>
    <s v="Destino: 271594-Transferência Entre Conta"/>
    <n v="4000"/>
    <d v="2015-05-27T00:00:00"/>
    <d v="1899-12-30T10:50:56"/>
    <n v="0"/>
    <n v="0"/>
    <n v="-2951640.2000002149"/>
    <m/>
    <m/>
    <m/>
    <m/>
    <n v="24"/>
    <s v="Emilly"/>
    <n v="1"/>
    <m/>
    <n v="1449"/>
    <d v="2015-06-02T00:00:00"/>
    <d v="2015-06-02T00:00:00"/>
    <m/>
    <m/>
    <n v="2015"/>
    <n v="24"/>
    <m/>
    <m/>
    <n v="271594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596"/>
    <s v="Transferência Entre Conta"/>
    <s v="Transferência Entre Conta"/>
    <n v="0"/>
    <d v="2015-05-27T00:00:00"/>
    <d v="1899-12-30T10:51:23"/>
    <n v="6000"/>
    <n v="0"/>
    <n v="-2957640.2000002149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1597"/>
    <s v="Transferência Entre Conta"/>
    <s v="Destino: 271596-Transferência Entre Conta"/>
    <n v="6000"/>
    <d v="2015-05-27T00:00:00"/>
    <d v="1899-12-30T10:51:23"/>
    <n v="0"/>
    <n v="0"/>
    <n v="-2951640.2000002149"/>
    <m/>
    <m/>
    <m/>
    <m/>
    <n v="24"/>
    <s v="Emilly"/>
    <n v="1"/>
    <m/>
    <n v="1449"/>
    <d v="2015-06-02T00:00:00"/>
    <d v="2015-06-02T00:00:00"/>
    <m/>
    <m/>
    <n v="2015"/>
    <n v="24"/>
    <m/>
    <m/>
    <n v="271596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449"/>
    <s v="DEPÓSITO 2015-05-27"/>
    <s v="ESTORNO DE DEPÓSITO RESCISÃO E O CHEQUE FOI DEVOLVIDO DO(A) ALUNO(A) PABLO PIERRE SANTANA SOUSA_ANÁPOLIS"/>
    <n v="1386"/>
    <d v="2015-05-27T00:00:00"/>
    <d v="1899-12-30T11:00:24"/>
    <n v="0"/>
    <n v="0"/>
    <n v="-2950254.2000002149"/>
    <m/>
    <m/>
    <m/>
    <m/>
    <n v="8"/>
    <s v="Vinicius"/>
    <n v="2"/>
    <m/>
    <n v="1526"/>
    <d v="2015-05-28T00:00:00"/>
    <d v="2015-05-28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2849"/>
    <s v="Extato"/>
    <s v="Cheque Devolvido"/>
    <n v="1443.54"/>
    <d v="2015-05-27T00:00:00"/>
    <d v="1899-12-30T13:23:38"/>
    <n v="0"/>
    <n v="0"/>
    <n v="-2948810.6600002148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54"/>
    <s v="Ant.Cob/125080"/>
    <s v="Banco Brb - Par. 125080(03-8)"/>
    <n v="0"/>
    <d v="2015-05-27T00:00:00"/>
    <d v="1899-12-30T13:27:18"/>
    <n v="1473"/>
    <n v="0"/>
    <n v="-2950283.6600002148"/>
    <m/>
    <m/>
    <m/>
    <n v="12508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5"/>
    <s v="Ant.Cob/125081"/>
    <s v="Banco Brb - Par. 125081(04-8)"/>
    <n v="0"/>
    <d v="2015-05-27T00:00:00"/>
    <d v="1899-12-30T13:27:18"/>
    <n v="1473"/>
    <n v="0"/>
    <n v="-2951756.6600002148"/>
    <m/>
    <m/>
    <m/>
    <n v="12508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6"/>
    <s v="Ant.Cob/125082"/>
    <s v="Banco Brb - Par. 125082(05-8)"/>
    <n v="0"/>
    <d v="2015-05-27T00:00:00"/>
    <d v="1899-12-30T13:27:18"/>
    <n v="1473"/>
    <n v="0"/>
    <n v="-2953229.6600002148"/>
    <m/>
    <m/>
    <m/>
    <n v="125082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7"/>
    <s v="Ant.Cob/125083"/>
    <s v="Banco Brb - Par. 125083(06-8)"/>
    <n v="0"/>
    <d v="2015-05-27T00:00:00"/>
    <d v="1899-12-30T13:27:18"/>
    <n v="1473"/>
    <n v="0"/>
    <n v="-2954702.6600002148"/>
    <m/>
    <m/>
    <m/>
    <n v="125083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8"/>
    <s v="Ant.Cob/125084"/>
    <s v="Banco Brb - Par. 125084(07-8)"/>
    <n v="0"/>
    <d v="2015-05-27T00:00:00"/>
    <d v="1899-12-30T13:27:18"/>
    <n v="1473"/>
    <n v="0"/>
    <n v="-2956175.6600002148"/>
    <m/>
    <m/>
    <m/>
    <n v="125084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9"/>
    <s v="Ant.Cob/125085"/>
    <s v="Banco Brb - Par. 125085(08-8)"/>
    <n v="0"/>
    <d v="2015-05-27T00:00:00"/>
    <d v="1899-12-30T13:27:18"/>
    <n v="1473"/>
    <n v="0"/>
    <n v="-2957648.6600002148"/>
    <m/>
    <m/>
    <m/>
    <n v="12508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2"/>
    <s v="Ant.Cob/125078"/>
    <s v="Banco Brb - Par. 125078(01-8)"/>
    <n v="0"/>
    <d v="2015-05-27T00:00:00"/>
    <d v="1899-12-30T13:27:18"/>
    <n v="1473"/>
    <n v="0"/>
    <n v="-2959121.6600002148"/>
    <m/>
    <m/>
    <m/>
    <n v="125078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3"/>
    <s v="Ant.Cob/125079"/>
    <s v="Banco Brb - Par. 125079(02-8)"/>
    <n v="0"/>
    <d v="2015-05-27T00:00:00"/>
    <d v="1899-12-30T13:27:18"/>
    <n v="1473"/>
    <n v="0"/>
    <n v="-2960594.6600002148"/>
    <m/>
    <m/>
    <m/>
    <n v="12507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062"/>
    <s v="Extrato/124797"/>
    <s v="Banco Itaú Unibanco S.A. - Cód. 124797"/>
    <n v="0"/>
    <d v="2015-05-27T00:00:00"/>
    <d v="1899-12-30T13:34:28"/>
    <n v="15.9"/>
    <n v="0"/>
    <n v="-2960610.5600002147"/>
    <m/>
    <m/>
    <m/>
    <n v="124797"/>
    <n v="24"/>
    <s v="Emilly"/>
    <n v="1"/>
    <m/>
    <n v="575"/>
    <d v="2015-06-05T00:00:00"/>
    <d v="2015-06-05T00:00:00"/>
    <m/>
    <m/>
    <n v="2015"/>
    <n v="24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4074"/>
    <s v="Transferencia Entre Contas"/>
    <s v="Transferencia Entre Contas"/>
    <n v="0"/>
    <d v="2015-05-27T00:00:00"/>
    <d v="1899-12-30T13:35:45"/>
    <n v="20131.75"/>
    <n v="0"/>
    <n v="-2980742.3100002147"/>
    <m/>
    <m/>
    <m/>
    <m/>
    <n v="60"/>
    <s v="Francielly"/>
    <n v="2"/>
    <m/>
    <n v="1449"/>
    <d v="2015-06-25T00:00:00"/>
    <d v="2015-06-25T00:00:00"/>
    <m/>
    <m/>
    <n v="2015"/>
    <n v="60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4075"/>
    <s v="Transferencia Entre Contas"/>
    <s v="Destino: 274074-Transferencia Entre Contas"/>
    <n v="20131.75"/>
    <d v="2015-05-27T00:00:00"/>
    <d v="1899-12-30T13:35:45"/>
    <n v="0"/>
    <n v="0"/>
    <n v="-2960610.5600002147"/>
    <m/>
    <m/>
    <m/>
    <m/>
    <n v="60"/>
    <s v="Francielly"/>
    <n v="2"/>
    <m/>
    <n v="1449"/>
    <d v="2015-06-25T00:00:00"/>
    <d v="2015-06-25T00:00:00"/>
    <m/>
    <m/>
    <n v="2015"/>
    <n v="60"/>
    <m/>
    <m/>
    <n v="27407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4088"/>
    <s v="Extrato"/>
    <s v="Ch Pre Brb Sol 3689"/>
    <n v="0"/>
    <d v="2015-05-27T00:00:00"/>
    <d v="1899-12-30T14:07:35"/>
    <n v="29900"/>
    <n v="0"/>
    <n v="-2990510.5600002147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4089"/>
    <s v="Extrato"/>
    <s v="Ch Pre Brb Sol 3690"/>
    <n v="0"/>
    <d v="2015-05-27T00:00:00"/>
    <d v="1899-12-30T14:08:19"/>
    <n v="16700"/>
    <n v="0"/>
    <n v="-3007210.5600002147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4090"/>
    <s v="Extrato"/>
    <s v="Ch Pre Brb Sol 3692"/>
    <n v="0"/>
    <d v="2015-05-27T00:00:00"/>
    <d v="1899-12-30T14:08:59"/>
    <n v="20000"/>
    <n v="0"/>
    <n v="-3027210.5600002147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4091"/>
    <s v="Extrato"/>
    <s v="Ch Pre Brb Sol 3694"/>
    <n v="0"/>
    <d v="2015-05-27T00:00:00"/>
    <d v="1899-12-30T14:09:56"/>
    <n v="7400"/>
    <n v="0"/>
    <n v="-3034610.5600002147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3302"/>
    <n v="181962"/>
    <s v="Par.(12/12) 013624/LUCAS SANDRINI COSTA - Mensalidades"/>
    <n v="1420.46"/>
    <d v="2015-05-27T00:00:00"/>
    <d v="1899-12-30T14:16:07"/>
    <n v="0"/>
    <n v="0"/>
    <n v="-3033190.1000002148"/>
    <m/>
    <m/>
    <n v="181962"/>
    <m/>
    <n v="8"/>
    <s v="Vinicius"/>
    <n v="1"/>
    <m/>
    <n v="2"/>
    <d v="2015-06-17T00:00:00"/>
    <d v="2015-06-17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2072"/>
    <s v="008498/110454"/>
    <s v="Sed Soft Assessoria Em Informática - Par. 110454(04-12)"/>
    <n v="0"/>
    <d v="2015-05-27T00:00:00"/>
    <d v="1899-12-30T14:17:12"/>
    <n v="488.96"/>
    <n v="0"/>
    <n v="-3033679.0600002147"/>
    <m/>
    <m/>
    <m/>
    <n v="110454"/>
    <n v="24"/>
    <s v="Emilly"/>
    <n v="1"/>
    <m/>
    <n v="1566"/>
    <d v="2015-06-05T00:00:00"/>
    <d v="2015-06-05T00:00:00"/>
    <m/>
    <m/>
    <n v="2015"/>
    <n v="24"/>
    <m/>
    <m/>
    <m/>
    <m/>
    <s v="SolNascente.Software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2074"/>
    <s v="8410/110789"/>
    <s v="Sed Soft Assessoria Em Informática - Par. 110789(03-11)"/>
    <n v="0"/>
    <d v="2015-05-27T00:00:00"/>
    <d v="1899-12-30T14:19:07"/>
    <n v="760.59"/>
    <n v="0"/>
    <n v="-3034439.6500002146"/>
    <m/>
    <m/>
    <m/>
    <n v="110789"/>
    <n v="24"/>
    <s v="Emilly"/>
    <n v="1"/>
    <m/>
    <n v="1563"/>
    <d v="2015-06-05T00:00:00"/>
    <d v="2015-06-05T00:00:00"/>
    <m/>
    <m/>
    <n v="2015"/>
    <n v="24"/>
    <m/>
    <m/>
    <m/>
    <m/>
    <s v="Marista.Software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2075"/>
    <s v="008597/110478"/>
    <s v="Sed Soft Assessoria Em Informática - Par. 110478(04-12)"/>
    <n v="0"/>
    <d v="2015-05-27T00:00:00"/>
    <d v="1899-12-30T14:20:00"/>
    <n v="577.48"/>
    <n v="0"/>
    <n v="-3035017.1300002146"/>
    <m/>
    <m/>
    <m/>
    <n v="110478"/>
    <n v="24"/>
    <s v="Emilly"/>
    <n v="1"/>
    <m/>
    <n v="1564"/>
    <d v="2015-06-05T00:00:00"/>
    <d v="2015-06-05T00:00:00"/>
    <m/>
    <m/>
    <n v="2015"/>
    <n v="24"/>
    <m/>
    <m/>
    <m/>
    <m/>
    <s v="T-3.Software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2076"/>
    <s v="008609/110466"/>
    <s v="Sed Soft Assessoria Em Informática - Par. 110466(04-12)"/>
    <n v="0"/>
    <d v="2015-05-27T00:00:00"/>
    <d v="1899-12-30T14:21:59"/>
    <n v="441.64"/>
    <n v="0"/>
    <n v="-3035458.7700002147"/>
    <m/>
    <m/>
    <m/>
    <n v="110466"/>
    <n v="24"/>
    <s v="Emilly"/>
    <n v="1"/>
    <m/>
    <n v="1565"/>
    <d v="2015-06-05T00:00:00"/>
    <d v="2015-06-05T00:00:00"/>
    <m/>
    <m/>
    <n v="2015"/>
    <n v="24"/>
    <m/>
    <m/>
    <m/>
    <m/>
    <s v="T-27.Software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3064"/>
    <s v="Extrato/126913"/>
    <s v="Caixa Econômica Federal - Cód. 126913"/>
    <n v="0"/>
    <d v="2015-05-27T00:00:00"/>
    <d v="1899-12-30T14:39:36"/>
    <n v="3.1"/>
    <n v="0"/>
    <n v="-3035461.8700002148"/>
    <m/>
    <m/>
    <m/>
    <n v="126913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3307"/>
    <n v="191269"/>
    <s v="Par.(02/12) 019751/LEONARDO SANDRINI COSTA - Mensalidades"/>
    <n v="1545.6"/>
    <d v="2015-05-27T00:00:00"/>
    <d v="1899-12-30T14:49:10"/>
    <n v="0"/>
    <n v="0"/>
    <n v="-3033916.2700002147"/>
    <m/>
    <m/>
    <n v="191269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2899"/>
    <s v="HN/115630"/>
    <s v="Henrique Nogueira - Fornecedores - Cód. 115630"/>
    <n v="0"/>
    <d v="2015-05-27T00:00:00"/>
    <d v="1899-12-30T14:51:25"/>
    <n v="5320"/>
    <n v="0"/>
    <n v="-3039236.2700002147"/>
    <m/>
    <m/>
    <m/>
    <n v="115630"/>
    <n v="60"/>
    <s v="Francielly"/>
    <n v="1"/>
    <m/>
    <n v="1448"/>
    <d v="2015-06-11T00:00:00"/>
    <d v="2015-06-11T00:00:00"/>
    <m/>
    <m/>
    <n v="2015"/>
    <n v="60"/>
    <m/>
    <m/>
    <m/>
    <m/>
    <s v="Juros de cheque especial"/>
    <x v="2"/>
    <s v="COLÉGIO OLIMPO LTDA"/>
    <m/>
    <n v="52"/>
    <n v="2"/>
    <s v="Cheque"/>
    <m/>
    <n v="0"/>
    <m/>
    <n v="0"/>
    <m/>
    <m/>
    <s v="BRB [SOL] [012052-4] [CC] [COB]"/>
    <m/>
    <m/>
    <m/>
  </r>
  <r>
    <n v="272900"/>
    <s v="Claudio Melo/119459"/>
    <s v="Augusto Melo - Cód. 119459"/>
    <n v="0"/>
    <d v="2015-05-27T00:00:00"/>
    <d v="1899-12-30T14:51:52"/>
    <n v="3000"/>
    <n v="0"/>
    <n v="-3042236.2700002147"/>
    <m/>
    <m/>
    <m/>
    <n v="119459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901"/>
    <s v="LPDB/124013"/>
    <s v="Luciano Prudente De Barros - Cód. 124013"/>
    <n v="0"/>
    <d v="2015-05-27T00:00:00"/>
    <d v="1899-12-30T14:53:33"/>
    <n v="25000"/>
    <n v="0"/>
    <n v="-3067236.2700002147"/>
    <m/>
    <m/>
    <m/>
    <n v="124013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902"/>
    <s v="Ant.Cob/125104"/>
    <s v="Banco Brb - Cód. 125104"/>
    <n v="0"/>
    <d v="2015-05-27T00:00:00"/>
    <d v="1899-12-30T14:55:40"/>
    <n v="1051"/>
    <n v="0"/>
    <n v="-3068287.2700002147"/>
    <m/>
    <m/>
    <m/>
    <n v="125104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903"/>
    <s v="Extrato/125105"/>
    <s v="Banco Brb - Cód. 125105"/>
    <n v="0"/>
    <d v="2015-05-27T00:00:00"/>
    <d v="1899-12-30T14:55:40"/>
    <n v="8.9700000000000006"/>
    <n v="0"/>
    <n v="-3068296.2400002149"/>
    <m/>
    <m/>
    <m/>
    <n v="12510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904"/>
    <s v="Remessa Olimpo Fundamental"/>
    <s v="Remessa Olimpo Fundamental"/>
    <n v="1051"/>
    <d v="2015-05-27T00:00:00"/>
    <d v="1899-12-30T14:56:13"/>
    <n v="0"/>
    <n v="0"/>
    <n v="-3067245.2400002149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72256"/>
    <n v="217309"/>
    <s v="Par.(05-6) 020334/GUSTAVO MARTINS BORGES  - PAGAMENTO CHE"/>
    <n v="1386"/>
    <d v="2015-05-27T00:00:00"/>
    <d v="1899-12-30T14:56:46"/>
    <n v="0"/>
    <n v="0"/>
    <n v="-3065859.2400002149"/>
    <m/>
    <m/>
    <n v="217309"/>
    <m/>
    <n v="8"/>
    <s v="Vinicius"/>
    <n v="2"/>
    <m/>
    <n v="1378"/>
    <d v="2015-06-08T00:00:00"/>
    <d v="2015-06-08T00:00:00"/>
    <m/>
    <m/>
    <n v="2015"/>
    <n v="8"/>
    <m/>
    <m/>
    <m/>
    <m/>
    <s v="Pagamento de cheque devolvido"/>
    <x v="1"/>
    <s v="COLÉGIO OLIMPO LTDA"/>
    <m/>
    <n v="46"/>
    <n v="2"/>
    <s v="Cheque"/>
    <m/>
    <n v="0"/>
    <m/>
    <n v="0"/>
    <m/>
    <m/>
    <s v="CAIXA CHEQUES"/>
    <m/>
    <m/>
    <m/>
  </r>
  <r>
    <n v="273068"/>
    <s v="Extrato"/>
    <s v="Empréstimo Senis"/>
    <n v="10000"/>
    <d v="2015-05-27T00:00:00"/>
    <d v="1899-12-30T15:34:37"/>
    <n v="0"/>
    <n v="0"/>
    <n v="-3055859.2400002149"/>
    <m/>
    <m/>
    <m/>
    <m/>
    <n v="24"/>
    <s v="Emilly"/>
    <n v="1"/>
    <m/>
    <n v="1372"/>
    <d v="2015-06-15T00:00:00"/>
    <d v="2015-06-15T00:00:00"/>
    <m/>
    <m/>
    <n v="2015"/>
    <n v="24"/>
    <m/>
    <m/>
    <m/>
    <m/>
    <s v="Empréstimo Pessoa Física"/>
    <x v="1"/>
    <s v="COLÉGIO OLIMPO LTDA"/>
    <m/>
    <n v="8"/>
    <n v="8"/>
    <s v="Transferência Bancária"/>
    <m/>
    <m/>
    <m/>
    <n v="0"/>
    <m/>
    <m/>
    <s v="ITAÚ [GYN] [026016-5] []"/>
    <m/>
    <m/>
    <m/>
  </r>
  <r>
    <n v="271338"/>
    <s v="Vale/124264"/>
    <s v="Neri Manoel Mendes - Cód. 124264"/>
    <n v="0"/>
    <d v="2015-05-27T00:00:00"/>
    <d v="1899-12-30T15:45:34"/>
    <n v="2000"/>
    <n v="0"/>
    <n v="-3057859.2400002149"/>
    <m/>
    <m/>
    <m/>
    <n v="124264"/>
    <n v="24"/>
    <s v="Emilly"/>
    <n v="1"/>
    <m/>
    <n v="549"/>
    <d v="2015-05-27T00:00:00"/>
    <d v="2015-05-27T00:00:00"/>
    <m/>
    <m/>
    <n v="2015"/>
    <n v="24"/>
    <m/>
    <m/>
    <m/>
    <m/>
    <s v="CA.Manutenção Máquinas e Equipamentos (DESPESA)"/>
    <x v="1"/>
    <s v="COLÉGIO OLIMPO LTDA"/>
    <m/>
    <n v="8"/>
    <n v="9"/>
    <s v="Débito em conta"/>
    <m/>
    <n v="0"/>
    <m/>
    <n v="0"/>
    <m/>
    <m/>
    <s v="ITAÚ [GYN] [026016-5] []"/>
    <m/>
    <m/>
    <m/>
  </r>
  <r>
    <n v="274793"/>
    <s v="Fluxo de Caixa "/>
    <s v="Fluxo de Caixa "/>
    <n v="0"/>
    <d v="2015-05-27T00:00:00"/>
    <d v="1899-12-30T16:09:08"/>
    <n v="1386"/>
    <n v="0"/>
    <n v="-3059245.2400002149"/>
    <m/>
    <m/>
    <m/>
    <m/>
    <n v="7"/>
    <s v="Anapaula"/>
    <n v="2"/>
    <m/>
    <n v="1449"/>
    <d v="2015-06-30T00:00:00"/>
    <d v="2015-06-30T00:00:00"/>
    <m/>
    <m/>
    <n v="2015"/>
    <n v="7"/>
    <m/>
    <m/>
    <m/>
    <m/>
    <s v="Transferência entre contas"/>
    <x v="2"/>
    <s v="COLÉGIO OLIMPO LTDA"/>
    <m/>
    <n v="46"/>
    <n v="8"/>
    <s v="Transferência Bancária"/>
    <m/>
    <m/>
    <m/>
    <n v="0"/>
    <m/>
    <m/>
    <s v="CAIXA CHEQUES"/>
    <m/>
    <m/>
    <m/>
  </r>
  <r>
    <n v="273973"/>
    <s v="Extrato"/>
    <s v="Deposito Em Dinheiro"/>
    <n v="930"/>
    <d v="2015-05-27T00:00:00"/>
    <d v="1899-12-30T16:16:51"/>
    <n v="0"/>
    <n v="0"/>
    <n v="-3058315.2400002149"/>
    <m/>
    <m/>
    <m/>
    <m/>
    <n v="24"/>
    <s v="Emilly"/>
    <n v="1"/>
    <m/>
    <n v="1630"/>
    <d v="2015-06-24T00:00:00"/>
    <d v="2015-06-24T00:00:00"/>
    <m/>
    <m/>
    <n v="2015"/>
    <n v="24"/>
    <m/>
    <m/>
    <m/>
    <m/>
    <s v="Recebimento de Alunos"/>
    <x v="1"/>
    <s v="COLÉGIO OLIMPO LTDA"/>
    <m/>
    <n v="56"/>
    <n v="1"/>
    <s v="Dinheiro"/>
    <m/>
    <m/>
    <m/>
    <n v="0"/>
    <m/>
    <m/>
    <s v="CAIXA TESOURARIA"/>
    <m/>
    <m/>
    <m/>
  </r>
  <r>
    <n v="273974"/>
    <s v="Extrato/127346"/>
    <s v="Bradesco - Cód. 127346"/>
    <n v="0"/>
    <d v="2015-05-27T00:00:00"/>
    <d v="1899-12-30T16:17:43"/>
    <n v="930"/>
    <n v="0"/>
    <n v="-3059245.2400002149"/>
    <m/>
    <m/>
    <m/>
    <n v="127346"/>
    <n v="24"/>
    <s v="Emilly"/>
    <n v="1"/>
    <m/>
    <n v="506"/>
    <d v="2015-06-24T00:00:00"/>
    <d v="2015-06-24T00:00:00"/>
    <m/>
    <m/>
    <n v="2015"/>
    <n v="24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3976"/>
    <s v="Extrato"/>
    <s v="Recebimento de Aluno"/>
    <n v="930"/>
    <d v="2015-05-27T00:00:00"/>
    <d v="1899-12-30T16:18:45"/>
    <n v="0"/>
    <n v="0"/>
    <n v="-3058315.2400002149"/>
    <m/>
    <m/>
    <m/>
    <m/>
    <n v="24"/>
    <s v="Emilly"/>
    <n v="1"/>
    <m/>
    <n v="1630"/>
    <d v="2015-06-24T00:00:00"/>
    <d v="2015-06-24T00:00:00"/>
    <m/>
    <m/>
    <n v="2015"/>
    <n v="24"/>
    <m/>
    <m/>
    <m/>
    <m/>
    <s v="Recebimento de Alunos"/>
    <x v="1"/>
    <s v="COLÉGIO OLIMPO LTDA"/>
    <m/>
    <n v="27"/>
    <n v="1"/>
    <s v="Dinheiro"/>
    <m/>
    <m/>
    <m/>
    <n v="0"/>
    <m/>
    <m/>
    <s v="BRADESCO [008378-0] [SOL] [CC]"/>
    <m/>
    <m/>
    <m/>
  </r>
  <r>
    <n v="276180"/>
    <s v="Extrato/128710"/>
    <s v="Banco Safra - Cód. 128710"/>
    <n v="0"/>
    <d v="2015-05-27T00:00:00"/>
    <d v="1899-12-30T16:41:56"/>
    <n v="5.76"/>
    <n v="0"/>
    <n v="-3058321.0000002147"/>
    <m/>
    <m/>
    <m/>
    <n v="128710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1"/>
    <s v="Extrato/128711"/>
    <s v="Banco Safra - Cód. 128711"/>
    <n v="0"/>
    <d v="2015-05-27T00:00:00"/>
    <d v="1899-12-30T16:41:56"/>
    <n v="948.63"/>
    <n v="0"/>
    <n v="-3059269.6300002146"/>
    <m/>
    <m/>
    <m/>
    <n v="128711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4006"/>
    <s v="Transferência Entre Conta"/>
    <s v="Transferência Entre Conta"/>
    <n v="0"/>
    <d v="2015-05-27T00:00:00"/>
    <d v="1899-12-30T16:45:50"/>
    <n v="3610"/>
    <n v="0"/>
    <n v="-3062879.6300002146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4007"/>
    <s v="Transferência Entre Conta"/>
    <s v="Destino: 274006-Transferência Entre Conta"/>
    <n v="3610"/>
    <d v="2015-05-27T00:00:00"/>
    <d v="1899-12-30T16:45:50"/>
    <n v="0"/>
    <n v="0"/>
    <n v="-3059269.6300002146"/>
    <m/>
    <m/>
    <m/>
    <m/>
    <n v="24"/>
    <s v="Emilly"/>
    <n v="1"/>
    <m/>
    <n v="1449"/>
    <d v="2015-06-24T00:00:00"/>
    <d v="2015-06-24T00:00:00"/>
    <m/>
    <m/>
    <n v="2015"/>
    <n v="24"/>
    <m/>
    <m/>
    <n v="274006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3080"/>
    <s v="Extrato"/>
    <s v="Recebimento de Aluno"/>
    <n v="1000"/>
    <d v="2015-05-27T00:00:00"/>
    <d v="1899-12-30T17:31:19"/>
    <n v="0"/>
    <n v="0"/>
    <n v="-3058269.6300002146"/>
    <m/>
    <m/>
    <m/>
    <m/>
    <n v="24"/>
    <s v="Emilly"/>
    <n v="2"/>
    <m/>
    <n v="1630"/>
    <d v="2015-06-15T00:00:00"/>
    <d v="2015-06-15T00:00:00"/>
    <m/>
    <m/>
    <n v="2015"/>
    <n v="24"/>
    <m/>
    <m/>
    <m/>
    <m/>
    <s v="Recebimento de Alunos"/>
    <x v="1"/>
    <s v="COLÉGIO OLIMPO LTDA"/>
    <m/>
    <n v="4"/>
    <n v="4"/>
    <s v="Boleto"/>
    <m/>
    <m/>
    <m/>
    <n v="0"/>
    <m/>
    <m/>
    <s v="BB [022382-4] [GYN] [CC]"/>
    <m/>
    <m/>
    <m/>
  </r>
  <r>
    <n v="274017"/>
    <s v="Extrato"/>
    <s v="Deposito Dinheiro"/>
    <n v="10000"/>
    <d v="2015-05-27T00:00:00"/>
    <d v="1899-12-30T17:34:58"/>
    <n v="0"/>
    <n v="0"/>
    <n v="-3048269.6300002146"/>
    <m/>
    <m/>
    <m/>
    <m/>
    <n v="24"/>
    <s v="Emilly"/>
    <n v="2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526"/>
    <s v="091329/124372"/>
    <s v="Ferragista Marista - Cód. 124372"/>
    <n v="0"/>
    <d v="2015-05-28T00:00:00"/>
    <d v="1899-12-30T09:02:23"/>
    <n v="26.9"/>
    <n v="0"/>
    <n v="-3048296.5300002145"/>
    <m/>
    <m/>
    <m/>
    <n v="124372"/>
    <n v="24"/>
    <s v="Emilly"/>
    <n v="1"/>
    <m/>
    <n v="1392"/>
    <d v="2015-06-02T00:00:00"/>
    <d v="2015-06-02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73113"/>
    <s v="Extrato"/>
    <s v="Operação Capital de Giro"/>
    <n v="1000"/>
    <d v="2015-05-28T00:00:00"/>
    <d v="1899-12-30T09:08:44"/>
    <n v="0"/>
    <n v="0"/>
    <n v="-3047296.5300002145"/>
    <m/>
    <m/>
    <m/>
    <m/>
    <n v="24"/>
    <s v="Emilly"/>
    <n v="1"/>
    <m/>
    <n v="506"/>
    <d v="2015-06-16T00:00:00"/>
    <d v="2015-06-16T00:00:00"/>
    <m/>
    <m/>
    <n v="2015"/>
    <n v="24"/>
    <m/>
    <m/>
    <m/>
    <m/>
    <s v="CA.Capital de Giro (FINANCIAMENTO)"/>
    <x v="2"/>
    <s v="COLÉGIO OLIMPO LTDA"/>
    <m/>
    <n v="2"/>
    <n v="9"/>
    <s v="Débito em conta"/>
    <m/>
    <m/>
    <m/>
    <n v="0"/>
    <m/>
    <m/>
    <s v="BRADESCO [002429-5] [GYN [CC]"/>
    <m/>
    <m/>
    <m/>
  </r>
  <r>
    <n v="273114"/>
    <s v="REMESSA OLIMPO FUNDAMENTAL"/>
    <s v="REMESSA OLIMPO FUNDAMENTAL"/>
    <n v="1051"/>
    <d v="2015-05-28T00:00:00"/>
    <d v="1899-12-30T09:09:29"/>
    <n v="0"/>
    <n v="0"/>
    <n v="-3046245.5300002145"/>
    <m/>
    <m/>
    <m/>
    <m/>
    <n v="60"/>
    <s v="Francielly"/>
    <n v="1"/>
    <m/>
    <n v="1431"/>
    <d v="2015-06-16T00:00:00"/>
    <d v="2015-06-23T00:00:00"/>
    <m/>
    <m/>
    <n v="2015"/>
    <n v="24"/>
    <m/>
    <m/>
    <m/>
    <m/>
    <s v="Remessa Olimpo Fundamental"/>
    <x v="1"/>
    <s v="COLÉGIO OLIMPO LTDA"/>
    <m/>
    <n v="2"/>
    <n v="9"/>
    <s v="Débito em conta"/>
    <m/>
    <m/>
    <m/>
    <n v="0"/>
    <m/>
    <m/>
    <s v="BRADESCO [002429-5] [GYN [CC]"/>
    <m/>
    <m/>
    <m/>
  </r>
  <r>
    <n v="273115"/>
    <s v="HN/124350"/>
    <s v="Henrique Nogueira - Fornecedores - Cód. 124350"/>
    <n v="0"/>
    <d v="2015-05-28T00:00:00"/>
    <d v="1899-12-30T09:10:56"/>
    <n v="5754"/>
    <n v="0"/>
    <n v="-3051999.5300002145"/>
    <m/>
    <m/>
    <m/>
    <n v="124350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03"/>
    <s v="Extrato"/>
    <s v="Estorno De Pagamento Life"/>
    <n v="46.5"/>
    <d v="2015-05-28T00:00:00"/>
    <d v="1899-12-30T09:34:09"/>
    <n v="0"/>
    <n v="0"/>
    <n v="-3051953.0300002145"/>
    <m/>
    <m/>
    <m/>
    <m/>
    <n v="24"/>
    <s v="Emilly"/>
    <n v="1"/>
    <m/>
    <n v="549"/>
    <d v="2015-06-12T00:00:00"/>
    <d v="2015-06-12T00:00:00"/>
    <m/>
    <m/>
    <n v="2015"/>
    <n v="24"/>
    <m/>
    <m/>
    <m/>
    <m/>
    <s v="CA.Manutenção Máquinas e Equipamentos (DESPESA)"/>
    <x v="1"/>
    <s v="COLÉGIO OLIMPO LTDA"/>
    <m/>
    <n v="8"/>
    <n v="9"/>
    <s v="Débito em conta"/>
    <m/>
    <m/>
    <m/>
    <n v="0"/>
    <m/>
    <m/>
    <s v="ITAÚ [GYN] [026016-5] []"/>
    <m/>
    <m/>
    <m/>
  </r>
  <r>
    <n v="276288"/>
    <s v="Transferência Entre Contas"/>
    <s v="Transferência Entre Contas"/>
    <n v="0"/>
    <d v="2015-05-28T00:00:00"/>
    <d v="1899-12-30T09:43:47"/>
    <n v="5172"/>
    <n v="0"/>
    <n v="-3057125.0300002145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71550"/>
    <s v="Fiscais/124392"/>
    <s v="Fiscais De Prova - Cód. 124392"/>
    <n v="0"/>
    <d v="2015-05-28T00:00:00"/>
    <d v="1899-12-30T09:45:53"/>
    <n v="1350"/>
    <n v="0"/>
    <n v="-3058475.0300002145"/>
    <m/>
    <m/>
    <m/>
    <n v="124392"/>
    <n v="24"/>
    <s v="Emilly"/>
    <n v="1"/>
    <m/>
    <n v="1419"/>
    <d v="2015-06-02T00:00:00"/>
    <d v="2015-06-02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3007"/>
    <s v="Transferência Entre Conta"/>
    <s v="Transferência Entre Conta"/>
    <n v="0"/>
    <d v="2015-05-28T00:00:00"/>
    <d v="1899-12-30T09:49:23"/>
    <n v="9807.41"/>
    <n v="0"/>
    <n v="-3068282.4400002146"/>
    <m/>
    <m/>
    <m/>
    <m/>
    <n v="24"/>
    <s v="Emilly"/>
    <n v="1"/>
    <m/>
    <n v="1449"/>
    <d v="2015-06-12T00:00:00"/>
    <d v="2015-06-12T00:00:00"/>
    <m/>
    <m/>
    <n v="2015"/>
    <n v="24"/>
    <m/>
    <m/>
    <m/>
    <m/>
    <s v="Transferência entre contas"/>
    <x v="2"/>
    <s v="COLÉGIO OLIMPO LTDA"/>
    <m/>
    <n v="33"/>
    <n v="8"/>
    <s v="Transferência Bancária"/>
    <m/>
    <m/>
    <m/>
    <n v="0"/>
    <m/>
    <n v="120"/>
    <s v="MERC [EDI] [02.012164-9] [CC]"/>
    <m/>
    <m/>
    <m/>
  </r>
  <r>
    <n v="273009"/>
    <s v="Transferência Entre Conta"/>
    <s v="Destino: 273007-Transferência Entre Conta"/>
    <n v="9807.41"/>
    <d v="2015-05-28T00:00:00"/>
    <d v="1899-12-30T09:49:23"/>
    <n v="0"/>
    <n v="0"/>
    <n v="-3058475.0300002145"/>
    <m/>
    <m/>
    <m/>
    <m/>
    <n v="24"/>
    <s v="Emilly"/>
    <n v="1"/>
    <m/>
    <n v="1449"/>
    <d v="2015-06-12T00:00:00"/>
    <d v="2015-06-12T00:00:00"/>
    <m/>
    <m/>
    <n v="2015"/>
    <n v="24"/>
    <m/>
    <m/>
    <n v="273007"/>
    <m/>
    <s v="Transferência entre contas"/>
    <x v="2"/>
    <s v="COLÉGIO OLIMPO LTDA"/>
    <m/>
    <n v="120"/>
    <n v="8"/>
    <s v="Transferência Bancária"/>
    <m/>
    <m/>
    <m/>
    <n v="0"/>
    <m/>
    <m/>
    <s v="MERC [EDI] [OPERAÇÕES]"/>
    <m/>
    <m/>
    <m/>
  </r>
  <r>
    <n v="273010"/>
    <s v="Extrato/125157"/>
    <s v="Mercantil Do Brasil - Cód. 125157"/>
    <n v="0"/>
    <d v="2015-05-28T00:00:00"/>
    <d v="1899-12-30T09:50:43"/>
    <n v="12402.83"/>
    <n v="0"/>
    <n v="-3070877.8600002145"/>
    <m/>
    <m/>
    <m/>
    <n v="125157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1557"/>
    <s v="0250867771-0/110542"/>
    <s v="Gvt  - Par. 110542(05-12)"/>
    <n v="0"/>
    <d v="2015-05-28T00:00:00"/>
    <d v="1899-12-30T09:55:29"/>
    <n v="1080.8800000000001"/>
    <n v="0"/>
    <n v="-3071958.7400002144"/>
    <m/>
    <m/>
    <m/>
    <n v="110542"/>
    <n v="24"/>
    <s v="Emilly"/>
    <n v="1"/>
    <m/>
    <n v="384"/>
    <d v="2015-06-02T00:00:00"/>
    <d v="2015-06-02T00:00:00"/>
    <m/>
    <m/>
    <n v="2015"/>
    <n v="24"/>
    <m/>
    <m/>
    <m/>
    <m/>
    <s v="Marista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60"/>
    <s v="045756/124399"/>
    <s v="Posto De Combustível - Cód. 124399"/>
    <n v="0"/>
    <d v="2015-05-28T00:00:00"/>
    <d v="1899-12-30T09:57:43"/>
    <n v="100"/>
    <n v="0"/>
    <n v="-3072058.7400002144"/>
    <m/>
    <m/>
    <m/>
    <n v="124399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61"/>
    <s v="540986/124400"/>
    <s v="Posto De Combustível - Cód. 124400"/>
    <n v="0"/>
    <d v="2015-05-28T00:00:00"/>
    <d v="1899-12-30T09:58:11"/>
    <n v="80.02"/>
    <n v="0"/>
    <n v="-3072138.7600002144"/>
    <m/>
    <m/>
    <m/>
    <n v="124400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62"/>
    <s v="069174/124401"/>
    <s v="Posto De Combustível - Cód. 124401"/>
    <n v="0"/>
    <d v="2015-05-28T00:00:00"/>
    <d v="1899-12-30T09:58:48"/>
    <n v="130.02000000000001"/>
    <n v="0"/>
    <n v="-3072268.7800002145"/>
    <m/>
    <m/>
    <m/>
    <n v="124401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63"/>
    <s v="238114/124402"/>
    <s v="Posto De Combustível - Cód. 124402"/>
    <n v="0"/>
    <d v="2015-05-28T00:00:00"/>
    <d v="1899-12-30T09:59:23"/>
    <n v="146.01"/>
    <n v="0"/>
    <n v="-3072414.7900002142"/>
    <m/>
    <m/>
    <m/>
    <n v="124402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65"/>
    <s v="094736/124404"/>
    <s v="Grupo Olimpo - Cód. 124404"/>
    <n v="0"/>
    <d v="2015-05-28T00:00:00"/>
    <d v="1899-12-30T10:00:55"/>
    <n v="9"/>
    <n v="0"/>
    <n v="-3072423.7900002142"/>
    <m/>
    <m/>
    <m/>
    <n v="124404"/>
    <n v="24"/>
    <s v="Emilly"/>
    <n v="1"/>
    <m/>
    <n v="496"/>
    <d v="2015-06-02T00:00:00"/>
    <d v="2015-06-02T00:00:00"/>
    <m/>
    <m/>
    <n v="2015"/>
    <n v="24"/>
    <m/>
    <m/>
    <m/>
    <m/>
    <s v="CA.Alimentação (DESPESA)"/>
    <x v="1"/>
    <s v="COLÉGIO OLIMPO LTDA"/>
    <m/>
    <n v="56"/>
    <n v="1"/>
    <s v="Dinheiro"/>
    <m/>
    <n v="0"/>
    <m/>
    <n v="0"/>
    <m/>
    <m/>
    <s v="CAIXA TESOURARIA"/>
    <m/>
    <m/>
    <m/>
  </r>
  <r>
    <n v="273037"/>
    <s v="Extrato/125184"/>
    <s v="Mercantil Do Brasil - Cód. 125184"/>
    <n v="0"/>
    <d v="2015-05-28T00:00:00"/>
    <d v="1899-12-30T10:11:57"/>
    <n v="2166"/>
    <n v="0"/>
    <n v="-3074589.7900002142"/>
    <m/>
    <m/>
    <m/>
    <n v="125184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8"/>
    <s v="Extrato/125185"/>
    <s v="Mercantil Do Brasil - Cód. 125185"/>
    <n v="0"/>
    <d v="2015-05-28T00:00:00"/>
    <d v="1899-12-30T10:11:57"/>
    <n v="41480.1"/>
    <n v="0"/>
    <n v="-3116069.8900002143"/>
    <m/>
    <m/>
    <m/>
    <n v="125185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810"/>
    <s v="Ant.Cob/124540"/>
    <s v="Banco Brb - Par. 124540(02-17)"/>
    <n v="0"/>
    <d v="2015-05-28T00:00:00"/>
    <d v="1899-12-30T10:16:49"/>
    <n v="1473"/>
    <n v="0"/>
    <n v="-3117542.8900002143"/>
    <m/>
    <m/>
    <m/>
    <n v="12454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07"/>
    <s v="Ant.Cob/124548"/>
    <s v="Banco Brb - Par. 124548(10-17)"/>
    <n v="0"/>
    <d v="2015-05-28T00:00:00"/>
    <d v="1899-12-30T10:16:49"/>
    <n v="1051"/>
    <n v="0"/>
    <n v="-3118593.8900002143"/>
    <m/>
    <m/>
    <m/>
    <n v="12454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08"/>
    <s v="Ant.Cob/124539"/>
    <s v="Banco Brb - Par. 124539(01-17)"/>
    <n v="0"/>
    <d v="2015-05-28T00:00:00"/>
    <d v="1899-12-30T10:16:49"/>
    <n v="1473"/>
    <n v="0"/>
    <n v="-3120066.8900002143"/>
    <m/>
    <m/>
    <m/>
    <n v="12453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09"/>
    <s v="Ant.Cob/124549"/>
    <s v="Banco Brb - Par. 124549(11-17)"/>
    <n v="0"/>
    <d v="2015-05-28T00:00:00"/>
    <d v="1899-12-30T10:16:49"/>
    <n v="1473"/>
    <n v="0"/>
    <n v="-3121539.8900002143"/>
    <m/>
    <m/>
    <m/>
    <n v="12454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1"/>
    <s v="Ant.Cob/124550"/>
    <s v="Banco Brb - Par. 124550(12-17)"/>
    <n v="0"/>
    <d v="2015-05-28T00:00:00"/>
    <d v="1899-12-30T10:16:50"/>
    <n v="1473"/>
    <n v="0"/>
    <n v="-3123012.8900002143"/>
    <m/>
    <m/>
    <m/>
    <n v="12455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2"/>
    <s v="Ant.Cob/124541"/>
    <s v="Banco Brb - Par. 124541(03-17)"/>
    <n v="0"/>
    <d v="2015-05-28T00:00:00"/>
    <d v="1899-12-30T10:16:50"/>
    <n v="1473"/>
    <n v="0"/>
    <n v="-3124485.8900002143"/>
    <m/>
    <m/>
    <m/>
    <n v="12454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3"/>
    <s v="Ant.Cob/124551"/>
    <s v="Banco Brb - Par. 124551(13-17)"/>
    <n v="0"/>
    <d v="2015-05-28T00:00:00"/>
    <d v="1899-12-30T10:16:50"/>
    <n v="1473"/>
    <n v="0"/>
    <n v="-3125958.8900002143"/>
    <m/>
    <m/>
    <m/>
    <n v="12455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4"/>
    <s v="Ant.Cob/124542"/>
    <s v="Banco Brb - Par. 124542(04-17)"/>
    <n v="0"/>
    <d v="2015-05-28T00:00:00"/>
    <d v="1899-12-30T10:16:50"/>
    <n v="1473"/>
    <n v="0"/>
    <n v="-3127431.8900002143"/>
    <m/>
    <m/>
    <m/>
    <n v="12454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5"/>
    <s v="Ant.Cob/124552"/>
    <s v="Banco Brb - Par. 124552(14-17)"/>
    <n v="0"/>
    <d v="2015-05-28T00:00:00"/>
    <d v="1899-12-30T10:16:50"/>
    <n v="1473"/>
    <n v="0"/>
    <n v="-3128904.8900002143"/>
    <m/>
    <m/>
    <m/>
    <n v="12455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6"/>
    <s v="Ant.Cob/124543"/>
    <s v="Banco Brb - Par. 124543(05-17)"/>
    <n v="0"/>
    <d v="2015-05-28T00:00:00"/>
    <d v="1899-12-30T10:16:50"/>
    <n v="1473"/>
    <n v="0"/>
    <n v="-3130377.8900002143"/>
    <m/>
    <m/>
    <m/>
    <n v="12454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7"/>
    <s v="Ant.Cob/124553"/>
    <s v="Banco Brb - Par. 124553(15-17)"/>
    <n v="0"/>
    <d v="2015-05-28T00:00:00"/>
    <d v="1899-12-30T10:16:50"/>
    <n v="1399.35"/>
    <n v="0"/>
    <n v="-3131777.2400002144"/>
    <m/>
    <m/>
    <m/>
    <n v="12455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8"/>
    <s v="Ant.Cob/124544"/>
    <s v="Banco Brb - Par. 124544(06-17)"/>
    <n v="0"/>
    <d v="2015-05-28T00:00:00"/>
    <d v="1899-12-30T10:16:51"/>
    <n v="1473"/>
    <n v="0"/>
    <n v="-3133250.2400002144"/>
    <m/>
    <m/>
    <m/>
    <n v="12454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9"/>
    <s v="Ant.Cob/124554"/>
    <s v="Banco Brb - Par. 124554(16-17)"/>
    <n v="0"/>
    <d v="2015-05-28T00:00:00"/>
    <d v="1899-12-30T10:16:51"/>
    <n v="1473"/>
    <n v="0"/>
    <n v="-3134723.2400002144"/>
    <m/>
    <m/>
    <m/>
    <n v="12455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0"/>
    <s v="Ant.Cob/124545"/>
    <s v="Banco Brb - Par. 124545(07-17)"/>
    <n v="0"/>
    <d v="2015-05-28T00:00:00"/>
    <d v="1899-12-30T10:16:51"/>
    <n v="1473"/>
    <n v="0"/>
    <n v="-3136196.2400002144"/>
    <m/>
    <m/>
    <m/>
    <n v="12454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1"/>
    <s v="Ant.Cob/124555"/>
    <s v="Banco Brb - Par. 124555(17-17)"/>
    <n v="0"/>
    <d v="2015-05-28T00:00:00"/>
    <d v="1899-12-30T10:16:51"/>
    <n v="1473"/>
    <n v="0"/>
    <n v="-3137669.2400002144"/>
    <m/>
    <m/>
    <m/>
    <n v="12455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2"/>
    <s v="Ant.Cob/124546"/>
    <s v="Banco Brb - Par. 124546(08-17)"/>
    <n v="0"/>
    <d v="2015-05-28T00:00:00"/>
    <d v="1899-12-30T10:16:51"/>
    <n v="1399.35"/>
    <n v="0"/>
    <n v="-3139068.5900002145"/>
    <m/>
    <m/>
    <m/>
    <n v="12454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3"/>
    <s v="Ant.Cob/124547"/>
    <s v="Banco Brb - Par. 124547(09-17)"/>
    <n v="0"/>
    <d v="2015-05-28T00:00:00"/>
    <d v="1899-12-30T10:16:51"/>
    <n v="1399.35"/>
    <n v="0"/>
    <n v="-3140467.9400002146"/>
    <m/>
    <m/>
    <m/>
    <n v="12454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554"/>
    <n v="192580"/>
    <s v="Retorno: Par. 192580(05/12) - 019671/CAR - Mensalidades"/>
    <n v="1473"/>
    <d v="2015-05-28T00:00:00"/>
    <d v="1899-12-30T10:22:00"/>
    <n v="0"/>
    <n v="0"/>
    <n v="-3138994.9400002146"/>
    <m/>
    <m/>
    <n v="192580"/>
    <m/>
    <n v="14"/>
    <s v="Renato"/>
    <n v="1"/>
    <m/>
    <n v="2"/>
    <d v="2015-06-09T00:00:00"/>
    <d v="2015-06-09T00:00:00"/>
    <n v="28842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5"/>
    <n v="192646"/>
    <s v="Retorno: Par. 192646(05/12) - 019817/GAB - Mensalidades"/>
    <n v="1473"/>
    <d v="2015-05-28T00:00:00"/>
    <d v="1899-12-30T10:22:00"/>
    <n v="0"/>
    <n v="0"/>
    <n v="-3137521.9400002146"/>
    <m/>
    <m/>
    <n v="192646"/>
    <m/>
    <n v="14"/>
    <s v="Renato"/>
    <n v="1"/>
    <m/>
    <n v="2"/>
    <d v="2015-06-09T00:00:00"/>
    <d v="2015-06-09T00:00:00"/>
    <n v="28843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6"/>
    <n v="192576"/>
    <s v="Retorno: Par. 192576(05/12) - 019377/GUS - Mensalidades"/>
    <n v="1473"/>
    <d v="2015-05-28T00:00:00"/>
    <d v="1899-12-30T10:22:01"/>
    <n v="0"/>
    <n v="0"/>
    <n v="-3136048.9400002146"/>
    <m/>
    <m/>
    <n v="192576"/>
    <m/>
    <n v="14"/>
    <s v="Renato"/>
    <n v="1"/>
    <m/>
    <n v="2"/>
    <d v="2015-06-09T00:00:00"/>
    <d v="2015-06-09T00:00:00"/>
    <n v="28844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7"/>
    <n v="192648"/>
    <s v="Retorno: Par. 192648(05/12) - 019819/IUR - Mensalidades"/>
    <n v="1473"/>
    <d v="2015-05-28T00:00:00"/>
    <d v="1899-12-30T10:22:01"/>
    <n v="0"/>
    <n v="0"/>
    <n v="-3134575.9400002146"/>
    <m/>
    <m/>
    <n v="192648"/>
    <m/>
    <n v="14"/>
    <s v="Renato"/>
    <n v="1"/>
    <m/>
    <n v="2"/>
    <d v="2015-06-09T00:00:00"/>
    <d v="2015-06-09T00:00:00"/>
    <n v="28845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8"/>
    <n v="192583"/>
    <s v="Retorno: Par. 192583(05/12) - 019391/VIT - Mensalidades"/>
    <n v="1473"/>
    <d v="2015-05-28T00:00:00"/>
    <d v="1899-12-30T10:22:02"/>
    <n v="0"/>
    <n v="0"/>
    <n v="-3133102.9400002146"/>
    <m/>
    <m/>
    <n v="192583"/>
    <m/>
    <n v="14"/>
    <s v="Renato"/>
    <n v="1"/>
    <m/>
    <n v="2"/>
    <d v="2015-06-09T00:00:00"/>
    <d v="2015-06-09T00:00:00"/>
    <n v="28846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1"/>
    <n v="192830"/>
    <s v="Retorno: Par. 192830(05/12) - 018051/DIO - Mensalidades"/>
    <n v="1399.35"/>
    <d v="2015-05-28T00:00:00"/>
    <d v="1899-12-30T10:22:03"/>
    <n v="0"/>
    <n v="0"/>
    <n v="-3131703.5900002145"/>
    <m/>
    <m/>
    <n v="192830"/>
    <m/>
    <n v="14"/>
    <s v="Renato"/>
    <n v="1"/>
    <m/>
    <n v="2"/>
    <d v="2015-06-09T00:00:00"/>
    <d v="2015-06-09T00:00:00"/>
    <n v="28849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2"/>
    <n v="193051"/>
    <s v="Retorno: Par. 193051(05/12) - 018120/GRA - Mensalidades"/>
    <n v="1473"/>
    <d v="2015-05-28T00:00:00"/>
    <d v="1899-12-30T10:22:03"/>
    <n v="0"/>
    <n v="0"/>
    <n v="-3130230.5900002145"/>
    <m/>
    <m/>
    <n v="193051"/>
    <m/>
    <n v="14"/>
    <s v="Renato"/>
    <n v="1"/>
    <m/>
    <n v="2"/>
    <d v="2015-06-09T00:00:00"/>
    <d v="2015-06-09T00:00:00"/>
    <n v="28850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0"/>
    <n v="192832"/>
    <s v="Retorno: Par. 192832(05/12) - 018293/ART - Mensalidades"/>
    <n v="1473"/>
    <d v="2015-05-28T00:00:00"/>
    <d v="1899-12-30T10:22:03"/>
    <n v="0"/>
    <n v="0"/>
    <n v="-3128757.5900002145"/>
    <m/>
    <m/>
    <n v="192832"/>
    <m/>
    <n v="14"/>
    <s v="Renato"/>
    <n v="1"/>
    <m/>
    <n v="2"/>
    <d v="2015-06-09T00:00:00"/>
    <d v="2015-06-09T00:00:00"/>
    <n v="28848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9"/>
    <n v="192658"/>
    <s v="Retorno: Par. 192658(05/12) - 019623/FEL - Mensalidades"/>
    <n v="1473"/>
    <d v="2015-05-28T00:00:00"/>
    <d v="1899-12-30T10:22:03"/>
    <n v="0"/>
    <n v="0"/>
    <n v="-3127284.5900002145"/>
    <m/>
    <m/>
    <n v="192658"/>
    <m/>
    <n v="14"/>
    <s v="Renato"/>
    <n v="1"/>
    <m/>
    <n v="2"/>
    <d v="2015-06-09T00:00:00"/>
    <d v="2015-06-09T00:00:00"/>
    <n v="28847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3"/>
    <n v="192807"/>
    <s v="Retorno: Par. 192807(05/12) - 018190/IGO - Mensalidades"/>
    <n v="1473"/>
    <d v="2015-05-28T00:00:00"/>
    <d v="1899-12-30T10:22:04"/>
    <n v="0"/>
    <n v="0"/>
    <n v="-3125811.5900002145"/>
    <m/>
    <m/>
    <n v="192807"/>
    <m/>
    <n v="14"/>
    <s v="Renato"/>
    <n v="1"/>
    <m/>
    <n v="2"/>
    <d v="2015-06-09T00:00:00"/>
    <d v="2015-06-09T00:00:00"/>
    <n v="28851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4"/>
    <n v="193080"/>
    <s v="Retorno: Par. 193080(05/12) - 018379/JOÃ - Mensalidades"/>
    <n v="1473"/>
    <d v="2015-05-28T00:00:00"/>
    <d v="1899-12-30T10:22:05"/>
    <n v="0"/>
    <n v="0"/>
    <n v="-3124338.5900002145"/>
    <m/>
    <m/>
    <n v="193080"/>
    <m/>
    <n v="14"/>
    <s v="Renato"/>
    <n v="1"/>
    <m/>
    <n v="2"/>
    <d v="2015-06-09T00:00:00"/>
    <d v="2015-06-09T00:00:00"/>
    <n v="28852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5"/>
    <n v="193074"/>
    <s v="Retorno: Par. 193074(05/12) - 018133/LUI - Mensalidades"/>
    <n v="1473"/>
    <d v="2015-05-28T00:00:00"/>
    <d v="1899-12-30T10:22:05"/>
    <n v="0"/>
    <n v="0"/>
    <n v="-3122865.5900002145"/>
    <m/>
    <m/>
    <n v="193074"/>
    <m/>
    <n v="14"/>
    <s v="Renato"/>
    <n v="1"/>
    <m/>
    <n v="2"/>
    <d v="2015-06-09T00:00:00"/>
    <d v="2015-06-09T00:00:00"/>
    <n v="28853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7"/>
    <n v="193012"/>
    <s v="Retorno: Par. 193012(05/12) - 018218/MAT - Mensalidades"/>
    <n v="1473"/>
    <d v="2015-05-28T00:00:00"/>
    <d v="1899-12-30T10:22:06"/>
    <n v="0"/>
    <n v="0"/>
    <n v="-3121392.5900002145"/>
    <m/>
    <m/>
    <n v="193012"/>
    <m/>
    <n v="14"/>
    <s v="Renato"/>
    <n v="1"/>
    <m/>
    <n v="2"/>
    <d v="2015-06-09T00:00:00"/>
    <d v="2015-06-09T00:00:00"/>
    <n v="28855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6"/>
    <n v="192933"/>
    <s v="Retorno: Par. 192933(05/12) - 018374/MAR - Mensalidades"/>
    <n v="1473"/>
    <d v="2015-05-28T00:00:00"/>
    <d v="1899-12-30T10:22:06"/>
    <n v="0"/>
    <n v="0"/>
    <n v="-3119919.5900002145"/>
    <m/>
    <m/>
    <n v="192933"/>
    <m/>
    <n v="14"/>
    <s v="Renato"/>
    <n v="1"/>
    <m/>
    <n v="2"/>
    <d v="2015-06-09T00:00:00"/>
    <d v="2015-06-09T00:00:00"/>
    <n v="28854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1575"/>
    <s v="Entrada"/>
    <s v="Senise / Zilmar"/>
    <n v="10000"/>
    <d v="2015-05-28T00:00:00"/>
    <d v="1899-12-30T10:34:42"/>
    <n v="0"/>
    <n v="0"/>
    <n v="-3109919.5900002145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576"/>
    <s v="Entrada"/>
    <s v="Senise / Zilmar"/>
    <n v="8675.57"/>
    <d v="2015-05-28T00:00:00"/>
    <d v="1899-12-30T10:35:38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577"/>
    <s v="Transferência Entre Conta"/>
    <s v="Transferência Entre Conta"/>
    <n v="0"/>
    <d v="2015-05-28T00:00:00"/>
    <d v="1899-12-30T10:36:15"/>
    <n v="8700"/>
    <n v="0"/>
    <n v="-31099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1578"/>
    <s v="Transferência Entre Conta"/>
    <s v="Destino: 271577-Transferência Entre Conta"/>
    <n v="8700"/>
    <d v="2015-05-28T00:00:00"/>
    <d v="1899-12-30T10:36:15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7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580"/>
    <s v="Transferência Entre Conta"/>
    <s v="Transferência Entre Conta"/>
    <n v="0"/>
    <d v="2015-05-28T00:00:00"/>
    <d v="1899-12-30T10:45:12"/>
    <n v="2000"/>
    <n v="0"/>
    <n v="-31032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127"/>
    <s v="ITAÚ [GYN] [026016-5] []"/>
    <m/>
    <m/>
    <m/>
  </r>
  <r>
    <n v="271581"/>
    <s v="Transferência Entre Conta"/>
    <s v="Destino: 271580-Transferência Entre Conta"/>
    <n v="2000"/>
    <d v="2015-05-28T00:00:00"/>
    <d v="1899-12-30T10:45:12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80"/>
    <m/>
    <s v="Transferência entre contas"/>
    <x v="2"/>
    <s v="COLÉGIO OLIMPO LTDA"/>
    <m/>
    <n v="127"/>
    <n v="8"/>
    <s v="Transferência Bancária"/>
    <m/>
    <m/>
    <m/>
    <n v="0"/>
    <m/>
    <m/>
    <s v="SANTANDER MARCELO"/>
    <m/>
    <m/>
    <m/>
  </r>
  <r>
    <n v="271582"/>
    <s v="Transferência Entre Conta"/>
    <s v="Transferência Entre Conta"/>
    <n v="0"/>
    <d v="2015-05-28T00:00:00"/>
    <d v="1899-12-30T10:45:55"/>
    <n v="2050"/>
    <n v="0"/>
    <n v="-310329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127"/>
    <s v="ITAÚ [GYN] [026016-5] []"/>
    <m/>
    <m/>
    <m/>
  </r>
  <r>
    <n v="271583"/>
    <s v="Transferência Entre Conta"/>
    <s v="Destino: 271582-Transferência Entre Conta"/>
    <n v="2050"/>
    <d v="2015-05-28T00:00:00"/>
    <d v="1899-12-30T10:45:55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82"/>
    <m/>
    <s v="Transferência entre contas"/>
    <x v="2"/>
    <s v="COLÉGIO OLIMPO LTDA"/>
    <m/>
    <n v="127"/>
    <n v="8"/>
    <s v="Transferência Bancária"/>
    <m/>
    <m/>
    <m/>
    <n v="0"/>
    <m/>
    <m/>
    <s v="SANTANDER MARCELO"/>
    <m/>
    <m/>
    <m/>
  </r>
  <r>
    <n v="271586"/>
    <s v="Transferência Entre Conta"/>
    <s v="Transferência Entre Conta"/>
    <n v="0"/>
    <d v="2015-05-28T00:00:00"/>
    <d v="1899-12-30T10:49:04"/>
    <n v="3200"/>
    <n v="0"/>
    <n v="-31044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1587"/>
    <s v="Transferência Entre Conta"/>
    <s v="Destino: 271586-Transferência Entre Conta"/>
    <n v="3200"/>
    <d v="2015-05-28T00:00:00"/>
    <d v="1899-12-30T10:49:04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86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588"/>
    <s v="Transferência Entre Conta"/>
    <s v="Transferência Entre Conta"/>
    <n v="0"/>
    <d v="2015-05-28T00:00:00"/>
    <d v="1899-12-30T10:49:25"/>
    <n v="800"/>
    <n v="0"/>
    <n v="-31020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4"/>
    <s v="ITAÚ [GYN] [026016-5] []"/>
    <m/>
    <m/>
    <m/>
  </r>
  <r>
    <n v="271589"/>
    <s v="Transferência Entre Conta"/>
    <s v="Destino: 271588-Transferência Entre Conta"/>
    <n v="800"/>
    <d v="2015-05-28T00:00:00"/>
    <d v="1899-12-30T10:49:25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88"/>
    <m/>
    <s v="Transferência entre contas"/>
    <x v="2"/>
    <s v="COLÉGIO OLIMPO LTDA"/>
    <m/>
    <n v="4"/>
    <n v="8"/>
    <s v="Transferência Bancária"/>
    <m/>
    <m/>
    <m/>
    <n v="0"/>
    <m/>
    <m/>
    <s v="BB [022382-4] [GYN] [CC]"/>
    <m/>
    <m/>
    <m/>
  </r>
  <r>
    <n v="271590"/>
    <s v="Transferência Entre Conta"/>
    <s v="Transferência Entre Conta"/>
    <n v="0"/>
    <d v="2015-05-28T00:00:00"/>
    <d v="1899-12-30T10:49:54"/>
    <n v="5750"/>
    <n v="0"/>
    <n v="-310699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1591"/>
    <s v="Transferência Entre Conta"/>
    <s v="Destino: 271590-Transferência Entre Conta"/>
    <n v="5750"/>
    <d v="2015-05-28T00:00:00"/>
    <d v="1899-12-30T10:49:54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9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1592"/>
    <s v="Transferência Entre Conta"/>
    <s v="Transferência Entre Conta"/>
    <n v="0"/>
    <d v="2015-05-28T00:00:00"/>
    <d v="1899-12-30T10:50:22"/>
    <n v="2000"/>
    <n v="0"/>
    <n v="-31032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2"/>
    <s v="ITAÚ [GYN] [026016-5] []"/>
    <m/>
    <m/>
    <m/>
  </r>
  <r>
    <n v="271593"/>
    <s v="Transferência Entre Conta"/>
    <s v="Destino: 271592-Transferência Entre Conta"/>
    <n v="2000"/>
    <d v="2015-05-28T00:00:00"/>
    <d v="1899-12-30T10:50:22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92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641"/>
    <s v="33475/109651"/>
    <s v="Mc Locaçoes E Serviços Tecprint - Par. 109651(04-11)"/>
    <n v="0"/>
    <d v="2015-05-28T00:00:00"/>
    <d v="1899-12-30T11:13:18"/>
    <n v="531.89"/>
    <n v="0"/>
    <n v="-3101775.9100002148"/>
    <m/>
    <m/>
    <m/>
    <n v="109651"/>
    <n v="24"/>
    <s v="Emilly"/>
    <n v="1"/>
    <m/>
    <n v="1501"/>
    <d v="2015-06-02T00:00:00"/>
    <d v="2015-06-02T00:00:00"/>
    <m/>
    <m/>
    <n v="2015"/>
    <n v="24"/>
    <m/>
    <m/>
    <m/>
    <m/>
    <s v="SolNascente.Cópias e Impressões"/>
    <x v="1"/>
    <s v="COLÉGIO OLIMPO LTDA"/>
    <m/>
    <n v="56"/>
    <n v="1"/>
    <s v="Dinheiro"/>
    <m/>
    <n v="0"/>
    <m/>
    <n v="0"/>
    <m/>
    <m/>
    <s v="CAIXA TESOURARIA"/>
    <m/>
    <m/>
    <m/>
  </r>
  <r>
    <n v="271643"/>
    <s v="00220919745952/124433"/>
    <s v="Embratel - Cód. 124433"/>
    <n v="0"/>
    <d v="2015-05-28T00:00:00"/>
    <d v="1899-12-30T11:16:25"/>
    <n v="13.71"/>
    <n v="0"/>
    <n v="-3101789.6200002148"/>
    <m/>
    <m/>
    <m/>
    <n v="124433"/>
    <n v="24"/>
    <s v="Emilly"/>
    <n v="1"/>
    <m/>
    <n v="1550"/>
    <d v="2015-06-02T00:00:00"/>
    <d v="2015-06-02T00:00:00"/>
    <m/>
    <m/>
    <n v="2015"/>
    <n v="24"/>
    <m/>
    <m/>
    <m/>
    <m/>
    <s v="Aná.Telefone Fixo"/>
    <x v="1"/>
    <s v="COLÉGIO OLIMPO LTDA"/>
    <m/>
    <n v="56"/>
    <n v="1"/>
    <s v="Dinheiro"/>
    <m/>
    <n v="0"/>
    <m/>
    <n v="0"/>
    <m/>
    <m/>
    <s v="CAIXA TESOURARIA"/>
    <m/>
    <m/>
    <m/>
  </r>
  <r>
    <n v="271644"/>
    <s v="Transferência Entre Conta"/>
    <s v="Transferência Entre Conta"/>
    <n v="0"/>
    <d v="2015-05-28T00:00:00"/>
    <d v="1899-12-30T11:16:55"/>
    <n v="7645.5"/>
    <n v="0"/>
    <n v="-3109435.1200002148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02"/>
    <n v="8"/>
    <s v="Transferência Bancária"/>
    <m/>
    <m/>
    <m/>
    <n v="0"/>
    <m/>
    <n v="52"/>
    <s v="ITAÚ [BER] [031427-7] [CC]"/>
    <m/>
    <m/>
    <m/>
  </r>
  <r>
    <n v="271645"/>
    <s v="Transferência Entre Conta"/>
    <s v="Destino: 271644-Transferência Entre Conta"/>
    <n v="7645.5"/>
    <d v="2015-05-28T00:00:00"/>
    <d v="1899-12-30T11:16:55"/>
    <n v="0"/>
    <n v="0"/>
    <n v="-3101789.6200002148"/>
    <m/>
    <m/>
    <m/>
    <m/>
    <n v="24"/>
    <s v="Emilly"/>
    <n v="1"/>
    <m/>
    <n v="1449"/>
    <d v="2015-06-02T00:00:00"/>
    <d v="2015-06-02T00:00:00"/>
    <m/>
    <m/>
    <n v="2015"/>
    <n v="24"/>
    <m/>
    <m/>
    <n v="27164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2094"/>
    <n v="197300"/>
    <s v="Retorno: Par. 197300(05/12) - 18449/MUR - Mensalidades"/>
    <n v="1724"/>
    <d v="2015-05-28T00:00:00"/>
    <d v="1899-12-30T12:00:00"/>
    <n v="0"/>
    <n v="0"/>
    <n v="-3100065.6200002148"/>
    <m/>
    <m/>
    <n v="197300"/>
    <m/>
    <n v="1"/>
    <s v="Andre"/>
    <n v="1"/>
    <m/>
    <n v="2"/>
    <d v="2015-06-05T00:00:00"/>
    <d v="2015-06-05T00:00:00"/>
    <n v="28523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92"/>
    <n v="197772"/>
    <s v="Retorno: Par. 197772(05/12) - 19883/EDU - Mensalidades"/>
    <n v="1473"/>
    <d v="2015-05-28T00:00:00"/>
    <d v="1899-12-30T12:00:00"/>
    <n v="0"/>
    <n v="0"/>
    <n v="-3098592.6200002148"/>
    <m/>
    <m/>
    <n v="197772"/>
    <m/>
    <n v="1"/>
    <s v="Andre"/>
    <n v="1"/>
    <m/>
    <n v="2"/>
    <d v="2015-06-05T00:00:00"/>
    <d v="2015-06-05T00:00:00"/>
    <n v="28521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93"/>
    <n v="197054"/>
    <s v="Retorno: Par. 197054(05/12) - 18580/LUC - Mensalidades"/>
    <n v="1724"/>
    <d v="2015-05-28T00:00:00"/>
    <d v="1899-12-30T12:00:00"/>
    <n v="0"/>
    <n v="0"/>
    <n v="-3096868.6200002148"/>
    <m/>
    <m/>
    <n v="197054"/>
    <m/>
    <n v="1"/>
    <s v="Andre"/>
    <n v="1"/>
    <m/>
    <n v="2"/>
    <d v="2015-06-05T00:00:00"/>
    <d v="2015-06-05T00:00:00"/>
    <n v="28522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95"/>
    <n v="197297"/>
    <s v="Retorno: Par. 197297(05/12) - 18518/TIA - Mensalidades"/>
    <n v="1724"/>
    <d v="2015-05-28T00:00:00"/>
    <d v="1899-12-30T12:00:00"/>
    <n v="0"/>
    <n v="0"/>
    <n v="-3095144.6200002148"/>
    <m/>
    <m/>
    <n v="197297"/>
    <m/>
    <n v="1"/>
    <s v="Andre"/>
    <n v="1"/>
    <m/>
    <n v="2"/>
    <d v="2015-06-05T00:00:00"/>
    <d v="2015-06-05T00:00:00"/>
    <n v="28524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55"/>
    <n v="205190"/>
    <s v="Retorno: Par. 205190(06/12) - 19695/AMA - Mensalidades"/>
    <n v="1473"/>
    <d v="2015-05-28T00:00:00"/>
    <d v="1899-12-30T12:00:00"/>
    <n v="0"/>
    <n v="0"/>
    <n v="-3093671.6200002148"/>
    <m/>
    <m/>
    <n v="205190"/>
    <m/>
    <n v="1"/>
    <s v="Andre"/>
    <n v="1"/>
    <m/>
    <n v="2"/>
    <d v="2015-06-30T00:00:00"/>
    <d v="2015-06-30T00:00:00"/>
    <n v="2914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4653"/>
    <n v="192602"/>
    <s v="Retorno: Par. 192602(05/12) - 19695/AMA - Mensalidades"/>
    <n v="1473"/>
    <d v="2015-05-28T00:00:00"/>
    <d v="1899-12-30T12:00:00"/>
    <n v="0"/>
    <n v="0"/>
    <n v="-3092198.6200002148"/>
    <m/>
    <m/>
    <n v="192602"/>
    <m/>
    <n v="1"/>
    <s v="Andre"/>
    <n v="1"/>
    <m/>
    <n v="2"/>
    <d v="2015-06-30T00:00:00"/>
    <d v="2015-06-30T00:00:00"/>
    <n v="2913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4654"/>
    <n v="192787"/>
    <s v="Retorno: Par. 192787(05/12) - 19685/VIT - Mensalidades"/>
    <n v="1473"/>
    <d v="2015-05-28T00:00:00"/>
    <d v="1899-12-30T12:00:00"/>
    <n v="0"/>
    <n v="0"/>
    <n v="-3090725.6200002148"/>
    <m/>
    <m/>
    <n v="192787"/>
    <m/>
    <n v="1"/>
    <s v="Andre"/>
    <n v="1"/>
    <m/>
    <n v="2"/>
    <d v="2015-06-30T00:00:00"/>
    <d v="2015-06-30T00:00:00"/>
    <n v="2914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6037"/>
    <s v="Fluxo de Caixa "/>
    <s v="Fluxo de Caixa "/>
    <n v="0"/>
    <d v="2015-05-28T00:00:00"/>
    <d v="1899-12-30T12:45:34"/>
    <n v="9807.41"/>
    <n v="0"/>
    <n v="-3100533.0300002149"/>
    <m/>
    <m/>
    <m/>
    <m/>
    <n v="7"/>
    <s v="Anapaula"/>
    <n v="1"/>
    <m/>
    <n v="1449"/>
    <d v="2015-07-03T00:00:00"/>
    <d v="2015-07-03T00:00:00"/>
    <m/>
    <m/>
    <n v="2015"/>
    <n v="7"/>
    <m/>
    <m/>
    <m/>
    <m/>
    <s v="Transferência entre contas"/>
    <x v="2"/>
    <s v="COLÉGIO OLIMPO LTDA"/>
    <m/>
    <n v="120"/>
    <n v="8"/>
    <s v="Transferência Bancária"/>
    <m/>
    <m/>
    <m/>
    <n v="0"/>
    <m/>
    <m/>
    <s v="MERC [EDI] [OPERAÇÕES]"/>
    <m/>
    <m/>
    <m/>
  </r>
  <r>
    <n v="272860"/>
    <s v="Remessa Olimpo Anápolis"/>
    <s v="Remessa Olimpo Anápolis"/>
    <n v="5322.7"/>
    <d v="2015-05-28T00:00:00"/>
    <d v="1899-12-30T13:28:17"/>
    <n v="0"/>
    <n v="0"/>
    <n v="-3095210.3300002147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063"/>
    <s v="Extrato/124798"/>
    <s v="Banco Itaú Unibanco S.A. - Cód. 124798"/>
    <n v="0"/>
    <d v="2015-05-28T00:00:00"/>
    <d v="1899-12-30T13:34:58"/>
    <n v="15.9"/>
    <n v="0"/>
    <n v="-3095226.2300002147"/>
    <m/>
    <m/>
    <m/>
    <n v="124798"/>
    <n v="24"/>
    <s v="Emilly"/>
    <n v="1"/>
    <m/>
    <n v="575"/>
    <d v="2015-06-05T00:00:00"/>
    <d v="2015-06-05T00:00:00"/>
    <m/>
    <m/>
    <n v="2015"/>
    <n v="24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3619"/>
    <n v="216949"/>
    <s v="Par.(04/10) 020807/NEIDE ALVES ALMEIDA ALVAR - Parcelas"/>
    <n v="160"/>
    <d v="2015-05-28T00:00:00"/>
    <d v="1899-12-30T13:54:58"/>
    <n v="0"/>
    <n v="0"/>
    <n v="-3095066.2300002147"/>
    <m/>
    <m/>
    <n v="216949"/>
    <m/>
    <n v="60"/>
    <s v="Francielly"/>
    <n v="2"/>
    <m/>
    <n v="62"/>
    <d v="2015-06-18T00:00:00"/>
    <d v="2015-06-18T00:00:00"/>
    <m/>
    <m/>
    <n v="2015"/>
    <n v="60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1683"/>
    <s v="Transferência Entre Conta"/>
    <s v="Transferência Entre Conta"/>
    <n v="10000"/>
    <d v="2015-05-28T00:00:00"/>
    <d v="1899-12-30T13:56:09"/>
    <n v="0"/>
    <n v="0"/>
    <n v="-3085066.2300002147"/>
    <m/>
    <m/>
    <m/>
    <m/>
    <n v="24"/>
    <s v="Emilly"/>
    <n v="1"/>
    <m/>
    <n v="1449"/>
    <d v="2015-06-03T00:00:00"/>
    <d v="2015-06-25T00:00:00"/>
    <m/>
    <m/>
    <n v="2015"/>
    <n v="24"/>
    <m/>
    <m/>
    <m/>
    <m/>
    <s v="Transferência entre contas"/>
    <x v="2"/>
    <s v="COLÉGIO OLIMPO LTDA"/>
    <m/>
    <n v="52"/>
    <n v="8"/>
    <s v="Transferência Bancária"/>
    <m/>
    <m/>
    <m/>
    <n v="0"/>
    <m/>
    <n v="26"/>
    <s v="BRB [SOL] [012052-4] [CC] [COB]"/>
    <m/>
    <m/>
    <m/>
  </r>
  <r>
    <n v="274041"/>
    <s v="Transferência Entre Conta"/>
    <s v="Destino: 271683-Transferência Entre Conta"/>
    <n v="0"/>
    <d v="2015-05-28T00:00:00"/>
    <d v="1899-12-30T13:56:09"/>
    <n v="10000"/>
    <n v="0"/>
    <n v="-3095066.2300002147"/>
    <m/>
    <m/>
    <m/>
    <m/>
    <n v="24"/>
    <s v="Emilly"/>
    <n v="1"/>
    <m/>
    <n v="1449"/>
    <d v="2015-06-25T00:00:00"/>
    <d v="2015-06-25T00:00:00"/>
    <m/>
    <m/>
    <n v="2015"/>
    <n v="24"/>
    <m/>
    <m/>
    <n v="271683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684"/>
    <s v="Extrato"/>
    <s v="Credito Ch Devolvido 3689"/>
    <n v="29900"/>
    <d v="2015-05-28T00:00:00"/>
    <d v="1899-12-30T13:56:46"/>
    <n v="0"/>
    <n v="0"/>
    <n v="-3065166.2300002147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1685"/>
    <s v="Extrato"/>
    <s v="Credito Ch Devolvido 3690"/>
    <n v="16700"/>
    <d v="2015-05-28T00:00:00"/>
    <d v="1899-12-30T13:57:26"/>
    <n v="0"/>
    <n v="0"/>
    <n v="-3048466.2300002147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1686"/>
    <s v="Extrato"/>
    <s v="Credito Ch Devolvido 3692"/>
    <n v="20000"/>
    <d v="2015-05-28T00:00:00"/>
    <d v="1899-12-30T13:57:49"/>
    <n v="0"/>
    <n v="0"/>
    <n v="-3028466.2300002147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1687"/>
    <s v="Extrato"/>
    <s v="Credito Ch Devolvido  3694"/>
    <n v="7400"/>
    <d v="2015-05-28T00:00:00"/>
    <d v="1899-12-30T13:58:12"/>
    <n v="0"/>
    <n v="0"/>
    <n v="-3021066.2300002147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3620"/>
    <s v="Remessa Educ. Sol Nascente"/>
    <s v="Remessa Educ. Sol Nascente"/>
    <n v="1095.99"/>
    <d v="2015-05-28T00:00:00"/>
    <d v="1899-12-30T13:59:45"/>
    <n v="0"/>
    <n v="0"/>
    <n v="-3019970.2400002144"/>
    <m/>
    <m/>
    <m/>
    <m/>
    <n v="60"/>
    <s v="Francielly"/>
    <n v="1"/>
    <m/>
    <n v="1434"/>
    <d v="2015-06-18T00:00:00"/>
    <d v="2015-06-18T00:00:00"/>
    <m/>
    <m/>
    <n v="2015"/>
    <n v="60"/>
    <m/>
    <m/>
    <m/>
    <m/>
    <s v="Remessa Educ. Sol Nascente"/>
    <x v="1"/>
    <s v="COLÉGIO OLIMPO LTDA"/>
    <m/>
    <n v="3"/>
    <n v="11"/>
    <s v="Antec. de Cheque"/>
    <m/>
    <m/>
    <m/>
    <n v="0"/>
    <m/>
    <m/>
    <s v="FACT: GF FOM. MERC."/>
    <m/>
    <m/>
    <m/>
  </r>
  <r>
    <n v="271691"/>
    <s v="Credito Cobrança Brb"/>
    <s v="Remessa Olimpo Fundamental"/>
    <n v="6048"/>
    <d v="2015-05-28T00:00:00"/>
    <d v="1899-12-30T14:01:30"/>
    <n v="0"/>
    <n v="0"/>
    <n v="-3013922.2400002144"/>
    <m/>
    <m/>
    <m/>
    <m/>
    <n v="24"/>
    <s v="Emilly"/>
    <n v="1"/>
    <m/>
    <n v="1431"/>
    <d v="2015-06-03T00:00:00"/>
    <d v="2015-06-03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1692"/>
    <s v="RM/107874"/>
    <s v="Ricardo Melo - Cód. 107874"/>
    <n v="0"/>
    <d v="2015-05-28T00:00:00"/>
    <d v="1899-12-30T14:03:42"/>
    <n v="10100"/>
    <n v="0"/>
    <n v="-3024022.2400002144"/>
    <m/>
    <m/>
    <m/>
    <n v="107874"/>
    <n v="24"/>
    <s v="Emilly"/>
    <n v="1"/>
    <m/>
    <n v="1450"/>
    <d v="2015-06-03T00:00:00"/>
    <d v="2015-06-03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693"/>
    <s v="Brb Sol 3073/115028"/>
    <s v="Olimpo Uberlândia - Cód. 115028"/>
    <n v="0"/>
    <d v="2015-05-28T00:00:00"/>
    <d v="1899-12-30T14:03:59"/>
    <n v="18704"/>
    <n v="0"/>
    <n v="-3042726.2400002144"/>
    <m/>
    <m/>
    <m/>
    <n v="115028"/>
    <n v="24"/>
    <s v="Emilly"/>
    <n v="1"/>
    <m/>
    <n v="1527"/>
    <d v="2015-06-03T00:00:00"/>
    <d v="2015-06-03T00:00:00"/>
    <m/>
    <m/>
    <n v="2015"/>
    <n v="24"/>
    <m/>
    <m/>
    <m/>
    <m/>
    <s v="Uber.Despesa diversas"/>
    <x v="1"/>
    <s v="COLÉGIO OLIMPO LTDA"/>
    <m/>
    <n v="52"/>
    <n v="2"/>
    <s v="Cheque"/>
    <m/>
    <n v="0"/>
    <m/>
    <n v="0"/>
    <m/>
    <m/>
    <s v="BRB [SOL] [012052-4] [CC] [COB]"/>
    <m/>
    <m/>
    <m/>
  </r>
  <r>
    <n v="271700"/>
    <s v="Ant.Cob/124470"/>
    <s v="Banco Brb - Par. 124470(04-5)"/>
    <n v="0"/>
    <d v="2015-05-28T00:00:00"/>
    <d v="1899-12-30T14:05:46"/>
    <n v="1051"/>
    <n v="0"/>
    <n v="-3043777.2400002144"/>
    <m/>
    <m/>
    <m/>
    <n v="124470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01"/>
    <s v="Ant.Cob/124471"/>
    <s v="Banco Brb - Par. 124471(05-5)"/>
    <n v="0"/>
    <d v="2015-05-28T00:00:00"/>
    <d v="1899-12-30T14:05:46"/>
    <n v="1724"/>
    <n v="0"/>
    <n v="-3045501.2400002144"/>
    <m/>
    <m/>
    <m/>
    <n v="124471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697"/>
    <s v="Ant.Cob/124467"/>
    <s v="Banco Brb - Par. 124467(01-5)"/>
    <n v="0"/>
    <d v="2015-05-28T00:00:00"/>
    <d v="1899-12-30T14:05:46"/>
    <n v="1111"/>
    <n v="0"/>
    <n v="-3046612.2400002144"/>
    <m/>
    <m/>
    <m/>
    <n v="124467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698"/>
    <s v="Ant.Cob/124468"/>
    <s v="Banco Brb - Par. 124468(02-5)"/>
    <n v="0"/>
    <d v="2015-05-28T00:00:00"/>
    <d v="1899-12-30T14:05:46"/>
    <n v="1051"/>
    <n v="0"/>
    <n v="-3047663.2400002144"/>
    <m/>
    <m/>
    <m/>
    <n v="124468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699"/>
    <s v="Ant.Cob/124469"/>
    <s v="Banco Brb - Par. 124469(03-5)"/>
    <n v="0"/>
    <d v="2015-05-28T00:00:00"/>
    <d v="1899-12-30T14:05:46"/>
    <n v="1111"/>
    <n v="0"/>
    <n v="-3048774.2400002144"/>
    <m/>
    <m/>
    <m/>
    <n v="124469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4409"/>
    <n v="200319"/>
    <s v="Ret. Par. 200319(05/12) - 018406/LAURA AUGUSTA CARVALHO - Mensalidades"/>
    <n v="1724"/>
    <d v="2015-05-28T00:00:00"/>
    <d v="1899-12-30T14:19:32"/>
    <n v="0"/>
    <n v="0"/>
    <n v="-3047050.2400002144"/>
    <m/>
    <m/>
    <n v="200319"/>
    <m/>
    <n v="1"/>
    <s v="Andre"/>
    <n v="1"/>
    <m/>
    <n v="2"/>
    <d v="2015-06-29T00:00:00"/>
    <d v="2015-06-29T00:00:00"/>
    <n v="29103"/>
    <n v="28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4407"/>
    <n v="194952"/>
    <s v="Ret. Par. 194952(05/12) - 018681/CARLOS GOMES DE CARVALHO JÚ - Mensalidades"/>
    <n v="1724"/>
    <d v="2015-05-28T00:00:00"/>
    <d v="1899-12-30T14:19:32"/>
    <n v="0"/>
    <n v="0"/>
    <n v="-3045326.2400002144"/>
    <m/>
    <m/>
    <n v="194952"/>
    <m/>
    <n v="1"/>
    <s v="Andre"/>
    <n v="1"/>
    <m/>
    <n v="2"/>
    <d v="2015-06-29T00:00:00"/>
    <d v="2015-06-29T00:00:00"/>
    <n v="29101"/>
    <n v="28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4408"/>
    <n v="195068"/>
    <s v="Ret. Par. 195068(05/12) - 018491/GIULIO BENEDITO GROSSI MICH - Mensalidades"/>
    <n v="1724"/>
    <d v="2015-05-28T00:00:00"/>
    <d v="1899-12-30T14:19:32"/>
    <n v="0"/>
    <n v="0"/>
    <n v="-3043602.2400002144"/>
    <m/>
    <m/>
    <n v="195068"/>
    <m/>
    <n v="1"/>
    <s v="Andre"/>
    <n v="1"/>
    <m/>
    <n v="2"/>
    <d v="2015-06-29T00:00:00"/>
    <d v="2015-06-29T00:00:00"/>
    <n v="29102"/>
    <n v="28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3065"/>
    <s v="Extrato/126914"/>
    <s v="Caixa Econômica Federal - Cód. 126914"/>
    <n v="0"/>
    <d v="2015-05-28T00:00:00"/>
    <d v="1899-12-30T14:40:07"/>
    <n v="8.85"/>
    <n v="0"/>
    <n v="-3043611.0900002145"/>
    <m/>
    <m/>
    <m/>
    <n v="126914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3069"/>
    <s v="7535/120156"/>
    <s v="Wambasther Alves - Cód. 120156"/>
    <n v="0"/>
    <d v="2015-05-28T00:00:00"/>
    <d v="1899-12-30T15:37:58"/>
    <n v="332.21"/>
    <n v="0"/>
    <n v="-3043943.3000002145"/>
    <m/>
    <m/>
    <m/>
    <n v="120156"/>
    <n v="24"/>
    <s v="Emilly"/>
    <n v="1"/>
    <m/>
    <n v="354"/>
    <d v="2015-06-15T00:00:00"/>
    <d v="2015-06-15T00:00:00"/>
    <m/>
    <m/>
    <n v="2015"/>
    <n v="24"/>
    <m/>
    <m/>
    <m/>
    <m/>
    <s v="Marista.Manutenção Máquinas e Equipamento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783"/>
    <s v="Extrato/124526"/>
    <s v="Banco Santander  - Cód. 124526"/>
    <n v="0"/>
    <d v="2015-05-28T00:00:00"/>
    <d v="1899-12-30T16:04:47"/>
    <n v="8767.6200000000008"/>
    <n v="0"/>
    <n v="-3052710.9200002146"/>
    <m/>
    <m/>
    <m/>
    <n v="124526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s v="COLÉGIO OLIMPO LTDA"/>
    <m/>
    <n v="7"/>
    <n v="9"/>
    <s v="Débito em conta"/>
    <m/>
    <n v="0"/>
    <m/>
    <n v="0"/>
    <m/>
    <m/>
    <s v="SANT 936-9 GOIANIA"/>
    <m/>
    <m/>
    <m/>
  </r>
  <r>
    <n v="271784"/>
    <s v="Extrato/124527"/>
    <s v="Banco Santander  - Cód. 124527"/>
    <n v="0"/>
    <d v="2015-05-28T00:00:00"/>
    <d v="1899-12-30T16:04:47"/>
    <n v="4959.41"/>
    <n v="0"/>
    <n v="-3057670.3300002147"/>
    <m/>
    <m/>
    <m/>
    <n v="124527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s v="COLÉGIO OLIMPO LTDA"/>
    <m/>
    <n v="7"/>
    <n v="9"/>
    <s v="Débito em conta"/>
    <m/>
    <n v="0"/>
    <m/>
    <n v="0"/>
    <m/>
    <m/>
    <s v="SANT 936-9 GOIANIA"/>
    <m/>
    <m/>
    <m/>
  </r>
  <r>
    <n v="271785"/>
    <s v="Extrato/124528"/>
    <s v="Banco Santander  - Cód. 124528"/>
    <n v="0"/>
    <d v="2015-05-28T00:00:00"/>
    <d v="1899-12-30T16:05:58"/>
    <n v="378.71"/>
    <n v="0"/>
    <n v="-3058049.0400002147"/>
    <m/>
    <m/>
    <m/>
    <n v="124528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s v="COLÉGIO OLIMPO LTDA"/>
    <m/>
    <n v="7"/>
    <n v="9"/>
    <s v="Débito em conta"/>
    <m/>
    <n v="0"/>
    <m/>
    <n v="0"/>
    <m/>
    <m/>
    <s v="SANT 936-9 GOIANIA"/>
    <m/>
    <m/>
    <m/>
  </r>
  <r>
    <n v="271786"/>
    <s v="Extrato/124529"/>
    <s v="Banco Santander  - Cód. 124529"/>
    <n v="0"/>
    <d v="2015-05-28T00:00:00"/>
    <d v="1899-12-30T16:05:58"/>
    <n v="2268.5100000000002"/>
    <n v="0"/>
    <n v="-3060317.5500002145"/>
    <m/>
    <m/>
    <m/>
    <n v="124529"/>
    <n v="24"/>
    <s v="Emilly"/>
    <n v="1"/>
    <m/>
    <n v="575"/>
    <d v="2015-06-03T00:00:00"/>
    <d v="2015-06-03T00:00:00"/>
    <m/>
    <m/>
    <n v="2015"/>
    <n v="24"/>
    <m/>
    <m/>
    <m/>
    <m/>
    <s v="CA.Tarifas Bancárias"/>
    <x v="2"/>
    <s v="COLÉGIO OLIMPO LTDA"/>
    <m/>
    <n v="7"/>
    <n v="9"/>
    <s v="Débito em conta"/>
    <m/>
    <n v="0"/>
    <m/>
    <n v="0"/>
    <m/>
    <m/>
    <s v="SANT 936-9 GOIANIA"/>
    <m/>
    <m/>
    <m/>
  </r>
  <r>
    <n v="271510"/>
    <s v="SRP/111898"/>
    <s v="Silvanio Rodrigues Peres - Par. 111898(05-12)"/>
    <n v="0"/>
    <d v="2015-05-28T00:00:00"/>
    <d v="1899-12-30T16:21:05"/>
    <n v="240"/>
    <n v="0"/>
    <n v="-3060557.5500002145"/>
    <m/>
    <m/>
    <m/>
    <n v="111898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1511"/>
    <s v="FA/111538"/>
    <s v="Fábio Amarante - Par. 111538(05-12)"/>
    <n v="0"/>
    <d v="2015-05-28T00:00:00"/>
    <d v="1899-12-30T16:22:19"/>
    <n v="330"/>
    <n v="0"/>
    <n v="-3060887.5500002145"/>
    <m/>
    <m/>
    <m/>
    <n v="111538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6182"/>
    <s v="Extrato/128712"/>
    <s v="Banco Safra - Cód. 128712"/>
    <n v="0"/>
    <d v="2015-05-28T00:00:00"/>
    <d v="1899-12-30T16:42:32"/>
    <n v="8.64"/>
    <n v="0"/>
    <n v="-3060896.1900002146"/>
    <m/>
    <m/>
    <m/>
    <n v="128712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1515"/>
    <s v="2207/124309"/>
    <s v="Morais Souza C V L E Public - Cód. 124309"/>
    <n v="0"/>
    <d v="2015-05-28T00:00:00"/>
    <d v="1899-12-30T16:56:29"/>
    <n v="90"/>
    <n v="0"/>
    <n v="-3060986.1900002146"/>
    <m/>
    <m/>
    <m/>
    <n v="124309"/>
    <n v="24"/>
    <s v="Emilly"/>
    <n v="1"/>
    <m/>
    <n v="1545"/>
    <d v="2015-06-01T00:00:00"/>
    <d v="2015-06-01T00:00:00"/>
    <m/>
    <m/>
    <n v="2015"/>
    <n v="24"/>
    <m/>
    <m/>
    <m/>
    <m/>
    <s v="Aná.Marketing"/>
    <x v="1"/>
    <s v="COLÉGIO OLIMPO LTDA"/>
    <m/>
    <n v="56"/>
    <n v="1"/>
    <s v="Dinheiro"/>
    <m/>
    <n v="0"/>
    <m/>
    <n v="0"/>
    <m/>
    <m/>
    <s v="CAIXA TESOURARIA"/>
    <m/>
    <m/>
    <m/>
  </r>
  <r>
    <n v="271516"/>
    <s v="Despesa/124353"/>
    <s v="Marcelo De Moraes Melo - Cód. 124353"/>
    <n v="0"/>
    <d v="2015-05-28T00:00:00"/>
    <d v="1899-12-30T16:58:04"/>
    <n v="40"/>
    <n v="0"/>
    <n v="-3061026.1900002146"/>
    <m/>
    <m/>
    <m/>
    <n v="124353"/>
    <n v="24"/>
    <s v="Emilly"/>
    <n v="1"/>
    <m/>
    <n v="1455"/>
    <d v="2015-06-01T00:00:00"/>
    <d v="2015-06-01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1391"/>
    <n v="215221"/>
    <s v="Par.(02-6) 020334/GUSTAVO MARTINS BORGES  - PAGAMENTO CHE"/>
    <n v="1386"/>
    <d v="2015-05-28T00:00:00"/>
    <d v="1899-12-30T17:08:24"/>
    <n v="0"/>
    <n v="0"/>
    <n v="-3059640.1900002146"/>
    <m/>
    <m/>
    <n v="215221"/>
    <m/>
    <n v="7"/>
    <s v="Anapaula"/>
    <n v="2"/>
    <m/>
    <n v="1378"/>
    <d v="2015-05-27T00:00:00"/>
    <d v="2015-05-27T00:00:00"/>
    <m/>
    <m/>
    <n v="2015"/>
    <n v="7"/>
    <m/>
    <m/>
    <m/>
    <m/>
    <s v="Pagamento de cheque devolvido"/>
    <x v="1"/>
    <s v="COLÉGIO OLIMPO LTDA"/>
    <m/>
    <n v="127"/>
    <n v="2"/>
    <s v="Cheque"/>
    <m/>
    <n v="0"/>
    <m/>
    <n v="0"/>
    <m/>
    <m/>
    <s v="SANTANDER MARCELO"/>
    <m/>
    <m/>
    <m/>
  </r>
  <r>
    <n v="271392"/>
    <n v="215386"/>
    <s v="Par.(03-6) 020334/GUSTAVO MARTINS BORGES  - PAGAMENTO CHE"/>
    <n v="1386"/>
    <d v="2015-05-28T00:00:00"/>
    <d v="1899-12-30T17:08:24"/>
    <n v="0"/>
    <n v="0"/>
    <n v="-3058254.1900002146"/>
    <m/>
    <m/>
    <n v="215386"/>
    <m/>
    <n v="7"/>
    <s v="Anapaula"/>
    <n v="2"/>
    <m/>
    <n v="1378"/>
    <d v="2015-05-27T00:00:00"/>
    <d v="2015-05-27T00:00:00"/>
    <m/>
    <m/>
    <n v="2015"/>
    <n v="7"/>
    <m/>
    <m/>
    <m/>
    <m/>
    <s v="Pagamento de cheque devolvido"/>
    <x v="1"/>
    <s v="COLÉGIO OLIMPO LTDA"/>
    <m/>
    <n v="127"/>
    <n v="2"/>
    <s v="Cheque"/>
    <m/>
    <n v="0"/>
    <m/>
    <n v="0"/>
    <m/>
    <m/>
    <s v="SANTANDER MARCELO"/>
    <m/>
    <m/>
    <m/>
  </r>
  <r>
    <n v="271521"/>
    <s v="Fiscais/124355"/>
    <s v="Fiscais De Prova - Cód. 124355"/>
    <n v="0"/>
    <d v="2015-05-28T00:00:00"/>
    <d v="1899-12-30T17:13:18"/>
    <n v="1305"/>
    <n v="0"/>
    <n v="-3059559.1900002146"/>
    <m/>
    <m/>
    <m/>
    <n v="124355"/>
    <n v="24"/>
    <s v="Emilly"/>
    <n v="1"/>
    <m/>
    <n v="336"/>
    <d v="2015-06-01T00:00:00"/>
    <d v="2015-06-01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1522"/>
    <s v="Fiscais/124356"/>
    <s v="Fiscais De Prova - Cód. 124356"/>
    <n v="0"/>
    <d v="2015-05-28T00:00:00"/>
    <d v="1899-12-30T17:16:04"/>
    <n v="225"/>
    <n v="0"/>
    <n v="-3059784.1900002146"/>
    <m/>
    <m/>
    <m/>
    <n v="124356"/>
    <n v="24"/>
    <s v="Emilly"/>
    <n v="1"/>
    <m/>
    <n v="139"/>
    <d v="2015-06-01T00:00:00"/>
    <d v="2015-06-01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1523"/>
    <s v="0340/119190"/>
    <s v="MasTec Telecom Segurança Ltda - Cód. 119190"/>
    <n v="0"/>
    <d v="2015-05-28T00:00:00"/>
    <d v="1899-12-30T17:16:49"/>
    <n v="770"/>
    <n v="0"/>
    <n v="-3060554.1900002146"/>
    <m/>
    <m/>
    <m/>
    <n v="119190"/>
    <n v="24"/>
    <s v="Emilly"/>
    <n v="1"/>
    <m/>
    <n v="1553"/>
    <d v="2015-06-01T00:00:00"/>
    <d v="2015-06-01T00:00:00"/>
    <m/>
    <m/>
    <n v="2015"/>
    <n v="24"/>
    <m/>
    <m/>
    <m/>
    <m/>
    <s v="Aná.Tecnologia da informação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24"/>
    <s v="Recibo/124357"/>
    <s v="Corretores De Provas - Cód. 124357"/>
    <n v="0"/>
    <d v="2015-05-28T00:00:00"/>
    <d v="1899-12-30T17:17:54"/>
    <n v="675"/>
    <n v="0"/>
    <n v="-3061229.1900002146"/>
    <m/>
    <m/>
    <m/>
    <n v="124357"/>
    <n v="24"/>
    <s v="Emilly"/>
    <n v="1"/>
    <m/>
    <n v="1519"/>
    <d v="2015-06-01T00:00:00"/>
    <d v="2015-06-01T00:00:00"/>
    <m/>
    <m/>
    <n v="2015"/>
    <n v="24"/>
    <m/>
    <m/>
    <m/>
    <m/>
    <s v="Marista.Corretores de Provas e Simulados"/>
    <x v="1"/>
    <s v="COLÉGIO OLIMPO LTDA"/>
    <m/>
    <n v="4"/>
    <n v="9"/>
    <s v="Débito em conta"/>
    <m/>
    <n v="0"/>
    <m/>
    <n v="0"/>
    <m/>
    <m/>
    <s v="BB [022382-4] [GYN] [CC]"/>
    <m/>
    <m/>
    <m/>
  </r>
  <r>
    <n v="273604"/>
    <s v="DEPÓSITO 2015-05-28"/>
    <s v="PARTE PAGAMENTO DAS MENSALIDADES DE DEZ/2014, MARÇO E ABRIL/2015, DO(A) ALUNO(A) PEDRO HENRIQUE NUNES DE ARAÚJO_ANÁPOLIS"/>
    <n v="4800"/>
    <d v="2015-05-28T00:00:00"/>
    <d v="1899-12-30T17:33:29"/>
    <n v="0"/>
    <n v="0"/>
    <n v="-3056429.1900002146"/>
    <m/>
    <m/>
    <m/>
    <m/>
    <n v="8"/>
    <s v="Vinicius"/>
    <n v="1"/>
    <m/>
    <n v="1526"/>
    <d v="2015-06-17T00:00:00"/>
    <d v="2015-06-17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3085"/>
    <s v="Extrato/126921"/>
    <s v="Banco Do Brasil - Cód. 126921"/>
    <n v="0"/>
    <d v="2015-05-28T00:00:00"/>
    <d v="1899-12-30T17:36:56"/>
    <n v="7.8"/>
    <n v="0"/>
    <n v="-3056436.9900002144"/>
    <m/>
    <m/>
    <m/>
    <n v="126921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3086"/>
    <s v="Extrato/126922"/>
    <s v="Banco Do Brasil - Cód. 126922"/>
    <n v="0"/>
    <d v="2015-05-28T00:00:00"/>
    <d v="1899-12-30T17:36:56"/>
    <n v="7.8"/>
    <n v="0"/>
    <n v="-3056444.7900002142"/>
    <m/>
    <m/>
    <m/>
    <n v="126922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3088"/>
    <s v="Extrato"/>
    <s v="Recebimento de Aluno"/>
    <n v="854.3"/>
    <d v="2015-05-28T00:00:00"/>
    <d v="1899-12-30T17:37:46"/>
    <n v="0"/>
    <n v="0"/>
    <n v="-3055590.4900002144"/>
    <m/>
    <m/>
    <m/>
    <m/>
    <n v="24"/>
    <s v="Emilly"/>
    <n v="1"/>
    <m/>
    <n v="1630"/>
    <d v="2015-06-15T00:00:00"/>
    <d v="2015-06-15T00:00:00"/>
    <m/>
    <m/>
    <n v="2015"/>
    <n v="24"/>
    <m/>
    <m/>
    <m/>
    <m/>
    <s v="Recebimento de Alunos"/>
    <x v="1"/>
    <s v="COLÉGIO OLIMPO LTDA"/>
    <m/>
    <n v="4"/>
    <n v="9"/>
    <s v="Débito em conta"/>
    <m/>
    <m/>
    <m/>
    <n v="0"/>
    <m/>
    <m/>
    <s v="BB [022382-4] [GYN] [CC]"/>
    <m/>
    <m/>
    <m/>
  </r>
  <r>
    <n v="271793"/>
    <s v="ESPÉCIE 2015-05-29"/>
    <s v="PAGAMENTO DA MENSALIDADE DE ABRIL/2015, DO(A) ALUNO(A) LUIZ EDUARDO SANTANA COSTA_EF"/>
    <n v="1121"/>
    <d v="2015-05-29T00:00:00"/>
    <d v="1899-12-30T08:34:50"/>
    <n v="0"/>
    <n v="0"/>
    <n v="-3054469.4900002144"/>
    <m/>
    <m/>
    <m/>
    <m/>
    <n v="8"/>
    <s v="Vinicius"/>
    <n v="1"/>
    <m/>
    <n v="1431"/>
    <d v="2015-06-05T00:00:00"/>
    <d v="2015-06-05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1528"/>
    <s v="497729/124373"/>
    <s v="Posto De Combustível - Cód. 124373"/>
    <n v="0"/>
    <d v="2015-05-29T00:00:00"/>
    <d v="1899-12-30T09:06:39"/>
    <n v="140"/>
    <n v="0"/>
    <n v="-3054609.4900002144"/>
    <m/>
    <m/>
    <m/>
    <n v="124373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29"/>
    <s v="114165/124374"/>
    <s v="Posto De Combustível - Cód. 124374"/>
    <n v="0"/>
    <d v="2015-05-29T00:00:00"/>
    <d v="1899-12-30T09:07:13"/>
    <n v="60"/>
    <n v="0"/>
    <n v="-3054669.4900002144"/>
    <m/>
    <m/>
    <m/>
    <n v="124374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799"/>
    <s v="ESPÉCIE 2015-05-29"/>
    <s v="PARTE PAGAMENTO DAS MENSALIDADES DE MARÇO E ABRIL/2015, DO(A) ALUNO(A) JOÃO VÍTOR RIBEIRO MACÊDO_EF"/>
    <n v="600"/>
    <d v="2015-05-29T00:00:00"/>
    <d v="1899-12-30T09:11:00"/>
    <n v="0"/>
    <n v="0"/>
    <n v="-3054069.4900002144"/>
    <m/>
    <m/>
    <m/>
    <m/>
    <n v="8"/>
    <s v="Vinicius"/>
    <n v="1"/>
    <m/>
    <n v="1431"/>
    <d v="2015-06-05T00:00:00"/>
    <d v="2015-06-05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4042"/>
    <s v="Extrato"/>
    <s v="Recebimento de Aluno"/>
    <n v="322"/>
    <d v="2015-05-29T00:00:00"/>
    <d v="1899-12-30T09:11:57"/>
    <n v="0"/>
    <n v="0"/>
    <n v="-3053747.4900002144"/>
    <m/>
    <m/>
    <m/>
    <m/>
    <n v="24"/>
    <s v="Emilly"/>
    <n v="1"/>
    <m/>
    <n v="1630"/>
    <d v="2015-06-25T00:00:00"/>
    <d v="2015-06-25T00:00:00"/>
    <m/>
    <m/>
    <n v="2015"/>
    <n v="24"/>
    <m/>
    <m/>
    <m/>
    <m/>
    <s v="Recebimento de Alunos"/>
    <x v="1"/>
    <s v="COLÉGIO OLIMPO LTDA"/>
    <m/>
    <n v="26"/>
    <n v="1"/>
    <s v="Dinheiro"/>
    <m/>
    <m/>
    <m/>
    <n v="0"/>
    <m/>
    <m/>
    <s v="ITAÚ [SOL] [001691-4] [CC]"/>
    <m/>
    <m/>
    <m/>
  </r>
  <r>
    <n v="273116"/>
    <s v="Extrato/126931"/>
    <s v="Bradesco - Cód. 126931"/>
    <n v="0"/>
    <d v="2015-05-29T00:00:00"/>
    <d v="1899-12-30T09:14:09"/>
    <n v="7.9"/>
    <n v="0"/>
    <n v="-3053755.3900002143"/>
    <m/>
    <m/>
    <m/>
    <n v="126931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17"/>
    <s v="Extrato/126932"/>
    <s v="Bradesco - Cód. 126932"/>
    <n v="0"/>
    <d v="2015-05-29T00:00:00"/>
    <d v="1899-12-30T09:14:09"/>
    <n v="7.9"/>
    <n v="0"/>
    <n v="-3053763.2900002142"/>
    <m/>
    <m/>
    <m/>
    <n v="126932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18"/>
    <s v="Rescisão/124438"/>
    <s v="Rescisão - Grupo Olimpo - Cód. 124438"/>
    <n v="0"/>
    <d v="2015-05-29T00:00:00"/>
    <d v="1899-12-30T09:14:33"/>
    <n v="294.60000000000002"/>
    <n v="0"/>
    <n v="-3054057.8900002143"/>
    <m/>
    <m/>
    <m/>
    <n v="124438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19"/>
    <s v="Rescisão/124340"/>
    <s v="Rescisão - Grupo Olimpo - Cód. 124340"/>
    <n v="0"/>
    <d v="2015-05-29T00:00:00"/>
    <d v="1899-12-30T09:14:47"/>
    <n v="1000"/>
    <n v="0"/>
    <n v="-3055057.8900002143"/>
    <m/>
    <m/>
    <m/>
    <n v="124340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0"/>
    <s v="Rescisão/124348"/>
    <s v="Rescisão - Grupo Olimpo - Cód. 124348"/>
    <n v="0"/>
    <d v="2015-05-29T00:00:00"/>
    <d v="1899-12-30T09:15:02"/>
    <n v="1200"/>
    <n v="0"/>
    <n v="-3056257.8900002143"/>
    <m/>
    <m/>
    <m/>
    <n v="124348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1"/>
    <s v="Rescisão/124349"/>
    <s v="Rescisão - Grupo Olimpo - Cód. 124349"/>
    <n v="0"/>
    <d v="2015-05-29T00:00:00"/>
    <d v="1899-12-30T09:15:17"/>
    <n v="521.52"/>
    <n v="0"/>
    <n v="-3056779.4100002144"/>
    <m/>
    <m/>
    <m/>
    <n v="124349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2"/>
    <s v="Rescisão/124339"/>
    <s v="Rescisão - Grupo Olimpo - Cód. 124339"/>
    <n v="0"/>
    <d v="2015-05-29T00:00:00"/>
    <d v="1899-12-30T09:15:32"/>
    <n v="1339.35"/>
    <n v="0"/>
    <n v="-3058118.7600002144"/>
    <m/>
    <m/>
    <m/>
    <n v="124339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1800"/>
    <n v="181224"/>
    <s v="Par.(12/12) 015607/INGRID ROSA DE SOUSA - Mensalidades"/>
    <n v="1486"/>
    <d v="2015-05-29T00:00:00"/>
    <d v="1899-12-30T09:15:33"/>
    <n v="0"/>
    <n v="0"/>
    <n v="-3056632.7600002144"/>
    <m/>
    <m/>
    <n v="181224"/>
    <m/>
    <n v="8"/>
    <s v="Vinicius"/>
    <n v="1"/>
    <m/>
    <n v="2"/>
    <d v="2015-06-05T00:00:00"/>
    <d v="2015-06-05T00:00:00"/>
    <m/>
    <m/>
    <n v="2014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73123"/>
    <s v="Rescisão/124346"/>
    <s v="Rescisão - Grupo Olimpo - Cód. 124346"/>
    <n v="0"/>
    <d v="2015-05-29T00:00:00"/>
    <d v="1899-12-30T09:15:47"/>
    <n v="1178.4000000000001"/>
    <n v="0"/>
    <n v="-3057811.1600002144"/>
    <m/>
    <m/>
    <m/>
    <n v="124346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4"/>
    <s v="Rescisão/124343"/>
    <s v="Rescisão - Grupo Olimpo - Cód. 124343"/>
    <n v="0"/>
    <d v="2015-05-29T00:00:00"/>
    <d v="1899-12-30T09:16:05"/>
    <n v="1178.0999999999999"/>
    <n v="0"/>
    <n v="-3058989.2600002144"/>
    <m/>
    <m/>
    <m/>
    <n v="124343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5"/>
    <s v="Rescisão/124342"/>
    <s v="Rescisão - Grupo Olimpo - Cód. 124342"/>
    <n v="0"/>
    <d v="2015-05-29T00:00:00"/>
    <d v="1899-12-30T09:16:20"/>
    <n v="1325.7"/>
    <n v="0"/>
    <n v="-3060314.9600002146"/>
    <m/>
    <m/>
    <m/>
    <n v="124342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6"/>
    <s v="Rescisão/124347"/>
    <s v="Rescisão - Grupo Olimpo - Cód. 124347"/>
    <n v="0"/>
    <d v="2015-05-29T00:00:00"/>
    <d v="1899-12-30T09:16:32"/>
    <n v="328.7"/>
    <n v="0"/>
    <n v="-3060643.6600002148"/>
    <m/>
    <m/>
    <m/>
    <n v="124347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7"/>
    <s v="RMJM/111886"/>
    <s v="Renata Magalhães / Jesuita M Melo - Par. 111886(05-12)"/>
    <n v="0"/>
    <d v="2015-05-29T00:00:00"/>
    <d v="1899-12-30T09:16:46"/>
    <n v="3900"/>
    <n v="0"/>
    <n v="-3064543.6600002148"/>
    <m/>
    <m/>
    <m/>
    <n v="111886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128"/>
    <s v="Extrato/126933"/>
    <s v="Banco Do Brasil - Cód. 126933"/>
    <n v="0"/>
    <d v="2015-05-29T00:00:00"/>
    <d v="1899-12-30T09:23:43"/>
    <n v="3008.65"/>
    <n v="0"/>
    <n v="-3067552.3100002147"/>
    <m/>
    <m/>
    <m/>
    <n v="126933"/>
    <n v="24"/>
    <s v="Emilly"/>
    <n v="1"/>
    <m/>
    <n v="521"/>
    <d v="2015-06-16T00:00:00"/>
    <d v="2015-06-16T00:00:00"/>
    <m/>
    <m/>
    <n v="2015"/>
    <n v="24"/>
    <m/>
    <m/>
    <m/>
    <m/>
    <s v="CA.Darf (VERIFICAR)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0"/>
    <s v="1031/03-03/114137"/>
    <s v="Viana E Xavier - Cód. 114137"/>
    <n v="0"/>
    <d v="2015-05-29T00:00:00"/>
    <d v="1899-12-30T09:24:49"/>
    <n v="918.44"/>
    <n v="0"/>
    <n v="-3068470.7500002147"/>
    <m/>
    <m/>
    <m/>
    <n v="114137"/>
    <n v="24"/>
    <s v="Emilly"/>
    <n v="1"/>
    <m/>
    <n v="1636"/>
    <d v="2015-06-02T00:00:00"/>
    <d v="2015-06-02T00:00:00"/>
    <m/>
    <m/>
    <n v="2015"/>
    <n v="24"/>
    <m/>
    <m/>
    <m/>
    <m/>
    <s v="T-27. Imobilizado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1"/>
    <s v="413/109637"/>
    <s v="Ata Manutenção De Piscinas Ltda - Par. 109637(04-12)"/>
    <n v="0"/>
    <d v="2015-05-29T00:00:00"/>
    <d v="1899-12-30T09:26:23"/>
    <n v="230"/>
    <n v="0"/>
    <n v="-3068700.7500002147"/>
    <m/>
    <m/>
    <m/>
    <n v="109637"/>
    <n v="24"/>
    <s v="Emilly"/>
    <n v="1"/>
    <m/>
    <n v="1572"/>
    <d v="2015-06-02T00:00:00"/>
    <d v="2015-06-02T00:00:00"/>
    <m/>
    <m/>
    <n v="2015"/>
    <n v="24"/>
    <m/>
    <m/>
    <m/>
    <m/>
    <s v="SolNascente.Manutenção Piscina / Jardinagem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2"/>
    <s v="413/109635"/>
    <s v="Ata Manutenção De Piscinas Ltda - Par. 109635(02-12)"/>
    <n v="0"/>
    <d v="2015-05-29T00:00:00"/>
    <d v="1899-12-30T09:27:10"/>
    <n v="230"/>
    <n v="0"/>
    <n v="-3068930.7500002147"/>
    <m/>
    <m/>
    <m/>
    <n v="109635"/>
    <n v="24"/>
    <s v="Emilly"/>
    <n v="1"/>
    <m/>
    <n v="1572"/>
    <d v="2015-06-02T00:00:00"/>
    <d v="2015-06-02T00:00:00"/>
    <m/>
    <m/>
    <n v="2015"/>
    <n v="24"/>
    <m/>
    <m/>
    <m/>
    <m/>
    <s v="SolNascente.Manutenção Piscina / Jardinagem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3"/>
    <s v="091450/124375"/>
    <s v="Ferragista Marista - Cód. 124375"/>
    <n v="0"/>
    <d v="2015-05-29T00:00:00"/>
    <d v="1899-12-30T09:27:59"/>
    <n v="40"/>
    <n v="0"/>
    <n v="-3068970.7500002147"/>
    <m/>
    <m/>
    <m/>
    <n v="124375"/>
    <n v="24"/>
    <s v="Emilly"/>
    <n v="1"/>
    <m/>
    <n v="1392"/>
    <d v="2015-06-02T00:00:00"/>
    <d v="2015-06-02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71534"/>
    <s v="4308/124376"/>
    <s v="Gps - Guia Da Previdencia Social - Cód. 124376"/>
    <n v="0"/>
    <d v="2015-05-29T00:00:00"/>
    <d v="1899-12-30T09:29:38"/>
    <n v="2331.02"/>
    <n v="0"/>
    <n v="-3071301.7700002147"/>
    <m/>
    <m/>
    <m/>
    <n v="124376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5"/>
    <s v="1011/124377"/>
    <s v="Ministério da Fazenda - Cód. 124377"/>
    <n v="0"/>
    <d v="2015-05-29T00:00:00"/>
    <d v="1899-12-30T09:31:43"/>
    <n v="4307.57"/>
    <n v="0"/>
    <n v="-3075609.3400002145"/>
    <m/>
    <m/>
    <m/>
    <n v="124377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6"/>
    <s v="3841/124378"/>
    <s v="Ministério da Fazenda - Cód. 124378"/>
    <n v="0"/>
    <d v="2015-05-29T00:00:00"/>
    <d v="1899-12-30T09:32:43"/>
    <n v="1151.5"/>
    <n v="0"/>
    <n v="-3076760.8400002145"/>
    <m/>
    <m/>
    <m/>
    <n v="124378"/>
    <n v="24"/>
    <s v="Emilly"/>
    <n v="1"/>
    <m/>
    <n v="815"/>
    <d v="2015-06-02T00:00:00"/>
    <d v="2015-06-02T00:00:00"/>
    <m/>
    <m/>
    <n v="2015"/>
    <n v="24"/>
    <m/>
    <m/>
    <m/>
    <m/>
    <s v="SolNascente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7"/>
    <s v="4750/124379"/>
    <s v="Ministério da Fazenda - Cód. 124379"/>
    <n v="0"/>
    <d v="2015-05-29T00:00:00"/>
    <d v="1899-12-30T09:33:22"/>
    <n v="340.23"/>
    <n v="0"/>
    <n v="-3077101.0700002145"/>
    <m/>
    <m/>
    <m/>
    <n v="124379"/>
    <n v="24"/>
    <s v="Emilly"/>
    <n v="1"/>
    <m/>
    <n v="815"/>
    <d v="2015-06-02T00:00:00"/>
    <d v="2015-06-02T00:00:00"/>
    <m/>
    <m/>
    <n v="2015"/>
    <n v="24"/>
    <m/>
    <m/>
    <m/>
    <m/>
    <s v="SolNascente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8"/>
    <s v="4743/124380"/>
    <s v="Ministério da Fazenda - Cód. 124380"/>
    <n v="0"/>
    <d v="2015-05-29T00:00:00"/>
    <d v="1899-12-30T09:34:06"/>
    <n v="581.76"/>
    <n v="0"/>
    <n v="-3077682.8300002143"/>
    <m/>
    <m/>
    <m/>
    <n v="124380"/>
    <n v="24"/>
    <s v="Emilly"/>
    <n v="1"/>
    <m/>
    <n v="815"/>
    <d v="2015-06-02T00:00:00"/>
    <d v="2015-06-02T00:00:00"/>
    <m/>
    <m/>
    <n v="2015"/>
    <n v="24"/>
    <m/>
    <m/>
    <m/>
    <m/>
    <s v="SolNascente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9"/>
    <s v="4720/124381"/>
    <s v="Ministério da Fazenda - Cód. 124381"/>
    <n v="0"/>
    <d v="2015-05-29T00:00:00"/>
    <d v="1899-12-30T09:34:47"/>
    <n v="713.47"/>
    <n v="0"/>
    <n v="-3078396.3000002145"/>
    <m/>
    <m/>
    <m/>
    <n v="124381"/>
    <n v="24"/>
    <s v="Emilly"/>
    <n v="1"/>
    <m/>
    <n v="815"/>
    <d v="2015-06-02T00:00:00"/>
    <d v="2015-06-02T00:00:00"/>
    <m/>
    <m/>
    <n v="2015"/>
    <n v="24"/>
    <m/>
    <m/>
    <m/>
    <m/>
    <s v="SolNascente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0"/>
    <s v="4308/124382"/>
    <s v="Gps - Guia Da Previdencia Social - Cód. 124382"/>
    <n v="0"/>
    <d v="2015-05-29T00:00:00"/>
    <d v="1899-12-30T09:36:16"/>
    <n v="538.19000000000005"/>
    <n v="0"/>
    <n v="-3078934.4900002144"/>
    <m/>
    <m/>
    <m/>
    <n v="124382"/>
    <n v="24"/>
    <s v="Emilly"/>
    <n v="1"/>
    <m/>
    <n v="341"/>
    <d v="2015-06-02T00:00:00"/>
    <d v="2015-06-02T00:00:00"/>
    <m/>
    <m/>
    <n v="2015"/>
    <n v="24"/>
    <m/>
    <m/>
    <m/>
    <m/>
    <s v="Marista.Impostos 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1"/>
    <s v="3887/124383"/>
    <s v="Ministério da Fazenda - Cód. 124383"/>
    <n v="0"/>
    <d v="2015-05-29T00:00:00"/>
    <d v="1899-12-30T09:37:25"/>
    <n v="1159.4000000000001"/>
    <n v="0"/>
    <n v="-3080093.8900002143"/>
    <m/>
    <m/>
    <m/>
    <n v="124383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2"/>
    <s v="3870/124384"/>
    <s v="Ministério da Fazenda - Cód. 124384"/>
    <n v="0"/>
    <d v="2015-05-29T00:00:00"/>
    <d v="1899-12-30T09:38:15"/>
    <n v="3362.26"/>
    <n v="0"/>
    <n v="-3083456.1500002141"/>
    <m/>
    <m/>
    <m/>
    <n v="124384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3"/>
    <s v="3796/124385"/>
    <s v="Ministério da Fazenda - Cód. 124385"/>
    <n v="0"/>
    <d v="2015-05-29T00:00:00"/>
    <d v="1899-12-30T09:39:16"/>
    <n v="5101.3599999999997"/>
    <n v="0"/>
    <n v="-3088557.510000214"/>
    <m/>
    <m/>
    <m/>
    <n v="124385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4"/>
    <s v="3841/124386"/>
    <s v="Ministério da Fazenda - Cód. 124386"/>
    <n v="0"/>
    <d v="2015-05-29T00:00:00"/>
    <d v="1899-12-30T09:40:01"/>
    <n v="1749.9"/>
    <n v="0"/>
    <n v="-3090307.4100002139"/>
    <m/>
    <m/>
    <m/>
    <n v="124386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5"/>
    <s v="3835/124387"/>
    <s v="Ministério da Fazenda - Cód. 124387"/>
    <n v="0"/>
    <d v="2015-05-29T00:00:00"/>
    <d v="1899-12-30T09:40:49"/>
    <n v="22165.4"/>
    <n v="0"/>
    <n v="-3112472.8100002138"/>
    <m/>
    <m/>
    <m/>
    <n v="124387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7"/>
    <s v="4720/124389"/>
    <s v="Ministério da Fazenda - Cód. 124389"/>
    <n v="0"/>
    <d v="2015-05-29T00:00:00"/>
    <d v="1899-12-30T09:43:21"/>
    <n v="3339.8"/>
    <n v="0"/>
    <n v="-3115812.6100002136"/>
    <m/>
    <m/>
    <m/>
    <n v="124389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6289"/>
    <s v="Transferência Entre Contas"/>
    <s v="Transferência Entre Contas"/>
    <n v="0"/>
    <d v="2015-05-29T00:00:00"/>
    <d v="1899-12-30T09:44:04"/>
    <n v="3448"/>
    <n v="0"/>
    <n v="-3119260.6100002136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71548"/>
    <s v="4737/124390"/>
    <s v="Ministério da Fazenda - Cód. 124390"/>
    <n v="0"/>
    <d v="2015-05-29T00:00:00"/>
    <d v="1899-12-30T09:44:26"/>
    <n v="318.27"/>
    <n v="0"/>
    <n v="-3119578.8800002136"/>
    <m/>
    <m/>
    <m/>
    <n v="124390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549"/>
    <s v="4743/124391"/>
    <s v="Ministério da Fazenda - Cód. 124391"/>
    <n v="0"/>
    <d v="2015-05-29T00:00:00"/>
    <d v="1899-12-30T09:45:07"/>
    <n v="15259.17"/>
    <n v="0"/>
    <n v="-3134838.0500002136"/>
    <m/>
    <m/>
    <m/>
    <n v="124391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551"/>
    <s v="99-11999-15/001/124393"/>
    <s v="Rodrigo Bernadelli Dos Santos - Cód. 124393"/>
    <n v="0"/>
    <d v="2015-05-29T00:00:00"/>
    <d v="1899-12-30T09:47:33"/>
    <n v="4140.8599999999997"/>
    <n v="0"/>
    <n v="-3138978.9100002134"/>
    <m/>
    <m/>
    <m/>
    <n v="124393"/>
    <n v="24"/>
    <s v="Emilly"/>
    <n v="1"/>
    <m/>
    <n v="1071"/>
    <d v="2015-06-02T00:00:00"/>
    <d v="2015-06-02T00:00:00"/>
    <m/>
    <m/>
    <n v="2015"/>
    <n v="24"/>
    <m/>
    <m/>
    <m/>
    <m/>
    <s v="Bernadelli.Despesas particulares 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1553"/>
    <s v="16454009/124394"/>
    <s v="Mercantil Do Brasil - Cód. 124394"/>
    <n v="0"/>
    <d v="2015-05-29T00:00:00"/>
    <d v="1899-12-30T09:50:00"/>
    <n v="8029.47"/>
    <n v="0"/>
    <n v="-3147008.3800002136"/>
    <m/>
    <m/>
    <m/>
    <n v="124394"/>
    <n v="24"/>
    <s v="Emilly"/>
    <n v="1"/>
    <m/>
    <n v="524"/>
    <d v="2015-06-02T00:00:00"/>
    <d v="2015-06-0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554"/>
    <s v="16620398/124395"/>
    <s v="Mercantil Do Brasil - Cód. 124395"/>
    <n v="0"/>
    <d v="2015-05-29T00:00:00"/>
    <d v="1899-12-30T09:50:54"/>
    <n v="8029.47"/>
    <n v="0"/>
    <n v="-3155037.8500002138"/>
    <m/>
    <m/>
    <m/>
    <n v="124395"/>
    <n v="24"/>
    <s v="Emilly"/>
    <n v="1"/>
    <m/>
    <n v="524"/>
    <d v="2015-06-02T00:00:00"/>
    <d v="2015-06-0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555"/>
    <s v="Despesa/124397"/>
    <s v="Rodrigo Bernadelli Dos Santos - Cód. 124397"/>
    <n v="0"/>
    <d v="2015-05-29T00:00:00"/>
    <d v="1899-12-30T09:52:41"/>
    <n v="5396"/>
    <n v="0"/>
    <n v="-3160433.8500002138"/>
    <m/>
    <m/>
    <m/>
    <n v="124397"/>
    <n v="24"/>
    <s v="Emilly"/>
    <n v="1"/>
    <m/>
    <n v="1071"/>
    <d v="2015-06-02T00:00:00"/>
    <d v="2015-06-02T00:00:00"/>
    <m/>
    <m/>
    <n v="2015"/>
    <n v="24"/>
    <m/>
    <m/>
    <m/>
    <m/>
    <s v="Bernadelli.Despesas particulares "/>
    <x v="1"/>
    <s v="COLÉGIO OLIMPO LTDA"/>
    <m/>
    <n v="8"/>
    <n v="9"/>
    <s v="Débito em conta"/>
    <m/>
    <n v="0"/>
    <m/>
    <n v="0"/>
    <m/>
    <m/>
    <s v="ITAÚ [GYN] [026016-5] []"/>
    <m/>
    <m/>
    <m/>
  </r>
  <r>
    <n v="272180"/>
    <s v="Entrada "/>
    <s v="Biblioteca Unidade T-27"/>
    <n v="161"/>
    <d v="2015-05-29T00:00:00"/>
    <d v="1899-12-30T09:53:04"/>
    <n v="0"/>
    <n v="0"/>
    <n v="-3160272.8500002138"/>
    <m/>
    <m/>
    <m/>
    <m/>
    <n v="24"/>
    <s v="Emilly"/>
    <n v="1"/>
    <m/>
    <n v="59"/>
    <d v="2015-06-08T00:00:00"/>
    <d v="2015-06-08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3011"/>
    <s v="Extrato/125158"/>
    <s v="Mercantil Do Brasil - Par. 125158(01-3)"/>
    <n v="0"/>
    <d v="2015-05-29T00:00:00"/>
    <d v="1899-12-30T09:55:51"/>
    <n v="400"/>
    <n v="0"/>
    <n v="-3160672.8500002138"/>
    <m/>
    <m/>
    <m/>
    <n v="125158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2"/>
    <s v="Extrato/125159"/>
    <s v="Mercantil Do Brasil - Par. 125159(02-3)"/>
    <n v="0"/>
    <d v="2015-05-29T00:00:00"/>
    <d v="1899-12-30T09:55:51"/>
    <n v="400"/>
    <n v="0"/>
    <n v="-3161072.8500002138"/>
    <m/>
    <m/>
    <m/>
    <n v="125159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3"/>
    <s v="Extrato/125160"/>
    <s v="Mercantil Do Brasil - Par. 125160(03-3)"/>
    <n v="0"/>
    <d v="2015-05-29T00:00:00"/>
    <d v="1899-12-30T09:55:51"/>
    <n v="400"/>
    <n v="0"/>
    <n v="-3161472.8500002138"/>
    <m/>
    <m/>
    <m/>
    <n v="125160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4"/>
    <s v="Extrato/125161"/>
    <s v="Mercantil Do Brasil - Cód. 125161"/>
    <n v="0"/>
    <d v="2015-05-29T00:00:00"/>
    <d v="1899-12-30T09:56:29"/>
    <n v="49"/>
    <n v="0"/>
    <n v="-3161521.8500002138"/>
    <m/>
    <m/>
    <m/>
    <n v="125161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1558"/>
    <s v="953/119661"/>
    <s v="Mira Goiania Outdoor Ltda - Cód. 119661"/>
    <n v="0"/>
    <d v="2015-05-29T00:00:00"/>
    <d v="1899-12-30T09:56:50"/>
    <n v="2471.29"/>
    <n v="0"/>
    <n v="-3163993.1400002139"/>
    <m/>
    <m/>
    <m/>
    <n v="119661"/>
    <n v="24"/>
    <s v="Emilly"/>
    <n v="1"/>
    <m/>
    <n v="563"/>
    <d v="2015-06-02T00:00:00"/>
    <d v="2015-06-02T00:00:00"/>
    <m/>
    <m/>
    <n v="2015"/>
    <n v="24"/>
    <m/>
    <m/>
    <m/>
    <m/>
    <s v="CA.Publicidade (DESPESA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15"/>
    <s v="Extrato/125162"/>
    <s v="Mercantil Do Brasil - Cód. 125162"/>
    <n v="0"/>
    <d v="2015-05-29T00:00:00"/>
    <d v="1899-12-30T09:56:53"/>
    <n v="49"/>
    <n v="0"/>
    <n v="-3164042.1400002139"/>
    <m/>
    <m/>
    <m/>
    <n v="125162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6"/>
    <s v="Extrato/125163"/>
    <s v="Mercantil Do Brasil - Cód. 125163"/>
    <n v="0"/>
    <d v="2015-05-29T00:00:00"/>
    <d v="1899-12-30T09:57:40"/>
    <n v="11210.45"/>
    <n v="0"/>
    <n v="-3175252.5900002141"/>
    <m/>
    <m/>
    <m/>
    <n v="125163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2204"/>
    <s v="Entrada"/>
    <s v="Biblioteca Unidade T-03"/>
    <n v="200"/>
    <d v="2015-05-29T00:00:00"/>
    <d v="1899-12-30T09:57:58"/>
    <n v="0"/>
    <n v="0"/>
    <n v="-3175052.5900002141"/>
    <m/>
    <m/>
    <m/>
    <m/>
    <n v="24"/>
    <s v="Emilly"/>
    <n v="1"/>
    <m/>
    <n v="59"/>
    <d v="2015-06-08T00:00:00"/>
    <d v="2015-06-08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3017"/>
    <s v="Extrato/125164"/>
    <s v="Mercantil Do Brasil - Cód. 125164"/>
    <n v="0"/>
    <d v="2015-05-29T00:00:00"/>
    <d v="1899-12-30T09:58:32"/>
    <n v="13.5"/>
    <n v="0"/>
    <n v="-3175066.0900002141"/>
    <m/>
    <m/>
    <m/>
    <n v="125164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8"/>
    <s v="Extrato/125165"/>
    <s v="Mercantil Do Brasil - Cód. 125165"/>
    <n v="0"/>
    <d v="2015-05-29T00:00:00"/>
    <d v="1899-12-30T09:58:32"/>
    <n v="13.5"/>
    <n v="0"/>
    <n v="-3175079.5900002141"/>
    <m/>
    <m/>
    <m/>
    <n v="125165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9"/>
    <s v="Extrato/125166"/>
    <s v="Mercantil Do Brasil - Cód. 125166"/>
    <n v="0"/>
    <d v="2015-05-29T00:00:00"/>
    <d v="1899-12-30T09:59:38"/>
    <n v="0.35"/>
    <n v="0"/>
    <n v="-3175079.9400002141"/>
    <m/>
    <m/>
    <m/>
    <n v="125166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20"/>
    <s v="Extrato/125167"/>
    <s v="Mercantil Do Brasil - Cód. 125167"/>
    <n v="0"/>
    <d v="2015-05-29T00:00:00"/>
    <d v="1899-12-30T09:59:38"/>
    <n v="0.35"/>
    <n v="0"/>
    <n v="-3175080.2900002142"/>
    <m/>
    <m/>
    <m/>
    <n v="125167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21"/>
    <s v="Extrato/125168"/>
    <s v="Mercantil Do Brasil - Cód. 125168"/>
    <n v="0"/>
    <d v="2015-05-29T00:00:00"/>
    <d v="1899-12-30T09:59:38"/>
    <n v="6.82"/>
    <n v="0"/>
    <n v="-3175087.1100002141"/>
    <m/>
    <m/>
    <m/>
    <n v="125168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1564"/>
    <s v="028505/124403"/>
    <s v="Posto De Combustível - Cód. 124403"/>
    <n v="0"/>
    <d v="2015-05-29T00:00:00"/>
    <d v="1899-12-30T09:59:50"/>
    <n v="74"/>
    <n v="0"/>
    <n v="-3175161.1100002141"/>
    <m/>
    <m/>
    <m/>
    <n v="124403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3022"/>
    <s v="Extrato/125169"/>
    <s v="Mercantil Do Brasil - Cód. 125169"/>
    <n v="0"/>
    <d v="2015-05-29T00:00:00"/>
    <d v="1899-12-30T10:00:39"/>
    <n v="8.5"/>
    <n v="0"/>
    <n v="-3175169.6100002141"/>
    <m/>
    <m/>
    <m/>
    <n v="125169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23"/>
    <s v="Extrato/125170"/>
    <s v="Mercantil Do Brasil - Cód. 125170"/>
    <n v="0"/>
    <d v="2015-05-29T00:00:00"/>
    <d v="1899-12-30T10:00:39"/>
    <n v="54"/>
    <n v="0"/>
    <n v="-3175223.6100002141"/>
    <m/>
    <m/>
    <m/>
    <n v="125170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1566"/>
    <s v="967/121418"/>
    <s v="Mira Goiania Outdoor Ltda - Cód. 121418"/>
    <n v="0"/>
    <d v="2015-05-29T00:00:00"/>
    <d v="1899-12-30T10:01:30"/>
    <n v="1283.48"/>
    <n v="0"/>
    <n v="-3176507.0900002141"/>
    <m/>
    <m/>
    <m/>
    <n v="121418"/>
    <n v="24"/>
    <s v="Emilly"/>
    <n v="1"/>
    <m/>
    <n v="563"/>
    <d v="2015-06-02T00:00:00"/>
    <d v="2015-06-02T00:00:00"/>
    <m/>
    <m/>
    <n v="2015"/>
    <n v="24"/>
    <m/>
    <m/>
    <m/>
    <m/>
    <s v="CA.Publicidade (DESPESA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1806"/>
    <s v="ESPÉCIE 2015-05-29"/>
    <s v="PAGAMENTO DA MENSALIDADE DE MARÇO/2015, DO(A) ALUNO(A) JHENNYFER GABRIELA MAGALHÃES DE ALMEIDA_ESN"/>
    <n v="306"/>
    <d v="2015-05-29T00:00:00"/>
    <d v="1899-12-30T10:04:39"/>
    <n v="0"/>
    <n v="0"/>
    <n v="-3176201.0900002141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568"/>
    <s v="03870/121216"/>
    <s v="Calac Industrial Ltda - Cód. 121216"/>
    <n v="0"/>
    <d v="2015-05-29T00:00:00"/>
    <d v="1899-12-30T10:04:47"/>
    <n v="971.31"/>
    <n v="0"/>
    <n v="-3177172.4000002141"/>
    <m/>
    <m/>
    <m/>
    <n v="121216"/>
    <n v="24"/>
    <s v="Emilly"/>
    <n v="1"/>
    <m/>
    <n v="1555"/>
    <d v="2015-06-02T00:00:00"/>
    <d v="2015-06-02T00:00:00"/>
    <m/>
    <m/>
    <n v="2015"/>
    <n v="24"/>
    <m/>
    <m/>
    <m/>
    <m/>
    <s v="Aná.Material Didático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570"/>
    <s v="2631/124408"/>
    <s v="Gps - Guia Da Previdencia Social - Cód. 124408"/>
    <n v="0"/>
    <d v="2015-05-29T00:00:00"/>
    <d v="1899-12-30T10:15:07"/>
    <n v="2020.22"/>
    <n v="0"/>
    <n v="-3179192.6200002143"/>
    <m/>
    <m/>
    <m/>
    <n v="124408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3039"/>
    <s v="Extrato/125186"/>
    <s v="Mercantil Do Brasil - Cód. 125186"/>
    <n v="0"/>
    <d v="2015-05-29T00:00:00"/>
    <d v="1899-12-30T10:16:18"/>
    <n v="38.659999999999997"/>
    <n v="0"/>
    <n v="-3179231.2800002145"/>
    <m/>
    <m/>
    <m/>
    <n v="125186"/>
    <n v="24"/>
    <s v="Emilly"/>
    <n v="1"/>
    <m/>
    <n v="1459"/>
    <d v="2015-06-12T00:00:00"/>
    <d v="2015-06-12T00:00:00"/>
    <m/>
    <m/>
    <n v="2015"/>
    <n v="24"/>
    <m/>
    <m/>
    <m/>
    <m/>
    <s v="Juros e Despesas Descontos Chs e Boleto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040"/>
    <s v="Extrato/125187"/>
    <s v="Mercantil Do Brasil - Cód. 125187"/>
    <n v="0"/>
    <d v="2015-05-29T00:00:00"/>
    <d v="1899-12-30T10:16:18"/>
    <n v="400"/>
    <n v="0"/>
    <n v="-3179631.2800002145"/>
    <m/>
    <m/>
    <m/>
    <n v="125187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041"/>
    <s v="Extrato/125188"/>
    <s v="Mercantil Do Brasil - Cód. 125188"/>
    <n v="0"/>
    <d v="2015-05-29T00:00:00"/>
    <d v="1899-12-30T10:16:18"/>
    <n v="40302.61"/>
    <n v="0"/>
    <n v="-3219933.8900002143"/>
    <m/>
    <m/>
    <m/>
    <n v="125188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042"/>
    <s v="Extrato/125189"/>
    <s v="Mercantil Do Brasil - Cód. 125189"/>
    <n v="0"/>
    <d v="2015-05-29T00:00:00"/>
    <d v="1899-12-30T10:16:18"/>
    <n v="34"/>
    <n v="0"/>
    <n v="-3219967.8900002143"/>
    <m/>
    <m/>
    <m/>
    <n v="125189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571"/>
    <s v="7/124409"/>
    <s v="Prefeitura Belo Horizonte - Cód. 124409"/>
    <n v="0"/>
    <d v="2015-05-29T00:00:00"/>
    <d v="1899-12-30T10:16:55"/>
    <n v="388.8"/>
    <n v="0"/>
    <n v="-3220356.6900002141"/>
    <m/>
    <m/>
    <m/>
    <n v="124409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3043"/>
    <s v="Fgts/124535"/>
    <s v="Fgts - Cód. 124535"/>
    <n v="0"/>
    <d v="2015-05-29T00:00:00"/>
    <d v="1899-12-30T10:16:56"/>
    <n v="1917.74"/>
    <n v="0"/>
    <n v="-3222274.4300002144"/>
    <m/>
    <m/>
    <m/>
    <n v="124535"/>
    <n v="24"/>
    <s v="Emilly"/>
    <n v="1"/>
    <m/>
    <n v="335"/>
    <d v="2015-06-12T00:00:00"/>
    <d v="2015-06-12T00:00:00"/>
    <m/>
    <m/>
    <n v="2015"/>
    <n v="24"/>
    <m/>
    <m/>
    <m/>
    <m/>
    <s v="Marista.FGTS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1572"/>
    <s v="5952/124410"/>
    <s v="Prefeitura Belo Horizonte - Cód. 124410"/>
    <n v="0"/>
    <d v="2015-05-29T00:00:00"/>
    <d v="1899-12-30T10:18:18"/>
    <n v="796.52"/>
    <n v="0"/>
    <n v="-3223070.9500002144"/>
    <m/>
    <m/>
    <m/>
    <n v="124410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824"/>
    <s v="Extrato/124556"/>
    <s v="Banco Brb - Cód. 124556"/>
    <n v="0"/>
    <d v="2015-05-29T00:00:00"/>
    <d v="1899-12-30T10:22:07"/>
    <n v="62590.48"/>
    <n v="0"/>
    <n v="-3285661.4300002144"/>
    <m/>
    <m/>
    <m/>
    <n v="124556"/>
    <n v="24"/>
    <s v="Emilly"/>
    <n v="1"/>
    <m/>
    <n v="506"/>
    <d v="2015-06-05T00:00:00"/>
    <d v="2015-06-05T00:00:00"/>
    <m/>
    <m/>
    <n v="2015"/>
    <n v="24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72568"/>
    <n v="192618"/>
    <s v="Retorno: Par. 192618(05/12) - 019750/AMA - Mensalidades"/>
    <n v="1473"/>
    <d v="2015-05-29T00:00:00"/>
    <d v="1899-12-30T10:22:56"/>
    <n v="0"/>
    <n v="0"/>
    <n v="-3284188.4300002144"/>
    <m/>
    <m/>
    <n v="192618"/>
    <m/>
    <n v="14"/>
    <s v="Renato"/>
    <n v="1"/>
    <m/>
    <n v="2"/>
    <d v="2015-06-09T00:00:00"/>
    <d v="2015-06-09T00:00:00"/>
    <n v="28880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8"/>
    <n v="192661"/>
    <s v="Retorno: Par. 192661(05/12) - 019639/ART - Mensalidades"/>
    <n v="1473"/>
    <d v="2015-05-29T00:00:00"/>
    <d v="1899-12-30T10:22:57"/>
    <n v="0"/>
    <n v="0"/>
    <n v="-3282715.4300002144"/>
    <m/>
    <m/>
    <n v="192661"/>
    <m/>
    <n v="14"/>
    <s v="Renato"/>
    <n v="1"/>
    <m/>
    <n v="2"/>
    <d v="2015-06-09T00:00:00"/>
    <d v="2015-06-09T00:00:00"/>
    <n v="28890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3"/>
    <n v="192642"/>
    <s v="Retorno: Par. 192642(05/12) - 019808/MAR - Mensalidades"/>
    <n v="1473"/>
    <d v="2015-05-29T00:00:00"/>
    <d v="1899-12-30T10:22:57"/>
    <n v="0"/>
    <n v="0"/>
    <n v="-3281242.4300002144"/>
    <m/>
    <m/>
    <n v="192642"/>
    <m/>
    <n v="14"/>
    <s v="Renato"/>
    <n v="1"/>
    <m/>
    <n v="2"/>
    <d v="2015-06-09T00:00:00"/>
    <d v="2015-06-09T00:00:00"/>
    <n v="28885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6"/>
    <n v="192573"/>
    <s v="Retorno: Par. 192573(05/12) - 019367/MUR - Mensalidades"/>
    <n v="1473"/>
    <d v="2015-05-29T00:00:00"/>
    <d v="1899-12-30T10:22:57"/>
    <n v="0"/>
    <n v="0"/>
    <n v="-3279769.4300002144"/>
    <m/>
    <m/>
    <n v="192573"/>
    <m/>
    <n v="14"/>
    <s v="Renato"/>
    <n v="1"/>
    <m/>
    <n v="2"/>
    <d v="2015-06-09T00:00:00"/>
    <d v="2015-06-09T00:00:00"/>
    <n v="28888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9"/>
    <n v="192584"/>
    <s v="Retorno: Par. 192584(05/12) - 019392/ISA - Mensalidades"/>
    <n v="1473"/>
    <d v="2015-05-29T00:00:00"/>
    <d v="1899-12-30T10:22:57"/>
    <n v="0"/>
    <n v="0"/>
    <n v="-3278296.4300002144"/>
    <m/>
    <m/>
    <n v="192584"/>
    <m/>
    <n v="14"/>
    <s v="Renato"/>
    <n v="1"/>
    <m/>
    <n v="2"/>
    <d v="2015-06-09T00:00:00"/>
    <d v="2015-06-09T00:00:00"/>
    <n v="28881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5"/>
    <n v="192625"/>
    <s v="Retorno: Par. 192625(05/12) - 019767/MIL - Mensalidades"/>
    <n v="1473"/>
    <d v="2015-05-29T00:00:00"/>
    <d v="1899-12-30T10:22:57"/>
    <n v="0"/>
    <n v="0"/>
    <n v="-3276823.4300002144"/>
    <m/>
    <m/>
    <n v="192625"/>
    <m/>
    <n v="14"/>
    <s v="Renato"/>
    <n v="1"/>
    <m/>
    <n v="2"/>
    <d v="2015-06-09T00:00:00"/>
    <d v="2015-06-09T00:00:00"/>
    <n v="28887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1"/>
    <n v="192566"/>
    <s v="Retorno: Par. 192566(05/12) - 019355/MAR - Mensalidades"/>
    <n v="1473"/>
    <d v="2015-05-29T00:00:00"/>
    <d v="1899-12-30T10:22:57"/>
    <n v="0"/>
    <n v="0"/>
    <n v="-3275350.4300002144"/>
    <m/>
    <m/>
    <n v="192566"/>
    <m/>
    <n v="14"/>
    <s v="Renato"/>
    <n v="1"/>
    <m/>
    <n v="2"/>
    <d v="2015-06-09T00:00:00"/>
    <d v="2015-06-09T00:00:00"/>
    <n v="28883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2"/>
    <n v="192628"/>
    <s v="Retorno: Par. 192628(05/12) - 019773/MAR - Mensalidades"/>
    <n v="1473"/>
    <d v="2015-05-29T00:00:00"/>
    <d v="1899-12-30T10:22:57"/>
    <n v="0"/>
    <n v="0"/>
    <n v="-3273877.4300002144"/>
    <m/>
    <m/>
    <n v="192628"/>
    <m/>
    <n v="14"/>
    <s v="Renato"/>
    <n v="1"/>
    <m/>
    <n v="2"/>
    <d v="2015-06-09T00:00:00"/>
    <d v="2015-06-09T00:00:00"/>
    <n v="28884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0"/>
    <n v="192558"/>
    <s v="Retorno: Par. 192558(05/12) - 019190/MAR - Mensalidades"/>
    <n v="1473"/>
    <d v="2015-05-29T00:00:00"/>
    <d v="1899-12-30T10:22:57"/>
    <n v="0"/>
    <n v="0"/>
    <n v="-3272404.4300002144"/>
    <m/>
    <m/>
    <n v="192558"/>
    <m/>
    <n v="14"/>
    <s v="Renato"/>
    <n v="1"/>
    <m/>
    <n v="2"/>
    <d v="2015-06-09T00:00:00"/>
    <d v="2015-06-09T00:00:00"/>
    <n v="28882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4"/>
    <n v="192609"/>
    <s v="Retorno: Par. 192609(05/12) - 019738/MAT - Mensalidades"/>
    <n v="1473"/>
    <d v="2015-05-29T00:00:00"/>
    <d v="1899-12-30T10:22:57"/>
    <n v="0"/>
    <n v="0"/>
    <n v="-3270931.4300002144"/>
    <m/>
    <m/>
    <n v="192609"/>
    <m/>
    <n v="14"/>
    <s v="Renato"/>
    <n v="1"/>
    <m/>
    <n v="2"/>
    <d v="2015-06-09T00:00:00"/>
    <d v="2015-06-09T00:00:00"/>
    <n v="28886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7"/>
    <n v="192589"/>
    <s v="Retorno: Par. 192589(05/12) - 019673/VIN - Mensalidades"/>
    <n v="1473"/>
    <d v="2015-05-29T00:00:00"/>
    <d v="1899-12-30T10:22:57"/>
    <n v="0"/>
    <n v="0"/>
    <n v="-3269458.4300002144"/>
    <m/>
    <m/>
    <n v="192589"/>
    <m/>
    <n v="14"/>
    <s v="Renato"/>
    <n v="1"/>
    <m/>
    <n v="2"/>
    <d v="2015-06-09T00:00:00"/>
    <d v="2015-06-09T00:00:00"/>
    <n v="28889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8"/>
    <n v="193041"/>
    <s v="Retorno: Par. 193041(05/12) - 018067/GAB - Mensalidades"/>
    <n v="1473"/>
    <d v="2015-05-29T00:00:00"/>
    <d v="1899-12-30T10:22:58"/>
    <n v="0"/>
    <n v="0"/>
    <n v="-3267985.4300002144"/>
    <m/>
    <m/>
    <n v="193041"/>
    <m/>
    <n v="14"/>
    <s v="Renato"/>
    <n v="1"/>
    <m/>
    <n v="2"/>
    <d v="2015-06-09T00:00:00"/>
    <d v="2015-06-09T00:00:00"/>
    <n v="28900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3"/>
    <n v="193062"/>
    <s v="Retorno: Par. 193062(05/12) - 018073/AMA - Mensalidades"/>
    <n v="1473"/>
    <d v="2015-05-29T00:00:00"/>
    <d v="1899-12-30T10:22:58"/>
    <n v="0"/>
    <n v="0"/>
    <n v="-3266512.4300002144"/>
    <m/>
    <m/>
    <n v="193062"/>
    <m/>
    <n v="14"/>
    <s v="Renato"/>
    <n v="1"/>
    <m/>
    <n v="2"/>
    <d v="2015-06-09T00:00:00"/>
    <d v="2015-06-09T00:00:00"/>
    <n v="28895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0"/>
    <n v="192662"/>
    <s v="Retorno: Par. 192662(05/12) - 019655/ISA - Mensalidades"/>
    <n v="1473"/>
    <d v="2015-05-29T00:00:00"/>
    <d v="1899-12-30T10:22:58"/>
    <n v="0"/>
    <n v="0"/>
    <n v="-3265039.4300002144"/>
    <m/>
    <m/>
    <n v="192662"/>
    <m/>
    <n v="14"/>
    <s v="Renato"/>
    <n v="1"/>
    <m/>
    <n v="2"/>
    <d v="2015-06-09T00:00:00"/>
    <d v="2015-06-09T00:00:00"/>
    <n v="28892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2"/>
    <n v="192703"/>
    <s v="Retorno: Par. 192703(05/12) - 019613/LUC - Mensalidades"/>
    <n v="1473"/>
    <d v="2015-05-29T00:00:00"/>
    <d v="1899-12-30T10:22:58"/>
    <n v="0"/>
    <n v="0"/>
    <n v="-3263566.4300002144"/>
    <m/>
    <m/>
    <n v="192703"/>
    <m/>
    <n v="14"/>
    <s v="Renato"/>
    <n v="1"/>
    <m/>
    <n v="2"/>
    <d v="2015-06-09T00:00:00"/>
    <d v="2015-06-09T00:00:00"/>
    <n v="28894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5"/>
    <n v="192843"/>
    <s v="Retorno: Par. 192843(05/12) - 018235/FEL - Mensalidades"/>
    <n v="1473"/>
    <d v="2015-05-29T00:00:00"/>
    <d v="1899-12-30T10:22:58"/>
    <n v="0"/>
    <n v="0"/>
    <n v="-3262093.4300002144"/>
    <m/>
    <m/>
    <n v="192843"/>
    <m/>
    <n v="14"/>
    <s v="Renato"/>
    <n v="1"/>
    <m/>
    <n v="2"/>
    <d v="2015-06-09T00:00:00"/>
    <d v="2015-06-09T00:00:00"/>
    <n v="28897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1"/>
    <n v="192764"/>
    <s v="Retorno: Par. 192764(05/12) - 019638/JUL - Mensalidades"/>
    <n v="1473"/>
    <d v="2015-05-29T00:00:00"/>
    <d v="1899-12-30T10:22:58"/>
    <n v="0"/>
    <n v="0"/>
    <n v="-3260620.4300002144"/>
    <m/>
    <m/>
    <n v="192764"/>
    <m/>
    <n v="14"/>
    <s v="Renato"/>
    <n v="1"/>
    <m/>
    <n v="2"/>
    <d v="2015-06-09T00:00:00"/>
    <d v="2015-06-09T00:00:00"/>
    <n v="28893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6"/>
    <n v="193095"/>
    <s v="Retorno: Par. 193095(05/12) - 018055/FEL - Mensalidades"/>
    <n v="1473"/>
    <d v="2015-05-29T00:00:00"/>
    <d v="1899-12-30T10:22:58"/>
    <n v="0"/>
    <n v="0"/>
    <n v="-3259147.4300002144"/>
    <m/>
    <m/>
    <n v="193095"/>
    <m/>
    <n v="14"/>
    <s v="Renato"/>
    <n v="1"/>
    <m/>
    <n v="2"/>
    <d v="2015-06-09T00:00:00"/>
    <d v="2015-06-09T00:00:00"/>
    <n v="28898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4"/>
    <n v="192797"/>
    <s v="Retorno: Par. 192797(05/12) - 018173/AND - Mensalidades"/>
    <n v="1473"/>
    <d v="2015-05-29T00:00:00"/>
    <d v="1899-12-30T10:22:58"/>
    <n v="0"/>
    <n v="0"/>
    <n v="-3257674.4300002144"/>
    <m/>
    <m/>
    <n v="192797"/>
    <m/>
    <n v="14"/>
    <s v="Renato"/>
    <n v="1"/>
    <m/>
    <n v="2"/>
    <d v="2015-06-09T00:00:00"/>
    <d v="2015-06-09T00:00:00"/>
    <n v="28896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7"/>
    <n v="192808"/>
    <s v="Retorno: Par. 192808(05/12) - 018308/GAB - Mensalidades"/>
    <n v="1473"/>
    <d v="2015-05-29T00:00:00"/>
    <d v="1899-12-30T10:22:58"/>
    <n v="0"/>
    <n v="0"/>
    <n v="-3256201.4300002144"/>
    <m/>
    <m/>
    <n v="192808"/>
    <m/>
    <n v="14"/>
    <s v="Renato"/>
    <n v="1"/>
    <m/>
    <n v="2"/>
    <d v="2015-06-09T00:00:00"/>
    <d v="2015-06-09T00:00:00"/>
    <n v="28899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9"/>
    <n v="192718"/>
    <s v="Retorno: Par. 192718(05/12) - 019654/CRI - Mensalidades"/>
    <n v="1473"/>
    <d v="2015-05-29T00:00:00"/>
    <d v="1899-12-30T10:22:58"/>
    <n v="0"/>
    <n v="0"/>
    <n v="-3254728.4300002144"/>
    <m/>
    <m/>
    <n v="192718"/>
    <m/>
    <n v="14"/>
    <s v="Renato"/>
    <n v="1"/>
    <m/>
    <n v="2"/>
    <d v="2015-06-09T00:00:00"/>
    <d v="2015-06-09T00:00:00"/>
    <n v="28891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6"/>
    <n v="192930"/>
    <s v="Retorno: Par. 192930(05/12) - 018255/LUI - Mensalidades"/>
    <n v="1473"/>
    <d v="2015-05-29T00:00:00"/>
    <d v="1899-12-30T10:22:59"/>
    <n v="0"/>
    <n v="0"/>
    <n v="-3253255.4300002144"/>
    <m/>
    <m/>
    <n v="192930"/>
    <m/>
    <n v="14"/>
    <s v="Renato"/>
    <n v="1"/>
    <m/>
    <n v="2"/>
    <d v="2015-06-09T00:00:00"/>
    <d v="2015-06-09T00:00:00"/>
    <n v="28908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0"/>
    <n v="192981"/>
    <s v="Retorno: Par. 192981(05/12) - 018091/GAB - Mensalidades"/>
    <n v="1473"/>
    <d v="2015-05-29T00:00:00"/>
    <d v="1899-12-30T10:22:59"/>
    <n v="0"/>
    <n v="0"/>
    <n v="-3251782.4300002144"/>
    <m/>
    <m/>
    <n v="192981"/>
    <m/>
    <n v="14"/>
    <s v="Renato"/>
    <n v="1"/>
    <m/>
    <n v="2"/>
    <d v="2015-06-09T00:00:00"/>
    <d v="2015-06-09T00:00:00"/>
    <n v="28902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5"/>
    <n v="192991"/>
    <s v="Retorno: Par. 192991(05/12) - 018276/JUL - Mensalidades"/>
    <n v="1473"/>
    <d v="2015-05-29T00:00:00"/>
    <d v="1899-12-30T10:22:59"/>
    <n v="0"/>
    <n v="0"/>
    <n v="-3250309.4300002144"/>
    <m/>
    <m/>
    <n v="192991"/>
    <m/>
    <n v="14"/>
    <s v="Renato"/>
    <n v="1"/>
    <m/>
    <n v="2"/>
    <d v="2015-06-09T00:00:00"/>
    <d v="2015-06-09T00:00:00"/>
    <n v="28907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4"/>
    <n v="193042"/>
    <s v="Retorno: Par. 193042(05/12) - 018059/ISA - Mensalidades"/>
    <n v="1473"/>
    <d v="2015-05-29T00:00:00"/>
    <d v="1899-12-30T10:22:59"/>
    <n v="0"/>
    <n v="0"/>
    <n v="-3248836.4300002144"/>
    <m/>
    <m/>
    <n v="193042"/>
    <m/>
    <n v="14"/>
    <s v="Renato"/>
    <n v="1"/>
    <m/>
    <n v="2"/>
    <d v="2015-06-09T00:00:00"/>
    <d v="2015-06-09T00:00:00"/>
    <n v="28906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7"/>
    <n v="192814"/>
    <s v="Retorno: Par. 192814(05/12) - 018042/LUÍ - Mensalidades"/>
    <n v="1473"/>
    <d v="2015-05-29T00:00:00"/>
    <d v="1899-12-30T10:22:59"/>
    <n v="0"/>
    <n v="0"/>
    <n v="-3247363.4300002144"/>
    <m/>
    <m/>
    <n v="192814"/>
    <m/>
    <n v="14"/>
    <s v="Renato"/>
    <n v="1"/>
    <m/>
    <n v="2"/>
    <d v="2015-06-09T00:00:00"/>
    <d v="2015-06-09T00:00:00"/>
    <n v="28909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9"/>
    <n v="192844"/>
    <s v="Retorno: Par. 192844(05/12) - 018234/GAB - Mensalidades"/>
    <n v="1473"/>
    <d v="2015-05-29T00:00:00"/>
    <d v="1899-12-30T10:22:59"/>
    <n v="0"/>
    <n v="0"/>
    <n v="-3245890.4300002144"/>
    <m/>
    <m/>
    <n v="192844"/>
    <m/>
    <n v="14"/>
    <s v="Renato"/>
    <n v="1"/>
    <m/>
    <n v="2"/>
    <d v="2015-06-09T00:00:00"/>
    <d v="2015-06-09T00:00:00"/>
    <n v="28901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2"/>
    <n v="192954"/>
    <s v="Retorno: Par. 192954(05/12) - 018189/ISA - Mensalidades"/>
    <n v="1473"/>
    <d v="2015-05-29T00:00:00"/>
    <d v="1899-12-30T10:22:59"/>
    <n v="0"/>
    <n v="0"/>
    <n v="-3244417.4300002144"/>
    <m/>
    <m/>
    <n v="192954"/>
    <m/>
    <n v="14"/>
    <s v="Renato"/>
    <n v="1"/>
    <m/>
    <n v="2"/>
    <d v="2015-06-09T00:00:00"/>
    <d v="2015-06-09T00:00:00"/>
    <n v="28904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1"/>
    <n v="192985"/>
    <s v="Retorno: Par. 192985(05/12) - 018215/ISA - Mensalidades"/>
    <n v="1473"/>
    <d v="2015-05-29T00:00:00"/>
    <d v="1899-12-30T10:22:59"/>
    <n v="0"/>
    <n v="0"/>
    <n v="-3242944.4300002144"/>
    <m/>
    <m/>
    <n v="192985"/>
    <m/>
    <n v="14"/>
    <s v="Renato"/>
    <n v="1"/>
    <m/>
    <n v="2"/>
    <d v="2015-06-09T00:00:00"/>
    <d v="2015-06-09T00:00:00"/>
    <n v="28903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3"/>
    <n v="192906"/>
    <s v="Retorno: Par. 192906(05/12) - 018098/ISA - Mensalidades"/>
    <n v="1473"/>
    <d v="2015-05-29T00:00:00"/>
    <d v="1899-12-30T10:22:59"/>
    <n v="0"/>
    <n v="0"/>
    <n v="-3241471.4300002144"/>
    <m/>
    <m/>
    <n v="192906"/>
    <m/>
    <n v="14"/>
    <s v="Renato"/>
    <n v="1"/>
    <m/>
    <n v="2"/>
    <d v="2015-06-09T00:00:00"/>
    <d v="2015-06-09T00:00:00"/>
    <n v="28905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8"/>
    <n v="192967"/>
    <s v="Retorno: Par. 192967(05/12) - 018204/MAT - Mensalidades"/>
    <n v="1473"/>
    <d v="2015-05-29T00:00:00"/>
    <d v="1899-12-30T10:22:59"/>
    <n v="0"/>
    <n v="0"/>
    <n v="-3239998.4300002144"/>
    <m/>
    <m/>
    <n v="192967"/>
    <m/>
    <n v="14"/>
    <s v="Renato"/>
    <n v="1"/>
    <m/>
    <n v="2"/>
    <d v="2015-06-09T00:00:00"/>
    <d v="2015-06-09T00:00:00"/>
    <n v="28910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9"/>
    <n v="192848"/>
    <s v="Retorno: Par. 192848(05/12) - 018236/MUR - Mensalidades"/>
    <n v="1473"/>
    <d v="2015-05-29T00:00:00"/>
    <d v="1899-12-30T10:22:59"/>
    <n v="0"/>
    <n v="0"/>
    <n v="-3238525.4300002144"/>
    <m/>
    <m/>
    <n v="192848"/>
    <m/>
    <n v="14"/>
    <s v="Renato"/>
    <n v="1"/>
    <m/>
    <n v="2"/>
    <d v="2015-06-09T00:00:00"/>
    <d v="2015-06-09T00:00:00"/>
    <n v="28911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0"/>
    <n v="192890"/>
    <s v="Retorno: Par. 192890(05/12) - 018301/OTÁ - Mensalidades"/>
    <n v="1473"/>
    <d v="2015-05-29T00:00:00"/>
    <d v="1899-12-30T10:23:00"/>
    <n v="0"/>
    <n v="0"/>
    <n v="-3237052.4300002144"/>
    <m/>
    <m/>
    <n v="192890"/>
    <m/>
    <n v="14"/>
    <s v="Renato"/>
    <n v="1"/>
    <m/>
    <n v="2"/>
    <d v="2015-06-09T00:00:00"/>
    <d v="2015-06-09T00:00:00"/>
    <n v="28912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1"/>
    <n v="192821"/>
    <s v="Retorno: Par. 192821(05/12) - 018049/RIC - Mensalidades"/>
    <n v="1473"/>
    <d v="2015-05-29T00:00:00"/>
    <d v="1899-12-30T10:23:00"/>
    <n v="0"/>
    <n v="0"/>
    <n v="-3235579.4300002144"/>
    <m/>
    <m/>
    <n v="192821"/>
    <m/>
    <n v="14"/>
    <s v="Renato"/>
    <n v="1"/>
    <m/>
    <n v="2"/>
    <d v="2015-06-09T00:00:00"/>
    <d v="2015-06-09T00:00:00"/>
    <n v="28913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1825"/>
    <s v="Ant.Cob/124566"/>
    <s v="Banco Brb - Par. 124566(10-27)"/>
    <n v="0"/>
    <d v="2015-05-29T00:00:00"/>
    <d v="1899-12-30T10:23:53"/>
    <n v="1473"/>
    <n v="0"/>
    <n v="-3237052.4300002144"/>
    <m/>
    <m/>
    <m/>
    <n v="12456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6"/>
    <s v="Ant.Cob/124576"/>
    <s v="Banco Brb - Par. 124576(20-27)"/>
    <n v="0"/>
    <d v="2015-05-29T00:00:00"/>
    <d v="1899-12-30T10:23:53"/>
    <n v="1473"/>
    <n v="0"/>
    <n v="-3238525.4300002144"/>
    <m/>
    <m/>
    <m/>
    <n v="12457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7"/>
    <s v="Ant.Cob/124557"/>
    <s v="Banco Brb - Par. 124557(01-27)"/>
    <n v="0"/>
    <d v="2015-05-29T00:00:00"/>
    <d v="1899-12-30T10:23:53"/>
    <n v="1473"/>
    <n v="0"/>
    <n v="-3239998.4300002144"/>
    <m/>
    <m/>
    <m/>
    <n v="12455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8"/>
    <s v="Ant.Cob/124567"/>
    <s v="Banco Brb - Par. 124567(11-27)"/>
    <n v="0"/>
    <d v="2015-05-29T00:00:00"/>
    <d v="1899-12-30T10:23:53"/>
    <n v="1473"/>
    <n v="0"/>
    <n v="-3241471.4300002144"/>
    <m/>
    <m/>
    <m/>
    <n v="12456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6"/>
    <s v="Ant.Cob/124560"/>
    <s v="Banco Brb - Par. 124560(04-27)"/>
    <n v="0"/>
    <d v="2015-05-29T00:00:00"/>
    <d v="1899-12-30T10:23:54"/>
    <n v="1473"/>
    <n v="0"/>
    <n v="-3242944.4300002144"/>
    <m/>
    <m/>
    <m/>
    <n v="12456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7"/>
    <s v="Ant.Cob/124570"/>
    <s v="Banco Brb - Par. 124570(14-27)"/>
    <n v="0"/>
    <d v="2015-05-29T00:00:00"/>
    <d v="1899-12-30T10:23:54"/>
    <n v="1473"/>
    <n v="0"/>
    <n v="-3244417.4300002144"/>
    <m/>
    <m/>
    <m/>
    <n v="12457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8"/>
    <s v="Ant.Cob/124580"/>
    <s v="Banco Brb - Par. 124580(24-27)"/>
    <n v="0"/>
    <d v="2015-05-29T00:00:00"/>
    <d v="1899-12-30T10:23:54"/>
    <n v="1473"/>
    <n v="0"/>
    <n v="-3245890.4300002144"/>
    <m/>
    <m/>
    <m/>
    <n v="12458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9"/>
    <s v="Ant.Cob/124561"/>
    <s v="Banco Brb - Par. 124561(05-27)"/>
    <n v="0"/>
    <d v="2015-05-29T00:00:00"/>
    <d v="1899-12-30T10:23:54"/>
    <n v="1473"/>
    <n v="0"/>
    <n v="-3247363.4300002144"/>
    <m/>
    <m/>
    <m/>
    <n v="12456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0"/>
    <s v="Ant.Cob/124571"/>
    <s v="Banco Brb - Par. 124571(15-27)"/>
    <n v="0"/>
    <d v="2015-05-29T00:00:00"/>
    <d v="1899-12-30T10:23:54"/>
    <n v="1473"/>
    <n v="0"/>
    <n v="-3248836.4300002144"/>
    <m/>
    <m/>
    <m/>
    <n v="12457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1"/>
    <s v="Ant.Cob/124581"/>
    <s v="Banco Brb - Par. 124581(25-27)"/>
    <n v="0"/>
    <d v="2015-05-29T00:00:00"/>
    <d v="1899-12-30T10:23:54"/>
    <n v="1473"/>
    <n v="0"/>
    <n v="-3250309.4300002144"/>
    <m/>
    <m/>
    <m/>
    <n v="12458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2"/>
    <s v="Ant.Cob/124562"/>
    <s v="Banco Brb - Par. 124562(06-27)"/>
    <n v="0"/>
    <d v="2015-05-29T00:00:00"/>
    <d v="1899-12-30T10:23:54"/>
    <n v="1473"/>
    <n v="0"/>
    <n v="-3251782.4300002144"/>
    <m/>
    <m/>
    <m/>
    <n v="12456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9"/>
    <s v="Ant.Cob/124577"/>
    <s v="Banco Brb - Par. 124577(21-27)"/>
    <n v="0"/>
    <d v="2015-05-29T00:00:00"/>
    <d v="1899-12-30T10:23:54"/>
    <n v="1473"/>
    <n v="0"/>
    <n v="-3253255.4300002144"/>
    <m/>
    <m/>
    <m/>
    <n v="12457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0"/>
    <s v="Ant.Cob/124558"/>
    <s v="Banco Brb - Par. 124558(02-27)"/>
    <n v="0"/>
    <d v="2015-05-29T00:00:00"/>
    <d v="1899-12-30T10:23:54"/>
    <n v="1473"/>
    <n v="0"/>
    <n v="-3254728.4300002144"/>
    <m/>
    <m/>
    <m/>
    <n v="12455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1"/>
    <s v="Ant.Cob/124568"/>
    <s v="Banco Brb - Par. 124568(12-27)"/>
    <n v="0"/>
    <d v="2015-05-29T00:00:00"/>
    <d v="1899-12-30T10:23:54"/>
    <n v="1473"/>
    <n v="0"/>
    <n v="-3256201.4300002144"/>
    <m/>
    <m/>
    <m/>
    <n v="12456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2"/>
    <s v="Ant.Cob/124578"/>
    <s v="Banco Brb - Par. 124578(22-27)"/>
    <n v="0"/>
    <d v="2015-05-29T00:00:00"/>
    <d v="1899-12-30T10:23:54"/>
    <n v="1473"/>
    <n v="0"/>
    <n v="-3257674.4300002144"/>
    <m/>
    <m/>
    <m/>
    <n v="12457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3"/>
    <s v="Ant.Cob/124559"/>
    <s v="Banco Brb - Par. 124559(03-27)"/>
    <n v="0"/>
    <d v="2015-05-29T00:00:00"/>
    <d v="1899-12-30T10:23:54"/>
    <n v="1473"/>
    <n v="0"/>
    <n v="-3259147.4300002144"/>
    <m/>
    <m/>
    <m/>
    <n v="12455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4"/>
    <s v="Ant.Cob/124569"/>
    <s v="Banco Brb - Par. 124569(13-27)"/>
    <n v="0"/>
    <d v="2015-05-29T00:00:00"/>
    <d v="1899-12-30T10:23:54"/>
    <n v="1473"/>
    <n v="0"/>
    <n v="-3260620.4300002144"/>
    <m/>
    <m/>
    <m/>
    <n v="12456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5"/>
    <s v="Ant.Cob/124579"/>
    <s v="Banco Brb - Par. 124579(23-27)"/>
    <n v="0"/>
    <d v="2015-05-29T00:00:00"/>
    <d v="1899-12-30T10:23:54"/>
    <n v="1473"/>
    <n v="0"/>
    <n v="-3262093.4300002144"/>
    <m/>
    <m/>
    <m/>
    <n v="12457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3"/>
    <s v="Ant.Cob/124572"/>
    <s v="Banco Brb - Par. 124572(16-27)"/>
    <n v="0"/>
    <d v="2015-05-29T00:00:00"/>
    <d v="1899-12-30T10:23:55"/>
    <n v="1473"/>
    <n v="0"/>
    <n v="-3263566.4300002144"/>
    <m/>
    <m/>
    <m/>
    <n v="12457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4"/>
    <s v="Ant.Cob/124582"/>
    <s v="Banco Brb - Par. 124582(26-27)"/>
    <n v="0"/>
    <d v="2015-05-29T00:00:00"/>
    <d v="1899-12-30T10:23:55"/>
    <n v="1473"/>
    <n v="0"/>
    <n v="-3265039.4300002144"/>
    <m/>
    <m/>
    <m/>
    <n v="12458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5"/>
    <s v="Ant.Cob/124563"/>
    <s v="Banco Brb - Par. 124563(07-27)"/>
    <n v="0"/>
    <d v="2015-05-29T00:00:00"/>
    <d v="1899-12-30T10:23:55"/>
    <n v="1473"/>
    <n v="0"/>
    <n v="-3266512.4300002144"/>
    <m/>
    <m/>
    <m/>
    <n v="12456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6"/>
    <s v="Ant.Cob/124573"/>
    <s v="Banco Brb - Par. 124573(17-27)"/>
    <n v="0"/>
    <d v="2015-05-29T00:00:00"/>
    <d v="1899-12-30T10:23:55"/>
    <n v="1473"/>
    <n v="0"/>
    <n v="-3267985.4300002144"/>
    <m/>
    <m/>
    <m/>
    <n v="12457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7"/>
    <s v="Ant.Cob/124583"/>
    <s v="Banco Brb - Par. 124583(27-27)"/>
    <n v="0"/>
    <d v="2015-05-29T00:00:00"/>
    <d v="1899-12-30T10:23:55"/>
    <n v="1473"/>
    <n v="0"/>
    <n v="-3269458.4300002144"/>
    <m/>
    <m/>
    <m/>
    <n v="12458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8"/>
    <s v="Ant.Cob/124564"/>
    <s v="Banco Brb - Par. 124564(08-27)"/>
    <n v="0"/>
    <d v="2015-05-29T00:00:00"/>
    <d v="1899-12-30T10:23:55"/>
    <n v="1473"/>
    <n v="0"/>
    <n v="-3270931.4300002144"/>
    <m/>
    <m/>
    <m/>
    <n v="12456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9"/>
    <s v="Ant.Cob/124574"/>
    <s v="Banco Brb - Par. 124574(18-27)"/>
    <n v="0"/>
    <d v="2015-05-29T00:00:00"/>
    <d v="1899-12-30T10:23:55"/>
    <n v="1473"/>
    <n v="0"/>
    <n v="-3272404.4300002144"/>
    <m/>
    <m/>
    <m/>
    <n v="12457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0"/>
    <s v="Ant.Cob/124565"/>
    <s v="Banco Brb - Par. 124565(09-27)"/>
    <n v="0"/>
    <d v="2015-05-29T00:00:00"/>
    <d v="1899-12-30T10:23:55"/>
    <n v="1473"/>
    <n v="0"/>
    <n v="-3273877.4300002144"/>
    <m/>
    <m/>
    <m/>
    <n v="12456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1"/>
    <s v="Ant.Cob/124575"/>
    <s v="Banco Brb - Par. 124575(19-27)"/>
    <n v="0"/>
    <d v="2015-05-29T00:00:00"/>
    <d v="1899-12-30T10:23:55"/>
    <n v="1473"/>
    <n v="0"/>
    <n v="-3275350.4300002144"/>
    <m/>
    <m/>
    <m/>
    <n v="12457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3"/>
    <s v="Ant.Cob/124584"/>
    <s v="Banco Brb - Par. 124584(01-9)"/>
    <n v="0"/>
    <d v="2015-05-29T00:00:00"/>
    <d v="1899-12-30T10:25:50"/>
    <n v="1399.35"/>
    <n v="0"/>
    <n v="-3276749.7800002145"/>
    <m/>
    <m/>
    <m/>
    <n v="12458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4"/>
    <s v="Ant.Cob/124585"/>
    <s v="Banco Brb - Par. 124585(02-9)"/>
    <n v="0"/>
    <d v="2015-05-29T00:00:00"/>
    <d v="1899-12-30T10:25:50"/>
    <n v="1399.35"/>
    <n v="0"/>
    <n v="-3278149.1300002146"/>
    <m/>
    <m/>
    <m/>
    <n v="12458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5"/>
    <s v="Ant.Cob/124586"/>
    <s v="Banco Brb - Par. 124586(03-9)"/>
    <n v="0"/>
    <d v="2015-05-29T00:00:00"/>
    <d v="1899-12-30T10:25:50"/>
    <n v="1473"/>
    <n v="0"/>
    <n v="-3279622.1300002146"/>
    <m/>
    <m/>
    <m/>
    <n v="12458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6"/>
    <s v="Ant.Cob/124587"/>
    <s v="Banco Brb - Par. 124587(04-9)"/>
    <n v="0"/>
    <d v="2015-05-29T00:00:00"/>
    <d v="1899-12-30T10:25:50"/>
    <n v="1399.35"/>
    <n v="0"/>
    <n v="-3281021.4800002147"/>
    <m/>
    <m/>
    <m/>
    <n v="12458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7"/>
    <s v="Ant.Cob/124588"/>
    <s v="Banco Brb - Par. 124588(05-9)"/>
    <n v="0"/>
    <d v="2015-05-29T00:00:00"/>
    <d v="1899-12-30T10:25:50"/>
    <n v="1055.45"/>
    <n v="0"/>
    <n v="-3282076.9300002148"/>
    <m/>
    <m/>
    <m/>
    <n v="12458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8"/>
    <s v="Ant.Cob/124589"/>
    <s v="Banco Brb - Par. 124589(06-9)"/>
    <n v="0"/>
    <d v="2015-05-29T00:00:00"/>
    <d v="1899-12-30T10:25:50"/>
    <n v="1055.45"/>
    <n v="0"/>
    <n v="-3283132.380000215"/>
    <m/>
    <m/>
    <m/>
    <n v="12458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9"/>
    <s v="Ant.Cob/124590"/>
    <s v="Banco Brb - Par. 124590(07-9)"/>
    <n v="0"/>
    <d v="2015-05-29T00:00:00"/>
    <d v="1899-12-30T10:25:51"/>
    <n v="1111"/>
    <n v="0"/>
    <n v="-3284243.380000215"/>
    <m/>
    <m/>
    <m/>
    <n v="12459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0"/>
    <s v="Ant.Cob/124591"/>
    <s v="Banco Brb - Par. 124591(08-9)"/>
    <n v="0"/>
    <d v="2015-05-29T00:00:00"/>
    <d v="1899-12-30T10:25:51"/>
    <n v="1111"/>
    <n v="0"/>
    <n v="-3285354.380000215"/>
    <m/>
    <m/>
    <m/>
    <n v="12459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1"/>
    <s v="Ant.Cob/124592"/>
    <s v="Banco Brb - Par. 124592(09-9)"/>
    <n v="0"/>
    <d v="2015-05-29T00:00:00"/>
    <d v="1899-12-30T10:25:51"/>
    <n v="1111"/>
    <n v="0"/>
    <n v="-3286465.380000215"/>
    <m/>
    <m/>
    <m/>
    <n v="12459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2"/>
    <s v="Ant.Cob/124602"/>
    <s v="Banco Brb - Par. 124602(10-19)"/>
    <n v="0"/>
    <d v="2015-05-29T00:00:00"/>
    <d v="1899-12-30T10:28:17"/>
    <n v="1051"/>
    <n v="0"/>
    <n v="-3287516.380000215"/>
    <m/>
    <m/>
    <m/>
    <n v="12460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4"/>
    <s v="Ant.Cob/124603"/>
    <s v="Banco Brb - Par. 124603(11-19)"/>
    <n v="0"/>
    <d v="2015-05-29T00:00:00"/>
    <d v="1899-12-30T10:28:17"/>
    <n v="1473"/>
    <n v="0"/>
    <n v="-3288989.380000215"/>
    <m/>
    <m/>
    <m/>
    <n v="12460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3"/>
    <s v="Ant.Cob/124593"/>
    <s v="Banco Brb - Par. 124593(01-19)"/>
    <n v="0"/>
    <d v="2015-05-29T00:00:00"/>
    <d v="1899-12-30T10:28:17"/>
    <n v="998.45"/>
    <n v="0"/>
    <n v="-3289987.8300002152"/>
    <m/>
    <m/>
    <m/>
    <n v="12459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6"/>
    <s v="Ant.Cob/124604"/>
    <s v="Banco Brb - Par. 124604(12-19)"/>
    <n v="0"/>
    <d v="2015-05-29T00:00:00"/>
    <d v="1899-12-30T10:28:17"/>
    <n v="1473"/>
    <n v="0"/>
    <n v="-3291460.8300002152"/>
    <m/>
    <m/>
    <m/>
    <n v="12460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5"/>
    <s v="Ant.Cob/124594"/>
    <s v="Banco Brb - Par. 124594(02-19)"/>
    <n v="0"/>
    <d v="2015-05-29T00:00:00"/>
    <d v="1899-12-30T10:28:17"/>
    <n v="1051"/>
    <n v="0"/>
    <n v="-3292511.8300002152"/>
    <m/>
    <m/>
    <m/>
    <n v="12459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8"/>
    <s v="Ant.Cob/124605"/>
    <s v="Banco Brb - Par. 124605(13-19)"/>
    <n v="0"/>
    <d v="2015-05-29T00:00:00"/>
    <d v="1899-12-30T10:28:17"/>
    <n v="1473"/>
    <n v="0"/>
    <n v="-3293984.8300002152"/>
    <m/>
    <m/>
    <m/>
    <n v="12460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7"/>
    <s v="Ant.Cob/124595"/>
    <s v="Banco Brb - Par. 124595(03-19)"/>
    <n v="0"/>
    <d v="2015-05-29T00:00:00"/>
    <d v="1899-12-30T10:28:17"/>
    <n v="998.45"/>
    <n v="0"/>
    <n v="-3294983.2800002154"/>
    <m/>
    <m/>
    <m/>
    <n v="12459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0"/>
    <s v="Ant.Cob/124606"/>
    <s v="Banco Brb - Par. 124606(14-19)"/>
    <n v="0"/>
    <d v="2015-05-29T00:00:00"/>
    <d v="1899-12-30T10:28:17"/>
    <n v="1473"/>
    <n v="0"/>
    <n v="-3296456.2800002154"/>
    <m/>
    <m/>
    <m/>
    <n v="12460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9"/>
    <s v="Ant.Cob/124596"/>
    <s v="Banco Brb - Par. 124596(04-19)"/>
    <n v="0"/>
    <d v="2015-05-29T00:00:00"/>
    <d v="1899-12-30T10:28:17"/>
    <n v="998.45"/>
    <n v="0"/>
    <n v="-3297454.7300002156"/>
    <m/>
    <m/>
    <m/>
    <n v="12459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1"/>
    <s v="Ant.Cob/124597"/>
    <s v="Banco Brb - Par. 124597(05-19)"/>
    <n v="0"/>
    <d v="2015-05-29T00:00:00"/>
    <d v="1899-12-30T10:28:17"/>
    <n v="998.45"/>
    <n v="0"/>
    <n v="-3298453.1800002158"/>
    <m/>
    <m/>
    <m/>
    <n v="12459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7"/>
    <s v="Ant.Cob/124600"/>
    <s v="Banco Brb - Par. 124600(08-19)"/>
    <n v="0"/>
    <d v="2015-05-29T00:00:00"/>
    <d v="1899-12-30T10:28:18"/>
    <n v="1051"/>
    <n v="0"/>
    <n v="-3299504.1800002158"/>
    <m/>
    <m/>
    <m/>
    <n v="12460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8"/>
    <s v="Ant.Cob/124610"/>
    <s v="Banco Brb - Par. 124610(18-19)"/>
    <n v="0"/>
    <d v="2015-05-29T00:00:00"/>
    <d v="1899-12-30T10:28:18"/>
    <n v="1473"/>
    <n v="0"/>
    <n v="-3300977.1800002158"/>
    <m/>
    <m/>
    <m/>
    <n v="12461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9"/>
    <s v="Ant.Cob/124601"/>
    <s v="Banco Brb - Par. 124601(09-19)"/>
    <n v="0"/>
    <d v="2015-05-29T00:00:00"/>
    <d v="1899-12-30T10:28:18"/>
    <n v="1051"/>
    <n v="0"/>
    <n v="-3302028.1800002158"/>
    <m/>
    <m/>
    <m/>
    <n v="12460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80"/>
    <s v="Ant.Cob/124611"/>
    <s v="Banco Brb - Par. 124611(19-19)"/>
    <n v="0"/>
    <d v="2015-05-29T00:00:00"/>
    <d v="1899-12-30T10:28:18"/>
    <n v="1473"/>
    <n v="0"/>
    <n v="-3303501.1800002158"/>
    <m/>
    <m/>
    <m/>
    <n v="12461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2"/>
    <s v="Ant.Cob/124607"/>
    <s v="Banco Brb - Par. 124607(15-19)"/>
    <n v="0"/>
    <d v="2015-05-29T00:00:00"/>
    <d v="1899-12-30T10:28:18"/>
    <n v="1473"/>
    <n v="0"/>
    <n v="-3304974.1800002158"/>
    <m/>
    <m/>
    <m/>
    <n v="12460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4"/>
    <s v="Ant.Cob/124608"/>
    <s v="Banco Brb - Par. 124608(16-19)"/>
    <n v="0"/>
    <d v="2015-05-29T00:00:00"/>
    <d v="1899-12-30T10:28:18"/>
    <n v="1473"/>
    <n v="0"/>
    <n v="-3306447.1800002158"/>
    <m/>
    <m/>
    <m/>
    <n v="12460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3"/>
    <s v="Ant.Cob/124598"/>
    <s v="Banco Brb - Par. 124598(06-19)"/>
    <n v="0"/>
    <d v="2015-05-29T00:00:00"/>
    <d v="1899-12-30T10:28:18"/>
    <n v="1051"/>
    <n v="0"/>
    <n v="-3307498.1800002158"/>
    <m/>
    <m/>
    <m/>
    <n v="12459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6"/>
    <s v="Ant.Cob/124609"/>
    <s v="Banco Brb - Par. 124609(17-19)"/>
    <n v="0"/>
    <d v="2015-05-29T00:00:00"/>
    <d v="1899-12-30T10:28:18"/>
    <n v="1473"/>
    <n v="0"/>
    <n v="-3308971.1800002158"/>
    <m/>
    <m/>
    <m/>
    <n v="12460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5"/>
    <s v="Ant.Cob/124599"/>
    <s v="Banco Brb - Par. 124599(07-19)"/>
    <n v="0"/>
    <d v="2015-05-29T00:00:00"/>
    <d v="1899-12-30T10:28:18"/>
    <n v="998.45"/>
    <n v="0"/>
    <n v="-3309969.630000216"/>
    <m/>
    <m/>
    <m/>
    <n v="12459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598"/>
    <s v="Transferência Entre Conta"/>
    <s v="Transferência Entre Conta"/>
    <n v="0"/>
    <d v="2015-05-29T00:00:00"/>
    <d v="1899-12-30T10:51:51"/>
    <n v="47000"/>
    <n v="0"/>
    <n v="-3356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4"/>
    <s v="BRADESCO [002429-5] [GYN [CC]"/>
    <m/>
    <m/>
    <m/>
  </r>
  <r>
    <n v="271599"/>
    <s v="Transferência Entre Conta"/>
    <s v="Destino: 271598-Transferência Entre Conta"/>
    <n v="47000"/>
    <d v="2015-05-29T00:00:00"/>
    <d v="1899-12-30T10:51:51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598"/>
    <m/>
    <s v="Transferência entre contas"/>
    <x v="2"/>
    <s v="COLÉGIO OLIMPO LTDA"/>
    <m/>
    <n v="4"/>
    <n v="8"/>
    <s v="Transferência Bancária"/>
    <m/>
    <m/>
    <m/>
    <n v="0"/>
    <m/>
    <m/>
    <s v="BB [022382-4] [GYN] [CC]"/>
    <m/>
    <m/>
    <m/>
  </r>
  <r>
    <n v="271600"/>
    <s v="Transferência Entre Conta"/>
    <s v="Transferência Entre Conta"/>
    <n v="0"/>
    <d v="2015-05-29T00:00:00"/>
    <d v="1899-12-30T10:52:24"/>
    <n v="34000"/>
    <n v="0"/>
    <n v="-3343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33"/>
    <n v="8"/>
    <s v="Transferência Bancária"/>
    <m/>
    <m/>
    <m/>
    <n v="0"/>
    <m/>
    <n v="12"/>
    <s v="MERC [EDI] [02.012164-9] [CC]"/>
    <m/>
    <m/>
    <m/>
  </r>
  <r>
    <n v="271601"/>
    <s v="Transferência Entre Conta"/>
    <s v="Destino: 271600-Transferência Entre Conta"/>
    <n v="34000"/>
    <d v="2015-05-29T00:00:00"/>
    <d v="1899-12-30T10:52:24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0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1602"/>
    <s v="Transferência Entre Conta"/>
    <s v="Transferência Entre Conta"/>
    <n v="0"/>
    <d v="2015-05-29T00:00:00"/>
    <d v="1899-12-30T10:52:55"/>
    <n v="6000"/>
    <n v="0"/>
    <n v="-3315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12"/>
    <s v="BRADESCO [002429-5] [GYN [CC]"/>
    <m/>
    <m/>
    <m/>
  </r>
  <r>
    <n v="271603"/>
    <s v="Transferência Entre Conta"/>
    <s v="Destino: 271602-Transferência Entre Conta"/>
    <n v="6000"/>
    <d v="2015-05-29T00:00:00"/>
    <d v="1899-12-30T10:52:55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2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1604"/>
    <s v="Transferência Entre Conta"/>
    <s v="Transferência Entre Conta"/>
    <n v="0"/>
    <d v="2015-05-29T00:00:00"/>
    <d v="1899-12-30T10:53:18"/>
    <n v="10000"/>
    <n v="0"/>
    <n v="-3319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8"/>
    <s v="MERC [GYN] [02.011938-7] [CC]"/>
    <m/>
    <m/>
    <m/>
  </r>
  <r>
    <n v="271605"/>
    <s v="Transferência Entre Conta"/>
    <s v="Destino: 271604-Transferência Entre Conta"/>
    <n v="10000"/>
    <d v="2015-05-29T00:00:00"/>
    <d v="1899-12-30T10:53:18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4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1606"/>
    <s v="Transferência Entre Conta"/>
    <s v="Transferência Entre Conta"/>
    <n v="0"/>
    <d v="2015-05-29T00:00:00"/>
    <d v="1899-12-30T10:53:48"/>
    <n v="30000"/>
    <n v="0"/>
    <n v="-3339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52"/>
    <s v="MERC [GYN] [02.011938-7] [CC]"/>
    <m/>
    <m/>
    <m/>
  </r>
  <r>
    <n v="271607"/>
    <s v="Transferência Entre Conta"/>
    <s v="Destino: 271606-Transferência Entre Conta"/>
    <n v="30000"/>
    <d v="2015-05-29T00:00:00"/>
    <d v="1899-12-30T10:53:48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6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608"/>
    <s v="Transferência Entre Conta"/>
    <s v="Transferência Entre Conta"/>
    <n v="0"/>
    <d v="2015-05-29T00:00:00"/>
    <d v="1899-12-30T10:54:30"/>
    <n v="120000"/>
    <n v="0"/>
    <n v="-3429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2"/>
    <s v="MERC [GYN] [02.011938-7] [CC]"/>
    <m/>
    <m/>
    <m/>
  </r>
  <r>
    <n v="271609"/>
    <s v="Transferência Entre Conta"/>
    <s v="Destino: 271608-Transferência Entre Conta"/>
    <n v="120000"/>
    <d v="2015-05-29T00:00:00"/>
    <d v="1899-12-30T10:54:30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8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610"/>
    <s v="Transferência Entre Conta"/>
    <s v="Transferência Entre Conta"/>
    <n v="0"/>
    <d v="2015-05-29T00:00:00"/>
    <d v="1899-12-30T10:55:01"/>
    <n v="10000"/>
    <n v="0"/>
    <n v="-3319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12"/>
    <s v="MERC [GYN] [02.011938-7] [CC]"/>
    <m/>
    <m/>
    <m/>
  </r>
  <r>
    <n v="271611"/>
    <s v="Transferência Entre Conta"/>
    <s v="Destino: 271610-Transferência Entre Conta"/>
    <n v="10000"/>
    <d v="2015-05-29T00:00:00"/>
    <d v="1899-12-30T10:55:01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10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1615"/>
    <s v="Transferência Entre Conta"/>
    <s v="Rogério Purcena Sacou Para Pagar Corretores E Fiscais"/>
    <n v="0"/>
    <d v="2015-05-29T00:00:00"/>
    <d v="1899-12-30T10:58:58"/>
    <n v="5700"/>
    <n v="0"/>
    <n v="-3315669.630000216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56"/>
    <s v="MERC [GYN] [02.011938-7] [CC]"/>
    <m/>
    <m/>
    <m/>
  </r>
  <r>
    <n v="271616"/>
    <s v="Transferência Entre Conta"/>
    <s v="Destino: 271615-Rogério Purcena Sacou Para Pagar Corretores "/>
    <n v="5700"/>
    <d v="2015-05-29T00:00:00"/>
    <d v="1899-12-30T10:58:58"/>
    <n v="0"/>
    <n v="0"/>
    <n v="-3309969.630000216"/>
    <m/>
    <m/>
    <m/>
    <m/>
    <n v="24"/>
    <s v="Emilly"/>
    <n v="2"/>
    <m/>
    <n v="1449"/>
    <d v="2015-06-02T00:00:00"/>
    <d v="2015-06-02T00:00:00"/>
    <m/>
    <m/>
    <n v="2015"/>
    <n v="24"/>
    <m/>
    <m/>
    <n v="271615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3245"/>
    <n v="189775"/>
    <s v="Par.(04/12) 019553/LEONARDO RODRIGUES DE SOU - Mensalidades"/>
    <n v="1580"/>
    <d v="2015-05-29T00:00:00"/>
    <d v="1899-12-30T11:00:06"/>
    <n v="0"/>
    <n v="0"/>
    <n v="-3308389.630000216"/>
    <m/>
    <m/>
    <n v="189775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2283"/>
    <n v="197051"/>
    <s v="Retorno: Par. 197051(05/12) - 18524/PED - Mensalidades"/>
    <n v="1724"/>
    <d v="2015-05-29T00:00:00"/>
    <d v="1899-12-30T12:00:00"/>
    <n v="0"/>
    <n v="0"/>
    <n v="-3306665.630000216"/>
    <m/>
    <m/>
    <n v="197051"/>
    <m/>
    <n v="1"/>
    <s v="Andre"/>
    <n v="1"/>
    <m/>
    <n v="2"/>
    <d v="2015-06-08T00:00:00"/>
    <d v="2015-06-08T00:00:00"/>
    <n v="28533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6"/>
    <n v="197413"/>
    <s v="Retorno: Par. 197413(05/12) - 19886/AYG - Mensalidades"/>
    <n v="1473"/>
    <d v="2015-05-29T00:00:00"/>
    <d v="1899-12-30T12:00:00"/>
    <n v="0"/>
    <n v="0"/>
    <n v="-3305192.630000216"/>
    <m/>
    <m/>
    <n v="197413"/>
    <m/>
    <n v="1"/>
    <s v="Andre"/>
    <n v="1"/>
    <m/>
    <n v="2"/>
    <d v="2015-06-08T00:00:00"/>
    <d v="2015-06-08T00:00:00"/>
    <n v="28526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2"/>
    <n v="197033"/>
    <s v="Retorno: Par. 197033(05/12) - 18445/MAR - Mensalidades"/>
    <n v="1724"/>
    <d v="2015-05-29T00:00:00"/>
    <d v="1899-12-30T12:00:00"/>
    <n v="0"/>
    <n v="0"/>
    <n v="-3303468.630000216"/>
    <m/>
    <m/>
    <n v="197033"/>
    <m/>
    <n v="1"/>
    <s v="Andre"/>
    <n v="1"/>
    <m/>
    <n v="2"/>
    <d v="2015-06-08T00:00:00"/>
    <d v="2015-06-08T00:00:00"/>
    <n v="28532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9"/>
    <n v="197183"/>
    <s v="Retorno: Par. 197183(05/12) - 18593/FER - Mensalidades"/>
    <n v="1724"/>
    <d v="2015-05-29T00:00:00"/>
    <d v="1899-12-30T12:00:00"/>
    <n v="0"/>
    <n v="0"/>
    <n v="-3301744.630000216"/>
    <m/>
    <m/>
    <n v="197183"/>
    <m/>
    <n v="1"/>
    <s v="Andre"/>
    <n v="1"/>
    <m/>
    <n v="2"/>
    <d v="2015-06-08T00:00:00"/>
    <d v="2015-06-08T00:00:00"/>
    <n v="28529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5"/>
    <n v="197093"/>
    <s v="Retorno: Par. 197093(05/12) - 18493/ROD - Mensalidades"/>
    <n v="1724"/>
    <d v="2015-05-29T00:00:00"/>
    <d v="1899-12-30T12:00:00"/>
    <n v="0"/>
    <n v="0"/>
    <n v="-3300020.630000216"/>
    <m/>
    <m/>
    <n v="197093"/>
    <m/>
    <n v="1"/>
    <s v="Andre"/>
    <n v="1"/>
    <m/>
    <n v="2"/>
    <d v="2015-06-08T00:00:00"/>
    <d v="2015-06-08T00:00:00"/>
    <n v="28535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4"/>
    <n v="197345"/>
    <s v="Retorno: Par. 197345(05/12) - 18502/REN - Mensalidades"/>
    <n v="1724"/>
    <d v="2015-05-29T00:00:00"/>
    <d v="1899-12-30T12:00:00"/>
    <n v="0"/>
    <n v="0"/>
    <n v="-3298296.630000216"/>
    <m/>
    <m/>
    <n v="197345"/>
    <m/>
    <n v="1"/>
    <s v="Andre"/>
    <n v="1"/>
    <m/>
    <n v="2"/>
    <d v="2015-06-08T00:00:00"/>
    <d v="2015-06-08T00:00:00"/>
    <n v="28534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6"/>
    <n v="197165"/>
    <s v="Retorno: Par. 197165(05/12) - 18670/VIT - Mensalidades"/>
    <n v="1724"/>
    <d v="2015-05-29T00:00:00"/>
    <d v="1899-12-30T12:00:00"/>
    <n v="0"/>
    <n v="0"/>
    <n v="-3296572.630000216"/>
    <m/>
    <m/>
    <n v="197165"/>
    <m/>
    <n v="1"/>
    <s v="Andre"/>
    <n v="1"/>
    <m/>
    <n v="2"/>
    <d v="2015-06-08T00:00:00"/>
    <d v="2015-06-08T00:00:00"/>
    <n v="28536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8"/>
    <n v="197306"/>
    <s v="Retorno: Par. 197306(05/12) - 18403/DIO - Mensalidades"/>
    <n v="1724"/>
    <d v="2015-05-29T00:00:00"/>
    <d v="1899-12-30T12:00:00"/>
    <n v="0"/>
    <n v="0"/>
    <n v="-3294848.630000216"/>
    <m/>
    <m/>
    <n v="197306"/>
    <m/>
    <n v="1"/>
    <s v="Andre"/>
    <n v="1"/>
    <m/>
    <n v="2"/>
    <d v="2015-06-08T00:00:00"/>
    <d v="2015-06-08T00:00:00"/>
    <n v="28528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7"/>
    <n v="197336"/>
    <s v="Retorno: Par. 197336(05/12) - 18604/CID - Mensalidades"/>
    <n v="1724"/>
    <d v="2015-05-29T00:00:00"/>
    <d v="1899-12-30T12:00:00"/>
    <n v="0"/>
    <n v="0"/>
    <n v="-3293124.630000216"/>
    <m/>
    <m/>
    <n v="197336"/>
    <m/>
    <n v="1"/>
    <s v="Andre"/>
    <n v="1"/>
    <m/>
    <n v="2"/>
    <d v="2015-06-08T00:00:00"/>
    <d v="2015-06-08T00:00:00"/>
    <n v="28527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1"/>
    <n v="197318"/>
    <s v="Retorno: Par. 197318(05/12) - 19763/LUC - Mensalidades"/>
    <n v="1724"/>
    <d v="2015-05-29T00:00:00"/>
    <d v="1899-12-30T12:00:00"/>
    <n v="0"/>
    <n v="0"/>
    <n v="-3291400.630000216"/>
    <m/>
    <m/>
    <n v="197318"/>
    <m/>
    <n v="1"/>
    <s v="Andre"/>
    <n v="1"/>
    <m/>
    <n v="2"/>
    <d v="2015-06-08T00:00:00"/>
    <d v="2015-06-08T00:00:00"/>
    <n v="28531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0"/>
    <n v="197168"/>
    <s v="Retorno: Par. 197168(05/12) - 18553/GAB - Mensalidades"/>
    <n v="1724"/>
    <d v="2015-05-29T00:00:00"/>
    <d v="1899-12-30T12:00:00"/>
    <n v="0"/>
    <n v="0"/>
    <n v="-3289676.630000216"/>
    <m/>
    <m/>
    <n v="197168"/>
    <m/>
    <n v="1"/>
    <s v="Andre"/>
    <n v="1"/>
    <m/>
    <n v="2"/>
    <d v="2015-06-08T00:00:00"/>
    <d v="2015-06-08T00:00:00"/>
    <n v="28530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5"/>
    <n v="197419"/>
    <s v="Retorno: Par. 197419(05/12) - 19894/AMA - Mensalidades"/>
    <n v="1473"/>
    <d v="2015-05-29T00:00:00"/>
    <d v="1899-12-30T12:00:00"/>
    <n v="0"/>
    <n v="0"/>
    <n v="-3288203.630000216"/>
    <m/>
    <m/>
    <n v="197419"/>
    <m/>
    <n v="1"/>
    <s v="Andre"/>
    <n v="1"/>
    <m/>
    <n v="2"/>
    <d v="2015-06-08T00:00:00"/>
    <d v="2015-06-08T00:00:00"/>
    <n v="28525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56"/>
    <n v="204630"/>
    <s v="Retorno: Par. 204630(05/12) - 19781/ANA - Mensalidades"/>
    <n v="1724"/>
    <d v="2015-05-29T00:00:00"/>
    <d v="1899-12-30T12:00:00"/>
    <n v="0"/>
    <n v="0"/>
    <n v="-3286479.630000216"/>
    <m/>
    <m/>
    <n v="204630"/>
    <m/>
    <n v="1"/>
    <s v="Andre"/>
    <n v="1"/>
    <m/>
    <n v="2"/>
    <d v="2015-06-30T00:00:00"/>
    <d v="2015-06-30T00:00:00"/>
    <n v="2914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2861"/>
    <s v="Remessa Olimpo Anápolis"/>
    <s v="Remessa Olimpo Anápolis"/>
    <n v="24308.2"/>
    <d v="2015-05-29T00:00:00"/>
    <d v="1899-12-30T13:30:06"/>
    <n v="0"/>
    <n v="0"/>
    <n v="-3262171.4300002158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4086"/>
    <s v="Extrato/127363"/>
    <s v="Bic - Banco Industria E Comercio - Cód. 127363"/>
    <n v="0"/>
    <d v="2015-05-29T00:00:00"/>
    <d v="1899-12-30T14:05:52"/>
    <n v="12.8"/>
    <n v="0"/>
    <n v="-3262184.2300002156"/>
    <m/>
    <m/>
    <m/>
    <n v="127363"/>
    <n v="24"/>
    <s v="Emilly"/>
    <n v="1"/>
    <m/>
    <n v="1511"/>
    <d v="2015-06-25T00:00:00"/>
    <d v="2015-06-25T00:00:00"/>
    <m/>
    <m/>
    <n v="2015"/>
    <n v="24"/>
    <m/>
    <m/>
    <m/>
    <m/>
    <s v="Tarifas de manutenção de conta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71702"/>
    <s v="Credito Cobrança Brb"/>
    <s v="Remessa Olimpo Fundamental"/>
    <n v="16184.45"/>
    <d v="2015-05-29T00:00:00"/>
    <d v="1899-12-30T14:06:13"/>
    <n v="0"/>
    <n v="0"/>
    <n v="-3245999.7800002154"/>
    <m/>
    <m/>
    <m/>
    <m/>
    <n v="24"/>
    <s v="Emilly"/>
    <n v="1"/>
    <m/>
    <n v="1431"/>
    <d v="2015-06-03T00:00:00"/>
    <d v="2015-06-03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1704"/>
    <s v="LPDB/124010"/>
    <s v="Luciano Prudente De Barros - Cód. 124010"/>
    <n v="0"/>
    <d v="2015-05-29T00:00:00"/>
    <d v="1899-12-30T14:08:40"/>
    <n v="16700"/>
    <n v="0"/>
    <n v="-3262699.7800002154"/>
    <m/>
    <m/>
    <m/>
    <n v="124010"/>
    <n v="24"/>
    <s v="Emilly"/>
    <n v="1"/>
    <m/>
    <n v="1450"/>
    <d v="2015-06-03T00:00:00"/>
    <d v="2015-06-03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705"/>
    <s v="E/124285"/>
    <s v="Eudes  - Cód. 124285"/>
    <n v="0"/>
    <d v="2015-05-29T00:00:00"/>
    <d v="1899-12-30T14:08:57"/>
    <n v="880"/>
    <n v="0"/>
    <n v="-3263579.7800002154"/>
    <m/>
    <m/>
    <m/>
    <n v="124285"/>
    <n v="24"/>
    <s v="Emilly"/>
    <n v="2"/>
    <m/>
    <n v="1450"/>
    <d v="2015-06-03T00:00:00"/>
    <d v="2015-06-03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709"/>
    <s v="Ant.Cob/124483"/>
    <s v="Banco Brb - Par. 124483(10-13)"/>
    <n v="0"/>
    <d v="2015-05-29T00:00:00"/>
    <d v="1899-12-30T14:10:51"/>
    <n v="1051"/>
    <n v="0"/>
    <n v="-3264630.7800002154"/>
    <m/>
    <m/>
    <m/>
    <n v="124483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9"/>
    <s v="Ant.Cob/124480"/>
    <s v="Banco Brb - Par. 124480(07-13)"/>
    <n v="0"/>
    <d v="2015-05-29T00:00:00"/>
    <d v="1899-12-30T14:10:52"/>
    <n v="1051"/>
    <n v="0"/>
    <n v="-3265681.7800002154"/>
    <m/>
    <m/>
    <m/>
    <n v="124480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20"/>
    <s v="Ant.Cob/124481"/>
    <s v="Banco Brb - Par. 124481(08-13)"/>
    <n v="0"/>
    <d v="2015-05-29T00:00:00"/>
    <d v="1899-12-30T14:10:52"/>
    <n v="1051"/>
    <n v="0"/>
    <n v="-3266732.7800002154"/>
    <m/>
    <m/>
    <m/>
    <n v="124481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21"/>
    <s v="Ant.Cob/124482"/>
    <s v="Banco Brb - Par. 124482(09-13)"/>
    <n v="0"/>
    <d v="2015-05-29T00:00:00"/>
    <d v="1899-12-30T14:10:52"/>
    <n v="1051"/>
    <n v="0"/>
    <n v="-3267783.7800002154"/>
    <m/>
    <m/>
    <m/>
    <n v="124482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0"/>
    <s v="Ant.Cob/124474"/>
    <s v="Banco Brb - Par. 124474(01-13)"/>
    <n v="0"/>
    <d v="2015-05-29T00:00:00"/>
    <d v="1899-12-30T14:10:52"/>
    <n v="1051"/>
    <n v="0"/>
    <n v="-3268834.7800002154"/>
    <m/>
    <m/>
    <m/>
    <n v="124474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1"/>
    <s v="Ant.Cob/124484"/>
    <s v="Banco Brb - Par. 124484(11-13)"/>
    <n v="0"/>
    <d v="2015-05-29T00:00:00"/>
    <d v="1899-12-30T14:10:52"/>
    <n v="1724"/>
    <n v="0"/>
    <n v="-3270558.7800002154"/>
    <m/>
    <m/>
    <m/>
    <n v="124484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2"/>
    <s v="Ant.Cob/124475"/>
    <s v="Banco Brb - Par. 124475(02-13)"/>
    <n v="0"/>
    <d v="2015-05-29T00:00:00"/>
    <d v="1899-12-30T14:10:52"/>
    <n v="1051"/>
    <n v="0"/>
    <n v="-3271609.7800002154"/>
    <m/>
    <m/>
    <m/>
    <n v="124475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3"/>
    <s v="Ant.Cob/124485"/>
    <s v="Banco Brb - Par. 124485(12-13)"/>
    <n v="0"/>
    <d v="2015-05-29T00:00:00"/>
    <d v="1899-12-30T14:10:52"/>
    <n v="1724"/>
    <n v="0"/>
    <n v="-3273333.7800002154"/>
    <m/>
    <m/>
    <m/>
    <n v="124485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4"/>
    <s v="Ant.Cob/124476"/>
    <s v="Banco Brb - Par. 124476(03-13)"/>
    <n v="0"/>
    <d v="2015-05-29T00:00:00"/>
    <d v="1899-12-30T14:10:52"/>
    <n v="1111"/>
    <n v="0"/>
    <n v="-3274444.7800002154"/>
    <m/>
    <m/>
    <m/>
    <n v="124476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5"/>
    <s v="Ant.Cob/124486"/>
    <s v="Banco Brb - Par. 124486(13-13)"/>
    <n v="0"/>
    <d v="2015-05-29T00:00:00"/>
    <d v="1899-12-30T14:10:52"/>
    <n v="1111"/>
    <n v="0"/>
    <n v="-3275555.7800002154"/>
    <m/>
    <m/>
    <m/>
    <n v="124486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6"/>
    <s v="Ant.Cob/124477"/>
    <s v="Banco Brb - Par. 124477(04-13)"/>
    <n v="0"/>
    <d v="2015-05-29T00:00:00"/>
    <d v="1899-12-30T14:10:52"/>
    <n v="1051"/>
    <n v="0"/>
    <n v="-3276606.7800002154"/>
    <m/>
    <m/>
    <m/>
    <n v="124477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7"/>
    <s v="Ant.Cob/124478"/>
    <s v="Banco Brb - Par. 124478(05-13)"/>
    <n v="0"/>
    <d v="2015-05-29T00:00:00"/>
    <d v="1899-12-30T14:10:52"/>
    <n v="1051"/>
    <n v="0"/>
    <n v="-3277657.7800002154"/>
    <m/>
    <m/>
    <m/>
    <n v="124478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8"/>
    <s v="Ant.Cob/124479"/>
    <s v="Banco Brb - Par. 124479(06-13)"/>
    <n v="0"/>
    <d v="2015-05-29T00:00:00"/>
    <d v="1899-12-30T14:10:52"/>
    <n v="1051"/>
    <n v="0"/>
    <n v="-3278708.7800002154"/>
    <m/>
    <m/>
    <m/>
    <n v="124479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22"/>
    <s v="Extrato/124487"/>
    <s v="Banco Brb - Cód. 124487"/>
    <n v="0"/>
    <d v="2015-05-29T00:00:00"/>
    <d v="1899-12-30T14:11:42"/>
    <n v="66.489999999999995"/>
    <n v="0"/>
    <n v="-3278775.2700002156"/>
    <m/>
    <m/>
    <m/>
    <n v="124487"/>
    <n v="24"/>
    <s v="Emilly"/>
    <n v="1"/>
    <m/>
    <n v="1512"/>
    <d v="2015-06-03T00:00:00"/>
    <d v="2015-06-03T00:00:00"/>
    <m/>
    <m/>
    <n v="2015"/>
    <n v="24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723"/>
    <s v="Extrato/124488"/>
    <s v="Banco Brb - Cód. 124488"/>
    <n v="0"/>
    <d v="2015-05-29T00:00:00"/>
    <d v="1899-12-30T14:12:18"/>
    <n v="53.19"/>
    <n v="0"/>
    <n v="-3278828.4600002156"/>
    <m/>
    <m/>
    <m/>
    <n v="124488"/>
    <n v="24"/>
    <s v="Emilly"/>
    <n v="1"/>
    <m/>
    <n v="1512"/>
    <d v="2015-06-03T00:00:00"/>
    <d v="2015-06-03T00:00:00"/>
    <m/>
    <m/>
    <n v="2015"/>
    <n v="24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724"/>
    <s v="Extrato/124489"/>
    <s v="Banco Brb - Cód. 124489"/>
    <n v="0"/>
    <d v="2015-05-29T00:00:00"/>
    <d v="1899-12-30T14:12:53"/>
    <n v="2924.42"/>
    <n v="0"/>
    <n v="-3281752.8800002155"/>
    <m/>
    <m/>
    <m/>
    <n v="124489"/>
    <n v="24"/>
    <s v="Emilly"/>
    <n v="1"/>
    <m/>
    <n v="1512"/>
    <d v="2015-06-03T00:00:00"/>
    <d v="2015-06-03T00:00:00"/>
    <m/>
    <m/>
    <n v="2015"/>
    <n v="24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4092"/>
    <s v="Extrato"/>
    <s v="Ch Pre Brb Sol 3741- Henrique Nogueira Fornecedor"/>
    <n v="0"/>
    <d v="2015-05-29T00:00:00"/>
    <d v="1899-12-30T14:13:18"/>
    <n v="42167"/>
    <n v="0"/>
    <n v="-3323919.8800002155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1725"/>
    <s v="Extrato/124490"/>
    <s v="Banco Brb - Cód. 124490"/>
    <n v="0"/>
    <d v="2015-05-29T00:00:00"/>
    <d v="1899-12-30T14:13:35"/>
    <n v="12754.95"/>
    <n v="0"/>
    <n v="-3336674.8300002157"/>
    <m/>
    <m/>
    <m/>
    <n v="124490"/>
    <n v="24"/>
    <s v="Emilly"/>
    <n v="1"/>
    <m/>
    <n v="1599"/>
    <d v="2015-06-03T00:00:00"/>
    <d v="2015-06-03T00:00:00"/>
    <m/>
    <m/>
    <n v="2015"/>
    <n v="24"/>
    <m/>
    <m/>
    <m/>
    <m/>
    <s v="CA.Encargo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4413"/>
    <n v="195092"/>
    <s v="Ret. Par. 195092(05/12) - 018674/EDEGAR RICARDO WACHHOLZ JÚN - Mensalidades"/>
    <n v="1724"/>
    <d v="2015-05-29T00:00:00"/>
    <d v="1899-12-30T14:19:55"/>
    <n v="0"/>
    <n v="0"/>
    <n v="-3334950.8300002157"/>
    <m/>
    <m/>
    <n v="195092"/>
    <m/>
    <n v="1"/>
    <s v="Andre"/>
    <n v="1"/>
    <m/>
    <n v="2"/>
    <d v="2015-06-29T00:00:00"/>
    <d v="2015-06-29T00:00:00"/>
    <n v="29105"/>
    <n v="29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4412"/>
    <n v="194977"/>
    <s v="Ret. Par. 194977(05/12) - 018503/GABRIEL VENTURA MACHADO AMA - Mensalidades"/>
    <n v="1724"/>
    <d v="2015-05-29T00:00:00"/>
    <d v="1899-12-30T14:19:55"/>
    <n v="0"/>
    <n v="0"/>
    <n v="-3333226.8300002157"/>
    <m/>
    <m/>
    <n v="194977"/>
    <m/>
    <n v="1"/>
    <s v="Andre"/>
    <n v="1"/>
    <m/>
    <n v="2"/>
    <d v="2015-06-29T00:00:00"/>
    <d v="2015-06-29T00:00:00"/>
    <n v="29104"/>
    <n v="29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3066"/>
    <s v="Extrato/126915"/>
    <s v="Caixa Econômica Federal - Cód. 126915"/>
    <n v="0"/>
    <d v="2015-05-29T00:00:00"/>
    <d v="1899-12-30T14:40:58"/>
    <n v="8.85"/>
    <n v="0"/>
    <n v="-3333235.6800002158"/>
    <m/>
    <m/>
    <m/>
    <n v="126915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3067"/>
    <s v="Extrato/126916"/>
    <s v="Caixa Econômica Federal - Cód. 126916"/>
    <n v="0"/>
    <d v="2015-05-29T00:00:00"/>
    <d v="1899-12-30T14:40:58"/>
    <n v="1.3"/>
    <n v="0"/>
    <n v="-3333236.9800002156"/>
    <m/>
    <m/>
    <m/>
    <n v="126916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1509"/>
    <s v="DEPÓSITO 2015-05-29"/>
    <s v="PAGAMENTO DA MENSALIDADE DE ABRIL/2015, DO(A) ALUNO(A) NATALIA GOMES MOREIRA_ANÁPOLIS"/>
    <n v="1425"/>
    <d v="2015-05-29T00:00:00"/>
    <d v="1899-12-30T15:53:25"/>
    <n v="0"/>
    <n v="0"/>
    <n v="-3331811.9800002156"/>
    <m/>
    <m/>
    <m/>
    <m/>
    <n v="8"/>
    <s v="Vinicius"/>
    <n v="1"/>
    <m/>
    <n v="1526"/>
    <d v="2015-06-01T00:00:00"/>
    <d v="2015-06-01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1646"/>
    <n v="217228"/>
    <s v="Par.(01-1) 019793/AMANDA SOUTO QUEIROZ - 1ª OU 2ª SÉRI"/>
    <n v="73"/>
    <d v="2015-05-29T00:00:00"/>
    <d v="1899-12-30T15:59:52"/>
    <n v="0"/>
    <n v="0"/>
    <n v="-3331738.9800002156"/>
    <m/>
    <m/>
    <n v="21722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47"/>
    <n v="217229"/>
    <s v="Par.(01-1) 019793/AMANDA SOUTO QUEIROZ - 1ª OU 2ª SÉRI"/>
    <n v="73"/>
    <d v="2015-05-29T00:00:00"/>
    <d v="1899-12-30T15:59:53"/>
    <n v="0"/>
    <n v="0"/>
    <n v="-3331665.9800002156"/>
    <m/>
    <m/>
    <n v="21722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48"/>
    <n v="217230"/>
    <s v="Par.(01-1) 018265/BÁRBARA GARCIA DE FREITAS - 1ª OU 2ª SÉRI"/>
    <n v="73"/>
    <d v="2015-05-29T00:00:00"/>
    <d v="1899-12-30T16:00:21"/>
    <n v="0"/>
    <n v="0"/>
    <n v="-3331592.9800002156"/>
    <m/>
    <m/>
    <n v="21723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49"/>
    <n v="217231"/>
    <s v="Par.(01-1) 018265/BÁRBARA GARCIA DE FREITAS - 1ª OU 2ª SÉRI"/>
    <n v="73"/>
    <d v="2015-05-29T00:00:00"/>
    <d v="1899-12-30T16:00:21"/>
    <n v="0"/>
    <n v="0"/>
    <n v="-3331519.9800002156"/>
    <m/>
    <m/>
    <n v="21723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0"/>
    <n v="217232"/>
    <s v="Par.(01-1) 019841/ANA MARCELA TEODORO TIMO - 1ª OU 2ª SÉRI"/>
    <n v="73"/>
    <d v="2015-05-29T00:00:00"/>
    <d v="1899-12-30T16:00:51"/>
    <n v="0"/>
    <n v="0"/>
    <n v="-3331446.9800002156"/>
    <m/>
    <m/>
    <n v="21723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1"/>
    <n v="217233"/>
    <s v="Par.(01-1) 019841/ANA MARCELA TEODORO TIMO - 1ª OU 2ª SÉRI"/>
    <n v="73"/>
    <d v="2015-05-29T00:00:00"/>
    <d v="1899-12-30T16:00:51"/>
    <n v="0"/>
    <n v="0"/>
    <n v="-3331373.9800002156"/>
    <m/>
    <m/>
    <n v="21723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2"/>
    <n v="217234"/>
    <s v="Par.(01-1) 018476/CAROLINA SOUZA ORRO DE FR - 3ª SÉRIE - FÍ"/>
    <n v="86"/>
    <d v="2015-05-29T00:00:00"/>
    <d v="1899-12-30T16:01:27"/>
    <n v="0"/>
    <n v="0"/>
    <n v="-3331287.9800002156"/>
    <m/>
    <m/>
    <n v="21723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3"/>
    <n v="217235"/>
    <s v="Par.(01-1) 018476/CAROLINA SOUZA ORRO DE FR - 3ª SÉRIE - GE"/>
    <n v="86"/>
    <d v="2015-05-29T00:00:00"/>
    <d v="1899-12-30T16:01:28"/>
    <n v="0"/>
    <n v="0"/>
    <n v="-3331201.9800002156"/>
    <m/>
    <m/>
    <n v="21723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4"/>
    <n v="217236"/>
    <s v="Par.(01-1) 018476/CAROLINA SOUZA ORRO DE FR - 3ª SÉRIE - IN"/>
    <n v="86"/>
    <d v="2015-05-29T00:00:00"/>
    <d v="1899-12-30T16:01:28"/>
    <n v="0"/>
    <n v="0"/>
    <n v="-3331115.9800002156"/>
    <m/>
    <m/>
    <n v="21723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5"/>
    <n v="217237"/>
    <s v="Par.(01-1) 019570/FERNANDA ALCÂNTARA DA COS - 1ª OU 2ª SÉRI"/>
    <n v="73"/>
    <d v="2015-05-29T00:00:00"/>
    <d v="1899-12-30T16:01:54"/>
    <n v="0"/>
    <n v="0"/>
    <n v="-3331042.9800002156"/>
    <m/>
    <m/>
    <n v="217237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6"/>
    <n v="217238"/>
    <s v="Par.(01-1) 019570/FERNANDA ALCÂNTARA DA COS - 1ª OU 2ª SÉRI"/>
    <n v="73"/>
    <d v="2015-05-29T00:00:00"/>
    <d v="1899-12-30T16:01:55"/>
    <n v="0"/>
    <n v="0"/>
    <n v="-3330969.9800002156"/>
    <m/>
    <m/>
    <n v="21723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8"/>
    <n v="217240"/>
    <s v="Par.(01-1) 018571/ISABELA QUEIROZ LOBO - 3ª SÉRIE - GE"/>
    <n v="86"/>
    <d v="2015-05-29T00:00:00"/>
    <d v="1899-12-30T16:02:24"/>
    <n v="0"/>
    <n v="0"/>
    <n v="-3330883.9800002156"/>
    <m/>
    <m/>
    <n v="21724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9"/>
    <n v="217241"/>
    <s v="Par.(01-1) 018571/ISABELA QUEIROZ LOBO - 3ª SÉRIE - IN"/>
    <n v="86"/>
    <d v="2015-05-29T00:00:00"/>
    <d v="1899-12-30T16:02:24"/>
    <n v="0"/>
    <n v="0"/>
    <n v="-3330797.9800002156"/>
    <m/>
    <m/>
    <n v="21724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7"/>
    <n v="217239"/>
    <s v="Par.(01-1) 018571/ISABELA QUEIROZ LOBO - 3ª SÉRIE - FÍ"/>
    <n v="86"/>
    <d v="2015-05-29T00:00:00"/>
    <d v="1899-12-30T16:02:24"/>
    <n v="0"/>
    <n v="0"/>
    <n v="-3330711.9800002156"/>
    <m/>
    <m/>
    <n v="21723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0"/>
    <n v="217242"/>
    <s v="Par.(01-1) 018223/JAQUELINE ALVES DA CRUZ - 1ª OU 2ª SÉRI"/>
    <n v="73"/>
    <d v="2015-05-29T00:00:00"/>
    <d v="1899-12-30T16:02:49"/>
    <n v="0"/>
    <n v="0"/>
    <n v="-3330638.9800002156"/>
    <m/>
    <m/>
    <n v="21724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1"/>
    <n v="217243"/>
    <s v="Par.(01-1) 018223/JAQUELINE ALVES DA CRUZ - 1ª OU 2ª SÉRI"/>
    <n v="73"/>
    <d v="2015-05-29T00:00:00"/>
    <d v="1899-12-30T16:02:50"/>
    <n v="0"/>
    <n v="0"/>
    <n v="-3330565.9800002156"/>
    <m/>
    <m/>
    <n v="21724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3"/>
    <n v="217245"/>
    <s v="Par.(01-1) 018685/LAYMINE COSTA MENDES - 3ª SÉRIE - GE"/>
    <n v="86"/>
    <d v="2015-05-29T00:00:00"/>
    <d v="1899-12-30T16:05:53"/>
    <n v="0"/>
    <n v="0"/>
    <n v="-3330479.9800002156"/>
    <m/>
    <m/>
    <n v="21724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4"/>
    <n v="217246"/>
    <s v="Par.(01-1) 018685/LAYMINE COSTA MENDES - 3ª SÉRIE - IN"/>
    <n v="86"/>
    <d v="2015-05-29T00:00:00"/>
    <d v="1899-12-30T16:05:53"/>
    <n v="0"/>
    <n v="0"/>
    <n v="-3330393.9800002156"/>
    <m/>
    <m/>
    <n v="21724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2"/>
    <n v="217244"/>
    <s v="Par.(01-1) 018685/LAYMINE COSTA MENDES - 3ª SÉRIE - FÍ"/>
    <n v="86"/>
    <d v="2015-05-29T00:00:00"/>
    <d v="1899-12-30T16:05:53"/>
    <n v="0"/>
    <n v="0"/>
    <n v="-3330307.9800002156"/>
    <m/>
    <m/>
    <n v="21724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5"/>
    <n v="217247"/>
    <s v="Par.(01-1) 019740/MARIA EDUARDA COELHO LEMO - 1ª OU 2ª SÉRI"/>
    <n v="73"/>
    <d v="2015-05-29T00:00:00"/>
    <d v="1899-12-30T16:06:30"/>
    <n v="0"/>
    <n v="0"/>
    <n v="-3330234.9800002156"/>
    <m/>
    <m/>
    <n v="217247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6"/>
    <n v="217248"/>
    <s v="Par.(01-1) 019740/MARIA EDUARDA COELHO LEMO - 1ª OU 2ª SÉRI"/>
    <n v="73"/>
    <d v="2015-05-29T00:00:00"/>
    <d v="1899-12-30T16:06:31"/>
    <n v="0"/>
    <n v="0"/>
    <n v="-3330161.9800002156"/>
    <m/>
    <m/>
    <n v="21724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8"/>
    <n v="217250"/>
    <s v="Par.(01-1) 019808/MARIA EDUARDA SILVA MELCH - 1ª OU 2ª SÉRI"/>
    <n v="73"/>
    <d v="2015-05-29T00:00:00"/>
    <d v="1899-12-30T16:06:59"/>
    <n v="0"/>
    <n v="0"/>
    <n v="-3330088.9800002156"/>
    <m/>
    <m/>
    <n v="21725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7"/>
    <n v="217249"/>
    <s v="Par.(01-1) 019808/MARIA EDUARDA SILVA MELCH - 1ª OU 2ª SÉRI"/>
    <n v="73"/>
    <d v="2015-05-29T00:00:00"/>
    <d v="1899-12-30T16:06:59"/>
    <n v="0"/>
    <n v="0"/>
    <n v="-3330015.9800002156"/>
    <m/>
    <m/>
    <n v="21724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9"/>
    <n v="217251"/>
    <s v="Par.(01-1) 018350/MATHEUS ROCHA CESILIO - 1ª OU 2ª SÉRI"/>
    <n v="73"/>
    <d v="2015-05-29T00:00:00"/>
    <d v="1899-12-30T16:07:23"/>
    <n v="0"/>
    <n v="0"/>
    <n v="-3329942.9800002156"/>
    <m/>
    <m/>
    <n v="21725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0"/>
    <n v="217252"/>
    <s v="Par.(01-1) 018350/MATHEUS ROCHA CESILIO - 1ª OU 2ª SÉRI"/>
    <n v="73"/>
    <d v="2015-05-29T00:00:00"/>
    <d v="1899-12-30T16:07:23"/>
    <n v="0"/>
    <n v="0"/>
    <n v="-3329869.9800002156"/>
    <m/>
    <m/>
    <n v="21725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1"/>
    <n v="217253"/>
    <s v="Par.(01-1) 019624/MAURO OLIVEIRA NETO - 1ª OU 2ª SÉRI"/>
    <n v="73"/>
    <d v="2015-05-29T00:00:00"/>
    <d v="1899-12-30T16:07:47"/>
    <n v="0"/>
    <n v="0"/>
    <n v="-3329796.9800002156"/>
    <m/>
    <m/>
    <n v="21725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2"/>
    <n v="217254"/>
    <s v="Par.(01-1) 019624/MAURO OLIVEIRA NETO - 1ª OU 2ª SÉRI"/>
    <n v="73"/>
    <d v="2015-05-29T00:00:00"/>
    <d v="1899-12-30T16:07:47"/>
    <n v="0"/>
    <n v="0"/>
    <n v="-3329723.9800002156"/>
    <m/>
    <m/>
    <n v="21725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3"/>
    <n v="217255"/>
    <s v="Par.(01-1) 018150/VÍTOR GABRIEL DE OLIVEIRA - 1ª OU 2ª SÉRI"/>
    <n v="73"/>
    <d v="2015-05-29T00:00:00"/>
    <d v="1899-12-30T16:08:17"/>
    <n v="0"/>
    <n v="0"/>
    <n v="-3329650.9800002156"/>
    <m/>
    <m/>
    <n v="21725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4"/>
    <n v="217256"/>
    <s v="Par.(01-1) 018150/VÍTOR GABRIEL DE OLIVEIRA - 1ª OU 2ª SÉRI"/>
    <n v="73"/>
    <d v="2015-05-29T00:00:00"/>
    <d v="1899-12-30T16:08:17"/>
    <n v="0"/>
    <n v="0"/>
    <n v="-3329577.9800002156"/>
    <m/>
    <m/>
    <n v="21725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512"/>
    <s v="GJO/111564"/>
    <s v="Getulio Jose Oliveira Nt - Par. 111564(05-12)"/>
    <n v="0"/>
    <d v="2015-05-29T00:00:00"/>
    <d v="1899-12-30T16:22:57"/>
    <n v="400"/>
    <n v="0"/>
    <n v="-3329977.9800002156"/>
    <m/>
    <m/>
    <m/>
    <n v="111564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1513"/>
    <s v="RFMZ/111552"/>
    <s v="Roberto Ferreira / Maria Zirlene  - Par. 111552(05-12)"/>
    <n v="0"/>
    <d v="2015-05-29T00:00:00"/>
    <d v="1899-12-30T16:23:40"/>
    <n v="360"/>
    <n v="0"/>
    <n v="-3330337.9800002156"/>
    <m/>
    <m/>
    <m/>
    <n v="111552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6183"/>
    <s v="Extrato/128713"/>
    <s v="Banco Safra - Par. 128713(01-5)"/>
    <n v="0"/>
    <d v="2015-05-29T00:00:00"/>
    <d v="1899-12-30T16:44:36"/>
    <n v="5.76"/>
    <n v="0"/>
    <n v="-3330343.7400002154"/>
    <m/>
    <m/>
    <m/>
    <n v="128713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4"/>
    <s v="Extrato/128714"/>
    <s v="Banco Safra - Par. 128714(02-5)"/>
    <n v="0"/>
    <d v="2015-05-29T00:00:00"/>
    <d v="1899-12-30T16:44:36"/>
    <n v="72.540000000000006"/>
    <n v="0"/>
    <n v="-3330416.2800002154"/>
    <m/>
    <m/>
    <m/>
    <n v="128714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5"/>
    <s v="Extrato/128715"/>
    <s v="Banco Safra - Par. 128715(03-5)"/>
    <n v="0"/>
    <d v="2015-05-29T00:00:00"/>
    <d v="1899-12-30T16:44:36"/>
    <n v="103.96"/>
    <n v="0"/>
    <n v="-3330520.2400002154"/>
    <m/>
    <m/>
    <m/>
    <n v="128715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6"/>
    <s v="Extrato/128716"/>
    <s v="Banco Safra - Par. 128716(04-5)"/>
    <n v="0"/>
    <d v="2015-05-29T00:00:00"/>
    <d v="1899-12-30T16:44:37"/>
    <n v="5.75"/>
    <n v="0"/>
    <n v="-3330525.9900002154"/>
    <m/>
    <m/>
    <m/>
    <n v="128716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7"/>
    <s v="Extrato/128717"/>
    <s v="Banco Safra - Par. 128717(05-5)"/>
    <n v="0"/>
    <d v="2015-05-29T00:00:00"/>
    <d v="1899-12-30T16:44:37"/>
    <n v="350"/>
    <n v="0"/>
    <n v="-3330875.9900002154"/>
    <m/>
    <m/>
    <m/>
    <n v="128717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4008"/>
    <s v="Transferência Entre Conta"/>
    <s v="Transferência Entre Conta"/>
    <n v="0"/>
    <d v="2015-05-29T00:00:00"/>
    <d v="1899-12-30T16:49:34"/>
    <n v="20000"/>
    <n v="0"/>
    <n v="-3350875.9900002154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3605"/>
    <s v="DEPÓSITO 2015-05-29"/>
    <s v="PARTE PAGAMENTO DAS MENSALIDADES DE DEZ/2014, MARÇO E ABRIL/2015, DO(A) ALUNO(A) PEDRO HENRIQUE NUNES DE ARAÚJO_ANÁPOLIS"/>
    <n v="392.7"/>
    <d v="2015-05-29T00:00:00"/>
    <d v="1899-12-30T17:35:07"/>
    <n v="0"/>
    <n v="0"/>
    <n v="-3350483.2900002152"/>
    <m/>
    <m/>
    <m/>
    <m/>
    <n v="8"/>
    <s v="Vinicius"/>
    <n v="1"/>
    <m/>
    <n v="1526"/>
    <d v="2015-06-17T00:00:00"/>
    <d v="2015-06-17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3089"/>
    <s v="4750/124388"/>
    <s v="Ministério da Fazenda - Cód. 124388"/>
    <n v="0"/>
    <d v="2015-05-29T00:00:00"/>
    <d v="1899-12-30T17:49:34"/>
    <n v="27184.32"/>
    <n v="0"/>
    <n v="-3377667.610000215"/>
    <m/>
    <m/>
    <m/>
    <n v="124388"/>
    <n v="24"/>
    <s v="Emilly"/>
    <n v="1"/>
    <m/>
    <n v="326"/>
    <d v="2015-06-15T00:00:00"/>
    <d v="2015-06-15T00:00:00"/>
    <m/>
    <m/>
    <n v="2015"/>
    <n v="24"/>
    <m/>
    <m/>
    <m/>
    <m/>
    <s v="Marista.Darf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2096"/>
    <s v="8791/124812"/>
    <s v="Leo Maquinas  - Cód. 124812"/>
    <n v="0"/>
    <d v="2015-05-30T00:00:00"/>
    <d v="1899-12-30T08:30:28"/>
    <n v="128"/>
    <n v="0"/>
    <n v="-3377795.610000215"/>
    <m/>
    <m/>
    <m/>
    <n v="124812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2136"/>
    <s v="9403/124844"/>
    <s v="Leo Maquinas  - Cód. 124844"/>
    <n v="0"/>
    <d v="2015-05-30T00:00:00"/>
    <d v="1899-12-30T09:27:32"/>
    <n v="60"/>
    <n v="0"/>
    <n v="-3377855.610000215"/>
    <m/>
    <m/>
    <m/>
    <n v="124844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2137"/>
    <s v="8790/124845"/>
    <s v="Leo Maquinas  - Cód. 124845"/>
    <n v="0"/>
    <d v="2015-05-30T00:00:00"/>
    <d v="1899-12-30T09:28:10"/>
    <n v="13"/>
    <n v="0"/>
    <n v="-3377868.610000215"/>
    <m/>
    <m/>
    <m/>
    <n v="124845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1567"/>
    <s v="318984/124405"/>
    <s v="Posto De Combustível - Cód. 124405"/>
    <n v="0"/>
    <d v="2015-05-30T00:00:00"/>
    <d v="1899-12-30T10:02:15"/>
    <n v="50"/>
    <n v="0"/>
    <n v="-3377918.610000215"/>
    <m/>
    <m/>
    <m/>
    <n v="124405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2134"/>
    <s v="319055/124842"/>
    <s v="Posto De Combustível - Cód. 124842"/>
    <n v="0"/>
    <d v="2015-05-31T00:00:00"/>
    <d v="1899-12-30T09:26:26"/>
    <n v="10"/>
    <n v="0"/>
    <n v="-3377928.610000215"/>
    <m/>
    <m/>
    <m/>
    <n v="124842"/>
    <n v="24"/>
    <s v="Emilly"/>
    <n v="1"/>
    <m/>
    <n v="512"/>
    <d v="2015-06-08T00:00:00"/>
    <d v="2015-06-08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5625"/>
    <s v="Fluxo de Caixa "/>
    <s v="Fluxo de Caixa "/>
    <n v="89537.63"/>
    <d v="2015-05-31T00:00:00"/>
    <d v="1899-12-30T14:06:05"/>
    <n v="0"/>
    <n v="0"/>
    <n v="-3288390.9800002151"/>
    <m/>
    <m/>
    <m/>
    <m/>
    <n v="7"/>
    <s v="Anapaula"/>
    <n v="1"/>
    <m/>
    <n v="1471"/>
    <d v="2015-07-02T00:00:00"/>
    <d v="2015-07-02T00:00:00"/>
    <m/>
    <m/>
    <n v="2015"/>
    <n v="7"/>
    <m/>
    <m/>
    <m/>
    <m/>
    <s v="Transferência Entre Contas"/>
    <x v="2"/>
    <s v="COLÉGIO OLIMPO LTDA"/>
    <m/>
    <n v="77"/>
    <n v="9"/>
    <s v="Débito em conta"/>
    <m/>
    <m/>
    <m/>
    <n v="0"/>
    <m/>
    <m/>
    <s v="BRB [GYN] [OPERAÇÕES]"/>
    <m/>
    <m/>
    <m/>
  </r>
  <r>
    <n v="274778"/>
    <s v="Fluxo de Caixa "/>
    <s v="Fluxo de Caixa "/>
    <n v="0"/>
    <d v="2015-05-31T00:00:00"/>
    <d v="1899-12-30T15:57:47"/>
    <n v="7227.06"/>
    <n v="0"/>
    <n v="-3295618.0400002152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s v="COLÉGIO OLIMPO LTDA"/>
    <m/>
    <n v="35"/>
    <n v="8"/>
    <s v="Transferência Bancária"/>
    <m/>
    <m/>
    <m/>
    <n v="0"/>
    <m/>
    <m/>
    <s v="[OUTRAS] ESCRITÓRIO COBRANÇA"/>
    <m/>
    <m/>
    <m/>
  </r>
  <r>
    <n v="275050"/>
    <s v="Fluxo de Caixa "/>
    <s v="Fluxo de Caixa "/>
    <n v="27000"/>
    <d v="2015-05-31T00:00:00"/>
    <d v="1899-12-30T16:48:54"/>
    <n v="0"/>
    <n v="0"/>
    <n v="-3268618.0400002152"/>
    <m/>
    <m/>
    <m/>
    <m/>
    <n v="7"/>
    <s v="Anapaula"/>
    <n v="2"/>
    <m/>
    <n v="1471"/>
    <d v="2015-07-01T00:00:00"/>
    <d v="2015-07-01T00:00:00"/>
    <m/>
    <m/>
    <n v="2015"/>
    <n v="7"/>
    <m/>
    <m/>
    <m/>
    <m/>
    <s v="Transferência Entre Contas"/>
    <x v="2"/>
    <s v="COLÉGIO OLIMPO LTDA"/>
    <m/>
    <n v="57"/>
    <n v="8"/>
    <s v="Transferência Bancária"/>
    <m/>
    <m/>
    <m/>
    <n v="0"/>
    <m/>
    <m/>
    <s v="FACT: SENIZE "/>
    <m/>
    <m/>
    <m/>
  </r>
  <r>
    <n v="275100"/>
    <s v="Fluxo de Caixa "/>
    <s v="Fluxo de Caixa "/>
    <n v="20349.490000000002"/>
    <d v="2015-05-31T00:00:00"/>
    <d v="1899-12-30T17:14:52"/>
    <n v="0"/>
    <n v="0"/>
    <n v="-3248268.5500002149"/>
    <m/>
    <m/>
    <m/>
    <m/>
    <n v="7"/>
    <s v="Anapaula"/>
    <n v="1"/>
    <m/>
    <n v="1449"/>
    <d v="2015-07-01T00:00:00"/>
    <d v="2015-07-01T00:00:00"/>
    <m/>
    <m/>
    <n v="2015"/>
    <n v="7"/>
    <m/>
    <m/>
    <m/>
    <m/>
    <s v="Transferência entre contas"/>
    <x v="2"/>
    <s v="COLÉGIO OLIMPO LTDA"/>
    <m/>
    <n v="75"/>
    <n v="8"/>
    <s v="Transferência Bancária"/>
    <m/>
    <m/>
    <m/>
    <n v="0"/>
    <m/>
    <m/>
    <s v="MERC [GYN] [OPERAÇÕES]"/>
    <m/>
    <m/>
    <m/>
  </r>
  <r>
    <n v="274836"/>
    <s v="Fluxo de Caixa "/>
    <s v="Fluxo de Caixa "/>
    <n v="0"/>
    <d v="2015-05-31T00:00:00"/>
    <d v="1899-12-30T17:53:08"/>
    <n v="38269.06"/>
    <n v="0"/>
    <n v="-3286537.610000215"/>
    <m/>
    <m/>
    <m/>
    <m/>
    <n v="7"/>
    <s v="Anapaula"/>
    <n v="1"/>
    <m/>
    <n v="1449"/>
    <d v="2015-06-30T00:00:00"/>
    <d v="2015-07-03T00:00:00"/>
    <m/>
    <m/>
    <n v="2015"/>
    <n v="7"/>
    <m/>
    <m/>
    <m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4853"/>
    <s v="Fluxo de Caixa "/>
    <s v="Fluxo de Caixa "/>
    <n v="457140.92"/>
    <d v="2015-05-31T00:00:00"/>
    <d v="1899-12-30T18:58:44"/>
    <n v="0"/>
    <n v="0"/>
    <n v="-2829396.6900002151"/>
    <m/>
    <m/>
    <m/>
    <m/>
    <n v="7"/>
    <s v="Anapaula"/>
    <n v="2"/>
    <m/>
    <n v="1471"/>
    <d v="2015-06-30T00:00:00"/>
    <d v="2015-06-30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9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2"/>
        <item x="1"/>
        <item m="1"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9"/>
  </rowFields>
  <rowItems count="5">
    <i>
      <x v="1"/>
    </i>
    <i>
      <x v="2"/>
    </i>
    <i>
      <x v="3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10">
      <pivotArea outline="0" collapsedLevelsAreSubtotals="1" fieldPosition="0"/>
    </format>
    <format dxfId="9">
      <pivotArea field="-2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type="origin" dataOnly="0" labelOnly="1" outline="0" fieldPosition="0"/>
    </format>
    <format dxfId="5">
      <pivotArea field="29" type="button" dataOnly="0" labelOnly="1" outline="0" axis="axisRow" fieldPosition="0"/>
    </format>
    <format dxfId="4">
      <pivotArea field="-2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11"/>
  <sheetViews>
    <sheetView workbookViewId="0">
      <selection activeCell="K26" sqref="K26"/>
    </sheetView>
  </sheetViews>
  <sheetFormatPr defaultRowHeight="15"/>
  <cols>
    <col min="1" max="1" width="18.5703125" bestFit="1" customWidth="1"/>
    <col min="2" max="2" width="17.7109375" style="9" customWidth="1"/>
    <col min="3" max="3" width="14.5703125" style="9" bestFit="1" customWidth="1"/>
    <col min="4" max="4" width="15.140625" style="9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11"/>
      <c r="B3" s="14" t="s">
        <v>304</v>
      </c>
      <c r="C3" s="14"/>
      <c r="D3"/>
    </row>
    <row r="4" spans="1:4">
      <c r="A4" s="11" t="s">
        <v>298</v>
      </c>
      <c r="B4" s="14" t="s">
        <v>305</v>
      </c>
      <c r="C4" s="14" t="s">
        <v>306</v>
      </c>
      <c r="D4"/>
    </row>
    <row r="5" spans="1:4">
      <c r="A5" s="2" t="s">
        <v>307</v>
      </c>
      <c r="B5" s="9">
        <v>-2443537.4200002179</v>
      </c>
      <c r="D5"/>
    </row>
    <row r="6" spans="1:4">
      <c r="A6" s="2" t="s">
        <v>302</v>
      </c>
      <c r="B6" s="9">
        <v>5301464.1899999995</v>
      </c>
      <c r="C6" s="9">
        <v>7241293.3099999754</v>
      </c>
      <c r="D6"/>
    </row>
    <row r="7" spans="1:4">
      <c r="A7" s="2" t="s">
        <v>301</v>
      </c>
      <c r="B7" s="9">
        <v>4194133.4599999995</v>
      </c>
      <c r="C7" s="9">
        <v>2640163.6099999975</v>
      </c>
      <c r="D7"/>
    </row>
    <row r="8" spans="1:4">
      <c r="A8" s="2" t="s">
        <v>299</v>
      </c>
      <c r="D8" s="12" t="s">
        <v>8</v>
      </c>
    </row>
    <row r="9" spans="1:4">
      <c r="A9" s="15" t="s">
        <v>300</v>
      </c>
      <c r="B9" s="14">
        <v>7052060.2299997807</v>
      </c>
      <c r="C9" s="14">
        <v>9881456.919999972</v>
      </c>
      <c r="D9" s="13">
        <f>GETPIVOTDATA("Soma de ENTRADA",$A$3)-GETPIVOTDATA("Soma de SAIDA",$A$3)</f>
        <v>-2829396.6900001913</v>
      </c>
    </row>
    <row r="10" spans="1:4">
      <c r="B10"/>
      <c r="C10"/>
    </row>
    <row r="11" spans="1:4">
      <c r="B11"/>
      <c r="C1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4986"/>
  <sheetViews>
    <sheetView workbookViewId="0">
      <selection activeCell="C11" sqref="C11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23" bestFit="1" customWidth="1"/>
    <col min="5" max="5" width="10.7109375" style="2" bestFit="1" customWidth="1"/>
    <col min="6" max="6" width="8.140625" style="2" bestFit="1" customWidth="1"/>
    <col min="7" max="7" width="13.5703125" style="23" bestFit="1" customWidth="1"/>
    <col min="8" max="8" width="10" style="2" bestFit="1" customWidth="1"/>
    <col min="9" max="9" width="15.85546875" style="8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20" t="s">
        <v>3</v>
      </c>
      <c r="E1" s="1" t="s">
        <v>4</v>
      </c>
      <c r="F1" s="1" t="s">
        <v>5</v>
      </c>
      <c r="G1" s="20" t="s">
        <v>6</v>
      </c>
      <c r="H1" s="1" t="s">
        <v>7</v>
      </c>
      <c r="I1" s="6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303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10" customFormat="1">
      <c r="A2">
        <v>270529</v>
      </c>
      <c r="B2" t="s">
        <v>2957</v>
      </c>
      <c r="C2" t="s">
        <v>2958</v>
      </c>
      <c r="D2" s="22">
        <v>0</v>
      </c>
      <c r="E2" s="17">
        <v>42137</v>
      </c>
      <c r="F2" s="18">
        <v>0.40016203703703707</v>
      </c>
      <c r="G2" s="22">
        <v>184.89</v>
      </c>
      <c r="H2">
        <v>0</v>
      </c>
      <c r="I2" s="19" t="e">
        <f>I1 + (D2-G2)</f>
        <v>#VALUE!</v>
      </c>
      <c r="J2"/>
      <c r="K2"/>
      <c r="L2"/>
      <c r="M2">
        <v>123727</v>
      </c>
      <c r="N2">
        <v>7</v>
      </c>
      <c r="O2" t="s">
        <v>44</v>
      </c>
      <c r="P2">
        <v>1</v>
      </c>
      <c r="Q2"/>
      <c r="R2">
        <v>1659</v>
      </c>
      <c r="S2" s="17">
        <v>42145</v>
      </c>
      <c r="T2" s="17">
        <v>42145</v>
      </c>
      <c r="U2"/>
      <c r="V2"/>
      <c r="W2">
        <v>2015</v>
      </c>
      <c r="X2">
        <v>7</v>
      </c>
      <c r="Y2"/>
      <c r="Z2"/>
      <c r="AA2"/>
      <c r="AB2"/>
      <c r="AC2" t="s">
        <v>2959</v>
      </c>
      <c r="AD2" t="s">
        <v>301</v>
      </c>
      <c r="AE2" t="s">
        <v>5707</v>
      </c>
      <c r="AF2"/>
      <c r="AG2">
        <v>26</v>
      </c>
      <c r="AH2">
        <v>9</v>
      </c>
      <c r="AI2" t="s">
        <v>54</v>
      </c>
      <c r="AJ2"/>
      <c r="AK2">
        <v>0</v>
      </c>
      <c r="AL2"/>
      <c r="AM2">
        <v>0</v>
      </c>
      <c r="AN2"/>
      <c r="AO2"/>
      <c r="AP2" t="s">
        <v>501</v>
      </c>
      <c r="AQ2"/>
      <c r="AR2"/>
      <c r="AS2"/>
    </row>
    <row r="3" spans="1:45" customFormat="1">
      <c r="A3">
        <v>270739</v>
      </c>
      <c r="B3" t="s">
        <v>4001</v>
      </c>
      <c r="C3" t="s">
        <v>4002</v>
      </c>
      <c r="D3" s="22">
        <v>0</v>
      </c>
      <c r="E3" s="17">
        <v>42145</v>
      </c>
      <c r="F3" s="18">
        <v>0.44662037037037039</v>
      </c>
      <c r="G3" s="22">
        <v>78.900000000000006</v>
      </c>
      <c r="H3">
        <v>0</v>
      </c>
      <c r="I3" s="19" t="e">
        <f>I2 + (D3-G3)</f>
        <v>#VALUE!</v>
      </c>
      <c r="M3">
        <v>123862</v>
      </c>
      <c r="N3">
        <v>24</v>
      </c>
      <c r="O3" t="s">
        <v>68</v>
      </c>
      <c r="P3">
        <v>1</v>
      </c>
      <c r="R3">
        <v>1632</v>
      </c>
      <c r="S3" s="17">
        <v>42146</v>
      </c>
      <c r="T3" s="17">
        <v>42146</v>
      </c>
      <c r="W3">
        <v>2015</v>
      </c>
      <c r="X3">
        <v>24</v>
      </c>
      <c r="AC3" t="s">
        <v>4003</v>
      </c>
      <c r="AD3" t="s">
        <v>301</v>
      </c>
      <c r="AE3" t="s">
        <v>5707</v>
      </c>
      <c r="AG3">
        <v>8</v>
      </c>
      <c r="AH3">
        <v>9</v>
      </c>
      <c r="AI3" t="s">
        <v>54</v>
      </c>
      <c r="AK3">
        <v>0</v>
      </c>
      <c r="AM3">
        <v>0</v>
      </c>
      <c r="AP3" t="s">
        <v>1201</v>
      </c>
    </row>
    <row r="4" spans="1:45" customFormat="1">
      <c r="A4">
        <v>270741</v>
      </c>
      <c r="B4" t="s">
        <v>4004</v>
      </c>
      <c r="C4" t="s">
        <v>4005</v>
      </c>
      <c r="D4" s="22">
        <v>0</v>
      </c>
      <c r="E4" s="17">
        <v>42145</v>
      </c>
      <c r="F4" s="18">
        <v>0.44662037037037039</v>
      </c>
      <c r="G4" s="22">
        <v>88.51</v>
      </c>
      <c r="H4">
        <v>0</v>
      </c>
      <c r="I4" s="19" t="e">
        <f>I3 + (D4-G4)</f>
        <v>#VALUE!</v>
      </c>
      <c r="M4">
        <v>123863</v>
      </c>
      <c r="N4">
        <v>24</v>
      </c>
      <c r="O4" t="s">
        <v>68</v>
      </c>
      <c r="P4">
        <v>1</v>
      </c>
      <c r="R4">
        <v>1632</v>
      </c>
      <c r="S4" s="17">
        <v>42146</v>
      </c>
      <c r="T4" s="17">
        <v>42146</v>
      </c>
      <c r="W4">
        <v>2015</v>
      </c>
      <c r="X4">
        <v>24</v>
      </c>
      <c r="AC4" t="s">
        <v>4003</v>
      </c>
      <c r="AD4" t="s">
        <v>301</v>
      </c>
      <c r="AE4" t="s">
        <v>5707</v>
      </c>
      <c r="AG4">
        <v>8</v>
      </c>
      <c r="AH4">
        <v>9</v>
      </c>
      <c r="AI4" t="s">
        <v>54</v>
      </c>
      <c r="AK4">
        <v>0</v>
      </c>
      <c r="AM4">
        <v>0</v>
      </c>
      <c r="AP4" t="s">
        <v>1201</v>
      </c>
    </row>
    <row r="5" spans="1:45" customFormat="1">
      <c r="A5">
        <v>270738</v>
      </c>
      <c r="B5" t="s">
        <v>4006</v>
      </c>
      <c r="C5" t="s">
        <v>4007</v>
      </c>
      <c r="D5" s="22">
        <v>0</v>
      </c>
      <c r="E5" s="17">
        <v>42145</v>
      </c>
      <c r="F5" s="18">
        <v>0.44662037037037039</v>
      </c>
      <c r="G5" s="22">
        <v>109.99</v>
      </c>
      <c r="H5">
        <v>0</v>
      </c>
      <c r="I5" s="19" t="e">
        <f>I4 + (D5-G5)</f>
        <v>#VALUE!</v>
      </c>
      <c r="M5">
        <v>123871</v>
      </c>
      <c r="N5">
        <v>24</v>
      </c>
      <c r="O5" t="s">
        <v>68</v>
      </c>
      <c r="P5">
        <v>1</v>
      </c>
      <c r="R5">
        <v>1632</v>
      </c>
      <c r="S5" s="17">
        <v>42146</v>
      </c>
      <c r="T5" s="17">
        <v>42146</v>
      </c>
      <c r="W5">
        <v>2015</v>
      </c>
      <c r="X5">
        <v>24</v>
      </c>
      <c r="AC5" t="s">
        <v>4003</v>
      </c>
      <c r="AD5" t="s">
        <v>301</v>
      </c>
      <c r="AE5" t="s">
        <v>5707</v>
      </c>
      <c r="AG5">
        <v>8</v>
      </c>
      <c r="AH5">
        <v>9</v>
      </c>
      <c r="AI5" t="s">
        <v>54</v>
      </c>
      <c r="AK5">
        <v>0</v>
      </c>
      <c r="AM5">
        <v>0</v>
      </c>
      <c r="AP5" t="s">
        <v>1201</v>
      </c>
    </row>
    <row r="6" spans="1:45" customFormat="1">
      <c r="A6">
        <v>270740</v>
      </c>
      <c r="B6" t="s">
        <v>4008</v>
      </c>
      <c r="C6" t="s">
        <v>4009</v>
      </c>
      <c r="D6" s="22">
        <v>0</v>
      </c>
      <c r="E6" s="17">
        <v>42145</v>
      </c>
      <c r="F6" s="18">
        <v>0.44662037037037039</v>
      </c>
      <c r="G6" s="22">
        <v>109.46</v>
      </c>
      <c r="H6">
        <v>0</v>
      </c>
      <c r="I6" s="19" t="e">
        <f>I5 + (D6-G6)</f>
        <v>#VALUE!</v>
      </c>
      <c r="M6">
        <v>123872</v>
      </c>
      <c r="N6">
        <v>24</v>
      </c>
      <c r="O6" t="s">
        <v>68</v>
      </c>
      <c r="P6">
        <v>1</v>
      </c>
      <c r="R6">
        <v>1632</v>
      </c>
      <c r="S6" s="17">
        <v>42146</v>
      </c>
      <c r="T6" s="17">
        <v>42146</v>
      </c>
      <c r="W6">
        <v>2015</v>
      </c>
      <c r="X6">
        <v>24</v>
      </c>
      <c r="AC6" t="s">
        <v>4003</v>
      </c>
      <c r="AD6" t="s">
        <v>301</v>
      </c>
      <c r="AE6" t="s">
        <v>5707</v>
      </c>
      <c r="AG6">
        <v>8</v>
      </c>
      <c r="AH6">
        <v>9</v>
      </c>
      <c r="AI6" t="s">
        <v>54</v>
      </c>
      <c r="AK6">
        <v>0</v>
      </c>
      <c r="AM6">
        <v>0</v>
      </c>
      <c r="AP6" t="s">
        <v>1201</v>
      </c>
    </row>
    <row r="7" spans="1:45" customFormat="1">
      <c r="A7">
        <v>270742</v>
      </c>
      <c r="B7" t="s">
        <v>4010</v>
      </c>
      <c r="C7" t="s">
        <v>4011</v>
      </c>
      <c r="D7" s="22">
        <v>0</v>
      </c>
      <c r="E7" s="17">
        <v>42145</v>
      </c>
      <c r="F7" s="18">
        <v>0.44662037037037039</v>
      </c>
      <c r="G7" s="22">
        <v>83.43</v>
      </c>
      <c r="H7">
        <v>0</v>
      </c>
      <c r="I7" s="19" t="e">
        <f>I6 + (D7-G7)</f>
        <v>#VALUE!</v>
      </c>
      <c r="M7">
        <v>123873</v>
      </c>
      <c r="N7">
        <v>24</v>
      </c>
      <c r="O7" t="s">
        <v>68</v>
      </c>
      <c r="P7">
        <v>1</v>
      </c>
      <c r="R7">
        <v>1632</v>
      </c>
      <c r="S7" s="17">
        <v>42146</v>
      </c>
      <c r="T7" s="17">
        <v>42146</v>
      </c>
      <c r="W7">
        <v>2015</v>
      </c>
      <c r="X7">
        <v>24</v>
      </c>
      <c r="AC7" t="s">
        <v>4003</v>
      </c>
      <c r="AD7" t="s">
        <v>301</v>
      </c>
      <c r="AE7" t="s">
        <v>5707</v>
      </c>
      <c r="AG7">
        <v>8</v>
      </c>
      <c r="AH7">
        <v>9</v>
      </c>
      <c r="AI7" t="s">
        <v>54</v>
      </c>
      <c r="AK7">
        <v>0</v>
      </c>
      <c r="AM7">
        <v>0</v>
      </c>
      <c r="AP7" t="s">
        <v>1201</v>
      </c>
    </row>
    <row r="8" spans="1:45" customFormat="1">
      <c r="A8">
        <v>270743</v>
      </c>
      <c r="B8" t="s">
        <v>4012</v>
      </c>
      <c r="C8" t="s">
        <v>4013</v>
      </c>
      <c r="D8" s="22">
        <v>0</v>
      </c>
      <c r="E8" s="17">
        <v>42145</v>
      </c>
      <c r="F8" s="18">
        <v>0.44663194444444443</v>
      </c>
      <c r="G8" s="22">
        <v>156.66</v>
      </c>
      <c r="H8">
        <v>0</v>
      </c>
      <c r="I8" s="19" t="e">
        <f>I7 + (D8-G8)</f>
        <v>#VALUE!</v>
      </c>
      <c r="M8">
        <v>123864</v>
      </c>
      <c r="N8">
        <v>24</v>
      </c>
      <c r="O8" t="s">
        <v>68</v>
      </c>
      <c r="P8">
        <v>1</v>
      </c>
      <c r="R8">
        <v>1632</v>
      </c>
      <c r="S8" s="17">
        <v>42146</v>
      </c>
      <c r="T8" s="17">
        <v>42146</v>
      </c>
      <c r="W8">
        <v>2015</v>
      </c>
      <c r="X8">
        <v>24</v>
      </c>
      <c r="AC8" t="s">
        <v>4003</v>
      </c>
      <c r="AD8" t="s">
        <v>301</v>
      </c>
      <c r="AE8" t="s">
        <v>5707</v>
      </c>
      <c r="AG8">
        <v>8</v>
      </c>
      <c r="AH8">
        <v>9</v>
      </c>
      <c r="AI8" t="s">
        <v>54</v>
      </c>
      <c r="AK8">
        <v>0</v>
      </c>
      <c r="AM8">
        <v>0</v>
      </c>
      <c r="AP8" t="s">
        <v>1201</v>
      </c>
    </row>
    <row r="9" spans="1:45" customFormat="1">
      <c r="A9">
        <v>270745</v>
      </c>
      <c r="B9" t="s">
        <v>4014</v>
      </c>
      <c r="C9" t="s">
        <v>4015</v>
      </c>
      <c r="D9" s="22">
        <v>0</v>
      </c>
      <c r="E9" s="17">
        <v>42145</v>
      </c>
      <c r="F9" s="18">
        <v>0.44663194444444443</v>
      </c>
      <c r="G9" s="22">
        <v>159.26</v>
      </c>
      <c r="H9">
        <v>0</v>
      </c>
      <c r="I9" s="19" t="e">
        <f>I8 + (D9-G9)</f>
        <v>#VALUE!</v>
      </c>
      <c r="M9">
        <v>123865</v>
      </c>
      <c r="N9">
        <v>24</v>
      </c>
      <c r="O9" t="s">
        <v>68</v>
      </c>
      <c r="P9">
        <v>1</v>
      </c>
      <c r="R9">
        <v>1632</v>
      </c>
      <c r="S9" s="17">
        <v>42146</v>
      </c>
      <c r="T9" s="17">
        <v>42146</v>
      </c>
      <c r="W9">
        <v>2015</v>
      </c>
      <c r="X9">
        <v>24</v>
      </c>
      <c r="AC9" t="s">
        <v>4003</v>
      </c>
      <c r="AD9" t="s">
        <v>301</v>
      </c>
      <c r="AE9" t="s">
        <v>5707</v>
      </c>
      <c r="AG9">
        <v>8</v>
      </c>
      <c r="AH9">
        <v>9</v>
      </c>
      <c r="AI9" t="s">
        <v>54</v>
      </c>
      <c r="AK9">
        <v>0</v>
      </c>
      <c r="AM9">
        <v>0</v>
      </c>
      <c r="AP9" t="s">
        <v>1201</v>
      </c>
    </row>
    <row r="10" spans="1:45" customFormat="1">
      <c r="A10">
        <v>270746</v>
      </c>
      <c r="B10" t="s">
        <v>4016</v>
      </c>
      <c r="C10" t="s">
        <v>4017</v>
      </c>
      <c r="D10" s="22">
        <v>0</v>
      </c>
      <c r="E10" s="17">
        <v>42145</v>
      </c>
      <c r="F10" s="18">
        <v>0.44663194444444443</v>
      </c>
      <c r="G10" s="22">
        <v>151.22999999999999</v>
      </c>
      <c r="H10">
        <v>0</v>
      </c>
      <c r="I10" s="19" t="e">
        <f>I9 + (D10-G10)</f>
        <v>#VALUE!</v>
      </c>
      <c r="M10">
        <v>123866</v>
      </c>
      <c r="N10">
        <v>24</v>
      </c>
      <c r="O10" t="s">
        <v>68</v>
      </c>
      <c r="P10">
        <v>1</v>
      </c>
      <c r="R10">
        <v>1632</v>
      </c>
      <c r="S10" s="17">
        <v>42146</v>
      </c>
      <c r="T10" s="17">
        <v>42146</v>
      </c>
      <c r="W10">
        <v>2015</v>
      </c>
      <c r="X10">
        <v>24</v>
      </c>
      <c r="AC10" t="s">
        <v>4003</v>
      </c>
      <c r="AD10" t="s">
        <v>301</v>
      </c>
      <c r="AE10" t="s">
        <v>5707</v>
      </c>
      <c r="AG10">
        <v>8</v>
      </c>
      <c r="AH10">
        <v>9</v>
      </c>
      <c r="AI10" t="s">
        <v>54</v>
      </c>
      <c r="AK10">
        <v>0</v>
      </c>
      <c r="AM10">
        <v>0</v>
      </c>
      <c r="AP10" t="s">
        <v>1201</v>
      </c>
    </row>
    <row r="11" spans="1:45" customFormat="1">
      <c r="A11">
        <v>270744</v>
      </c>
      <c r="B11" t="s">
        <v>4018</v>
      </c>
      <c r="C11" t="s">
        <v>4019</v>
      </c>
      <c r="D11" s="22">
        <v>0</v>
      </c>
      <c r="E11" s="17">
        <v>42145</v>
      </c>
      <c r="F11" s="18">
        <v>0.44663194444444443</v>
      </c>
      <c r="G11" s="22">
        <v>79.69</v>
      </c>
      <c r="H11">
        <v>0</v>
      </c>
      <c r="I11" s="19" t="e">
        <f>I10 + (D11-G11)</f>
        <v>#VALUE!</v>
      </c>
      <c r="M11">
        <v>123874</v>
      </c>
      <c r="N11">
        <v>24</v>
      </c>
      <c r="O11" t="s">
        <v>68</v>
      </c>
      <c r="P11">
        <v>1</v>
      </c>
      <c r="R11">
        <v>1632</v>
      </c>
      <c r="S11" s="17">
        <v>42146</v>
      </c>
      <c r="T11" s="17">
        <v>42146</v>
      </c>
      <c r="W11">
        <v>2015</v>
      </c>
      <c r="X11">
        <v>24</v>
      </c>
      <c r="AC11" t="s">
        <v>4003</v>
      </c>
      <c r="AD11" t="s">
        <v>301</v>
      </c>
      <c r="AE11" t="s">
        <v>5707</v>
      </c>
      <c r="AG11">
        <v>8</v>
      </c>
      <c r="AH11">
        <v>9</v>
      </c>
      <c r="AI11" t="s">
        <v>54</v>
      </c>
      <c r="AK11">
        <v>0</v>
      </c>
      <c r="AM11">
        <v>0</v>
      </c>
      <c r="AP11" t="s">
        <v>1201</v>
      </c>
    </row>
    <row r="12" spans="1:45" customFormat="1">
      <c r="A12">
        <v>270750</v>
      </c>
      <c r="B12" t="s">
        <v>4020</v>
      </c>
      <c r="C12" t="s">
        <v>4021</v>
      </c>
      <c r="D12" s="22">
        <v>0</v>
      </c>
      <c r="E12" s="17">
        <v>42145</v>
      </c>
      <c r="F12" s="18">
        <v>0.44664351851851852</v>
      </c>
      <c r="G12" s="22">
        <v>108.88</v>
      </c>
      <c r="H12">
        <v>0</v>
      </c>
      <c r="I12" s="19" t="e">
        <f>I11 + (D12-G12)</f>
        <v>#VALUE!</v>
      </c>
      <c r="M12">
        <v>123870</v>
      </c>
      <c r="N12">
        <v>24</v>
      </c>
      <c r="O12" t="s">
        <v>68</v>
      </c>
      <c r="P12">
        <v>1</v>
      </c>
      <c r="R12">
        <v>1632</v>
      </c>
      <c r="S12" s="17">
        <v>42146</v>
      </c>
      <c r="T12" s="17">
        <v>42146</v>
      </c>
      <c r="W12">
        <v>2015</v>
      </c>
      <c r="X12">
        <v>24</v>
      </c>
      <c r="AC12" t="s">
        <v>4003</v>
      </c>
      <c r="AD12" t="s">
        <v>301</v>
      </c>
      <c r="AE12" t="s">
        <v>5707</v>
      </c>
      <c r="AG12">
        <v>8</v>
      </c>
      <c r="AH12">
        <v>9</v>
      </c>
      <c r="AI12" t="s">
        <v>54</v>
      </c>
      <c r="AK12">
        <v>0</v>
      </c>
      <c r="AM12">
        <v>0</v>
      </c>
      <c r="AP12" t="s">
        <v>1201</v>
      </c>
    </row>
    <row r="13" spans="1:45" customFormat="1">
      <c r="A13">
        <v>270747</v>
      </c>
      <c r="B13" t="s">
        <v>4022</v>
      </c>
      <c r="C13" t="s">
        <v>4023</v>
      </c>
      <c r="D13" s="22">
        <v>0</v>
      </c>
      <c r="E13" s="17">
        <v>42145</v>
      </c>
      <c r="F13" s="18">
        <v>0.44664351851851852</v>
      </c>
      <c r="G13" s="22">
        <v>107.18</v>
      </c>
      <c r="H13">
        <v>0</v>
      </c>
      <c r="I13" s="19" t="e">
        <f>I12 + (D13-G13)</f>
        <v>#VALUE!</v>
      </c>
      <c r="M13">
        <v>123867</v>
      </c>
      <c r="N13">
        <v>24</v>
      </c>
      <c r="O13" t="s">
        <v>68</v>
      </c>
      <c r="P13">
        <v>1</v>
      </c>
      <c r="R13">
        <v>1632</v>
      </c>
      <c r="S13" s="17">
        <v>42146</v>
      </c>
      <c r="T13" s="17">
        <v>42146</v>
      </c>
      <c r="W13">
        <v>2015</v>
      </c>
      <c r="X13">
        <v>24</v>
      </c>
      <c r="AC13" t="s">
        <v>4003</v>
      </c>
      <c r="AD13" t="s">
        <v>301</v>
      </c>
      <c r="AE13" t="s">
        <v>5707</v>
      </c>
      <c r="AG13">
        <v>8</v>
      </c>
      <c r="AH13">
        <v>9</v>
      </c>
      <c r="AI13" t="s">
        <v>54</v>
      </c>
      <c r="AK13">
        <v>0</v>
      </c>
      <c r="AM13">
        <v>0</v>
      </c>
      <c r="AP13" t="s">
        <v>1201</v>
      </c>
    </row>
    <row r="14" spans="1:45" customFormat="1">
      <c r="A14">
        <v>270748</v>
      </c>
      <c r="B14" t="s">
        <v>4024</v>
      </c>
      <c r="C14" t="s">
        <v>4025</v>
      </c>
      <c r="D14" s="22">
        <v>0</v>
      </c>
      <c r="E14" s="17">
        <v>42145</v>
      </c>
      <c r="F14" s="18">
        <v>0.44664351851851852</v>
      </c>
      <c r="G14" s="22">
        <v>107.77</v>
      </c>
      <c r="H14">
        <v>0</v>
      </c>
      <c r="I14" s="19" t="e">
        <f>I13 + (D14-G14)</f>
        <v>#VALUE!</v>
      </c>
      <c r="M14">
        <v>123868</v>
      </c>
      <c r="N14">
        <v>24</v>
      </c>
      <c r="O14" t="s">
        <v>68</v>
      </c>
      <c r="P14">
        <v>1</v>
      </c>
      <c r="R14">
        <v>1632</v>
      </c>
      <c r="S14" s="17">
        <v>42146</v>
      </c>
      <c r="T14" s="17">
        <v>42146</v>
      </c>
      <c r="W14">
        <v>2015</v>
      </c>
      <c r="X14">
        <v>24</v>
      </c>
      <c r="AC14" t="s">
        <v>4003</v>
      </c>
      <c r="AD14" t="s">
        <v>301</v>
      </c>
      <c r="AE14" t="s">
        <v>5707</v>
      </c>
      <c r="AG14">
        <v>8</v>
      </c>
      <c r="AH14">
        <v>9</v>
      </c>
      <c r="AI14" t="s">
        <v>54</v>
      </c>
      <c r="AK14">
        <v>0</v>
      </c>
      <c r="AM14">
        <v>0</v>
      </c>
      <c r="AP14" t="s">
        <v>1201</v>
      </c>
    </row>
    <row r="15" spans="1:45" customFormat="1">
      <c r="A15">
        <v>270749</v>
      </c>
      <c r="B15" t="s">
        <v>4026</v>
      </c>
      <c r="C15" t="s">
        <v>4027</v>
      </c>
      <c r="D15" s="22">
        <v>0</v>
      </c>
      <c r="E15" s="17">
        <v>42145</v>
      </c>
      <c r="F15" s="18">
        <v>0.44664351851851852</v>
      </c>
      <c r="G15" s="22">
        <v>108.34</v>
      </c>
      <c r="H15">
        <v>0</v>
      </c>
      <c r="I15" s="19" t="e">
        <f>I14 + (D15-G15)</f>
        <v>#VALUE!</v>
      </c>
      <c r="M15">
        <v>123869</v>
      </c>
      <c r="N15">
        <v>24</v>
      </c>
      <c r="O15" t="s">
        <v>68</v>
      </c>
      <c r="P15">
        <v>1</v>
      </c>
      <c r="R15">
        <v>1632</v>
      </c>
      <c r="S15" s="17">
        <v>42146</v>
      </c>
      <c r="T15" s="17">
        <v>42146</v>
      </c>
      <c r="W15">
        <v>2015</v>
      </c>
      <c r="X15">
        <v>24</v>
      </c>
      <c r="AC15" t="s">
        <v>4003</v>
      </c>
      <c r="AD15" t="s">
        <v>301</v>
      </c>
      <c r="AE15" t="s">
        <v>5707</v>
      </c>
      <c r="AG15">
        <v>8</v>
      </c>
      <c r="AH15">
        <v>9</v>
      </c>
      <c r="AI15" t="s">
        <v>54</v>
      </c>
      <c r="AK15">
        <v>0</v>
      </c>
      <c r="AM15">
        <v>0</v>
      </c>
      <c r="AP15" t="s">
        <v>1201</v>
      </c>
    </row>
    <row r="16" spans="1:45" customFormat="1">
      <c r="A16">
        <v>271517</v>
      </c>
      <c r="B16" t="s">
        <v>4926</v>
      </c>
      <c r="C16" t="s">
        <v>4927</v>
      </c>
      <c r="D16" s="22">
        <v>0</v>
      </c>
      <c r="E16" s="17">
        <v>42150</v>
      </c>
      <c r="F16" s="18">
        <v>0.70743055555555545</v>
      </c>
      <c r="G16" s="22">
        <v>986.86</v>
      </c>
      <c r="H16">
        <v>0</v>
      </c>
      <c r="I16" s="19" t="e">
        <f>I15 + (D16-G16)</f>
        <v>#VALUE!</v>
      </c>
      <c r="M16">
        <v>111348</v>
      </c>
      <c r="N16">
        <v>24</v>
      </c>
      <c r="O16" t="s">
        <v>68</v>
      </c>
      <c r="P16">
        <v>1</v>
      </c>
      <c r="R16">
        <v>1547</v>
      </c>
      <c r="S16" s="17">
        <v>42156</v>
      </c>
      <c r="T16" s="17">
        <v>42156</v>
      </c>
      <c r="W16">
        <v>2015</v>
      </c>
      <c r="X16">
        <v>24</v>
      </c>
      <c r="AC16" t="s">
        <v>184</v>
      </c>
      <c r="AD16" t="s">
        <v>301</v>
      </c>
      <c r="AE16" t="s">
        <v>5707</v>
      </c>
      <c r="AG16">
        <v>8</v>
      </c>
      <c r="AH16">
        <v>9</v>
      </c>
      <c r="AI16" t="s">
        <v>54</v>
      </c>
      <c r="AK16">
        <v>0</v>
      </c>
      <c r="AM16">
        <v>0</v>
      </c>
      <c r="AP16" t="s">
        <v>1201</v>
      </c>
    </row>
    <row r="17" spans="1:42" customFormat="1">
      <c r="A17">
        <v>268597</v>
      </c>
      <c r="B17" t="s">
        <v>1595</v>
      </c>
      <c r="C17" t="s">
        <v>1596</v>
      </c>
      <c r="D17" s="22">
        <v>0</v>
      </c>
      <c r="E17" s="17">
        <v>42129</v>
      </c>
      <c r="F17" s="18">
        <v>0.70717592592592593</v>
      </c>
      <c r="G17" s="22">
        <v>11733.47</v>
      </c>
      <c r="H17">
        <v>0</v>
      </c>
      <c r="I17" s="19" t="e">
        <f>I16 + (D17-G17)</f>
        <v>#VALUE!</v>
      </c>
      <c r="M17">
        <v>115058</v>
      </c>
      <c r="N17">
        <v>60</v>
      </c>
      <c r="O17" t="s">
        <v>60</v>
      </c>
      <c r="P17">
        <v>1</v>
      </c>
      <c r="R17">
        <v>1548</v>
      </c>
      <c r="S17" s="17">
        <v>42130</v>
      </c>
      <c r="T17" s="17">
        <v>42130</v>
      </c>
      <c r="W17">
        <v>2015</v>
      </c>
      <c r="X17">
        <v>60</v>
      </c>
      <c r="AC17" t="s">
        <v>280</v>
      </c>
      <c r="AD17" t="s">
        <v>301</v>
      </c>
      <c r="AE17" t="s">
        <v>5707</v>
      </c>
      <c r="AG17">
        <v>52</v>
      </c>
      <c r="AH17">
        <v>2</v>
      </c>
      <c r="AI17" t="s">
        <v>50</v>
      </c>
      <c r="AK17">
        <v>0</v>
      </c>
      <c r="AM17">
        <v>0</v>
      </c>
      <c r="AP17" t="s">
        <v>325</v>
      </c>
    </row>
    <row r="18" spans="1:42" customFormat="1">
      <c r="A18">
        <v>270927</v>
      </c>
      <c r="B18" t="s">
        <v>3926</v>
      </c>
      <c r="C18" t="s">
        <v>3927</v>
      </c>
      <c r="D18" s="22">
        <v>0</v>
      </c>
      <c r="E18" s="17">
        <v>42145</v>
      </c>
      <c r="F18" s="18">
        <v>0.38421296296296298</v>
      </c>
      <c r="G18" s="22">
        <v>760</v>
      </c>
      <c r="H18">
        <v>0</v>
      </c>
      <c r="I18" s="19" t="e">
        <f>I17 + (D18-G18)</f>
        <v>#VALUE!</v>
      </c>
      <c r="M18">
        <v>122926</v>
      </c>
      <c r="N18">
        <v>24</v>
      </c>
      <c r="O18" t="s">
        <v>68</v>
      </c>
      <c r="P18">
        <v>1</v>
      </c>
      <c r="R18">
        <v>1569</v>
      </c>
      <c r="S18" s="17">
        <v>42149</v>
      </c>
      <c r="T18" s="17">
        <v>42149</v>
      </c>
      <c r="W18">
        <v>2015</v>
      </c>
      <c r="X18">
        <v>24</v>
      </c>
      <c r="AC18" t="s">
        <v>201</v>
      </c>
      <c r="AD18" t="s">
        <v>301</v>
      </c>
      <c r="AE18" t="s">
        <v>5707</v>
      </c>
      <c r="AG18">
        <v>26</v>
      </c>
      <c r="AH18">
        <v>9</v>
      </c>
      <c r="AI18" t="s">
        <v>54</v>
      </c>
      <c r="AK18">
        <v>0</v>
      </c>
      <c r="AM18">
        <v>0</v>
      </c>
      <c r="AP18" t="s">
        <v>501</v>
      </c>
    </row>
    <row r="19" spans="1:42" customFormat="1">
      <c r="A19">
        <v>268080</v>
      </c>
      <c r="B19" t="s">
        <v>1346</v>
      </c>
      <c r="C19" t="s">
        <v>1347</v>
      </c>
      <c r="D19" s="22">
        <v>0</v>
      </c>
      <c r="E19" s="17">
        <v>42129</v>
      </c>
      <c r="F19" s="18">
        <v>0.60414351851851855</v>
      </c>
      <c r="G19" s="22">
        <v>1475.26</v>
      </c>
      <c r="H19">
        <v>0</v>
      </c>
      <c r="I19" s="19" t="e">
        <f>I18 + (D19-G19)</f>
        <v>#VALUE!</v>
      </c>
      <c r="M19">
        <v>122423</v>
      </c>
      <c r="N19">
        <v>60</v>
      </c>
      <c r="O19" t="s">
        <v>60</v>
      </c>
      <c r="P19">
        <v>1</v>
      </c>
      <c r="R19">
        <v>1598</v>
      </c>
      <c r="S19" s="17">
        <v>42130</v>
      </c>
      <c r="T19" s="17">
        <v>42130</v>
      </c>
      <c r="W19">
        <v>2015</v>
      </c>
      <c r="X19">
        <v>60</v>
      </c>
      <c r="AC19" t="s">
        <v>1348</v>
      </c>
      <c r="AD19" t="s">
        <v>302</v>
      </c>
      <c r="AE19" t="s">
        <v>5707</v>
      </c>
      <c r="AG19">
        <v>74</v>
      </c>
      <c r="AH19">
        <v>11</v>
      </c>
      <c r="AI19" t="s">
        <v>47</v>
      </c>
      <c r="AK19">
        <v>0</v>
      </c>
      <c r="AM19">
        <v>0</v>
      </c>
      <c r="AP19" t="s">
        <v>506</v>
      </c>
    </row>
    <row r="20" spans="1:42" customFormat="1">
      <c r="A20">
        <v>270453</v>
      </c>
      <c r="B20" t="s">
        <v>2080</v>
      </c>
      <c r="C20" t="s">
        <v>2081</v>
      </c>
      <c r="D20" s="22">
        <v>0</v>
      </c>
      <c r="E20" s="17">
        <v>42132</v>
      </c>
      <c r="F20" s="18">
        <v>0.36784722222222221</v>
      </c>
      <c r="G20" s="22">
        <v>1070.0899999999999</v>
      </c>
      <c r="H20">
        <v>0</v>
      </c>
      <c r="I20" s="19" t="e">
        <f>I19 + (D20-G20)</f>
        <v>#VALUE!</v>
      </c>
      <c r="M20">
        <v>123658</v>
      </c>
      <c r="N20">
        <v>24</v>
      </c>
      <c r="O20" t="s">
        <v>68</v>
      </c>
      <c r="P20">
        <v>1</v>
      </c>
      <c r="R20">
        <v>1598</v>
      </c>
      <c r="S20" s="17">
        <v>42145</v>
      </c>
      <c r="T20" s="17">
        <v>42145</v>
      </c>
      <c r="W20">
        <v>2015</v>
      </c>
      <c r="X20">
        <v>24</v>
      </c>
      <c r="AC20" t="s">
        <v>1348</v>
      </c>
      <c r="AD20" t="s">
        <v>302</v>
      </c>
      <c r="AE20" t="s">
        <v>5707</v>
      </c>
      <c r="AG20">
        <v>74</v>
      </c>
      <c r="AH20">
        <v>11</v>
      </c>
      <c r="AI20" t="s">
        <v>47</v>
      </c>
      <c r="AK20">
        <v>0</v>
      </c>
      <c r="AM20">
        <v>0</v>
      </c>
      <c r="AP20" t="s">
        <v>506</v>
      </c>
    </row>
    <row r="21" spans="1:42" customFormat="1">
      <c r="A21">
        <v>271421</v>
      </c>
      <c r="B21" t="s">
        <v>4735</v>
      </c>
      <c r="C21" t="s">
        <v>4736</v>
      </c>
      <c r="D21" s="22">
        <v>0</v>
      </c>
      <c r="E21" s="17">
        <v>42150</v>
      </c>
      <c r="F21" s="18">
        <v>0.39848379629629632</v>
      </c>
      <c r="G21" s="22">
        <v>162.94999999999999</v>
      </c>
      <c r="H21">
        <v>0</v>
      </c>
      <c r="I21" s="19" t="e">
        <f>I20 + (D21-G21)</f>
        <v>#VALUE!</v>
      </c>
      <c r="M21">
        <v>122924</v>
      </c>
      <c r="N21">
        <v>24</v>
      </c>
      <c r="O21" t="s">
        <v>68</v>
      </c>
      <c r="P21">
        <v>1</v>
      </c>
      <c r="R21">
        <v>1582</v>
      </c>
      <c r="S21" s="17">
        <v>42152</v>
      </c>
      <c r="T21" s="17">
        <v>42152</v>
      </c>
      <c r="W21">
        <v>2015</v>
      </c>
      <c r="X21">
        <v>24</v>
      </c>
      <c r="AC21" t="s">
        <v>4737</v>
      </c>
      <c r="AD21" t="s">
        <v>301</v>
      </c>
      <c r="AE21" t="s">
        <v>5707</v>
      </c>
      <c r="AG21">
        <v>8</v>
      </c>
      <c r="AH21">
        <v>9</v>
      </c>
      <c r="AI21" t="s">
        <v>54</v>
      </c>
      <c r="AK21">
        <v>0</v>
      </c>
      <c r="AM21">
        <v>0</v>
      </c>
      <c r="AP21" t="s">
        <v>1201</v>
      </c>
    </row>
    <row r="22" spans="1:42" customFormat="1">
      <c r="A22">
        <v>270385</v>
      </c>
      <c r="B22" t="s">
        <v>2969</v>
      </c>
      <c r="C22" t="s">
        <v>2970</v>
      </c>
      <c r="D22" s="22">
        <v>0</v>
      </c>
      <c r="E22" s="17">
        <v>42137</v>
      </c>
      <c r="F22" s="18">
        <v>0.42962962962962964</v>
      </c>
      <c r="G22" s="22">
        <v>3197.3</v>
      </c>
      <c r="H22">
        <v>0</v>
      </c>
      <c r="I22" s="19" t="e">
        <f>I21 + (D22-G22)</f>
        <v>#VALUE!</v>
      </c>
      <c r="M22">
        <v>123586</v>
      </c>
      <c r="N22">
        <v>24</v>
      </c>
      <c r="O22" t="s">
        <v>68</v>
      </c>
      <c r="P22">
        <v>1</v>
      </c>
      <c r="R22">
        <v>1557</v>
      </c>
      <c r="S22" s="17">
        <v>42144</v>
      </c>
      <c r="T22" s="17">
        <v>42144</v>
      </c>
      <c r="W22">
        <v>2015</v>
      </c>
      <c r="X22">
        <v>24</v>
      </c>
      <c r="AC22" t="s">
        <v>116</v>
      </c>
      <c r="AD22" t="s">
        <v>301</v>
      </c>
      <c r="AE22" t="s">
        <v>5707</v>
      </c>
      <c r="AG22">
        <v>12</v>
      </c>
      <c r="AH22">
        <v>2</v>
      </c>
      <c r="AI22" t="s">
        <v>50</v>
      </c>
      <c r="AK22">
        <v>0</v>
      </c>
      <c r="AM22">
        <v>0</v>
      </c>
      <c r="AP22" t="s">
        <v>392</v>
      </c>
    </row>
    <row r="23" spans="1:42" customFormat="1">
      <c r="A23">
        <v>271515</v>
      </c>
      <c r="B23" t="s">
        <v>5165</v>
      </c>
      <c r="C23" t="s">
        <v>5166</v>
      </c>
      <c r="D23" s="22">
        <v>0</v>
      </c>
      <c r="E23" s="17">
        <v>42152</v>
      </c>
      <c r="F23" s="18">
        <v>0.70589120370370362</v>
      </c>
      <c r="G23" s="22">
        <v>90</v>
      </c>
      <c r="H23">
        <v>0</v>
      </c>
      <c r="I23" s="19" t="e">
        <f>I22 + (D23-G23)</f>
        <v>#VALUE!</v>
      </c>
      <c r="M23">
        <v>124309</v>
      </c>
      <c r="N23">
        <v>24</v>
      </c>
      <c r="O23" t="s">
        <v>68</v>
      </c>
      <c r="P23">
        <v>1</v>
      </c>
      <c r="R23">
        <v>1545</v>
      </c>
      <c r="S23" s="17">
        <v>42156</v>
      </c>
      <c r="T23" s="17">
        <v>42156</v>
      </c>
      <c r="W23">
        <v>2015</v>
      </c>
      <c r="X23">
        <v>24</v>
      </c>
      <c r="AC23" t="s">
        <v>57</v>
      </c>
      <c r="AD23" t="s">
        <v>301</v>
      </c>
      <c r="AE23" t="s">
        <v>5707</v>
      </c>
      <c r="AG23">
        <v>56</v>
      </c>
      <c r="AH23">
        <v>1</v>
      </c>
      <c r="AI23" t="s">
        <v>58</v>
      </c>
      <c r="AK23">
        <v>0</v>
      </c>
      <c r="AM23">
        <v>0</v>
      </c>
      <c r="AP23" t="s">
        <v>59</v>
      </c>
    </row>
    <row r="24" spans="1:42" customFormat="1">
      <c r="A24">
        <v>271401</v>
      </c>
      <c r="B24" t="s">
        <v>4705</v>
      </c>
      <c r="C24" t="s">
        <v>4706</v>
      </c>
      <c r="D24" s="22">
        <v>0</v>
      </c>
      <c r="E24" s="17">
        <v>42150</v>
      </c>
      <c r="F24" s="18">
        <v>0.38122685185185184</v>
      </c>
      <c r="G24" s="22">
        <v>28.5</v>
      </c>
      <c r="H24">
        <v>0</v>
      </c>
      <c r="I24" s="19" t="e">
        <f>I23 + (D24-G24)</f>
        <v>#VALUE!</v>
      </c>
      <c r="M24">
        <v>123348</v>
      </c>
      <c r="N24">
        <v>24</v>
      </c>
      <c r="O24" t="s">
        <v>68</v>
      </c>
      <c r="P24">
        <v>1</v>
      </c>
      <c r="R24">
        <v>1555</v>
      </c>
      <c r="S24" s="17">
        <v>42152</v>
      </c>
      <c r="T24" s="17">
        <v>42152</v>
      </c>
      <c r="W24">
        <v>2015</v>
      </c>
      <c r="X24">
        <v>24</v>
      </c>
      <c r="AC24" t="s">
        <v>4707</v>
      </c>
      <c r="AD24" t="s">
        <v>301</v>
      </c>
      <c r="AE24" t="s">
        <v>5707</v>
      </c>
      <c r="AG24">
        <v>2</v>
      </c>
      <c r="AH24">
        <v>9</v>
      </c>
      <c r="AI24" t="s">
        <v>54</v>
      </c>
      <c r="AK24">
        <v>0</v>
      </c>
      <c r="AM24">
        <v>0</v>
      </c>
      <c r="AP24" t="s">
        <v>2544</v>
      </c>
    </row>
    <row r="25" spans="1:42" customFormat="1">
      <c r="A25">
        <v>271568</v>
      </c>
      <c r="B25" t="s">
        <v>5302</v>
      </c>
      <c r="C25" t="s">
        <v>5303</v>
      </c>
      <c r="D25" s="22">
        <v>0</v>
      </c>
      <c r="E25" s="17">
        <v>42153</v>
      </c>
      <c r="F25" s="18">
        <v>0.41998842592592589</v>
      </c>
      <c r="G25" s="22">
        <v>971.31</v>
      </c>
      <c r="H25">
        <v>0</v>
      </c>
      <c r="I25" s="19" t="e">
        <f>I24 + (D25-G25)</f>
        <v>#VALUE!</v>
      </c>
      <c r="M25">
        <v>121216</v>
      </c>
      <c r="N25">
        <v>24</v>
      </c>
      <c r="O25" t="s">
        <v>68</v>
      </c>
      <c r="P25">
        <v>1</v>
      </c>
      <c r="R25">
        <v>1555</v>
      </c>
      <c r="S25" s="17">
        <v>42157</v>
      </c>
      <c r="T25" s="17">
        <v>42157</v>
      </c>
      <c r="W25">
        <v>2015</v>
      </c>
      <c r="X25">
        <v>24</v>
      </c>
      <c r="AC25" t="s">
        <v>4707</v>
      </c>
      <c r="AD25" t="s">
        <v>301</v>
      </c>
      <c r="AE25" t="s">
        <v>5707</v>
      </c>
      <c r="AG25">
        <v>8</v>
      </c>
      <c r="AH25">
        <v>9</v>
      </c>
      <c r="AI25" t="s">
        <v>54</v>
      </c>
      <c r="AK25">
        <v>0</v>
      </c>
      <c r="AM25">
        <v>0</v>
      </c>
      <c r="AP25" t="s">
        <v>1201</v>
      </c>
    </row>
    <row r="26" spans="1:42" customFormat="1">
      <c r="A26">
        <v>269879</v>
      </c>
      <c r="B26" t="s">
        <v>2089</v>
      </c>
      <c r="C26" t="s">
        <v>2090</v>
      </c>
      <c r="D26" s="22">
        <v>0</v>
      </c>
      <c r="E26" s="17">
        <v>42132</v>
      </c>
      <c r="F26" s="18">
        <v>0.39842592592592596</v>
      </c>
      <c r="G26" s="22">
        <v>24509.82</v>
      </c>
      <c r="H26">
        <v>0</v>
      </c>
      <c r="I26" s="19" t="e">
        <f>I25 + (D26-G26)</f>
        <v>#VALUE!</v>
      </c>
      <c r="M26">
        <v>121394</v>
      </c>
      <c r="N26">
        <v>12</v>
      </c>
      <c r="O26" t="s">
        <v>214</v>
      </c>
      <c r="P26">
        <v>1</v>
      </c>
      <c r="R26">
        <v>1546</v>
      </c>
      <c r="S26" s="17">
        <v>42138</v>
      </c>
      <c r="T26" s="17">
        <v>42138</v>
      </c>
      <c r="W26">
        <v>2015</v>
      </c>
      <c r="X26">
        <v>12</v>
      </c>
      <c r="AC26" t="s">
        <v>151</v>
      </c>
      <c r="AD26" t="s">
        <v>301</v>
      </c>
      <c r="AE26" t="s">
        <v>5707</v>
      </c>
      <c r="AG26">
        <v>12</v>
      </c>
      <c r="AH26">
        <v>8</v>
      </c>
      <c r="AI26" t="s">
        <v>52</v>
      </c>
      <c r="AK26">
        <v>0</v>
      </c>
      <c r="AM26">
        <v>0</v>
      </c>
      <c r="AP26" t="s">
        <v>392</v>
      </c>
    </row>
    <row r="27" spans="1:42" customFormat="1">
      <c r="A27">
        <v>269972</v>
      </c>
      <c r="B27" t="s">
        <v>2578</v>
      </c>
      <c r="C27" t="s">
        <v>2579</v>
      </c>
      <c r="D27" s="22">
        <v>0</v>
      </c>
      <c r="E27" s="17">
        <v>42135</v>
      </c>
      <c r="F27" s="18">
        <v>0.5930671296296296</v>
      </c>
      <c r="G27" s="22">
        <v>4913.25</v>
      </c>
      <c r="H27">
        <v>0</v>
      </c>
      <c r="I27" s="19" t="e">
        <f>I26 + (D27-G27)</f>
        <v>#VALUE!</v>
      </c>
      <c r="M27">
        <v>123324</v>
      </c>
      <c r="N27">
        <v>24</v>
      </c>
      <c r="O27" t="s">
        <v>68</v>
      </c>
      <c r="P27">
        <v>1</v>
      </c>
      <c r="R27">
        <v>1546</v>
      </c>
      <c r="S27" s="17">
        <v>42139</v>
      </c>
      <c r="T27" s="17">
        <v>42139</v>
      </c>
      <c r="W27">
        <v>2015</v>
      </c>
      <c r="X27">
        <v>24</v>
      </c>
      <c r="AC27" t="s">
        <v>151</v>
      </c>
      <c r="AD27" t="s">
        <v>301</v>
      </c>
      <c r="AE27" t="s">
        <v>5707</v>
      </c>
      <c r="AG27">
        <v>12</v>
      </c>
      <c r="AH27">
        <v>2</v>
      </c>
      <c r="AI27" t="s">
        <v>50</v>
      </c>
      <c r="AK27">
        <v>0</v>
      </c>
      <c r="AM27">
        <v>0</v>
      </c>
      <c r="AP27" t="s">
        <v>392</v>
      </c>
    </row>
    <row r="28" spans="1:42" customFormat="1">
      <c r="A28">
        <v>269973</v>
      </c>
      <c r="B28" t="s">
        <v>2580</v>
      </c>
      <c r="C28" t="s">
        <v>2581</v>
      </c>
      <c r="D28" s="22">
        <v>0</v>
      </c>
      <c r="E28" s="17">
        <v>42135</v>
      </c>
      <c r="F28" s="18">
        <v>0.59325231481481489</v>
      </c>
      <c r="G28" s="22">
        <v>1946.36</v>
      </c>
      <c r="H28">
        <v>0</v>
      </c>
      <c r="I28" s="19" t="e">
        <f>I27 + (D28-G28)</f>
        <v>#VALUE!</v>
      </c>
      <c r="M28">
        <v>123327</v>
      </c>
      <c r="N28">
        <v>24</v>
      </c>
      <c r="O28" t="s">
        <v>68</v>
      </c>
      <c r="P28">
        <v>1</v>
      </c>
      <c r="R28">
        <v>1546</v>
      </c>
      <c r="S28" s="17">
        <v>42139</v>
      </c>
      <c r="T28" s="17">
        <v>42139</v>
      </c>
      <c r="W28">
        <v>2015</v>
      </c>
      <c r="X28">
        <v>24</v>
      </c>
      <c r="AC28" t="s">
        <v>151</v>
      </c>
      <c r="AD28" t="s">
        <v>301</v>
      </c>
      <c r="AE28" t="s">
        <v>5707</v>
      </c>
      <c r="AG28">
        <v>12</v>
      </c>
      <c r="AH28">
        <v>2</v>
      </c>
      <c r="AI28" t="s">
        <v>50</v>
      </c>
      <c r="AK28">
        <v>0</v>
      </c>
      <c r="AM28">
        <v>0</v>
      </c>
      <c r="AP28" t="s">
        <v>392</v>
      </c>
    </row>
    <row r="29" spans="1:42" customFormat="1">
      <c r="A29">
        <v>269974</v>
      </c>
      <c r="B29" t="s">
        <v>2582</v>
      </c>
      <c r="C29" t="s">
        <v>2583</v>
      </c>
      <c r="D29" s="22">
        <v>0</v>
      </c>
      <c r="E29" s="17">
        <v>42135</v>
      </c>
      <c r="F29" s="18">
        <v>0.59342592592592591</v>
      </c>
      <c r="G29" s="22">
        <v>4581.28</v>
      </c>
      <c r="H29">
        <v>0</v>
      </c>
      <c r="I29" s="19" t="e">
        <f>I28 + (D29-G29)</f>
        <v>#VALUE!</v>
      </c>
      <c r="M29">
        <v>123328</v>
      </c>
      <c r="N29">
        <v>24</v>
      </c>
      <c r="O29" t="s">
        <v>68</v>
      </c>
      <c r="P29">
        <v>1</v>
      </c>
      <c r="R29">
        <v>1546</v>
      </c>
      <c r="S29" s="17">
        <v>42139</v>
      </c>
      <c r="T29" s="17">
        <v>42139</v>
      </c>
      <c r="W29">
        <v>2015</v>
      </c>
      <c r="X29">
        <v>24</v>
      </c>
      <c r="AC29" t="s">
        <v>151</v>
      </c>
      <c r="AD29" t="s">
        <v>301</v>
      </c>
      <c r="AE29" t="s">
        <v>5707</v>
      </c>
      <c r="AG29">
        <v>12</v>
      </c>
      <c r="AH29">
        <v>2</v>
      </c>
      <c r="AI29" t="s">
        <v>50</v>
      </c>
      <c r="AK29">
        <v>0</v>
      </c>
      <c r="AM29">
        <v>0</v>
      </c>
      <c r="AP29" t="s">
        <v>392</v>
      </c>
    </row>
    <row r="30" spans="1:42" customFormat="1">
      <c r="A30">
        <v>269975</v>
      </c>
      <c r="B30" t="s">
        <v>2584</v>
      </c>
      <c r="C30" t="s">
        <v>2585</v>
      </c>
      <c r="D30" s="22">
        <v>0</v>
      </c>
      <c r="E30" s="17">
        <v>42135</v>
      </c>
      <c r="F30" s="18">
        <v>0.59361111111111109</v>
      </c>
      <c r="G30" s="22">
        <v>3725.34</v>
      </c>
      <c r="H30">
        <v>0</v>
      </c>
      <c r="I30" s="19" t="e">
        <f>I29 + (D30-G30)</f>
        <v>#VALUE!</v>
      </c>
      <c r="M30">
        <v>123350</v>
      </c>
      <c r="N30">
        <v>24</v>
      </c>
      <c r="O30" t="s">
        <v>68</v>
      </c>
      <c r="P30">
        <v>1</v>
      </c>
      <c r="R30">
        <v>1546</v>
      </c>
      <c r="S30" s="17">
        <v>42139</v>
      </c>
      <c r="T30" s="17">
        <v>42139</v>
      </c>
      <c r="W30">
        <v>2015</v>
      </c>
      <c r="X30">
        <v>24</v>
      </c>
      <c r="AC30" t="s">
        <v>151</v>
      </c>
      <c r="AD30" t="s">
        <v>301</v>
      </c>
      <c r="AE30" t="s">
        <v>5707</v>
      </c>
      <c r="AG30">
        <v>12</v>
      </c>
      <c r="AH30">
        <v>2</v>
      </c>
      <c r="AI30" t="s">
        <v>50</v>
      </c>
      <c r="AK30">
        <v>0</v>
      </c>
      <c r="AM30">
        <v>0</v>
      </c>
      <c r="AP30" t="s">
        <v>392</v>
      </c>
    </row>
    <row r="31" spans="1:42" customFormat="1">
      <c r="A31">
        <v>269976</v>
      </c>
      <c r="B31" t="s">
        <v>2586</v>
      </c>
      <c r="C31" t="s">
        <v>2587</v>
      </c>
      <c r="D31" s="22">
        <v>0</v>
      </c>
      <c r="E31" s="17">
        <v>42135</v>
      </c>
      <c r="F31" s="18">
        <v>0.59381944444444446</v>
      </c>
      <c r="G31" s="22">
        <v>1563.2</v>
      </c>
      <c r="H31">
        <v>0</v>
      </c>
      <c r="I31" s="19" t="e">
        <f>I30 + (D31-G31)</f>
        <v>#VALUE!</v>
      </c>
      <c r="M31">
        <v>123356</v>
      </c>
      <c r="N31">
        <v>24</v>
      </c>
      <c r="O31" t="s">
        <v>68</v>
      </c>
      <c r="P31">
        <v>1</v>
      </c>
      <c r="R31">
        <v>1546</v>
      </c>
      <c r="S31" s="17">
        <v>42139</v>
      </c>
      <c r="T31" s="17">
        <v>42139</v>
      </c>
      <c r="W31">
        <v>2015</v>
      </c>
      <c r="X31">
        <v>24</v>
      </c>
      <c r="AC31" t="s">
        <v>151</v>
      </c>
      <c r="AD31" t="s">
        <v>301</v>
      </c>
      <c r="AE31" t="s">
        <v>5707</v>
      </c>
      <c r="AG31">
        <v>12</v>
      </c>
      <c r="AH31">
        <v>2</v>
      </c>
      <c r="AI31" t="s">
        <v>50</v>
      </c>
      <c r="AK31">
        <v>0</v>
      </c>
      <c r="AM31">
        <v>0</v>
      </c>
      <c r="AP31" t="s">
        <v>392</v>
      </c>
    </row>
    <row r="32" spans="1:42" customFormat="1">
      <c r="A32">
        <v>269977</v>
      </c>
      <c r="B32" t="s">
        <v>2588</v>
      </c>
      <c r="C32" t="s">
        <v>2589</v>
      </c>
      <c r="D32" s="22">
        <v>0</v>
      </c>
      <c r="E32" s="17">
        <v>42135</v>
      </c>
      <c r="F32" s="18">
        <v>0.59400462962962963</v>
      </c>
      <c r="G32" s="22">
        <v>3578.92</v>
      </c>
      <c r="H32">
        <v>0</v>
      </c>
      <c r="I32" s="19" t="e">
        <f>I31 + (D32-G32)</f>
        <v>#VALUE!</v>
      </c>
      <c r="M32">
        <v>123368</v>
      </c>
      <c r="N32">
        <v>24</v>
      </c>
      <c r="O32" t="s">
        <v>68</v>
      </c>
      <c r="P32">
        <v>1</v>
      </c>
      <c r="R32">
        <v>1546</v>
      </c>
      <c r="S32" s="17">
        <v>42139</v>
      </c>
      <c r="T32" s="17">
        <v>42139</v>
      </c>
      <c r="W32">
        <v>2015</v>
      </c>
      <c r="X32">
        <v>24</v>
      </c>
      <c r="AC32" t="s">
        <v>151</v>
      </c>
      <c r="AD32" t="s">
        <v>301</v>
      </c>
      <c r="AE32" t="s">
        <v>5707</v>
      </c>
      <c r="AG32">
        <v>12</v>
      </c>
      <c r="AH32">
        <v>2</v>
      </c>
      <c r="AI32" t="s">
        <v>50</v>
      </c>
      <c r="AK32">
        <v>0</v>
      </c>
      <c r="AM32">
        <v>0</v>
      </c>
      <c r="AP32" t="s">
        <v>392</v>
      </c>
    </row>
    <row r="33" spans="1:42" customFormat="1">
      <c r="A33">
        <v>269978</v>
      </c>
      <c r="B33" t="s">
        <v>2590</v>
      </c>
      <c r="C33" t="s">
        <v>2591</v>
      </c>
      <c r="D33" s="22">
        <v>0</v>
      </c>
      <c r="E33" s="17">
        <v>42135</v>
      </c>
      <c r="F33" s="18">
        <v>0.59422453703703704</v>
      </c>
      <c r="G33" s="22">
        <v>5544.57</v>
      </c>
      <c r="H33">
        <v>0</v>
      </c>
      <c r="I33" s="19" t="e">
        <f>I32 + (D33-G33)</f>
        <v>#VALUE!</v>
      </c>
      <c r="M33">
        <v>123369</v>
      </c>
      <c r="N33">
        <v>24</v>
      </c>
      <c r="O33" t="s">
        <v>68</v>
      </c>
      <c r="P33">
        <v>1</v>
      </c>
      <c r="R33">
        <v>1546</v>
      </c>
      <c r="S33" s="17">
        <v>42139</v>
      </c>
      <c r="T33" s="17">
        <v>42139</v>
      </c>
      <c r="W33">
        <v>2015</v>
      </c>
      <c r="X33">
        <v>24</v>
      </c>
      <c r="AC33" t="s">
        <v>151</v>
      </c>
      <c r="AD33" t="s">
        <v>301</v>
      </c>
      <c r="AE33" t="s">
        <v>5707</v>
      </c>
      <c r="AG33">
        <v>12</v>
      </c>
      <c r="AH33">
        <v>2</v>
      </c>
      <c r="AI33" t="s">
        <v>50</v>
      </c>
      <c r="AK33">
        <v>0</v>
      </c>
      <c r="AM33">
        <v>0</v>
      </c>
      <c r="AP33" t="s">
        <v>392</v>
      </c>
    </row>
    <row r="34" spans="1:42" customFormat="1">
      <c r="A34">
        <v>269979</v>
      </c>
      <c r="B34" t="s">
        <v>2592</v>
      </c>
      <c r="C34" t="s">
        <v>2593</v>
      </c>
      <c r="D34" s="22">
        <v>0</v>
      </c>
      <c r="E34" s="17">
        <v>42135</v>
      </c>
      <c r="F34" s="18">
        <v>0.59454861111111112</v>
      </c>
      <c r="G34" s="22">
        <v>3908.05</v>
      </c>
      <c r="H34">
        <v>0</v>
      </c>
      <c r="I34" s="19" t="e">
        <f>I33 + (D34-G34)</f>
        <v>#VALUE!</v>
      </c>
      <c r="M34">
        <v>123391</v>
      </c>
      <c r="N34">
        <v>24</v>
      </c>
      <c r="O34" t="s">
        <v>68</v>
      </c>
      <c r="P34">
        <v>1</v>
      </c>
      <c r="R34">
        <v>1546</v>
      </c>
      <c r="S34" s="17">
        <v>42139</v>
      </c>
      <c r="T34" s="17">
        <v>42139</v>
      </c>
      <c r="W34">
        <v>2015</v>
      </c>
      <c r="X34">
        <v>24</v>
      </c>
      <c r="AC34" t="s">
        <v>151</v>
      </c>
      <c r="AD34" t="s">
        <v>301</v>
      </c>
      <c r="AE34" t="s">
        <v>5707</v>
      </c>
      <c r="AG34">
        <v>12</v>
      </c>
      <c r="AH34">
        <v>2</v>
      </c>
      <c r="AI34" t="s">
        <v>50</v>
      </c>
      <c r="AK34">
        <v>0</v>
      </c>
      <c r="AM34">
        <v>0</v>
      </c>
      <c r="AP34" t="s">
        <v>392</v>
      </c>
    </row>
    <row r="35" spans="1:42" customFormat="1">
      <c r="A35">
        <v>269980</v>
      </c>
      <c r="B35" t="s">
        <v>2594</v>
      </c>
      <c r="C35" t="s">
        <v>2595</v>
      </c>
      <c r="D35" s="22">
        <v>0</v>
      </c>
      <c r="E35" s="17">
        <v>42135</v>
      </c>
      <c r="F35" s="18">
        <v>0.5948148148148148</v>
      </c>
      <c r="G35" s="22">
        <v>2626.32</v>
      </c>
      <c r="H35">
        <v>0</v>
      </c>
      <c r="I35" s="19" t="e">
        <f>I34 + (D35-G35)</f>
        <v>#VALUE!</v>
      </c>
      <c r="M35">
        <v>123393</v>
      </c>
      <c r="N35">
        <v>24</v>
      </c>
      <c r="O35" t="s">
        <v>68</v>
      </c>
      <c r="P35">
        <v>1</v>
      </c>
      <c r="R35">
        <v>1546</v>
      </c>
      <c r="S35" s="17">
        <v>42139</v>
      </c>
      <c r="T35" s="17">
        <v>42139</v>
      </c>
      <c r="W35">
        <v>2015</v>
      </c>
      <c r="X35">
        <v>24</v>
      </c>
      <c r="AC35" t="s">
        <v>151</v>
      </c>
      <c r="AD35" t="s">
        <v>301</v>
      </c>
      <c r="AE35" t="s">
        <v>5707</v>
      </c>
      <c r="AG35">
        <v>12</v>
      </c>
      <c r="AH35">
        <v>2</v>
      </c>
      <c r="AI35" t="s">
        <v>50</v>
      </c>
      <c r="AK35">
        <v>0</v>
      </c>
      <c r="AM35">
        <v>0</v>
      </c>
      <c r="AP35" t="s">
        <v>392</v>
      </c>
    </row>
    <row r="36" spans="1:42" customFormat="1">
      <c r="A36">
        <v>269981</v>
      </c>
      <c r="B36" t="s">
        <v>2596</v>
      </c>
      <c r="C36" t="s">
        <v>2597</v>
      </c>
      <c r="D36" s="22">
        <v>0</v>
      </c>
      <c r="E36" s="17">
        <v>42135</v>
      </c>
      <c r="F36" s="18">
        <v>0.595636574074074</v>
      </c>
      <c r="G36" s="22">
        <v>864.55</v>
      </c>
      <c r="H36">
        <v>0</v>
      </c>
      <c r="I36" s="19" t="e">
        <f>I35 + (D36-G36)</f>
        <v>#VALUE!</v>
      </c>
      <c r="M36">
        <v>123322</v>
      </c>
      <c r="N36">
        <v>24</v>
      </c>
      <c r="O36" t="s">
        <v>68</v>
      </c>
      <c r="P36">
        <v>1</v>
      </c>
      <c r="R36">
        <v>1546</v>
      </c>
      <c r="S36" s="17">
        <v>42139</v>
      </c>
      <c r="T36" s="17">
        <v>42139</v>
      </c>
      <c r="W36">
        <v>2015</v>
      </c>
      <c r="X36">
        <v>24</v>
      </c>
      <c r="AC36" t="s">
        <v>151</v>
      </c>
      <c r="AD36" t="s">
        <v>301</v>
      </c>
      <c r="AE36" t="s">
        <v>5707</v>
      </c>
      <c r="AG36">
        <v>12</v>
      </c>
      <c r="AH36">
        <v>2</v>
      </c>
      <c r="AI36" t="s">
        <v>50</v>
      </c>
      <c r="AK36">
        <v>0</v>
      </c>
      <c r="AM36">
        <v>0</v>
      </c>
      <c r="AP36" t="s">
        <v>392</v>
      </c>
    </row>
    <row r="37" spans="1:42" customFormat="1">
      <c r="A37">
        <v>269982</v>
      </c>
      <c r="B37" t="s">
        <v>2598</v>
      </c>
      <c r="C37" t="s">
        <v>2599</v>
      </c>
      <c r="D37" s="22">
        <v>0</v>
      </c>
      <c r="E37" s="17">
        <v>42135</v>
      </c>
      <c r="F37" s="18">
        <v>0.5957986111111111</v>
      </c>
      <c r="G37" s="22">
        <v>4077.74</v>
      </c>
      <c r="H37">
        <v>0</v>
      </c>
      <c r="I37" s="19" t="e">
        <f>I36 + (D37-G37)</f>
        <v>#VALUE!</v>
      </c>
      <c r="M37">
        <v>123323</v>
      </c>
      <c r="N37">
        <v>24</v>
      </c>
      <c r="O37" t="s">
        <v>68</v>
      </c>
      <c r="P37">
        <v>1</v>
      </c>
      <c r="R37">
        <v>1546</v>
      </c>
      <c r="S37" s="17">
        <v>42139</v>
      </c>
      <c r="T37" s="17">
        <v>42139</v>
      </c>
      <c r="W37">
        <v>2015</v>
      </c>
      <c r="X37">
        <v>24</v>
      </c>
      <c r="AC37" t="s">
        <v>151</v>
      </c>
      <c r="AD37" t="s">
        <v>301</v>
      </c>
      <c r="AE37" t="s">
        <v>5707</v>
      </c>
      <c r="AG37">
        <v>12</v>
      </c>
      <c r="AH37">
        <v>2</v>
      </c>
      <c r="AI37" t="s">
        <v>50</v>
      </c>
      <c r="AK37">
        <v>0</v>
      </c>
      <c r="AM37">
        <v>0</v>
      </c>
      <c r="AP37" t="s">
        <v>392</v>
      </c>
    </row>
    <row r="38" spans="1:42" customFormat="1">
      <c r="A38">
        <v>269983</v>
      </c>
      <c r="B38" t="s">
        <v>2600</v>
      </c>
      <c r="C38" t="s">
        <v>2601</v>
      </c>
      <c r="D38" s="22">
        <v>0</v>
      </c>
      <c r="E38" s="17">
        <v>42135</v>
      </c>
      <c r="F38" s="18">
        <v>0.59597222222222224</v>
      </c>
      <c r="G38" s="22">
        <v>2811.9</v>
      </c>
      <c r="H38">
        <v>0</v>
      </c>
      <c r="I38" s="19" t="e">
        <f>I37 + (D38-G38)</f>
        <v>#VALUE!</v>
      </c>
      <c r="M38">
        <v>123325</v>
      </c>
      <c r="N38">
        <v>24</v>
      </c>
      <c r="O38" t="s">
        <v>68</v>
      </c>
      <c r="P38">
        <v>1</v>
      </c>
      <c r="R38">
        <v>1546</v>
      </c>
      <c r="S38" s="17">
        <v>42139</v>
      </c>
      <c r="T38" s="17">
        <v>42139</v>
      </c>
      <c r="W38">
        <v>2015</v>
      </c>
      <c r="X38">
        <v>24</v>
      </c>
      <c r="AC38" t="s">
        <v>151</v>
      </c>
      <c r="AD38" t="s">
        <v>301</v>
      </c>
      <c r="AE38" t="s">
        <v>5707</v>
      </c>
      <c r="AG38">
        <v>12</v>
      </c>
      <c r="AH38">
        <v>2</v>
      </c>
      <c r="AI38" t="s">
        <v>50</v>
      </c>
      <c r="AK38">
        <v>0</v>
      </c>
      <c r="AM38">
        <v>0</v>
      </c>
      <c r="AP38" t="s">
        <v>392</v>
      </c>
    </row>
    <row r="39" spans="1:42" customFormat="1">
      <c r="A39">
        <v>269984</v>
      </c>
      <c r="B39" t="s">
        <v>2602</v>
      </c>
      <c r="C39" t="s">
        <v>2603</v>
      </c>
      <c r="D39" s="22">
        <v>0</v>
      </c>
      <c r="E39" s="17">
        <v>42135</v>
      </c>
      <c r="F39" s="18">
        <v>0.59616898148148145</v>
      </c>
      <c r="G39" s="22">
        <v>1713.6</v>
      </c>
      <c r="H39">
        <v>0</v>
      </c>
      <c r="I39" s="19" t="e">
        <f>I38 + (D39-G39)</f>
        <v>#VALUE!</v>
      </c>
      <c r="M39">
        <v>123326</v>
      </c>
      <c r="N39">
        <v>24</v>
      </c>
      <c r="O39" t="s">
        <v>68</v>
      </c>
      <c r="P39">
        <v>1</v>
      </c>
      <c r="R39">
        <v>1546</v>
      </c>
      <c r="S39" s="17">
        <v>42139</v>
      </c>
      <c r="T39" s="17">
        <v>42139</v>
      </c>
      <c r="W39">
        <v>2015</v>
      </c>
      <c r="X39">
        <v>24</v>
      </c>
      <c r="AC39" t="s">
        <v>151</v>
      </c>
      <c r="AD39" t="s">
        <v>301</v>
      </c>
      <c r="AE39" t="s">
        <v>5707</v>
      </c>
      <c r="AG39">
        <v>12</v>
      </c>
      <c r="AH39">
        <v>2</v>
      </c>
      <c r="AI39" t="s">
        <v>50</v>
      </c>
      <c r="AK39">
        <v>0</v>
      </c>
      <c r="AM39">
        <v>0</v>
      </c>
      <c r="AP39" t="s">
        <v>392</v>
      </c>
    </row>
    <row r="40" spans="1:42" customFormat="1">
      <c r="A40">
        <v>269985</v>
      </c>
      <c r="B40" t="s">
        <v>2604</v>
      </c>
      <c r="C40" t="s">
        <v>2605</v>
      </c>
      <c r="D40" s="22">
        <v>0</v>
      </c>
      <c r="E40" s="17">
        <v>42135</v>
      </c>
      <c r="F40" s="18">
        <v>0.59633101851851855</v>
      </c>
      <c r="G40" s="22">
        <v>2251.0100000000002</v>
      </c>
      <c r="H40">
        <v>0</v>
      </c>
      <c r="I40" s="19" t="e">
        <f>I39 + (D40-G40)</f>
        <v>#VALUE!</v>
      </c>
      <c r="M40">
        <v>123329</v>
      </c>
      <c r="N40">
        <v>24</v>
      </c>
      <c r="O40" t="s">
        <v>68</v>
      </c>
      <c r="P40">
        <v>1</v>
      </c>
      <c r="R40">
        <v>1546</v>
      </c>
      <c r="S40" s="17">
        <v>42139</v>
      </c>
      <c r="T40" s="17">
        <v>42139</v>
      </c>
      <c r="W40">
        <v>2015</v>
      </c>
      <c r="X40">
        <v>24</v>
      </c>
      <c r="AC40" t="s">
        <v>151</v>
      </c>
      <c r="AD40" t="s">
        <v>301</v>
      </c>
      <c r="AE40" t="s">
        <v>5707</v>
      </c>
      <c r="AG40">
        <v>12</v>
      </c>
      <c r="AH40">
        <v>2</v>
      </c>
      <c r="AI40" t="s">
        <v>50</v>
      </c>
      <c r="AK40">
        <v>0</v>
      </c>
      <c r="AM40">
        <v>0</v>
      </c>
      <c r="AP40" t="s">
        <v>392</v>
      </c>
    </row>
    <row r="41" spans="1:42" customFormat="1">
      <c r="A41">
        <v>269986</v>
      </c>
      <c r="B41" t="s">
        <v>2606</v>
      </c>
      <c r="C41" t="s">
        <v>2607</v>
      </c>
      <c r="D41" s="22">
        <v>0</v>
      </c>
      <c r="E41" s="17">
        <v>42135</v>
      </c>
      <c r="F41" s="18">
        <v>0.59650462962962958</v>
      </c>
      <c r="G41" s="22">
        <v>12964.93</v>
      </c>
      <c r="H41">
        <v>0</v>
      </c>
      <c r="I41" s="19" t="e">
        <f>I40 + (D41-G41)</f>
        <v>#VALUE!</v>
      </c>
      <c r="M41">
        <v>123330</v>
      </c>
      <c r="N41">
        <v>24</v>
      </c>
      <c r="O41" t="s">
        <v>68</v>
      </c>
      <c r="P41">
        <v>1</v>
      </c>
      <c r="R41">
        <v>1546</v>
      </c>
      <c r="S41" s="17">
        <v>42139</v>
      </c>
      <c r="T41" s="17">
        <v>42139</v>
      </c>
      <c r="W41">
        <v>2015</v>
      </c>
      <c r="X41">
        <v>24</v>
      </c>
      <c r="AC41" t="s">
        <v>151</v>
      </c>
      <c r="AD41" t="s">
        <v>301</v>
      </c>
      <c r="AE41" t="s">
        <v>5707</v>
      </c>
      <c r="AG41">
        <v>12</v>
      </c>
      <c r="AH41">
        <v>2</v>
      </c>
      <c r="AI41" t="s">
        <v>50</v>
      </c>
      <c r="AK41">
        <v>0</v>
      </c>
      <c r="AM41">
        <v>0</v>
      </c>
      <c r="AP41" t="s">
        <v>392</v>
      </c>
    </row>
    <row r="42" spans="1:42" customFormat="1">
      <c r="A42">
        <v>269987</v>
      </c>
      <c r="B42" t="s">
        <v>2608</v>
      </c>
      <c r="C42" t="s">
        <v>2609</v>
      </c>
      <c r="D42" s="22">
        <v>0</v>
      </c>
      <c r="E42" s="17">
        <v>42135</v>
      </c>
      <c r="F42" s="18">
        <v>0.59666666666666668</v>
      </c>
      <c r="G42" s="22">
        <v>4838.1400000000003</v>
      </c>
      <c r="H42">
        <v>0</v>
      </c>
      <c r="I42" s="19" t="e">
        <f>I41 + (D42-G42)</f>
        <v>#VALUE!</v>
      </c>
      <c r="M42">
        <v>123331</v>
      </c>
      <c r="N42">
        <v>24</v>
      </c>
      <c r="O42" t="s">
        <v>68</v>
      </c>
      <c r="P42">
        <v>1</v>
      </c>
      <c r="R42">
        <v>1546</v>
      </c>
      <c r="S42" s="17">
        <v>42139</v>
      </c>
      <c r="T42" s="17">
        <v>42139</v>
      </c>
      <c r="W42">
        <v>2015</v>
      </c>
      <c r="X42">
        <v>24</v>
      </c>
      <c r="AC42" t="s">
        <v>151</v>
      </c>
      <c r="AD42" t="s">
        <v>301</v>
      </c>
      <c r="AE42" t="s">
        <v>5707</v>
      </c>
      <c r="AG42">
        <v>12</v>
      </c>
      <c r="AH42">
        <v>2</v>
      </c>
      <c r="AI42" t="s">
        <v>50</v>
      </c>
      <c r="AK42">
        <v>0</v>
      </c>
      <c r="AM42">
        <v>0</v>
      </c>
      <c r="AP42" t="s">
        <v>392</v>
      </c>
    </row>
    <row r="43" spans="1:42" customFormat="1">
      <c r="A43">
        <v>269988</v>
      </c>
      <c r="B43" t="s">
        <v>2610</v>
      </c>
      <c r="C43" t="s">
        <v>2611</v>
      </c>
      <c r="D43" s="22">
        <v>0</v>
      </c>
      <c r="E43" s="17">
        <v>42135</v>
      </c>
      <c r="F43" s="18">
        <v>0.59688657407407408</v>
      </c>
      <c r="G43" s="22">
        <v>3912.48</v>
      </c>
      <c r="H43">
        <v>0</v>
      </c>
      <c r="I43" s="19" t="e">
        <f>I42 + (D43-G43)</f>
        <v>#VALUE!</v>
      </c>
      <c r="M43">
        <v>123332</v>
      </c>
      <c r="N43">
        <v>24</v>
      </c>
      <c r="O43" t="s">
        <v>68</v>
      </c>
      <c r="P43">
        <v>1</v>
      </c>
      <c r="R43">
        <v>1546</v>
      </c>
      <c r="S43" s="17">
        <v>42139</v>
      </c>
      <c r="T43" s="17">
        <v>42139</v>
      </c>
      <c r="W43">
        <v>2015</v>
      </c>
      <c r="X43">
        <v>24</v>
      </c>
      <c r="AC43" t="s">
        <v>151</v>
      </c>
      <c r="AD43" t="s">
        <v>301</v>
      </c>
      <c r="AE43" t="s">
        <v>5707</v>
      </c>
      <c r="AG43">
        <v>12</v>
      </c>
      <c r="AH43">
        <v>2</v>
      </c>
      <c r="AI43" t="s">
        <v>50</v>
      </c>
      <c r="AK43">
        <v>0</v>
      </c>
      <c r="AM43">
        <v>0</v>
      </c>
      <c r="AP43" t="s">
        <v>392</v>
      </c>
    </row>
    <row r="44" spans="1:42" customFormat="1">
      <c r="A44">
        <v>269989</v>
      </c>
      <c r="B44" t="s">
        <v>2612</v>
      </c>
      <c r="C44" t="s">
        <v>2613</v>
      </c>
      <c r="D44" s="22">
        <v>0</v>
      </c>
      <c r="E44" s="17">
        <v>42135</v>
      </c>
      <c r="F44" s="18">
        <v>0.59709490740740734</v>
      </c>
      <c r="G44" s="22">
        <v>3461.32</v>
      </c>
      <c r="H44">
        <v>0</v>
      </c>
      <c r="I44" s="19" t="e">
        <f>I43 + (D44-G44)</f>
        <v>#VALUE!</v>
      </c>
      <c r="M44">
        <v>123333</v>
      </c>
      <c r="N44">
        <v>24</v>
      </c>
      <c r="O44" t="s">
        <v>68</v>
      </c>
      <c r="P44">
        <v>1</v>
      </c>
      <c r="R44">
        <v>1546</v>
      </c>
      <c r="S44" s="17">
        <v>42139</v>
      </c>
      <c r="T44" s="17">
        <v>42139</v>
      </c>
      <c r="W44">
        <v>2015</v>
      </c>
      <c r="X44">
        <v>24</v>
      </c>
      <c r="AC44" t="s">
        <v>151</v>
      </c>
      <c r="AD44" t="s">
        <v>301</v>
      </c>
      <c r="AE44" t="s">
        <v>5707</v>
      </c>
      <c r="AG44">
        <v>12</v>
      </c>
      <c r="AH44">
        <v>2</v>
      </c>
      <c r="AI44" t="s">
        <v>50</v>
      </c>
      <c r="AK44">
        <v>0</v>
      </c>
      <c r="AM44">
        <v>0</v>
      </c>
      <c r="AP44" t="s">
        <v>392</v>
      </c>
    </row>
    <row r="45" spans="1:42" customFormat="1">
      <c r="A45">
        <v>269990</v>
      </c>
      <c r="B45" t="s">
        <v>2614</v>
      </c>
      <c r="C45" t="s">
        <v>2615</v>
      </c>
      <c r="D45" s="22">
        <v>0</v>
      </c>
      <c r="E45" s="17">
        <v>42135</v>
      </c>
      <c r="F45" s="18">
        <v>0.59726851851851859</v>
      </c>
      <c r="G45" s="22">
        <v>790.19</v>
      </c>
      <c r="H45">
        <v>0</v>
      </c>
      <c r="I45" s="19" t="e">
        <f>I44 + (D45-G45)</f>
        <v>#VALUE!</v>
      </c>
      <c r="M45">
        <v>123335</v>
      </c>
      <c r="N45">
        <v>24</v>
      </c>
      <c r="O45" t="s">
        <v>68</v>
      </c>
      <c r="P45">
        <v>1</v>
      </c>
      <c r="R45">
        <v>1546</v>
      </c>
      <c r="S45" s="17">
        <v>42139</v>
      </c>
      <c r="T45" s="17">
        <v>42139</v>
      </c>
      <c r="W45">
        <v>2015</v>
      </c>
      <c r="X45">
        <v>24</v>
      </c>
      <c r="AC45" t="s">
        <v>151</v>
      </c>
      <c r="AD45" t="s">
        <v>301</v>
      </c>
      <c r="AE45" t="s">
        <v>5707</v>
      </c>
      <c r="AG45">
        <v>12</v>
      </c>
      <c r="AH45">
        <v>2</v>
      </c>
      <c r="AI45" t="s">
        <v>50</v>
      </c>
      <c r="AK45">
        <v>0</v>
      </c>
      <c r="AM45">
        <v>0</v>
      </c>
      <c r="AP45" t="s">
        <v>392</v>
      </c>
    </row>
    <row r="46" spans="1:42" customFormat="1">
      <c r="A46">
        <v>269991</v>
      </c>
      <c r="B46" t="s">
        <v>2616</v>
      </c>
      <c r="C46" t="s">
        <v>2617</v>
      </c>
      <c r="D46" s="22">
        <v>0</v>
      </c>
      <c r="E46" s="17">
        <v>42135</v>
      </c>
      <c r="F46" s="18">
        <v>0.59744212962962961</v>
      </c>
      <c r="G46" s="22">
        <v>2618.5500000000002</v>
      </c>
      <c r="H46">
        <v>0</v>
      </c>
      <c r="I46" s="19" t="e">
        <f>I45 + (D46-G46)</f>
        <v>#VALUE!</v>
      </c>
      <c r="M46">
        <v>123336</v>
      </c>
      <c r="N46">
        <v>24</v>
      </c>
      <c r="O46" t="s">
        <v>68</v>
      </c>
      <c r="P46">
        <v>1</v>
      </c>
      <c r="R46">
        <v>1546</v>
      </c>
      <c r="S46" s="17">
        <v>42139</v>
      </c>
      <c r="T46" s="17">
        <v>42139</v>
      </c>
      <c r="W46">
        <v>2015</v>
      </c>
      <c r="X46">
        <v>24</v>
      </c>
      <c r="AC46" t="s">
        <v>151</v>
      </c>
      <c r="AD46" t="s">
        <v>301</v>
      </c>
      <c r="AE46" t="s">
        <v>5707</v>
      </c>
      <c r="AG46">
        <v>12</v>
      </c>
      <c r="AH46">
        <v>2</v>
      </c>
      <c r="AI46" t="s">
        <v>50</v>
      </c>
      <c r="AK46">
        <v>0</v>
      </c>
      <c r="AM46">
        <v>0</v>
      </c>
      <c r="AP46" t="s">
        <v>392</v>
      </c>
    </row>
    <row r="47" spans="1:42" customFormat="1">
      <c r="A47">
        <v>269992</v>
      </c>
      <c r="B47" t="s">
        <v>2624</v>
      </c>
      <c r="C47" t="s">
        <v>2625</v>
      </c>
      <c r="D47" s="22">
        <v>0</v>
      </c>
      <c r="E47" s="17">
        <v>42135</v>
      </c>
      <c r="F47" s="18">
        <v>0.60252314814814811</v>
      </c>
      <c r="G47" s="22">
        <v>4242.05</v>
      </c>
      <c r="H47">
        <v>0</v>
      </c>
      <c r="I47" s="19" t="e">
        <f>I46 + (D47-G47)</f>
        <v>#VALUE!</v>
      </c>
      <c r="M47">
        <v>123337</v>
      </c>
      <c r="N47">
        <v>24</v>
      </c>
      <c r="O47" t="s">
        <v>68</v>
      </c>
      <c r="P47">
        <v>1</v>
      </c>
      <c r="R47">
        <v>1546</v>
      </c>
      <c r="S47" s="17">
        <v>42139</v>
      </c>
      <c r="T47" s="17">
        <v>42139</v>
      </c>
      <c r="W47">
        <v>2015</v>
      </c>
      <c r="X47">
        <v>24</v>
      </c>
      <c r="AC47" t="s">
        <v>151</v>
      </c>
      <c r="AD47" t="s">
        <v>301</v>
      </c>
      <c r="AE47" t="s">
        <v>5707</v>
      </c>
      <c r="AG47">
        <v>12</v>
      </c>
      <c r="AH47">
        <v>2</v>
      </c>
      <c r="AI47" t="s">
        <v>50</v>
      </c>
      <c r="AK47">
        <v>0</v>
      </c>
      <c r="AM47">
        <v>0</v>
      </c>
      <c r="AP47" t="s">
        <v>392</v>
      </c>
    </row>
    <row r="48" spans="1:42" customFormat="1">
      <c r="A48">
        <v>269993</v>
      </c>
      <c r="B48" t="s">
        <v>2626</v>
      </c>
      <c r="C48" t="s">
        <v>2627</v>
      </c>
      <c r="D48" s="22">
        <v>0</v>
      </c>
      <c r="E48" s="17">
        <v>42135</v>
      </c>
      <c r="F48" s="18">
        <v>0.60281249999999997</v>
      </c>
      <c r="G48" s="22">
        <v>3577.74</v>
      </c>
      <c r="H48">
        <v>0</v>
      </c>
      <c r="I48" s="19" t="e">
        <f>I47 + (D48-G48)</f>
        <v>#VALUE!</v>
      </c>
      <c r="M48">
        <v>123338</v>
      </c>
      <c r="N48">
        <v>24</v>
      </c>
      <c r="O48" t="s">
        <v>68</v>
      </c>
      <c r="P48">
        <v>1</v>
      </c>
      <c r="R48">
        <v>1546</v>
      </c>
      <c r="S48" s="17">
        <v>42139</v>
      </c>
      <c r="T48" s="17">
        <v>42139</v>
      </c>
      <c r="W48">
        <v>2015</v>
      </c>
      <c r="X48">
        <v>24</v>
      </c>
      <c r="AC48" t="s">
        <v>151</v>
      </c>
      <c r="AD48" t="s">
        <v>301</v>
      </c>
      <c r="AE48" t="s">
        <v>5707</v>
      </c>
      <c r="AG48">
        <v>12</v>
      </c>
      <c r="AH48">
        <v>2</v>
      </c>
      <c r="AI48" t="s">
        <v>50</v>
      </c>
      <c r="AK48">
        <v>0</v>
      </c>
      <c r="AM48">
        <v>0</v>
      </c>
      <c r="AP48" t="s">
        <v>392</v>
      </c>
    </row>
    <row r="49" spans="1:42" customFormat="1">
      <c r="A49">
        <v>269994</v>
      </c>
      <c r="B49" t="s">
        <v>2628</v>
      </c>
      <c r="C49" t="s">
        <v>2629</v>
      </c>
      <c r="D49" s="22">
        <v>0</v>
      </c>
      <c r="E49" s="17">
        <v>42135</v>
      </c>
      <c r="F49" s="18">
        <v>0.60310185185185183</v>
      </c>
      <c r="G49" s="22">
        <v>3292.84</v>
      </c>
      <c r="H49">
        <v>0</v>
      </c>
      <c r="I49" s="19" t="e">
        <f>I48 + (D49-G49)</f>
        <v>#VALUE!</v>
      </c>
      <c r="M49">
        <v>123351</v>
      </c>
      <c r="N49">
        <v>24</v>
      </c>
      <c r="O49" t="s">
        <v>68</v>
      </c>
      <c r="P49">
        <v>1</v>
      </c>
      <c r="R49">
        <v>1546</v>
      </c>
      <c r="S49" s="17">
        <v>42139</v>
      </c>
      <c r="T49" s="17">
        <v>42139</v>
      </c>
      <c r="W49">
        <v>2015</v>
      </c>
      <c r="X49">
        <v>24</v>
      </c>
      <c r="AC49" t="s">
        <v>151</v>
      </c>
      <c r="AD49" t="s">
        <v>301</v>
      </c>
      <c r="AE49" t="s">
        <v>5707</v>
      </c>
      <c r="AG49">
        <v>12</v>
      </c>
      <c r="AH49">
        <v>2</v>
      </c>
      <c r="AI49" t="s">
        <v>50</v>
      </c>
      <c r="AK49">
        <v>0</v>
      </c>
      <c r="AM49">
        <v>0</v>
      </c>
      <c r="AP49" t="s">
        <v>392</v>
      </c>
    </row>
    <row r="50" spans="1:42" customFormat="1">
      <c r="A50">
        <v>269995</v>
      </c>
      <c r="B50" t="s">
        <v>2630</v>
      </c>
      <c r="C50" t="s">
        <v>2631</v>
      </c>
      <c r="D50" s="22">
        <v>0</v>
      </c>
      <c r="E50" s="17">
        <v>42135</v>
      </c>
      <c r="F50" s="18">
        <v>0.60339120370370369</v>
      </c>
      <c r="G50" s="22">
        <v>3228.92</v>
      </c>
      <c r="H50">
        <v>0</v>
      </c>
      <c r="I50" s="19" t="e">
        <f>I49 + (D50-G50)</f>
        <v>#VALUE!</v>
      </c>
      <c r="M50">
        <v>123353</v>
      </c>
      <c r="N50">
        <v>24</v>
      </c>
      <c r="O50" t="s">
        <v>68</v>
      </c>
      <c r="P50">
        <v>1</v>
      </c>
      <c r="R50">
        <v>1546</v>
      </c>
      <c r="S50" s="17">
        <v>42139</v>
      </c>
      <c r="T50" s="17">
        <v>42139</v>
      </c>
      <c r="W50">
        <v>2015</v>
      </c>
      <c r="X50">
        <v>24</v>
      </c>
      <c r="AC50" t="s">
        <v>151</v>
      </c>
      <c r="AD50" t="s">
        <v>301</v>
      </c>
      <c r="AE50" t="s">
        <v>5707</v>
      </c>
      <c r="AG50">
        <v>12</v>
      </c>
      <c r="AH50">
        <v>2</v>
      </c>
      <c r="AI50" t="s">
        <v>50</v>
      </c>
      <c r="AK50">
        <v>0</v>
      </c>
      <c r="AM50">
        <v>0</v>
      </c>
      <c r="AP50" t="s">
        <v>392</v>
      </c>
    </row>
    <row r="51" spans="1:42" customFormat="1">
      <c r="A51">
        <v>269996</v>
      </c>
      <c r="B51" t="s">
        <v>2632</v>
      </c>
      <c r="C51" t="s">
        <v>2633</v>
      </c>
      <c r="D51" s="22">
        <v>0</v>
      </c>
      <c r="E51" s="17">
        <v>42135</v>
      </c>
      <c r="F51" s="18">
        <v>0.60709490740740735</v>
      </c>
      <c r="G51" s="22">
        <v>3011.9</v>
      </c>
      <c r="H51">
        <v>0</v>
      </c>
      <c r="I51" s="19" t="e">
        <f>I50 + (D51-G51)</f>
        <v>#VALUE!</v>
      </c>
      <c r="M51">
        <v>123358</v>
      </c>
      <c r="N51">
        <v>24</v>
      </c>
      <c r="O51" t="s">
        <v>68</v>
      </c>
      <c r="P51">
        <v>1</v>
      </c>
      <c r="R51">
        <v>1546</v>
      </c>
      <c r="S51" s="17">
        <v>42139</v>
      </c>
      <c r="T51" s="17">
        <v>42139</v>
      </c>
      <c r="W51">
        <v>2015</v>
      </c>
      <c r="X51">
        <v>24</v>
      </c>
      <c r="AC51" t="s">
        <v>151</v>
      </c>
      <c r="AD51" t="s">
        <v>301</v>
      </c>
      <c r="AE51" t="s">
        <v>5707</v>
      </c>
      <c r="AG51">
        <v>12</v>
      </c>
      <c r="AH51">
        <v>2</v>
      </c>
      <c r="AI51" t="s">
        <v>50</v>
      </c>
      <c r="AK51">
        <v>0</v>
      </c>
      <c r="AM51">
        <v>0</v>
      </c>
      <c r="AP51" t="s">
        <v>392</v>
      </c>
    </row>
    <row r="52" spans="1:42" customFormat="1">
      <c r="A52">
        <v>269997</v>
      </c>
      <c r="B52" t="s">
        <v>2634</v>
      </c>
      <c r="C52" t="s">
        <v>2635</v>
      </c>
      <c r="D52" s="22">
        <v>0</v>
      </c>
      <c r="E52" s="17">
        <v>42135</v>
      </c>
      <c r="F52" s="18">
        <v>0.60744212962962962</v>
      </c>
      <c r="G52" s="22">
        <v>3078.76</v>
      </c>
      <c r="H52">
        <v>0</v>
      </c>
      <c r="I52" s="19" t="e">
        <f>I51 + (D52-G52)</f>
        <v>#VALUE!</v>
      </c>
      <c r="M52">
        <v>123359</v>
      </c>
      <c r="N52">
        <v>24</v>
      </c>
      <c r="O52" t="s">
        <v>68</v>
      </c>
      <c r="P52">
        <v>1</v>
      </c>
      <c r="R52">
        <v>1546</v>
      </c>
      <c r="S52" s="17">
        <v>42139</v>
      </c>
      <c r="T52" s="17">
        <v>42139</v>
      </c>
      <c r="W52">
        <v>2015</v>
      </c>
      <c r="X52">
        <v>24</v>
      </c>
      <c r="AC52" t="s">
        <v>151</v>
      </c>
      <c r="AD52" t="s">
        <v>301</v>
      </c>
      <c r="AE52" t="s">
        <v>5707</v>
      </c>
      <c r="AG52">
        <v>12</v>
      </c>
      <c r="AH52">
        <v>2</v>
      </c>
      <c r="AI52" t="s">
        <v>50</v>
      </c>
      <c r="AK52">
        <v>0</v>
      </c>
      <c r="AM52">
        <v>0</v>
      </c>
      <c r="AP52" t="s">
        <v>392</v>
      </c>
    </row>
    <row r="53" spans="1:42" customFormat="1">
      <c r="A53">
        <v>269998</v>
      </c>
      <c r="B53" t="s">
        <v>2636</v>
      </c>
      <c r="C53" t="s">
        <v>2637</v>
      </c>
      <c r="D53" s="22">
        <v>0</v>
      </c>
      <c r="E53" s="17">
        <v>42135</v>
      </c>
      <c r="F53" s="18">
        <v>0.60760416666666661</v>
      </c>
      <c r="G53" s="22">
        <v>3556.09</v>
      </c>
      <c r="H53">
        <v>0</v>
      </c>
      <c r="I53" s="19" t="e">
        <f>I52 + (D53-G53)</f>
        <v>#VALUE!</v>
      </c>
      <c r="M53">
        <v>123362</v>
      </c>
      <c r="N53">
        <v>24</v>
      </c>
      <c r="O53" t="s">
        <v>68</v>
      </c>
      <c r="P53">
        <v>1</v>
      </c>
      <c r="R53">
        <v>1546</v>
      </c>
      <c r="S53" s="17">
        <v>42139</v>
      </c>
      <c r="T53" s="17">
        <v>42139</v>
      </c>
      <c r="W53">
        <v>2015</v>
      </c>
      <c r="X53">
        <v>24</v>
      </c>
      <c r="AC53" t="s">
        <v>151</v>
      </c>
      <c r="AD53" t="s">
        <v>301</v>
      </c>
      <c r="AE53" t="s">
        <v>5707</v>
      </c>
      <c r="AG53">
        <v>12</v>
      </c>
      <c r="AH53">
        <v>2</v>
      </c>
      <c r="AI53" t="s">
        <v>50</v>
      </c>
      <c r="AK53">
        <v>0</v>
      </c>
      <c r="AM53">
        <v>0</v>
      </c>
      <c r="AP53" t="s">
        <v>392</v>
      </c>
    </row>
    <row r="54" spans="1:42" customFormat="1">
      <c r="A54">
        <v>269999</v>
      </c>
      <c r="B54" t="s">
        <v>2638</v>
      </c>
      <c r="C54" t="s">
        <v>2639</v>
      </c>
      <c r="D54" s="22">
        <v>0</v>
      </c>
      <c r="E54" s="17">
        <v>42135</v>
      </c>
      <c r="F54" s="18">
        <v>0.60777777777777775</v>
      </c>
      <c r="G54" s="22">
        <v>1288.3499999999999</v>
      </c>
      <c r="H54">
        <v>0</v>
      </c>
      <c r="I54" s="19" t="e">
        <f>I53 + (D54-G54)</f>
        <v>#VALUE!</v>
      </c>
      <c r="M54">
        <v>123364</v>
      </c>
      <c r="N54">
        <v>24</v>
      </c>
      <c r="O54" t="s">
        <v>68</v>
      </c>
      <c r="P54">
        <v>1</v>
      </c>
      <c r="R54">
        <v>1546</v>
      </c>
      <c r="S54" s="17">
        <v>42139</v>
      </c>
      <c r="T54" s="17">
        <v>42139</v>
      </c>
      <c r="W54">
        <v>2015</v>
      </c>
      <c r="X54">
        <v>24</v>
      </c>
      <c r="AC54" t="s">
        <v>151</v>
      </c>
      <c r="AD54" t="s">
        <v>301</v>
      </c>
      <c r="AE54" t="s">
        <v>5707</v>
      </c>
      <c r="AG54">
        <v>12</v>
      </c>
      <c r="AH54">
        <v>2</v>
      </c>
      <c r="AI54" t="s">
        <v>50</v>
      </c>
      <c r="AK54">
        <v>0</v>
      </c>
      <c r="AM54">
        <v>0</v>
      </c>
      <c r="AP54" t="s">
        <v>392</v>
      </c>
    </row>
    <row r="55" spans="1:42" customFormat="1">
      <c r="A55">
        <v>270000</v>
      </c>
      <c r="B55" t="s">
        <v>2640</v>
      </c>
      <c r="C55" t="s">
        <v>2641</v>
      </c>
      <c r="D55" s="22">
        <v>0</v>
      </c>
      <c r="E55" s="17">
        <v>42135</v>
      </c>
      <c r="F55" s="18">
        <v>0.60792824074074081</v>
      </c>
      <c r="G55" s="22">
        <v>2626.32</v>
      </c>
      <c r="H55">
        <v>0</v>
      </c>
      <c r="I55" s="19" t="e">
        <f>I54 + (D55-G55)</f>
        <v>#VALUE!</v>
      </c>
      <c r="M55">
        <v>123365</v>
      </c>
      <c r="N55">
        <v>24</v>
      </c>
      <c r="O55" t="s">
        <v>68</v>
      </c>
      <c r="P55">
        <v>1</v>
      </c>
      <c r="R55">
        <v>1546</v>
      </c>
      <c r="S55" s="17">
        <v>42139</v>
      </c>
      <c r="T55" s="17">
        <v>42139</v>
      </c>
      <c r="W55">
        <v>2015</v>
      </c>
      <c r="X55">
        <v>24</v>
      </c>
      <c r="AC55" t="s">
        <v>151</v>
      </c>
      <c r="AD55" t="s">
        <v>301</v>
      </c>
      <c r="AE55" t="s">
        <v>5707</v>
      </c>
      <c r="AG55">
        <v>12</v>
      </c>
      <c r="AH55">
        <v>2</v>
      </c>
      <c r="AI55" t="s">
        <v>50</v>
      </c>
      <c r="AK55">
        <v>0</v>
      </c>
      <c r="AM55">
        <v>0</v>
      </c>
      <c r="AP55" t="s">
        <v>392</v>
      </c>
    </row>
    <row r="56" spans="1:42" customFormat="1">
      <c r="A56">
        <v>270001</v>
      </c>
      <c r="B56" t="s">
        <v>2642</v>
      </c>
      <c r="C56" t="s">
        <v>2643</v>
      </c>
      <c r="D56" s="22">
        <v>0</v>
      </c>
      <c r="E56" s="17">
        <v>42135</v>
      </c>
      <c r="F56" s="18">
        <v>0.60810185185185184</v>
      </c>
      <c r="G56" s="22">
        <v>4442.05</v>
      </c>
      <c r="H56">
        <v>0</v>
      </c>
      <c r="I56" s="19" t="e">
        <f>I55 + (D56-G56)</f>
        <v>#VALUE!</v>
      </c>
      <c r="M56">
        <v>123371</v>
      </c>
      <c r="N56">
        <v>24</v>
      </c>
      <c r="O56" t="s">
        <v>68</v>
      </c>
      <c r="P56">
        <v>1</v>
      </c>
      <c r="R56">
        <v>1546</v>
      </c>
      <c r="S56" s="17">
        <v>42139</v>
      </c>
      <c r="T56" s="17">
        <v>42139</v>
      </c>
      <c r="W56">
        <v>2015</v>
      </c>
      <c r="X56">
        <v>24</v>
      </c>
      <c r="AC56" t="s">
        <v>151</v>
      </c>
      <c r="AD56" t="s">
        <v>301</v>
      </c>
      <c r="AE56" t="s">
        <v>5707</v>
      </c>
      <c r="AG56">
        <v>12</v>
      </c>
      <c r="AH56">
        <v>2</v>
      </c>
      <c r="AI56" t="s">
        <v>50</v>
      </c>
      <c r="AK56">
        <v>0</v>
      </c>
      <c r="AM56">
        <v>0</v>
      </c>
      <c r="AP56" t="s">
        <v>392</v>
      </c>
    </row>
    <row r="57" spans="1:42" customFormat="1">
      <c r="A57">
        <v>270002</v>
      </c>
      <c r="B57" t="s">
        <v>2644</v>
      </c>
      <c r="C57" t="s">
        <v>2645</v>
      </c>
      <c r="D57" s="22">
        <v>0</v>
      </c>
      <c r="E57" s="17">
        <v>42135</v>
      </c>
      <c r="F57" s="18">
        <v>0.60824074074074075</v>
      </c>
      <c r="G57" s="22">
        <v>3640.6</v>
      </c>
      <c r="H57">
        <v>0</v>
      </c>
      <c r="I57" s="19" t="e">
        <f>I56 + (D57-G57)</f>
        <v>#VALUE!</v>
      </c>
      <c r="M57">
        <v>123375</v>
      </c>
      <c r="N57">
        <v>24</v>
      </c>
      <c r="O57" t="s">
        <v>68</v>
      </c>
      <c r="P57">
        <v>1</v>
      </c>
      <c r="R57">
        <v>1546</v>
      </c>
      <c r="S57" s="17">
        <v>42139</v>
      </c>
      <c r="T57" s="17">
        <v>42139</v>
      </c>
      <c r="W57">
        <v>2015</v>
      </c>
      <c r="X57">
        <v>24</v>
      </c>
      <c r="AC57" t="s">
        <v>151</v>
      </c>
      <c r="AD57" t="s">
        <v>301</v>
      </c>
      <c r="AE57" t="s">
        <v>5707</v>
      </c>
      <c r="AG57">
        <v>12</v>
      </c>
      <c r="AH57">
        <v>2</v>
      </c>
      <c r="AI57" t="s">
        <v>50</v>
      </c>
      <c r="AK57">
        <v>0</v>
      </c>
      <c r="AM57">
        <v>0</v>
      </c>
      <c r="AP57" t="s">
        <v>392</v>
      </c>
    </row>
    <row r="58" spans="1:42" customFormat="1">
      <c r="A58">
        <v>270003</v>
      </c>
      <c r="B58" t="s">
        <v>2646</v>
      </c>
      <c r="C58" t="s">
        <v>2647</v>
      </c>
      <c r="D58" s="22">
        <v>0</v>
      </c>
      <c r="E58" s="17">
        <v>42135</v>
      </c>
      <c r="F58" s="18">
        <v>0.6086111111111111</v>
      </c>
      <c r="G58" s="22">
        <v>2211.5</v>
      </c>
      <c r="H58">
        <v>0</v>
      </c>
      <c r="I58" s="19" t="e">
        <f>I57 + (D58-G58)</f>
        <v>#VALUE!</v>
      </c>
      <c r="M58">
        <v>123376</v>
      </c>
      <c r="N58">
        <v>24</v>
      </c>
      <c r="O58" t="s">
        <v>68</v>
      </c>
      <c r="P58">
        <v>1</v>
      </c>
      <c r="R58">
        <v>1546</v>
      </c>
      <c r="S58" s="17">
        <v>42139</v>
      </c>
      <c r="T58" s="17">
        <v>42139</v>
      </c>
      <c r="W58">
        <v>2015</v>
      </c>
      <c r="X58">
        <v>24</v>
      </c>
      <c r="AC58" t="s">
        <v>151</v>
      </c>
      <c r="AD58" t="s">
        <v>301</v>
      </c>
      <c r="AE58" t="s">
        <v>5707</v>
      </c>
      <c r="AG58">
        <v>12</v>
      </c>
      <c r="AH58">
        <v>2</v>
      </c>
      <c r="AI58" t="s">
        <v>50</v>
      </c>
      <c r="AK58">
        <v>0</v>
      </c>
      <c r="AM58">
        <v>0</v>
      </c>
      <c r="AP58" t="s">
        <v>392</v>
      </c>
    </row>
    <row r="59" spans="1:42" customFormat="1">
      <c r="A59">
        <v>270004</v>
      </c>
      <c r="B59" t="s">
        <v>2648</v>
      </c>
      <c r="C59" t="s">
        <v>2649</v>
      </c>
      <c r="D59" s="22">
        <v>0</v>
      </c>
      <c r="E59" s="17">
        <v>42135</v>
      </c>
      <c r="F59" s="18">
        <v>0.60877314814814809</v>
      </c>
      <c r="G59" s="22">
        <v>2701.01</v>
      </c>
      <c r="H59">
        <v>0</v>
      </c>
      <c r="I59" s="19" t="e">
        <f>I58 + (D59-G59)</f>
        <v>#VALUE!</v>
      </c>
      <c r="M59">
        <v>123379</v>
      </c>
      <c r="N59">
        <v>24</v>
      </c>
      <c r="O59" t="s">
        <v>68</v>
      </c>
      <c r="P59">
        <v>1</v>
      </c>
      <c r="R59">
        <v>1546</v>
      </c>
      <c r="S59" s="17">
        <v>42139</v>
      </c>
      <c r="T59" s="17">
        <v>42139</v>
      </c>
      <c r="W59">
        <v>2015</v>
      </c>
      <c r="X59">
        <v>24</v>
      </c>
      <c r="AC59" t="s">
        <v>151</v>
      </c>
      <c r="AD59" t="s">
        <v>301</v>
      </c>
      <c r="AE59" t="s">
        <v>5707</v>
      </c>
      <c r="AG59">
        <v>12</v>
      </c>
      <c r="AH59">
        <v>2</v>
      </c>
      <c r="AI59" t="s">
        <v>50</v>
      </c>
      <c r="AK59">
        <v>0</v>
      </c>
      <c r="AM59">
        <v>0</v>
      </c>
      <c r="AP59" t="s">
        <v>392</v>
      </c>
    </row>
    <row r="60" spans="1:42" customFormat="1">
      <c r="A60">
        <v>270005</v>
      </c>
      <c r="B60" t="s">
        <v>2650</v>
      </c>
      <c r="C60" t="s">
        <v>2651</v>
      </c>
      <c r="D60" s="22">
        <v>0</v>
      </c>
      <c r="E60" s="17">
        <v>42135</v>
      </c>
      <c r="F60" s="18">
        <v>0.60898148148148146</v>
      </c>
      <c r="G60" s="22">
        <v>2511.9</v>
      </c>
      <c r="H60">
        <v>0</v>
      </c>
      <c r="I60" s="19" t="e">
        <f>I59 + (D60-G60)</f>
        <v>#VALUE!</v>
      </c>
      <c r="M60">
        <v>123381</v>
      </c>
      <c r="N60">
        <v>24</v>
      </c>
      <c r="O60" t="s">
        <v>68</v>
      </c>
      <c r="P60">
        <v>1</v>
      </c>
      <c r="R60">
        <v>1546</v>
      </c>
      <c r="S60" s="17">
        <v>42139</v>
      </c>
      <c r="T60" s="17">
        <v>42139</v>
      </c>
      <c r="W60">
        <v>2015</v>
      </c>
      <c r="X60">
        <v>24</v>
      </c>
      <c r="AC60" t="s">
        <v>151</v>
      </c>
      <c r="AD60" t="s">
        <v>301</v>
      </c>
      <c r="AE60" t="s">
        <v>5707</v>
      </c>
      <c r="AG60">
        <v>12</v>
      </c>
      <c r="AH60">
        <v>2</v>
      </c>
      <c r="AI60" t="s">
        <v>50</v>
      </c>
      <c r="AK60">
        <v>0</v>
      </c>
      <c r="AM60">
        <v>0</v>
      </c>
      <c r="AP60" t="s">
        <v>392</v>
      </c>
    </row>
    <row r="61" spans="1:42" customFormat="1">
      <c r="A61">
        <v>270006</v>
      </c>
      <c r="B61" t="s">
        <v>2652</v>
      </c>
      <c r="C61" t="s">
        <v>2653</v>
      </c>
      <c r="D61" s="22">
        <v>0</v>
      </c>
      <c r="E61" s="17">
        <v>42135</v>
      </c>
      <c r="F61" s="18">
        <v>0.60913194444444441</v>
      </c>
      <c r="G61" s="22">
        <v>3192.84</v>
      </c>
      <c r="H61">
        <v>0</v>
      </c>
      <c r="I61" s="19" t="e">
        <f>I60 + (D61-G61)</f>
        <v>#VALUE!</v>
      </c>
      <c r="M61">
        <v>123383</v>
      </c>
      <c r="N61">
        <v>24</v>
      </c>
      <c r="O61" t="s">
        <v>68</v>
      </c>
      <c r="P61">
        <v>1</v>
      </c>
      <c r="R61">
        <v>1546</v>
      </c>
      <c r="S61" s="17">
        <v>42139</v>
      </c>
      <c r="T61" s="17">
        <v>42139</v>
      </c>
      <c r="W61">
        <v>2015</v>
      </c>
      <c r="X61">
        <v>24</v>
      </c>
      <c r="AC61" t="s">
        <v>151</v>
      </c>
      <c r="AD61" t="s">
        <v>301</v>
      </c>
      <c r="AE61" t="s">
        <v>5707</v>
      </c>
      <c r="AG61">
        <v>12</v>
      </c>
      <c r="AH61">
        <v>2</v>
      </c>
      <c r="AI61" t="s">
        <v>50</v>
      </c>
      <c r="AK61">
        <v>0</v>
      </c>
      <c r="AM61">
        <v>0</v>
      </c>
      <c r="AP61" t="s">
        <v>392</v>
      </c>
    </row>
    <row r="62" spans="1:42" customFormat="1">
      <c r="A62">
        <v>270007</v>
      </c>
      <c r="B62" t="s">
        <v>2654</v>
      </c>
      <c r="C62" t="s">
        <v>2655</v>
      </c>
      <c r="D62" s="22">
        <v>0</v>
      </c>
      <c r="E62" s="17">
        <v>42135</v>
      </c>
      <c r="F62" s="18">
        <v>0.609375</v>
      </c>
      <c r="G62" s="22">
        <v>2618.5500000000002</v>
      </c>
      <c r="H62">
        <v>0</v>
      </c>
      <c r="I62" s="19" t="e">
        <f>I61 + (D62-G62)</f>
        <v>#VALUE!</v>
      </c>
      <c r="M62">
        <v>123384</v>
      </c>
      <c r="N62">
        <v>24</v>
      </c>
      <c r="O62" t="s">
        <v>68</v>
      </c>
      <c r="P62">
        <v>1</v>
      </c>
      <c r="R62">
        <v>1546</v>
      </c>
      <c r="S62" s="17">
        <v>42139</v>
      </c>
      <c r="T62" s="17">
        <v>42139</v>
      </c>
      <c r="W62">
        <v>2015</v>
      </c>
      <c r="X62">
        <v>24</v>
      </c>
      <c r="AC62" t="s">
        <v>151</v>
      </c>
      <c r="AD62" t="s">
        <v>301</v>
      </c>
      <c r="AE62" t="s">
        <v>5707</v>
      </c>
      <c r="AG62">
        <v>12</v>
      </c>
      <c r="AH62">
        <v>2</v>
      </c>
      <c r="AI62" t="s">
        <v>50</v>
      </c>
      <c r="AK62">
        <v>0</v>
      </c>
      <c r="AM62">
        <v>0</v>
      </c>
      <c r="AP62" t="s">
        <v>392</v>
      </c>
    </row>
    <row r="63" spans="1:42" customFormat="1">
      <c r="A63">
        <v>270008</v>
      </c>
      <c r="B63" t="s">
        <v>2656</v>
      </c>
      <c r="C63" t="s">
        <v>2657</v>
      </c>
      <c r="D63" s="22">
        <v>0</v>
      </c>
      <c r="E63" s="17">
        <v>42135</v>
      </c>
      <c r="F63" s="18">
        <v>0.60954861111111114</v>
      </c>
      <c r="G63" s="22">
        <v>2815.79</v>
      </c>
      <c r="H63">
        <v>0</v>
      </c>
      <c r="I63" s="19" t="e">
        <f>I62 + (D63-G63)</f>
        <v>#VALUE!</v>
      </c>
      <c r="M63">
        <v>123385</v>
      </c>
      <c r="N63">
        <v>24</v>
      </c>
      <c r="O63" t="s">
        <v>68</v>
      </c>
      <c r="P63">
        <v>1</v>
      </c>
      <c r="R63">
        <v>1546</v>
      </c>
      <c r="S63" s="17">
        <v>42139</v>
      </c>
      <c r="T63" s="17">
        <v>42139</v>
      </c>
      <c r="W63">
        <v>2015</v>
      </c>
      <c r="X63">
        <v>24</v>
      </c>
      <c r="AC63" t="s">
        <v>151</v>
      </c>
      <c r="AD63" t="s">
        <v>301</v>
      </c>
      <c r="AE63" t="s">
        <v>5707</v>
      </c>
      <c r="AG63">
        <v>12</v>
      </c>
      <c r="AH63">
        <v>2</v>
      </c>
      <c r="AI63" t="s">
        <v>50</v>
      </c>
      <c r="AK63">
        <v>0</v>
      </c>
      <c r="AM63">
        <v>0</v>
      </c>
      <c r="AP63" t="s">
        <v>392</v>
      </c>
    </row>
    <row r="64" spans="1:42" customFormat="1">
      <c r="A64">
        <v>270009</v>
      </c>
      <c r="B64" t="s">
        <v>2658</v>
      </c>
      <c r="C64" t="s">
        <v>2659</v>
      </c>
      <c r="D64" s="22">
        <v>0</v>
      </c>
      <c r="E64" s="17">
        <v>42135</v>
      </c>
      <c r="F64" s="18">
        <v>0.60973379629629632</v>
      </c>
      <c r="G64" s="22">
        <v>1185.29</v>
      </c>
      <c r="H64">
        <v>0</v>
      </c>
      <c r="I64" s="19" t="e">
        <f>I63 + (D64-G64)</f>
        <v>#VALUE!</v>
      </c>
      <c r="M64">
        <v>123386</v>
      </c>
      <c r="N64">
        <v>24</v>
      </c>
      <c r="O64" t="s">
        <v>68</v>
      </c>
      <c r="P64">
        <v>1</v>
      </c>
      <c r="R64">
        <v>1546</v>
      </c>
      <c r="S64" s="17">
        <v>42139</v>
      </c>
      <c r="T64" s="17">
        <v>42139</v>
      </c>
      <c r="W64">
        <v>2015</v>
      </c>
      <c r="X64">
        <v>24</v>
      </c>
      <c r="AC64" t="s">
        <v>151</v>
      </c>
      <c r="AD64" t="s">
        <v>301</v>
      </c>
      <c r="AE64" t="s">
        <v>5707</v>
      </c>
      <c r="AG64">
        <v>12</v>
      </c>
      <c r="AH64">
        <v>2</v>
      </c>
      <c r="AI64" t="s">
        <v>50</v>
      </c>
      <c r="AK64">
        <v>0</v>
      </c>
      <c r="AM64">
        <v>0</v>
      </c>
      <c r="AP64" t="s">
        <v>392</v>
      </c>
    </row>
    <row r="65" spans="1:42" customFormat="1">
      <c r="A65">
        <v>270010</v>
      </c>
      <c r="B65" t="s">
        <v>2660</v>
      </c>
      <c r="C65" t="s">
        <v>2661</v>
      </c>
      <c r="D65" s="22">
        <v>0</v>
      </c>
      <c r="E65" s="17">
        <v>42135</v>
      </c>
      <c r="F65" s="18">
        <v>0.61071759259259262</v>
      </c>
      <c r="G65" s="22">
        <v>6734.99</v>
      </c>
      <c r="H65">
        <v>0</v>
      </c>
      <c r="I65" s="19" t="e">
        <f>I64 + (D65-G65)</f>
        <v>#VALUE!</v>
      </c>
      <c r="M65">
        <v>123387</v>
      </c>
      <c r="N65">
        <v>24</v>
      </c>
      <c r="O65" t="s">
        <v>68</v>
      </c>
      <c r="P65">
        <v>1</v>
      </c>
      <c r="R65">
        <v>1546</v>
      </c>
      <c r="S65" s="17">
        <v>42139</v>
      </c>
      <c r="T65" s="17">
        <v>42139</v>
      </c>
      <c r="W65">
        <v>2015</v>
      </c>
      <c r="X65">
        <v>24</v>
      </c>
      <c r="AC65" t="s">
        <v>151</v>
      </c>
      <c r="AD65" t="s">
        <v>301</v>
      </c>
      <c r="AE65" t="s">
        <v>5707</v>
      </c>
      <c r="AG65">
        <v>12</v>
      </c>
      <c r="AH65">
        <v>2</v>
      </c>
      <c r="AI65" t="s">
        <v>50</v>
      </c>
      <c r="AK65">
        <v>0</v>
      </c>
      <c r="AM65">
        <v>0</v>
      </c>
      <c r="AP65" t="s">
        <v>392</v>
      </c>
    </row>
    <row r="66" spans="1:42" customFormat="1">
      <c r="A66">
        <v>270011</v>
      </c>
      <c r="B66" t="s">
        <v>2662</v>
      </c>
      <c r="C66" t="s">
        <v>2663</v>
      </c>
      <c r="D66" s="22">
        <v>0</v>
      </c>
      <c r="E66" s="17">
        <v>42135</v>
      </c>
      <c r="F66" s="18">
        <v>0.61092592592592598</v>
      </c>
      <c r="G66" s="22">
        <v>4617.3900000000003</v>
      </c>
      <c r="H66">
        <v>0</v>
      </c>
      <c r="I66" s="19" t="e">
        <f>I65 + (D66-G66)</f>
        <v>#VALUE!</v>
      </c>
      <c r="M66">
        <v>123388</v>
      </c>
      <c r="N66">
        <v>24</v>
      </c>
      <c r="O66" t="s">
        <v>68</v>
      </c>
      <c r="P66">
        <v>1</v>
      </c>
      <c r="R66">
        <v>1546</v>
      </c>
      <c r="S66" s="17">
        <v>42139</v>
      </c>
      <c r="T66" s="17">
        <v>42139</v>
      </c>
      <c r="W66">
        <v>2015</v>
      </c>
      <c r="X66">
        <v>24</v>
      </c>
      <c r="AC66" t="s">
        <v>151</v>
      </c>
      <c r="AD66" t="s">
        <v>301</v>
      </c>
      <c r="AE66" t="s">
        <v>5707</v>
      </c>
      <c r="AG66">
        <v>12</v>
      </c>
      <c r="AH66">
        <v>2</v>
      </c>
      <c r="AI66" t="s">
        <v>50</v>
      </c>
      <c r="AK66">
        <v>0</v>
      </c>
      <c r="AM66">
        <v>0</v>
      </c>
      <c r="AP66" t="s">
        <v>392</v>
      </c>
    </row>
    <row r="67" spans="1:42" customFormat="1">
      <c r="A67">
        <v>270012</v>
      </c>
      <c r="B67" t="s">
        <v>2664</v>
      </c>
      <c r="C67" t="s">
        <v>2665</v>
      </c>
      <c r="D67" s="22">
        <v>0</v>
      </c>
      <c r="E67" s="17">
        <v>42135</v>
      </c>
      <c r="F67" s="18">
        <v>0.61108796296296297</v>
      </c>
      <c r="G67" s="22">
        <v>1185.29</v>
      </c>
      <c r="H67">
        <v>0</v>
      </c>
      <c r="I67" s="19" t="e">
        <f>I66 + (D67-G67)</f>
        <v>#VALUE!</v>
      </c>
      <c r="M67">
        <v>123392</v>
      </c>
      <c r="N67">
        <v>24</v>
      </c>
      <c r="O67" t="s">
        <v>68</v>
      </c>
      <c r="P67">
        <v>1</v>
      </c>
      <c r="R67">
        <v>1546</v>
      </c>
      <c r="S67" s="17">
        <v>42139</v>
      </c>
      <c r="T67" s="17">
        <v>42139</v>
      </c>
      <c r="W67">
        <v>2015</v>
      </c>
      <c r="X67">
        <v>24</v>
      </c>
      <c r="AC67" t="s">
        <v>151</v>
      </c>
      <c r="AD67" t="s">
        <v>301</v>
      </c>
      <c r="AE67" t="s">
        <v>5707</v>
      </c>
      <c r="AG67">
        <v>12</v>
      </c>
      <c r="AH67">
        <v>2</v>
      </c>
      <c r="AI67" t="s">
        <v>50</v>
      </c>
      <c r="AK67">
        <v>0</v>
      </c>
      <c r="AM67">
        <v>0</v>
      </c>
      <c r="AP67" t="s">
        <v>392</v>
      </c>
    </row>
    <row r="68" spans="1:42" customFormat="1">
      <c r="A68">
        <v>270013</v>
      </c>
      <c r="B68" t="s">
        <v>2666</v>
      </c>
      <c r="C68" t="s">
        <v>2667</v>
      </c>
      <c r="D68" s="22">
        <v>0</v>
      </c>
      <c r="E68" s="17">
        <v>42135</v>
      </c>
      <c r="F68" s="18">
        <v>0.61135416666666664</v>
      </c>
      <c r="G68" s="22">
        <v>2257.9299999999998</v>
      </c>
      <c r="H68">
        <v>0</v>
      </c>
      <c r="I68" s="19" t="e">
        <f>I67 + (D68-G68)</f>
        <v>#VALUE!</v>
      </c>
      <c r="M68">
        <v>123394</v>
      </c>
      <c r="N68">
        <v>24</v>
      </c>
      <c r="O68" t="s">
        <v>68</v>
      </c>
      <c r="P68">
        <v>1</v>
      </c>
      <c r="R68">
        <v>1546</v>
      </c>
      <c r="S68" s="17">
        <v>42139</v>
      </c>
      <c r="T68" s="17">
        <v>42139</v>
      </c>
      <c r="W68">
        <v>2015</v>
      </c>
      <c r="X68">
        <v>24</v>
      </c>
      <c r="AC68" t="s">
        <v>151</v>
      </c>
      <c r="AD68" t="s">
        <v>301</v>
      </c>
      <c r="AE68" t="s">
        <v>5707</v>
      </c>
      <c r="AG68">
        <v>12</v>
      </c>
      <c r="AH68">
        <v>2</v>
      </c>
      <c r="AI68" t="s">
        <v>50</v>
      </c>
      <c r="AK68">
        <v>0</v>
      </c>
      <c r="AM68">
        <v>0</v>
      </c>
      <c r="AP68" t="s">
        <v>392</v>
      </c>
    </row>
    <row r="69" spans="1:42" customFormat="1">
      <c r="A69">
        <v>270014</v>
      </c>
      <c r="B69" t="s">
        <v>2668</v>
      </c>
      <c r="C69" t="s">
        <v>2669</v>
      </c>
      <c r="D69" s="22">
        <v>0</v>
      </c>
      <c r="E69" s="17">
        <v>42135</v>
      </c>
      <c r="F69" s="18">
        <v>0.61151620370370374</v>
      </c>
      <c r="G69" s="22">
        <v>2811.9</v>
      </c>
      <c r="H69">
        <v>0</v>
      </c>
      <c r="I69" s="19" t="e">
        <f>I68 + (D69-G69)</f>
        <v>#VALUE!</v>
      </c>
      <c r="M69">
        <v>123395</v>
      </c>
      <c r="N69">
        <v>24</v>
      </c>
      <c r="O69" t="s">
        <v>68</v>
      </c>
      <c r="P69">
        <v>1</v>
      </c>
      <c r="R69">
        <v>1546</v>
      </c>
      <c r="S69" s="17">
        <v>42139</v>
      </c>
      <c r="T69" s="17">
        <v>42139</v>
      </c>
      <c r="W69">
        <v>2015</v>
      </c>
      <c r="X69">
        <v>24</v>
      </c>
      <c r="AC69" t="s">
        <v>151</v>
      </c>
      <c r="AD69" t="s">
        <v>301</v>
      </c>
      <c r="AE69" t="s">
        <v>5707</v>
      </c>
      <c r="AG69">
        <v>12</v>
      </c>
      <c r="AH69">
        <v>2</v>
      </c>
      <c r="AI69" t="s">
        <v>50</v>
      </c>
      <c r="AK69">
        <v>0</v>
      </c>
      <c r="AM69">
        <v>0</v>
      </c>
      <c r="AP69" t="s">
        <v>392</v>
      </c>
    </row>
    <row r="70" spans="1:42" customFormat="1">
      <c r="A70">
        <v>270015</v>
      </c>
      <c r="B70" t="s">
        <v>2670</v>
      </c>
      <c r="C70" t="s">
        <v>2671</v>
      </c>
      <c r="D70" s="22">
        <v>0</v>
      </c>
      <c r="E70" s="17">
        <v>42135</v>
      </c>
      <c r="F70" s="18">
        <v>0.61166666666666669</v>
      </c>
      <c r="G70" s="22">
        <v>3559.66</v>
      </c>
      <c r="H70">
        <v>0</v>
      </c>
      <c r="I70" s="19" t="e">
        <f>I69 + (D70-G70)</f>
        <v>#VALUE!</v>
      </c>
      <c r="M70">
        <v>123396</v>
      </c>
      <c r="N70">
        <v>24</v>
      </c>
      <c r="O70" t="s">
        <v>68</v>
      </c>
      <c r="P70">
        <v>1</v>
      </c>
      <c r="R70">
        <v>1546</v>
      </c>
      <c r="S70" s="17">
        <v>42139</v>
      </c>
      <c r="T70" s="17">
        <v>42139</v>
      </c>
      <c r="W70">
        <v>2015</v>
      </c>
      <c r="X70">
        <v>24</v>
      </c>
      <c r="AC70" t="s">
        <v>151</v>
      </c>
      <c r="AD70" t="s">
        <v>301</v>
      </c>
      <c r="AE70" t="s">
        <v>5707</v>
      </c>
      <c r="AG70">
        <v>12</v>
      </c>
      <c r="AH70">
        <v>2</v>
      </c>
      <c r="AI70" t="s">
        <v>50</v>
      </c>
      <c r="AK70">
        <v>0</v>
      </c>
      <c r="AM70">
        <v>0</v>
      </c>
      <c r="AP70" t="s">
        <v>392</v>
      </c>
    </row>
    <row r="71" spans="1:42" customFormat="1">
      <c r="A71">
        <v>270021</v>
      </c>
      <c r="B71" t="s">
        <v>2925</v>
      </c>
      <c r="C71" t="s">
        <v>2926</v>
      </c>
      <c r="D71" s="22">
        <v>0</v>
      </c>
      <c r="E71" s="17">
        <v>42136</v>
      </c>
      <c r="F71" s="18">
        <v>0.61668981481481489</v>
      </c>
      <c r="G71" s="22">
        <v>2424.13</v>
      </c>
      <c r="H71">
        <v>0</v>
      </c>
      <c r="I71" s="19" t="e">
        <f>I70 + (D71-G71)</f>
        <v>#VALUE!</v>
      </c>
      <c r="M71">
        <v>123354</v>
      </c>
      <c r="N71">
        <v>24</v>
      </c>
      <c r="O71" t="s">
        <v>68</v>
      </c>
      <c r="P71">
        <v>1</v>
      </c>
      <c r="R71">
        <v>1546</v>
      </c>
      <c r="S71" s="17">
        <v>42139</v>
      </c>
      <c r="T71" s="17">
        <v>42139</v>
      </c>
      <c r="W71">
        <v>2015</v>
      </c>
      <c r="X71">
        <v>24</v>
      </c>
      <c r="AC71" t="s">
        <v>151</v>
      </c>
      <c r="AD71" t="s">
        <v>301</v>
      </c>
      <c r="AE71" t="s">
        <v>5707</v>
      </c>
      <c r="AG71">
        <v>12</v>
      </c>
      <c r="AH71">
        <v>2</v>
      </c>
      <c r="AI71" t="s">
        <v>50</v>
      </c>
      <c r="AK71">
        <v>0</v>
      </c>
      <c r="AM71">
        <v>0</v>
      </c>
      <c r="AP71" t="s">
        <v>392</v>
      </c>
    </row>
    <row r="72" spans="1:42" customFormat="1">
      <c r="A72">
        <v>275685</v>
      </c>
      <c r="B72" t="s">
        <v>3467</v>
      </c>
      <c r="C72" t="s">
        <v>3468</v>
      </c>
      <c r="D72" s="22">
        <v>0</v>
      </c>
      <c r="E72" s="17">
        <v>42139</v>
      </c>
      <c r="F72" s="18">
        <v>0.63024305555555549</v>
      </c>
      <c r="G72" s="22">
        <v>6492</v>
      </c>
      <c r="H72">
        <v>0</v>
      </c>
      <c r="I72" s="19" t="e">
        <f>I71 + (D72-G72)</f>
        <v>#VALUE!</v>
      </c>
      <c r="M72">
        <v>126935</v>
      </c>
      <c r="N72">
        <v>12</v>
      </c>
      <c r="O72" t="s">
        <v>214</v>
      </c>
      <c r="P72">
        <v>1</v>
      </c>
      <c r="R72">
        <v>1546</v>
      </c>
      <c r="S72" s="17">
        <v>42187</v>
      </c>
      <c r="T72" s="17">
        <v>42187</v>
      </c>
      <c r="W72">
        <v>2015</v>
      </c>
      <c r="X72">
        <v>12</v>
      </c>
      <c r="AC72" t="s">
        <v>151</v>
      </c>
      <c r="AD72" t="s">
        <v>301</v>
      </c>
      <c r="AE72" t="s">
        <v>5707</v>
      </c>
      <c r="AG72">
        <v>8</v>
      </c>
      <c r="AH72">
        <v>8</v>
      </c>
      <c r="AI72" t="s">
        <v>52</v>
      </c>
      <c r="AK72">
        <v>0</v>
      </c>
      <c r="AM72">
        <v>0</v>
      </c>
      <c r="AP72" t="s">
        <v>1201</v>
      </c>
    </row>
    <row r="73" spans="1:42" customFormat="1">
      <c r="A73">
        <v>276038</v>
      </c>
      <c r="B73" t="s">
        <v>3785</v>
      </c>
      <c r="C73" t="s">
        <v>3786</v>
      </c>
      <c r="D73" s="22">
        <v>0</v>
      </c>
      <c r="E73" s="17">
        <v>42143</v>
      </c>
      <c r="F73" s="18">
        <v>0.6189930555555555</v>
      </c>
      <c r="G73" s="22">
        <v>18388.98</v>
      </c>
      <c r="H73">
        <v>0</v>
      </c>
      <c r="I73" s="19" t="e">
        <f>I72 + (D73-G73)</f>
        <v>#VALUE!</v>
      </c>
      <c r="M73">
        <v>128606</v>
      </c>
      <c r="N73">
        <v>12</v>
      </c>
      <c r="O73" t="s">
        <v>214</v>
      </c>
      <c r="P73">
        <v>1</v>
      </c>
      <c r="R73">
        <v>1546</v>
      </c>
      <c r="S73" s="17">
        <v>42188</v>
      </c>
      <c r="T73" s="17">
        <v>42188</v>
      </c>
      <c r="W73">
        <v>2015</v>
      </c>
      <c r="X73">
        <v>12</v>
      </c>
      <c r="AC73" t="s">
        <v>151</v>
      </c>
      <c r="AD73" t="s">
        <v>301</v>
      </c>
      <c r="AE73" t="s">
        <v>5707</v>
      </c>
      <c r="AG73">
        <v>56</v>
      </c>
      <c r="AH73">
        <v>1</v>
      </c>
      <c r="AI73" t="s">
        <v>58</v>
      </c>
      <c r="AK73">
        <v>0</v>
      </c>
      <c r="AM73">
        <v>0</v>
      </c>
      <c r="AP73" t="s">
        <v>59</v>
      </c>
    </row>
    <row r="74" spans="1:42" customFormat="1">
      <c r="A74">
        <v>271015</v>
      </c>
      <c r="B74" t="s">
        <v>3987</v>
      </c>
      <c r="C74" t="s">
        <v>3988</v>
      </c>
      <c r="D74" s="22">
        <v>0</v>
      </c>
      <c r="E74" s="17">
        <v>42145</v>
      </c>
      <c r="F74" s="18">
        <v>0.42045138888888894</v>
      </c>
      <c r="G74" s="22">
        <v>439.3</v>
      </c>
      <c r="H74">
        <v>0</v>
      </c>
      <c r="I74" s="19" t="e">
        <f>I73 + (D74-G74)</f>
        <v>#VALUE!</v>
      </c>
      <c r="M74">
        <v>123999</v>
      </c>
      <c r="N74">
        <v>7</v>
      </c>
      <c r="O74" t="s">
        <v>44</v>
      </c>
      <c r="P74">
        <v>2</v>
      </c>
      <c r="R74">
        <v>1546</v>
      </c>
      <c r="S74" s="17">
        <v>42150</v>
      </c>
      <c r="T74" s="17">
        <v>42150</v>
      </c>
      <c r="W74">
        <v>2015</v>
      </c>
      <c r="X74">
        <v>7</v>
      </c>
      <c r="AC74" t="s">
        <v>151</v>
      </c>
      <c r="AD74" t="s">
        <v>301</v>
      </c>
      <c r="AE74" t="s">
        <v>5707</v>
      </c>
      <c r="AG74">
        <v>2</v>
      </c>
      <c r="AH74">
        <v>9</v>
      </c>
      <c r="AI74" t="s">
        <v>54</v>
      </c>
      <c r="AK74">
        <v>0</v>
      </c>
      <c r="AM74">
        <v>0</v>
      </c>
      <c r="AP74" t="s">
        <v>2544</v>
      </c>
    </row>
    <row r="75" spans="1:42" customFormat="1">
      <c r="A75">
        <v>271406</v>
      </c>
      <c r="B75" t="s">
        <v>4721</v>
      </c>
      <c r="C75" t="s">
        <v>4722</v>
      </c>
      <c r="D75" s="22">
        <v>0</v>
      </c>
      <c r="E75" s="17">
        <v>42150</v>
      </c>
      <c r="F75" s="18">
        <v>0.38351851851851854</v>
      </c>
      <c r="G75" s="22">
        <v>636.4</v>
      </c>
      <c r="H75">
        <v>0</v>
      </c>
      <c r="I75" s="19" t="e">
        <f>I74 + (D75-G75)</f>
        <v>#VALUE!</v>
      </c>
      <c r="M75">
        <v>119194</v>
      </c>
      <c r="N75">
        <v>24</v>
      </c>
      <c r="O75" t="s">
        <v>68</v>
      </c>
      <c r="P75">
        <v>1</v>
      </c>
      <c r="R75">
        <v>1568</v>
      </c>
      <c r="S75" s="17">
        <v>42152</v>
      </c>
      <c r="T75" s="17">
        <v>42152</v>
      </c>
      <c r="W75">
        <v>2015</v>
      </c>
      <c r="X75">
        <v>24</v>
      </c>
      <c r="AC75" t="s">
        <v>286</v>
      </c>
      <c r="AD75" t="s">
        <v>301</v>
      </c>
      <c r="AE75" t="s">
        <v>5707</v>
      </c>
      <c r="AG75">
        <v>8</v>
      </c>
      <c r="AH75">
        <v>9</v>
      </c>
      <c r="AI75" t="s">
        <v>54</v>
      </c>
      <c r="AK75">
        <v>0</v>
      </c>
      <c r="AM75">
        <v>0</v>
      </c>
      <c r="AP75" t="s">
        <v>1201</v>
      </c>
    </row>
    <row r="76" spans="1:42" customFormat="1">
      <c r="A76">
        <v>271420</v>
      </c>
      <c r="B76" t="s">
        <v>4733</v>
      </c>
      <c r="C76" t="s">
        <v>4734</v>
      </c>
      <c r="D76" s="22">
        <v>0</v>
      </c>
      <c r="E76" s="17">
        <v>42150</v>
      </c>
      <c r="F76" s="18">
        <v>0.39814814814814814</v>
      </c>
      <c r="G76" s="22">
        <v>306.63</v>
      </c>
      <c r="H76">
        <v>0</v>
      </c>
      <c r="I76" s="19" t="e">
        <f>I75 + (D76-G76)</f>
        <v>#VALUE!</v>
      </c>
      <c r="M76">
        <v>122925</v>
      </c>
      <c r="N76">
        <v>24</v>
      </c>
      <c r="O76" t="s">
        <v>68</v>
      </c>
      <c r="P76">
        <v>1</v>
      </c>
      <c r="R76">
        <v>1544</v>
      </c>
      <c r="S76" s="17">
        <v>42152</v>
      </c>
      <c r="T76" s="17">
        <v>42152</v>
      </c>
      <c r="W76">
        <v>2015</v>
      </c>
      <c r="X76">
        <v>24</v>
      </c>
      <c r="AC76" t="s">
        <v>86</v>
      </c>
      <c r="AD76" t="s">
        <v>301</v>
      </c>
      <c r="AE76" t="s">
        <v>5707</v>
      </c>
      <c r="AG76">
        <v>8</v>
      </c>
      <c r="AH76">
        <v>9</v>
      </c>
      <c r="AI76" t="s">
        <v>54</v>
      </c>
      <c r="AK76">
        <v>0</v>
      </c>
      <c r="AM76">
        <v>0</v>
      </c>
      <c r="AP76" t="s">
        <v>1201</v>
      </c>
    </row>
    <row r="77" spans="1:42" customFormat="1">
      <c r="A77">
        <v>267685</v>
      </c>
      <c r="B77" t="s">
        <v>1255</v>
      </c>
      <c r="C77" t="s">
        <v>1256</v>
      </c>
      <c r="D77" s="22">
        <v>0</v>
      </c>
      <c r="E77" s="17">
        <v>42128</v>
      </c>
      <c r="F77" s="18">
        <v>0.75584490740740751</v>
      </c>
      <c r="G77" s="22">
        <v>770</v>
      </c>
      <c r="H77">
        <v>0</v>
      </c>
      <c r="I77" s="19" t="e">
        <f>I76 + (D77-G77)</f>
        <v>#VALUE!</v>
      </c>
      <c r="M77">
        <v>119189</v>
      </c>
      <c r="N77">
        <v>24</v>
      </c>
      <c r="O77" t="s">
        <v>68</v>
      </c>
      <c r="P77">
        <v>1</v>
      </c>
      <c r="R77">
        <v>1553</v>
      </c>
      <c r="S77" s="17">
        <v>42129</v>
      </c>
      <c r="T77" s="17">
        <v>42129</v>
      </c>
      <c r="W77">
        <v>2015</v>
      </c>
      <c r="X77">
        <v>24</v>
      </c>
      <c r="AC77" t="s">
        <v>288</v>
      </c>
      <c r="AD77" t="s">
        <v>301</v>
      </c>
      <c r="AE77" t="s">
        <v>5707</v>
      </c>
      <c r="AG77">
        <v>26</v>
      </c>
      <c r="AH77">
        <v>9</v>
      </c>
      <c r="AI77" t="s">
        <v>54</v>
      </c>
      <c r="AK77">
        <v>0</v>
      </c>
      <c r="AM77">
        <v>0</v>
      </c>
      <c r="AP77" t="s">
        <v>501</v>
      </c>
    </row>
    <row r="78" spans="1:42" customFormat="1">
      <c r="A78">
        <v>271523</v>
      </c>
      <c r="B78" t="s">
        <v>5175</v>
      </c>
      <c r="C78" t="s">
        <v>5176</v>
      </c>
      <c r="D78" s="22">
        <v>0</v>
      </c>
      <c r="E78" s="17">
        <v>42152</v>
      </c>
      <c r="F78" s="18">
        <v>0.72001157407407401</v>
      </c>
      <c r="G78" s="22">
        <v>770</v>
      </c>
      <c r="H78">
        <v>0</v>
      </c>
      <c r="I78" s="19" t="e">
        <f>I77 + (D78-G78)</f>
        <v>#VALUE!</v>
      </c>
      <c r="M78">
        <v>119190</v>
      </c>
      <c r="N78">
        <v>24</v>
      </c>
      <c r="O78" t="s">
        <v>68</v>
      </c>
      <c r="P78">
        <v>1</v>
      </c>
      <c r="R78">
        <v>1553</v>
      </c>
      <c r="S78" s="17">
        <v>42156</v>
      </c>
      <c r="T78" s="17">
        <v>42156</v>
      </c>
      <c r="W78">
        <v>2015</v>
      </c>
      <c r="X78">
        <v>24</v>
      </c>
      <c r="AC78" t="s">
        <v>288</v>
      </c>
      <c r="AD78" t="s">
        <v>301</v>
      </c>
      <c r="AE78" t="s">
        <v>5707</v>
      </c>
      <c r="AG78">
        <v>4</v>
      </c>
      <c r="AH78">
        <v>9</v>
      </c>
      <c r="AI78" t="s">
        <v>54</v>
      </c>
      <c r="AK78">
        <v>0</v>
      </c>
      <c r="AM78">
        <v>0</v>
      </c>
      <c r="AP78" t="s">
        <v>389</v>
      </c>
    </row>
    <row r="79" spans="1:42" customFormat="1">
      <c r="A79">
        <v>270904</v>
      </c>
      <c r="B79" t="s">
        <v>3813</v>
      </c>
      <c r="C79" t="s">
        <v>3814</v>
      </c>
      <c r="D79" s="22">
        <v>0</v>
      </c>
      <c r="E79" s="17">
        <v>42143</v>
      </c>
      <c r="F79" s="18">
        <v>0.70325231481481476</v>
      </c>
      <c r="G79" s="22">
        <v>321.54000000000002</v>
      </c>
      <c r="H79">
        <v>0</v>
      </c>
      <c r="I79" s="19" t="e">
        <f>I78 + (D79-G79)</f>
        <v>#VALUE!</v>
      </c>
      <c r="M79">
        <v>123952</v>
      </c>
      <c r="N79">
        <v>24</v>
      </c>
      <c r="O79" t="s">
        <v>68</v>
      </c>
      <c r="P79">
        <v>1</v>
      </c>
      <c r="R79">
        <v>1550</v>
      </c>
      <c r="S79" s="17">
        <v>42146</v>
      </c>
      <c r="T79" s="17">
        <v>42146</v>
      </c>
      <c r="W79">
        <v>2015</v>
      </c>
      <c r="X79">
        <v>24</v>
      </c>
      <c r="AC79" t="s">
        <v>270</v>
      </c>
      <c r="AD79" t="s">
        <v>301</v>
      </c>
      <c r="AE79" t="s">
        <v>5707</v>
      </c>
      <c r="AG79">
        <v>4</v>
      </c>
      <c r="AH79">
        <v>9</v>
      </c>
      <c r="AI79" t="s">
        <v>54</v>
      </c>
      <c r="AK79">
        <v>0</v>
      </c>
      <c r="AM79">
        <v>0</v>
      </c>
      <c r="AP79" t="s">
        <v>389</v>
      </c>
    </row>
    <row r="80" spans="1:42" customFormat="1">
      <c r="A80">
        <v>271643</v>
      </c>
      <c r="B80" t="s">
        <v>5111</v>
      </c>
      <c r="C80" t="s">
        <v>5112</v>
      </c>
      <c r="D80" s="22">
        <v>0</v>
      </c>
      <c r="E80" s="17">
        <v>42152</v>
      </c>
      <c r="F80" s="18">
        <v>0.46973379629629625</v>
      </c>
      <c r="G80" s="22">
        <v>13.71</v>
      </c>
      <c r="H80">
        <v>0</v>
      </c>
      <c r="I80" s="19" t="e">
        <f>I79 + (D80-G80)</f>
        <v>#VALUE!</v>
      </c>
      <c r="M80">
        <v>124433</v>
      </c>
      <c r="N80">
        <v>24</v>
      </c>
      <c r="O80" t="s">
        <v>68</v>
      </c>
      <c r="P80">
        <v>1</v>
      </c>
      <c r="R80">
        <v>1550</v>
      </c>
      <c r="S80" s="17">
        <v>42157</v>
      </c>
      <c r="T80" s="17">
        <v>42157</v>
      </c>
      <c r="W80">
        <v>2015</v>
      </c>
      <c r="X80">
        <v>24</v>
      </c>
      <c r="AC80" t="s">
        <v>270</v>
      </c>
      <c r="AD80" t="s">
        <v>301</v>
      </c>
      <c r="AE80" t="s">
        <v>5707</v>
      </c>
      <c r="AG80">
        <v>56</v>
      </c>
      <c r="AH80">
        <v>1</v>
      </c>
      <c r="AI80" t="s">
        <v>58</v>
      </c>
      <c r="AK80">
        <v>0</v>
      </c>
      <c r="AM80">
        <v>0</v>
      </c>
      <c r="AP80" t="s">
        <v>59</v>
      </c>
    </row>
    <row r="81" spans="1:42" customFormat="1">
      <c r="A81">
        <v>269745</v>
      </c>
      <c r="B81" t="s">
        <v>2501</v>
      </c>
      <c r="C81" t="s">
        <v>2502</v>
      </c>
      <c r="D81" s="22">
        <v>0</v>
      </c>
      <c r="E81" s="17">
        <v>42135</v>
      </c>
      <c r="F81" s="18">
        <v>0.43957175925925923</v>
      </c>
      <c r="G81" s="22">
        <v>4228.6899999999996</v>
      </c>
      <c r="H81">
        <v>0</v>
      </c>
      <c r="I81" s="19" t="e">
        <f>I80 + (D81-G81)</f>
        <v>#VALUE!</v>
      </c>
      <c r="M81">
        <v>123246</v>
      </c>
      <c r="N81">
        <v>24</v>
      </c>
      <c r="O81" t="s">
        <v>68</v>
      </c>
      <c r="P81">
        <v>1</v>
      </c>
      <c r="R81">
        <v>990</v>
      </c>
      <c r="S81" s="17">
        <v>42137</v>
      </c>
      <c r="T81" s="17">
        <v>42137</v>
      </c>
      <c r="W81">
        <v>2015</v>
      </c>
      <c r="X81">
        <v>24</v>
      </c>
      <c r="AC81" t="s">
        <v>2503</v>
      </c>
      <c r="AD81" t="s">
        <v>301</v>
      </c>
      <c r="AE81" t="s">
        <v>5708</v>
      </c>
      <c r="AG81">
        <v>96</v>
      </c>
      <c r="AH81">
        <v>8</v>
      </c>
      <c r="AI81" t="s">
        <v>52</v>
      </c>
      <c r="AK81">
        <v>0</v>
      </c>
      <c r="AM81">
        <v>0</v>
      </c>
      <c r="AP81" t="s">
        <v>1703</v>
      </c>
    </row>
    <row r="82" spans="1:42" customFormat="1">
      <c r="A82">
        <v>268683</v>
      </c>
      <c r="B82" t="s">
        <v>1293</v>
      </c>
      <c r="C82" t="s">
        <v>1294</v>
      </c>
      <c r="D82" s="22">
        <v>0</v>
      </c>
      <c r="E82" s="17">
        <v>42129</v>
      </c>
      <c r="F82" s="18">
        <v>0.40773148148148147</v>
      </c>
      <c r="G82" s="22">
        <v>2000</v>
      </c>
      <c r="H82">
        <v>0</v>
      </c>
      <c r="I82" s="19" t="e">
        <f>I81 + (D82-G82)</f>
        <v>#VALUE!</v>
      </c>
      <c r="M82">
        <v>122355</v>
      </c>
      <c r="N82">
        <v>60</v>
      </c>
      <c r="O82" t="s">
        <v>60</v>
      </c>
      <c r="P82">
        <v>1</v>
      </c>
      <c r="R82">
        <v>1071</v>
      </c>
      <c r="S82" s="17">
        <v>42131</v>
      </c>
      <c r="T82" s="17">
        <v>42131</v>
      </c>
      <c r="W82">
        <v>2015</v>
      </c>
      <c r="X82">
        <v>60</v>
      </c>
      <c r="AC82" t="s">
        <v>87</v>
      </c>
      <c r="AD82" t="s">
        <v>301</v>
      </c>
      <c r="AE82" t="s">
        <v>46</v>
      </c>
      <c r="AG82">
        <v>52</v>
      </c>
      <c r="AH82">
        <v>2</v>
      </c>
      <c r="AI82" t="s">
        <v>50</v>
      </c>
      <c r="AK82">
        <v>0</v>
      </c>
      <c r="AM82">
        <v>0</v>
      </c>
      <c r="AP82" t="s">
        <v>325</v>
      </c>
    </row>
    <row r="83" spans="1:42" customFormat="1">
      <c r="A83">
        <v>270073</v>
      </c>
      <c r="B83" t="s">
        <v>2741</v>
      </c>
      <c r="C83" t="s">
        <v>2742</v>
      </c>
      <c r="D83" s="22">
        <v>0</v>
      </c>
      <c r="E83" s="17">
        <v>42135</v>
      </c>
      <c r="F83" s="18">
        <v>0.68339120370370365</v>
      </c>
      <c r="G83" s="22">
        <v>6952</v>
      </c>
      <c r="H83">
        <v>0</v>
      </c>
      <c r="I83" s="19" t="e">
        <f>I82 + (D83-G83)</f>
        <v>#VALUE!</v>
      </c>
      <c r="M83">
        <v>118019</v>
      </c>
      <c r="N83">
        <v>24</v>
      </c>
      <c r="O83" t="s">
        <v>68</v>
      </c>
      <c r="P83">
        <v>1</v>
      </c>
      <c r="R83">
        <v>1071</v>
      </c>
      <c r="S83" s="17">
        <v>42139</v>
      </c>
      <c r="T83" s="17">
        <v>42139</v>
      </c>
      <c r="W83">
        <v>2015</v>
      </c>
      <c r="X83">
        <v>24</v>
      </c>
      <c r="AC83" t="s">
        <v>87</v>
      </c>
      <c r="AD83" t="s">
        <v>301</v>
      </c>
      <c r="AE83" t="s">
        <v>5708</v>
      </c>
      <c r="AG83">
        <v>52</v>
      </c>
      <c r="AH83">
        <v>2</v>
      </c>
      <c r="AI83" t="s">
        <v>50</v>
      </c>
      <c r="AK83">
        <v>0</v>
      </c>
      <c r="AM83">
        <v>0</v>
      </c>
      <c r="AP83" t="s">
        <v>325</v>
      </c>
    </row>
    <row r="84" spans="1:42" customFormat="1">
      <c r="A84">
        <v>270684</v>
      </c>
      <c r="B84" t="s">
        <v>3896</v>
      </c>
      <c r="C84" t="s">
        <v>3897</v>
      </c>
      <c r="D84" s="22">
        <v>0</v>
      </c>
      <c r="E84" s="17">
        <v>42144</v>
      </c>
      <c r="F84" s="18">
        <v>0.71587962962962959</v>
      </c>
      <c r="G84" s="22">
        <v>2952.33</v>
      </c>
      <c r="H84">
        <v>0</v>
      </c>
      <c r="I84" s="19" t="e">
        <f>I83 + (D84-G84)</f>
        <v>#VALUE!</v>
      </c>
      <c r="M84">
        <v>123830</v>
      </c>
      <c r="N84">
        <v>24</v>
      </c>
      <c r="O84" t="s">
        <v>68</v>
      </c>
      <c r="P84">
        <v>1</v>
      </c>
      <c r="R84">
        <v>1071</v>
      </c>
      <c r="S84" s="17">
        <v>42145</v>
      </c>
      <c r="T84" s="17">
        <v>42145</v>
      </c>
      <c r="W84">
        <v>2015</v>
      </c>
      <c r="X84">
        <v>24</v>
      </c>
      <c r="AC84" t="s">
        <v>87</v>
      </c>
      <c r="AD84" t="s">
        <v>301</v>
      </c>
      <c r="AE84" t="s">
        <v>5708</v>
      </c>
      <c r="AG84">
        <v>26</v>
      </c>
      <c r="AH84">
        <v>9</v>
      </c>
      <c r="AI84" t="s">
        <v>54</v>
      </c>
      <c r="AK84">
        <v>0</v>
      </c>
      <c r="AM84">
        <v>0</v>
      </c>
      <c r="AP84" t="s">
        <v>501</v>
      </c>
    </row>
    <row r="85" spans="1:42" customFormat="1">
      <c r="A85">
        <v>271013</v>
      </c>
      <c r="B85" t="s">
        <v>3983</v>
      </c>
      <c r="C85" t="s">
        <v>3984</v>
      </c>
      <c r="D85" s="22">
        <v>0</v>
      </c>
      <c r="E85" s="17">
        <v>42145</v>
      </c>
      <c r="F85" s="18">
        <v>0.42011574074074076</v>
      </c>
      <c r="G85" s="22">
        <v>500</v>
      </c>
      <c r="H85">
        <v>0</v>
      </c>
      <c r="I85" s="19" t="e">
        <f>I84 + (D85-G85)</f>
        <v>#VALUE!</v>
      </c>
      <c r="M85">
        <v>110755</v>
      </c>
      <c r="N85">
        <v>7</v>
      </c>
      <c r="O85" t="s">
        <v>44</v>
      </c>
      <c r="P85">
        <v>1</v>
      </c>
      <c r="R85">
        <v>1071</v>
      </c>
      <c r="S85" s="17">
        <v>42150</v>
      </c>
      <c r="T85" s="17">
        <v>42150</v>
      </c>
      <c r="W85">
        <v>2015</v>
      </c>
      <c r="X85">
        <v>7</v>
      </c>
      <c r="AC85" t="s">
        <v>87</v>
      </c>
      <c r="AD85" t="s">
        <v>301</v>
      </c>
      <c r="AE85" t="s">
        <v>5708</v>
      </c>
      <c r="AG85">
        <v>2</v>
      </c>
      <c r="AH85">
        <v>9</v>
      </c>
      <c r="AI85" t="s">
        <v>54</v>
      </c>
      <c r="AK85">
        <v>0</v>
      </c>
      <c r="AM85">
        <v>0</v>
      </c>
      <c r="AP85" t="s">
        <v>2544</v>
      </c>
    </row>
    <row r="86" spans="1:42" customFormat="1">
      <c r="A86">
        <v>271409</v>
      </c>
      <c r="B86" t="s">
        <v>4513</v>
      </c>
      <c r="C86" t="s">
        <v>4514</v>
      </c>
      <c r="D86" s="22">
        <v>0</v>
      </c>
      <c r="E86" s="17">
        <v>42149</v>
      </c>
      <c r="F86" s="18">
        <v>0.38795138888888886</v>
      </c>
      <c r="G86" s="22">
        <v>1536.23</v>
      </c>
      <c r="H86">
        <v>0</v>
      </c>
      <c r="I86" s="19" t="e">
        <f>I85 + (D86-G86)</f>
        <v>#VALUE!</v>
      </c>
      <c r="M86">
        <v>124269</v>
      </c>
      <c r="N86">
        <v>24</v>
      </c>
      <c r="O86" t="s">
        <v>68</v>
      </c>
      <c r="P86">
        <v>1</v>
      </c>
      <c r="R86">
        <v>1071</v>
      </c>
      <c r="S86" s="17">
        <v>42152</v>
      </c>
      <c r="T86" s="17">
        <v>42152</v>
      </c>
      <c r="W86">
        <v>2015</v>
      </c>
      <c r="X86">
        <v>24</v>
      </c>
      <c r="AC86" t="s">
        <v>87</v>
      </c>
      <c r="AD86" t="s">
        <v>301</v>
      </c>
      <c r="AE86" t="s">
        <v>5708</v>
      </c>
      <c r="AG86">
        <v>26</v>
      </c>
      <c r="AH86">
        <v>9</v>
      </c>
      <c r="AI86" t="s">
        <v>54</v>
      </c>
      <c r="AK86">
        <v>0</v>
      </c>
      <c r="AM86">
        <v>0</v>
      </c>
      <c r="AP86" t="s">
        <v>501</v>
      </c>
    </row>
    <row r="87" spans="1:42" customFormat="1">
      <c r="A87">
        <v>271551</v>
      </c>
      <c r="B87" t="s">
        <v>5259</v>
      </c>
      <c r="C87" t="s">
        <v>5260</v>
      </c>
      <c r="D87" s="22">
        <v>0</v>
      </c>
      <c r="E87" s="17">
        <v>42153</v>
      </c>
      <c r="F87" s="18">
        <v>0.40802083333333333</v>
      </c>
      <c r="G87" s="22">
        <v>4140.8599999999997</v>
      </c>
      <c r="H87">
        <v>0</v>
      </c>
      <c r="I87" s="19" t="e">
        <f>I86 + (D87-G87)</f>
        <v>#VALUE!</v>
      </c>
      <c r="M87">
        <v>124393</v>
      </c>
      <c r="N87">
        <v>24</v>
      </c>
      <c r="O87" t="s">
        <v>68</v>
      </c>
      <c r="P87">
        <v>1</v>
      </c>
      <c r="R87">
        <v>1071</v>
      </c>
      <c r="S87" s="17">
        <v>42157</v>
      </c>
      <c r="T87" s="17">
        <v>42157</v>
      </c>
      <c r="W87">
        <v>2015</v>
      </c>
      <c r="X87">
        <v>24</v>
      </c>
      <c r="AC87" t="s">
        <v>87</v>
      </c>
      <c r="AD87" t="s">
        <v>301</v>
      </c>
      <c r="AE87" t="s">
        <v>5708</v>
      </c>
      <c r="AG87">
        <v>5</v>
      </c>
      <c r="AH87">
        <v>9</v>
      </c>
      <c r="AI87" t="s">
        <v>54</v>
      </c>
      <c r="AK87">
        <v>0</v>
      </c>
      <c r="AM87">
        <v>0</v>
      </c>
      <c r="AP87" t="s">
        <v>312</v>
      </c>
    </row>
    <row r="88" spans="1:42" customFormat="1">
      <c r="A88">
        <v>271555</v>
      </c>
      <c r="B88" t="s">
        <v>5265</v>
      </c>
      <c r="C88" t="s">
        <v>5266</v>
      </c>
      <c r="D88" s="22">
        <v>0</v>
      </c>
      <c r="E88" s="17">
        <v>42153</v>
      </c>
      <c r="F88" s="18">
        <v>0.41158564814814813</v>
      </c>
      <c r="G88" s="22">
        <v>5396</v>
      </c>
      <c r="H88">
        <v>0</v>
      </c>
      <c r="I88" s="19" t="e">
        <f>I87 + (D88-G88)</f>
        <v>#VALUE!</v>
      </c>
      <c r="M88">
        <v>124397</v>
      </c>
      <c r="N88">
        <v>24</v>
      </c>
      <c r="O88" t="s">
        <v>68</v>
      </c>
      <c r="P88">
        <v>1</v>
      </c>
      <c r="R88">
        <v>1071</v>
      </c>
      <c r="S88" s="17">
        <v>42157</v>
      </c>
      <c r="T88" s="17">
        <v>42157</v>
      </c>
      <c r="W88">
        <v>2015</v>
      </c>
      <c r="X88">
        <v>24</v>
      </c>
      <c r="AC88" t="s">
        <v>87</v>
      </c>
      <c r="AD88" t="s">
        <v>301</v>
      </c>
      <c r="AE88" t="s">
        <v>5708</v>
      </c>
      <c r="AG88">
        <v>8</v>
      </c>
      <c r="AH88">
        <v>9</v>
      </c>
      <c r="AI88" t="s">
        <v>54</v>
      </c>
      <c r="AK88">
        <v>0</v>
      </c>
      <c r="AM88">
        <v>0</v>
      </c>
      <c r="AP88" t="s">
        <v>1201</v>
      </c>
    </row>
    <row r="89" spans="1:42" customFormat="1">
      <c r="A89">
        <v>270207</v>
      </c>
      <c r="B89" t="s">
        <v>3087</v>
      </c>
      <c r="C89" t="s">
        <v>3088</v>
      </c>
      <c r="D89" s="22">
        <v>0</v>
      </c>
      <c r="E89" s="17">
        <v>42137</v>
      </c>
      <c r="F89" s="18">
        <v>0.66059027777777779</v>
      </c>
      <c r="G89" s="22">
        <v>671.55</v>
      </c>
      <c r="H89">
        <v>0</v>
      </c>
      <c r="I89" s="19" t="e">
        <f>I88 + (D89-G89)</f>
        <v>#VALUE!</v>
      </c>
      <c r="M89">
        <v>123554</v>
      </c>
      <c r="N89">
        <v>24</v>
      </c>
      <c r="O89" t="s">
        <v>68</v>
      </c>
      <c r="P89">
        <v>1</v>
      </c>
      <c r="R89">
        <v>1626</v>
      </c>
      <c r="S89" s="17">
        <v>42142</v>
      </c>
      <c r="T89" s="17">
        <v>42142</v>
      </c>
      <c r="W89">
        <v>2015</v>
      </c>
      <c r="X89">
        <v>24</v>
      </c>
      <c r="AC89" t="s">
        <v>3089</v>
      </c>
      <c r="AD89" t="s">
        <v>301</v>
      </c>
      <c r="AE89" t="s">
        <v>5709</v>
      </c>
      <c r="AG89">
        <v>56</v>
      </c>
      <c r="AH89">
        <v>1</v>
      </c>
      <c r="AI89" t="s">
        <v>58</v>
      </c>
      <c r="AK89">
        <v>0</v>
      </c>
      <c r="AM89">
        <v>0</v>
      </c>
      <c r="AP89" t="s">
        <v>59</v>
      </c>
    </row>
    <row r="90" spans="1:42" customFormat="1">
      <c r="A90">
        <v>270911</v>
      </c>
      <c r="B90" t="s">
        <v>3499</v>
      </c>
      <c r="C90" t="s">
        <v>3500</v>
      </c>
      <c r="D90" s="22">
        <v>0</v>
      </c>
      <c r="E90" s="17">
        <v>42142</v>
      </c>
      <c r="F90" s="18">
        <v>0.36060185185185184</v>
      </c>
      <c r="G90" s="22">
        <v>233.99</v>
      </c>
      <c r="H90">
        <v>0</v>
      </c>
      <c r="I90" s="19" t="e">
        <f>I89 + (D90-G90)</f>
        <v>#VALUE!</v>
      </c>
      <c r="M90">
        <v>123958</v>
      </c>
      <c r="N90">
        <v>24</v>
      </c>
      <c r="O90" t="s">
        <v>68</v>
      </c>
      <c r="P90">
        <v>2</v>
      </c>
      <c r="R90">
        <v>1626</v>
      </c>
      <c r="S90" s="17">
        <v>42149</v>
      </c>
      <c r="T90" s="17">
        <v>42149</v>
      </c>
      <c r="W90">
        <v>2015</v>
      </c>
      <c r="X90">
        <v>24</v>
      </c>
      <c r="AC90" t="s">
        <v>3089</v>
      </c>
      <c r="AD90" t="s">
        <v>301</v>
      </c>
      <c r="AE90" t="s">
        <v>5709</v>
      </c>
      <c r="AG90">
        <v>4</v>
      </c>
      <c r="AH90">
        <v>9</v>
      </c>
      <c r="AI90" t="s">
        <v>54</v>
      </c>
      <c r="AK90">
        <v>0</v>
      </c>
      <c r="AM90">
        <v>0</v>
      </c>
      <c r="AP90" t="s">
        <v>389</v>
      </c>
    </row>
    <row r="91" spans="1:42" customFormat="1">
      <c r="A91">
        <v>271446</v>
      </c>
      <c r="B91" t="s">
        <v>4946</v>
      </c>
      <c r="C91" t="s">
        <v>4947</v>
      </c>
      <c r="D91" s="22">
        <v>0</v>
      </c>
      <c r="E91" s="17">
        <v>42151</v>
      </c>
      <c r="F91" s="18">
        <v>0.42248842592592589</v>
      </c>
      <c r="G91" s="22">
        <v>31.6</v>
      </c>
      <c r="H91">
        <v>0</v>
      </c>
      <c r="I91" s="19" t="e">
        <f>I90 + (D91-G91)</f>
        <v>#VALUE!</v>
      </c>
      <c r="M91">
        <v>124293</v>
      </c>
      <c r="N91">
        <v>24</v>
      </c>
      <c r="O91" t="s">
        <v>68</v>
      </c>
      <c r="P91">
        <v>1</v>
      </c>
      <c r="R91">
        <v>1626</v>
      </c>
      <c r="S91" s="17">
        <v>42152</v>
      </c>
      <c r="T91" s="17">
        <v>42152</v>
      </c>
      <c r="W91">
        <v>2015</v>
      </c>
      <c r="X91">
        <v>24</v>
      </c>
      <c r="AC91" t="s">
        <v>3089</v>
      </c>
      <c r="AD91" t="s">
        <v>301</v>
      </c>
      <c r="AE91" t="s">
        <v>5709</v>
      </c>
      <c r="AG91">
        <v>56</v>
      </c>
      <c r="AH91">
        <v>1</v>
      </c>
      <c r="AI91" t="s">
        <v>58</v>
      </c>
      <c r="AK91">
        <v>0</v>
      </c>
      <c r="AM91">
        <v>0</v>
      </c>
      <c r="AP91" t="s">
        <v>59</v>
      </c>
    </row>
    <row r="92" spans="1:42" customFormat="1">
      <c r="A92">
        <v>271570</v>
      </c>
      <c r="B92" t="s">
        <v>5304</v>
      </c>
      <c r="C92" t="s">
        <v>5305</v>
      </c>
      <c r="D92" s="22">
        <v>0</v>
      </c>
      <c r="E92" s="17">
        <v>42153</v>
      </c>
      <c r="F92" s="18">
        <v>0.42716435185185181</v>
      </c>
      <c r="G92" s="22">
        <v>2020.22</v>
      </c>
      <c r="H92">
        <v>0</v>
      </c>
      <c r="I92" s="19" t="e">
        <f>I91 + (D92-G92)</f>
        <v>#VALUE!</v>
      </c>
      <c r="M92">
        <v>124408</v>
      </c>
      <c r="N92">
        <v>24</v>
      </c>
      <c r="O92" t="s">
        <v>68</v>
      </c>
      <c r="P92">
        <v>1</v>
      </c>
      <c r="R92">
        <v>1590</v>
      </c>
      <c r="S92" s="17">
        <v>42157</v>
      </c>
      <c r="T92" s="17">
        <v>42157</v>
      </c>
      <c r="W92">
        <v>2015</v>
      </c>
      <c r="X92">
        <v>24</v>
      </c>
      <c r="AC92" t="s">
        <v>5306</v>
      </c>
      <c r="AD92" t="s">
        <v>301</v>
      </c>
      <c r="AE92" t="s">
        <v>5709</v>
      </c>
      <c r="AG92">
        <v>8</v>
      </c>
      <c r="AH92">
        <v>9</v>
      </c>
      <c r="AI92" t="s">
        <v>54</v>
      </c>
      <c r="AK92">
        <v>0</v>
      </c>
      <c r="AM92">
        <v>0</v>
      </c>
      <c r="AP92" t="s">
        <v>1201</v>
      </c>
    </row>
    <row r="93" spans="1:42" customFormat="1">
      <c r="A93">
        <v>271571</v>
      </c>
      <c r="B93" t="s">
        <v>5315</v>
      </c>
      <c r="C93" t="s">
        <v>5316</v>
      </c>
      <c r="D93" s="22">
        <v>0</v>
      </c>
      <c r="E93" s="17">
        <v>42153</v>
      </c>
      <c r="F93" s="18">
        <v>0.42841435185185189</v>
      </c>
      <c r="G93" s="22">
        <v>388.8</v>
      </c>
      <c r="H93">
        <v>0</v>
      </c>
      <c r="I93" s="19" t="e">
        <f>I92 + (D93-G93)</f>
        <v>#VALUE!</v>
      </c>
      <c r="M93">
        <v>124409</v>
      </c>
      <c r="N93">
        <v>24</v>
      </c>
      <c r="O93" t="s">
        <v>68</v>
      </c>
      <c r="P93">
        <v>1</v>
      </c>
      <c r="R93">
        <v>1590</v>
      </c>
      <c r="S93" s="17">
        <v>42157</v>
      </c>
      <c r="T93" s="17">
        <v>42157</v>
      </c>
      <c r="W93">
        <v>2015</v>
      </c>
      <c r="X93">
        <v>24</v>
      </c>
      <c r="AC93" t="s">
        <v>5306</v>
      </c>
      <c r="AD93" t="s">
        <v>301</v>
      </c>
      <c r="AE93" t="s">
        <v>5709</v>
      </c>
      <c r="AG93">
        <v>8</v>
      </c>
      <c r="AH93">
        <v>9</v>
      </c>
      <c r="AI93" t="s">
        <v>54</v>
      </c>
      <c r="AK93">
        <v>0</v>
      </c>
      <c r="AM93">
        <v>0</v>
      </c>
      <c r="AP93" t="s">
        <v>1201</v>
      </c>
    </row>
    <row r="94" spans="1:42" customFormat="1">
      <c r="A94">
        <v>271572</v>
      </c>
      <c r="B94" t="s">
        <v>5319</v>
      </c>
      <c r="C94" t="s">
        <v>5320</v>
      </c>
      <c r="D94" s="22">
        <v>0</v>
      </c>
      <c r="E94" s="17">
        <v>42153</v>
      </c>
      <c r="F94" s="18">
        <v>0.42937500000000001</v>
      </c>
      <c r="G94" s="22">
        <v>796.52</v>
      </c>
      <c r="H94">
        <v>0</v>
      </c>
      <c r="I94" s="19" t="e">
        <f>I93 + (D94-G94)</f>
        <v>#VALUE!</v>
      </c>
      <c r="M94">
        <v>124410</v>
      </c>
      <c r="N94">
        <v>24</v>
      </c>
      <c r="O94" t="s">
        <v>68</v>
      </c>
      <c r="P94">
        <v>1</v>
      </c>
      <c r="R94">
        <v>1590</v>
      </c>
      <c r="S94" s="17">
        <v>42157</v>
      </c>
      <c r="T94" s="17">
        <v>42157</v>
      </c>
      <c r="W94">
        <v>2015</v>
      </c>
      <c r="X94">
        <v>24</v>
      </c>
      <c r="AC94" t="s">
        <v>5306</v>
      </c>
      <c r="AD94" t="s">
        <v>301</v>
      </c>
      <c r="AE94" t="s">
        <v>5709</v>
      </c>
      <c r="AG94">
        <v>8</v>
      </c>
      <c r="AH94">
        <v>9</v>
      </c>
      <c r="AI94" t="s">
        <v>54</v>
      </c>
      <c r="AK94">
        <v>0</v>
      </c>
      <c r="AM94">
        <v>0</v>
      </c>
      <c r="AP94" t="s">
        <v>1201</v>
      </c>
    </row>
    <row r="95" spans="1:42" customFormat="1">
      <c r="A95">
        <v>269818</v>
      </c>
      <c r="B95" t="s">
        <v>235</v>
      </c>
      <c r="C95" t="s">
        <v>308</v>
      </c>
      <c r="D95" s="22">
        <v>42</v>
      </c>
      <c r="E95" s="17">
        <v>42125</v>
      </c>
      <c r="F95" s="18">
        <v>0.53365740740740741</v>
      </c>
      <c r="G95" s="22">
        <v>0</v>
      </c>
      <c r="H95">
        <v>0</v>
      </c>
      <c r="I95" s="19" t="e">
        <f>I94 + (D95-G95)</f>
        <v>#VALUE!</v>
      </c>
      <c r="N95">
        <v>24</v>
      </c>
      <c r="O95" t="s">
        <v>68</v>
      </c>
      <c r="P95">
        <v>1</v>
      </c>
      <c r="R95">
        <v>59</v>
      </c>
      <c r="S95" s="17">
        <v>42137</v>
      </c>
      <c r="T95" s="17">
        <v>42137</v>
      </c>
      <c r="W95">
        <v>2015</v>
      </c>
      <c r="X95">
        <v>24</v>
      </c>
      <c r="AC95" t="s">
        <v>309</v>
      </c>
      <c r="AD95" t="s">
        <v>301</v>
      </c>
      <c r="AE95" t="s">
        <v>46</v>
      </c>
      <c r="AG95">
        <v>56</v>
      </c>
      <c r="AH95">
        <v>1</v>
      </c>
      <c r="AI95" t="s">
        <v>58</v>
      </c>
      <c r="AM95">
        <v>0</v>
      </c>
      <c r="AP95" t="s">
        <v>59</v>
      </c>
    </row>
    <row r="96" spans="1:42" customFormat="1">
      <c r="A96">
        <v>269819</v>
      </c>
      <c r="B96" t="s">
        <v>235</v>
      </c>
      <c r="C96" t="s">
        <v>308</v>
      </c>
      <c r="D96" s="22">
        <v>81</v>
      </c>
      <c r="E96" s="17">
        <v>42132</v>
      </c>
      <c r="F96" s="18">
        <v>0.53401620370370373</v>
      </c>
      <c r="G96" s="22">
        <v>0</v>
      </c>
      <c r="H96">
        <v>0</v>
      </c>
      <c r="I96" s="19" t="e">
        <f>I95 + (D96-G96)</f>
        <v>#VALUE!</v>
      </c>
      <c r="N96">
        <v>24</v>
      </c>
      <c r="O96" t="s">
        <v>68</v>
      </c>
      <c r="P96">
        <v>1</v>
      </c>
      <c r="R96">
        <v>59</v>
      </c>
      <c r="S96" s="17">
        <v>42137</v>
      </c>
      <c r="T96" s="17">
        <v>42137</v>
      </c>
      <c r="W96">
        <v>2015</v>
      </c>
      <c r="X96">
        <v>24</v>
      </c>
      <c r="AC96" t="s">
        <v>309</v>
      </c>
      <c r="AD96" t="s">
        <v>301</v>
      </c>
      <c r="AE96" t="s">
        <v>46</v>
      </c>
      <c r="AG96">
        <v>56</v>
      </c>
      <c r="AH96">
        <v>1</v>
      </c>
      <c r="AI96" t="s">
        <v>58</v>
      </c>
      <c r="AM96">
        <v>0</v>
      </c>
      <c r="AP96" t="s">
        <v>59</v>
      </c>
    </row>
    <row r="97" spans="1:42" customFormat="1">
      <c r="A97">
        <v>270266</v>
      </c>
      <c r="B97" t="s">
        <v>235</v>
      </c>
      <c r="C97" t="s">
        <v>2287</v>
      </c>
      <c r="D97" s="22">
        <v>220</v>
      </c>
      <c r="E97" s="17">
        <v>42132</v>
      </c>
      <c r="F97" s="18">
        <v>0.68148148148148147</v>
      </c>
      <c r="G97" s="22">
        <v>0</v>
      </c>
      <c r="H97">
        <v>0</v>
      </c>
      <c r="I97" s="19" t="e">
        <f>I96 + (D97-G97)</f>
        <v>#VALUE!</v>
      </c>
      <c r="N97">
        <v>24</v>
      </c>
      <c r="O97" t="s">
        <v>68</v>
      </c>
      <c r="P97">
        <v>1</v>
      </c>
      <c r="R97">
        <v>59</v>
      </c>
      <c r="S97" s="17">
        <v>42142</v>
      </c>
      <c r="T97" s="17">
        <v>42142</v>
      </c>
      <c r="W97">
        <v>2015</v>
      </c>
      <c r="X97">
        <v>24</v>
      </c>
      <c r="AC97" t="s">
        <v>309</v>
      </c>
      <c r="AD97" t="s">
        <v>301</v>
      </c>
      <c r="AE97" t="s">
        <v>46</v>
      </c>
      <c r="AG97">
        <v>56</v>
      </c>
      <c r="AH97">
        <v>1</v>
      </c>
      <c r="AI97" t="s">
        <v>58</v>
      </c>
      <c r="AM97">
        <v>0</v>
      </c>
      <c r="AP97" t="s">
        <v>59</v>
      </c>
    </row>
    <row r="98" spans="1:42" customFormat="1">
      <c r="A98">
        <v>270980</v>
      </c>
      <c r="B98" t="s">
        <v>235</v>
      </c>
      <c r="C98" t="s">
        <v>3385</v>
      </c>
      <c r="D98" s="22">
        <v>155</v>
      </c>
      <c r="E98" s="17">
        <v>42139</v>
      </c>
      <c r="F98" s="18">
        <v>0.4027662037037037</v>
      </c>
      <c r="G98" s="22">
        <v>0</v>
      </c>
      <c r="H98">
        <v>0</v>
      </c>
      <c r="I98" s="19" t="e">
        <f>I97 + (D98-G98)</f>
        <v>#VALUE!</v>
      </c>
      <c r="N98">
        <v>24</v>
      </c>
      <c r="O98" t="s">
        <v>68</v>
      </c>
      <c r="P98">
        <v>1</v>
      </c>
      <c r="R98">
        <v>59</v>
      </c>
      <c r="S98" s="17">
        <v>42150</v>
      </c>
      <c r="T98" s="17">
        <v>42150</v>
      </c>
      <c r="W98">
        <v>2015</v>
      </c>
      <c r="X98">
        <v>24</v>
      </c>
      <c r="AC98" t="s">
        <v>309</v>
      </c>
      <c r="AD98" t="s">
        <v>301</v>
      </c>
      <c r="AE98" t="s">
        <v>46</v>
      </c>
      <c r="AG98">
        <v>56</v>
      </c>
      <c r="AH98">
        <v>1</v>
      </c>
      <c r="AI98" t="s">
        <v>58</v>
      </c>
      <c r="AM98">
        <v>0</v>
      </c>
      <c r="AP98" t="s">
        <v>59</v>
      </c>
    </row>
    <row r="99" spans="1:42" customFormat="1">
      <c r="A99">
        <v>270449</v>
      </c>
      <c r="B99" t="s">
        <v>235</v>
      </c>
      <c r="C99" t="s">
        <v>3462</v>
      </c>
      <c r="D99" s="22">
        <v>493</v>
      </c>
      <c r="E99" s="17">
        <v>42139</v>
      </c>
      <c r="F99" s="18">
        <v>0.5794097222222222</v>
      </c>
      <c r="G99" s="22">
        <v>0</v>
      </c>
      <c r="H99">
        <v>0</v>
      </c>
      <c r="I99" s="19" t="e">
        <f>I98 + (D99-G99)</f>
        <v>#VALUE!</v>
      </c>
      <c r="N99">
        <v>24</v>
      </c>
      <c r="O99" t="s">
        <v>68</v>
      </c>
      <c r="P99">
        <v>1</v>
      </c>
      <c r="R99">
        <v>59</v>
      </c>
      <c r="S99" s="17">
        <v>42144</v>
      </c>
      <c r="T99" s="17">
        <v>42144</v>
      </c>
      <c r="W99">
        <v>2015</v>
      </c>
      <c r="X99">
        <v>24</v>
      </c>
      <c r="AC99" t="s">
        <v>309</v>
      </c>
      <c r="AD99" t="s">
        <v>301</v>
      </c>
      <c r="AE99" t="s">
        <v>46</v>
      </c>
      <c r="AG99">
        <v>56</v>
      </c>
      <c r="AH99">
        <v>1</v>
      </c>
      <c r="AI99" t="s">
        <v>58</v>
      </c>
      <c r="AM99">
        <v>0</v>
      </c>
      <c r="AP99" t="s">
        <v>59</v>
      </c>
    </row>
    <row r="100" spans="1:42" customFormat="1">
      <c r="A100">
        <v>271445</v>
      </c>
      <c r="B100" t="s">
        <v>235</v>
      </c>
      <c r="C100" t="s">
        <v>4134</v>
      </c>
      <c r="D100" s="22">
        <v>152</v>
      </c>
      <c r="E100" s="17">
        <v>42146</v>
      </c>
      <c r="F100" s="18">
        <v>0.42129629629629628</v>
      </c>
      <c r="G100" s="22">
        <v>0</v>
      </c>
      <c r="H100">
        <v>0</v>
      </c>
      <c r="I100" s="19" t="e">
        <f>I99 + (D100-G100)</f>
        <v>#VALUE!</v>
      </c>
      <c r="N100">
        <v>24</v>
      </c>
      <c r="O100" t="s">
        <v>68</v>
      </c>
      <c r="P100">
        <v>2</v>
      </c>
      <c r="R100">
        <v>59</v>
      </c>
      <c r="S100" s="17">
        <v>42152</v>
      </c>
      <c r="T100" s="17">
        <v>42152</v>
      </c>
      <c r="W100">
        <v>2015</v>
      </c>
      <c r="X100">
        <v>24</v>
      </c>
      <c r="AC100" t="s">
        <v>309</v>
      </c>
      <c r="AD100" t="s">
        <v>301</v>
      </c>
      <c r="AE100" t="s">
        <v>46</v>
      </c>
      <c r="AG100">
        <v>56</v>
      </c>
      <c r="AH100">
        <v>1</v>
      </c>
      <c r="AI100" t="s">
        <v>58</v>
      </c>
      <c r="AM100">
        <v>0</v>
      </c>
      <c r="AP100" t="s">
        <v>59</v>
      </c>
    </row>
    <row r="101" spans="1:42" customFormat="1">
      <c r="A101">
        <v>272180</v>
      </c>
      <c r="B101" t="s">
        <v>241</v>
      </c>
      <c r="C101" t="s">
        <v>308</v>
      </c>
      <c r="D101" s="22">
        <v>161</v>
      </c>
      <c r="E101" s="17">
        <v>42153</v>
      </c>
      <c r="F101" s="18">
        <v>0.41185185185185186</v>
      </c>
      <c r="G101" s="22">
        <v>0</v>
      </c>
      <c r="H101">
        <v>0</v>
      </c>
      <c r="I101" s="19" t="e">
        <f>I100 + (D101-G101)</f>
        <v>#VALUE!</v>
      </c>
      <c r="N101">
        <v>24</v>
      </c>
      <c r="O101" t="s">
        <v>68</v>
      </c>
      <c r="P101">
        <v>1</v>
      </c>
      <c r="R101">
        <v>59</v>
      </c>
      <c r="S101" s="17">
        <v>42163</v>
      </c>
      <c r="T101" s="17">
        <v>42163</v>
      </c>
      <c r="W101">
        <v>2015</v>
      </c>
      <c r="X101">
        <v>24</v>
      </c>
      <c r="AC101" t="s">
        <v>309</v>
      </c>
      <c r="AD101" t="s">
        <v>301</v>
      </c>
      <c r="AE101" t="s">
        <v>46</v>
      </c>
      <c r="AG101">
        <v>56</v>
      </c>
      <c r="AH101">
        <v>1</v>
      </c>
      <c r="AI101" t="s">
        <v>58</v>
      </c>
      <c r="AM101">
        <v>0</v>
      </c>
      <c r="AP101" t="s">
        <v>59</v>
      </c>
    </row>
    <row r="102" spans="1:42" customFormat="1">
      <c r="A102">
        <v>272204</v>
      </c>
      <c r="B102" t="s">
        <v>235</v>
      </c>
      <c r="C102" t="s">
        <v>5282</v>
      </c>
      <c r="D102" s="22">
        <v>200</v>
      </c>
      <c r="E102" s="17">
        <v>42153</v>
      </c>
      <c r="F102" s="18">
        <v>0.41525462962962961</v>
      </c>
      <c r="G102" s="22">
        <v>0</v>
      </c>
      <c r="H102">
        <v>0</v>
      </c>
      <c r="I102" s="19" t="e">
        <f>I101 + (D102-G102)</f>
        <v>#VALUE!</v>
      </c>
      <c r="N102">
        <v>24</v>
      </c>
      <c r="O102" t="s">
        <v>68</v>
      </c>
      <c r="P102">
        <v>1</v>
      </c>
      <c r="R102">
        <v>59</v>
      </c>
      <c r="S102" s="17">
        <v>42163</v>
      </c>
      <c r="T102" s="17">
        <v>42163</v>
      </c>
      <c r="W102">
        <v>2015</v>
      </c>
      <c r="X102">
        <v>24</v>
      </c>
      <c r="AC102" t="s">
        <v>309</v>
      </c>
      <c r="AD102" t="s">
        <v>301</v>
      </c>
      <c r="AE102" t="s">
        <v>46</v>
      </c>
      <c r="AG102">
        <v>56</v>
      </c>
      <c r="AH102">
        <v>1</v>
      </c>
      <c r="AI102" t="s">
        <v>58</v>
      </c>
      <c r="AM102">
        <v>0</v>
      </c>
      <c r="AP102" t="s">
        <v>59</v>
      </c>
    </row>
    <row r="103" spans="1:42" customFormat="1">
      <c r="A103">
        <v>269733</v>
      </c>
      <c r="B103" t="s">
        <v>1650</v>
      </c>
      <c r="C103" t="s">
        <v>1651</v>
      </c>
      <c r="D103" s="22">
        <v>0</v>
      </c>
      <c r="E103" s="17">
        <v>42130</v>
      </c>
      <c r="F103" s="18">
        <v>0.41181712962962963</v>
      </c>
      <c r="G103" s="22">
        <v>13.14</v>
      </c>
      <c r="H103">
        <v>0</v>
      </c>
      <c r="I103" s="19" t="e">
        <f>I102 + (D103-G103)</f>
        <v>#VALUE!</v>
      </c>
      <c r="M103">
        <v>123241</v>
      </c>
      <c r="N103">
        <v>24</v>
      </c>
      <c r="O103" t="s">
        <v>68</v>
      </c>
      <c r="P103">
        <v>1</v>
      </c>
      <c r="R103">
        <v>495</v>
      </c>
      <c r="S103" s="17">
        <v>42137</v>
      </c>
      <c r="T103" s="17">
        <v>42137</v>
      </c>
      <c r="W103">
        <v>2015</v>
      </c>
      <c r="X103">
        <v>24</v>
      </c>
      <c r="AC103" t="s">
        <v>1652</v>
      </c>
      <c r="AD103" t="s">
        <v>301</v>
      </c>
      <c r="AE103" t="s">
        <v>46</v>
      </c>
      <c r="AG103">
        <v>4</v>
      </c>
      <c r="AH103">
        <v>9</v>
      </c>
      <c r="AI103" t="s">
        <v>54</v>
      </c>
      <c r="AK103">
        <v>0</v>
      </c>
      <c r="AM103">
        <v>0</v>
      </c>
      <c r="AP103" t="s">
        <v>389</v>
      </c>
    </row>
    <row r="104" spans="1:42" customFormat="1">
      <c r="A104">
        <v>270678</v>
      </c>
      <c r="B104" t="s">
        <v>3778</v>
      </c>
      <c r="C104" t="s">
        <v>3779</v>
      </c>
      <c r="D104" s="22">
        <v>0</v>
      </c>
      <c r="E104" s="17">
        <v>42143</v>
      </c>
      <c r="F104" s="18">
        <v>0.60077546296296302</v>
      </c>
      <c r="G104" s="22">
        <v>19.39</v>
      </c>
      <c r="H104">
        <v>0</v>
      </c>
      <c r="I104" s="19" t="e">
        <f>I103 + (D104-G104)</f>
        <v>#VALUE!</v>
      </c>
      <c r="M104">
        <v>123823</v>
      </c>
      <c r="N104">
        <v>24</v>
      </c>
      <c r="O104" t="s">
        <v>68</v>
      </c>
      <c r="P104">
        <v>1</v>
      </c>
      <c r="R104">
        <v>496</v>
      </c>
      <c r="S104" s="17">
        <v>42145</v>
      </c>
      <c r="T104" s="17">
        <v>42145</v>
      </c>
      <c r="W104">
        <v>2015</v>
      </c>
      <c r="X104">
        <v>24</v>
      </c>
      <c r="AC104" t="s">
        <v>3780</v>
      </c>
      <c r="AD104" t="s">
        <v>301</v>
      </c>
      <c r="AE104" t="s">
        <v>46</v>
      </c>
      <c r="AG104">
        <v>56</v>
      </c>
      <c r="AH104">
        <v>1</v>
      </c>
      <c r="AI104" t="s">
        <v>58</v>
      </c>
      <c r="AK104">
        <v>0</v>
      </c>
      <c r="AM104">
        <v>0</v>
      </c>
      <c r="AP104" t="s">
        <v>59</v>
      </c>
    </row>
    <row r="105" spans="1:42" customFormat="1">
      <c r="A105">
        <v>271565</v>
      </c>
      <c r="B105" t="s">
        <v>5046</v>
      </c>
      <c r="C105" t="s">
        <v>5047</v>
      </c>
      <c r="D105" s="22">
        <v>0</v>
      </c>
      <c r="E105" s="17">
        <v>42152</v>
      </c>
      <c r="F105" s="18">
        <v>0.41730324074074071</v>
      </c>
      <c r="G105" s="22">
        <v>9</v>
      </c>
      <c r="H105">
        <v>0</v>
      </c>
      <c r="I105" s="19" t="e">
        <f>I104 + (D105-G105)</f>
        <v>#VALUE!</v>
      </c>
      <c r="M105">
        <v>124404</v>
      </c>
      <c r="N105">
        <v>24</v>
      </c>
      <c r="O105" t="s">
        <v>68</v>
      </c>
      <c r="P105">
        <v>1</v>
      </c>
      <c r="R105">
        <v>496</v>
      </c>
      <c r="S105" s="17">
        <v>42157</v>
      </c>
      <c r="T105" s="17">
        <v>42157</v>
      </c>
      <c r="W105">
        <v>2015</v>
      </c>
      <c r="X105">
        <v>24</v>
      </c>
      <c r="AC105" t="s">
        <v>3780</v>
      </c>
      <c r="AD105" t="s">
        <v>301</v>
      </c>
      <c r="AE105" t="s">
        <v>46</v>
      </c>
      <c r="AG105">
        <v>56</v>
      </c>
      <c r="AH105">
        <v>1</v>
      </c>
      <c r="AI105" t="s">
        <v>58</v>
      </c>
      <c r="AK105">
        <v>0</v>
      </c>
      <c r="AM105">
        <v>0</v>
      </c>
      <c r="AP105" t="s">
        <v>59</v>
      </c>
    </row>
    <row r="106" spans="1:42" customFormat="1">
      <c r="A106">
        <v>269862</v>
      </c>
      <c r="B106" t="s">
        <v>1625</v>
      </c>
      <c r="C106" t="s">
        <v>1626</v>
      </c>
      <c r="D106" s="22">
        <v>0</v>
      </c>
      <c r="E106" s="17">
        <v>42130</v>
      </c>
      <c r="F106" s="18">
        <v>0.35415509259259265</v>
      </c>
      <c r="G106" s="22">
        <v>5000</v>
      </c>
      <c r="H106">
        <v>0</v>
      </c>
      <c r="I106" s="19" t="e">
        <f>I105 + (D106-G106)</f>
        <v>#VALUE!</v>
      </c>
      <c r="M106">
        <v>123223</v>
      </c>
      <c r="N106">
        <v>7</v>
      </c>
      <c r="O106" t="s">
        <v>44</v>
      </c>
      <c r="P106">
        <v>1</v>
      </c>
      <c r="R106">
        <v>498</v>
      </c>
      <c r="S106" s="17">
        <v>42138</v>
      </c>
      <c r="T106" s="17">
        <v>42138</v>
      </c>
      <c r="W106">
        <v>2015</v>
      </c>
      <c r="X106">
        <v>7</v>
      </c>
      <c r="AC106" t="s">
        <v>277</v>
      </c>
      <c r="AD106" t="s">
        <v>301</v>
      </c>
      <c r="AE106" t="s">
        <v>46</v>
      </c>
      <c r="AG106">
        <v>52</v>
      </c>
      <c r="AH106">
        <v>9</v>
      </c>
      <c r="AI106" t="s">
        <v>54</v>
      </c>
      <c r="AK106">
        <v>0</v>
      </c>
      <c r="AM106">
        <v>0</v>
      </c>
      <c r="AP106" t="s">
        <v>325</v>
      </c>
    </row>
    <row r="107" spans="1:42" customFormat="1">
      <c r="A107">
        <v>270271</v>
      </c>
      <c r="B107" t="s">
        <v>3124</v>
      </c>
      <c r="C107" t="s">
        <v>3125</v>
      </c>
      <c r="D107" s="22">
        <v>0</v>
      </c>
      <c r="E107" s="17">
        <v>42138</v>
      </c>
      <c r="F107" s="18">
        <v>0.35749999999999998</v>
      </c>
      <c r="G107" s="22">
        <v>1777.13</v>
      </c>
      <c r="H107">
        <v>0</v>
      </c>
      <c r="I107" s="19" t="e">
        <f>I106 + (D107-G107)</f>
        <v>#VALUE!</v>
      </c>
      <c r="M107">
        <v>123590</v>
      </c>
      <c r="N107">
        <v>24</v>
      </c>
      <c r="O107" t="s">
        <v>68</v>
      </c>
      <c r="P107">
        <v>1</v>
      </c>
      <c r="R107">
        <v>498</v>
      </c>
      <c r="S107" s="17">
        <v>42143</v>
      </c>
      <c r="T107" s="17">
        <v>42143</v>
      </c>
      <c r="W107">
        <v>2015</v>
      </c>
      <c r="X107">
        <v>24</v>
      </c>
      <c r="AC107" t="s">
        <v>277</v>
      </c>
      <c r="AD107" t="s">
        <v>301</v>
      </c>
      <c r="AE107" t="s">
        <v>46</v>
      </c>
      <c r="AG107">
        <v>56</v>
      </c>
      <c r="AH107">
        <v>1</v>
      </c>
      <c r="AI107" t="s">
        <v>58</v>
      </c>
      <c r="AK107">
        <v>0</v>
      </c>
      <c r="AM107">
        <v>0</v>
      </c>
      <c r="AP107" t="s">
        <v>59</v>
      </c>
    </row>
    <row r="108" spans="1:42" customFormat="1">
      <c r="A108">
        <v>270679</v>
      </c>
      <c r="B108" t="s">
        <v>3883</v>
      </c>
      <c r="C108" t="s">
        <v>3884</v>
      </c>
      <c r="D108" s="22">
        <v>0</v>
      </c>
      <c r="E108" s="17">
        <v>42144</v>
      </c>
      <c r="F108" s="18">
        <v>0.6019444444444445</v>
      </c>
      <c r="G108" s="22">
        <v>1237.3900000000001</v>
      </c>
      <c r="H108">
        <v>0</v>
      </c>
      <c r="I108" s="19" t="e">
        <f>I107 + (D108-G108)</f>
        <v>#VALUE!</v>
      </c>
      <c r="M108">
        <v>21860</v>
      </c>
      <c r="N108">
        <v>24</v>
      </c>
      <c r="O108" t="s">
        <v>68</v>
      </c>
      <c r="P108">
        <v>1</v>
      </c>
      <c r="R108">
        <v>500</v>
      </c>
      <c r="S108" s="17">
        <v>42145</v>
      </c>
      <c r="T108" s="17">
        <v>42145</v>
      </c>
      <c r="W108">
        <v>2015</v>
      </c>
      <c r="X108">
        <v>24</v>
      </c>
      <c r="AC108" t="s">
        <v>223</v>
      </c>
      <c r="AD108" t="s">
        <v>301</v>
      </c>
      <c r="AE108" t="s">
        <v>46</v>
      </c>
      <c r="AG108">
        <v>4</v>
      </c>
      <c r="AH108">
        <v>9</v>
      </c>
      <c r="AI108" t="s">
        <v>54</v>
      </c>
      <c r="AK108">
        <v>0</v>
      </c>
      <c r="AM108">
        <v>0</v>
      </c>
      <c r="AP108" t="s">
        <v>389</v>
      </c>
    </row>
    <row r="109" spans="1:42" customFormat="1">
      <c r="A109">
        <v>271389</v>
      </c>
      <c r="B109" t="s">
        <v>4674</v>
      </c>
      <c r="C109" t="s">
        <v>4675</v>
      </c>
      <c r="D109" s="22">
        <v>0</v>
      </c>
      <c r="E109" s="17">
        <v>42149</v>
      </c>
      <c r="F109" s="18">
        <v>0.69460648148148152</v>
      </c>
      <c r="G109" s="22">
        <v>1331.57</v>
      </c>
      <c r="H109">
        <v>0</v>
      </c>
      <c r="I109" s="19" t="e">
        <f>I108 + (D109-G109)</f>
        <v>#VALUE!</v>
      </c>
      <c r="M109">
        <v>58220</v>
      </c>
      <c r="N109">
        <v>24</v>
      </c>
      <c r="O109" t="s">
        <v>68</v>
      </c>
      <c r="P109">
        <v>1</v>
      </c>
      <c r="R109">
        <v>500</v>
      </c>
      <c r="S109" s="17">
        <v>42151</v>
      </c>
      <c r="T109" s="17">
        <v>42151</v>
      </c>
      <c r="W109">
        <v>2015</v>
      </c>
      <c r="X109">
        <v>24</v>
      </c>
      <c r="AC109" t="s">
        <v>223</v>
      </c>
      <c r="AD109" t="s">
        <v>301</v>
      </c>
      <c r="AE109" t="s">
        <v>46</v>
      </c>
      <c r="AG109">
        <v>26</v>
      </c>
      <c r="AH109">
        <v>9</v>
      </c>
      <c r="AI109" t="s">
        <v>54</v>
      </c>
      <c r="AK109">
        <v>0</v>
      </c>
      <c r="AM109">
        <v>0</v>
      </c>
      <c r="AP109" t="s">
        <v>501</v>
      </c>
    </row>
    <row r="110" spans="1:42" customFormat="1">
      <c r="A110">
        <v>270406</v>
      </c>
      <c r="B110" t="s">
        <v>2979</v>
      </c>
      <c r="C110" t="s">
        <v>2980</v>
      </c>
      <c r="D110" s="22">
        <v>0</v>
      </c>
      <c r="E110" s="17">
        <v>42137</v>
      </c>
      <c r="F110" s="18">
        <v>0.45120370370370372</v>
      </c>
      <c r="G110" s="22">
        <v>854.7</v>
      </c>
      <c r="H110">
        <v>0</v>
      </c>
      <c r="I110" s="19" t="e">
        <f>I109 + (D110-G110)</f>
        <v>#VALUE!</v>
      </c>
      <c r="M110">
        <v>122933</v>
      </c>
      <c r="N110">
        <v>24</v>
      </c>
      <c r="O110" t="s">
        <v>68</v>
      </c>
      <c r="P110">
        <v>1</v>
      </c>
      <c r="R110">
        <v>504</v>
      </c>
      <c r="S110" s="17">
        <v>42144</v>
      </c>
      <c r="T110" s="17">
        <v>42144</v>
      </c>
      <c r="W110">
        <v>2015</v>
      </c>
      <c r="X110">
        <v>24</v>
      </c>
      <c r="AC110" t="s">
        <v>2981</v>
      </c>
      <c r="AD110" t="s">
        <v>301</v>
      </c>
      <c r="AE110" t="s">
        <v>46</v>
      </c>
      <c r="AG110">
        <v>52</v>
      </c>
      <c r="AH110">
        <v>2</v>
      </c>
      <c r="AI110" t="s">
        <v>50</v>
      </c>
      <c r="AK110">
        <v>0</v>
      </c>
      <c r="AM110">
        <v>0</v>
      </c>
      <c r="AP110" t="s">
        <v>325</v>
      </c>
    </row>
    <row r="111" spans="1:42" customFormat="1">
      <c r="A111">
        <v>270407</v>
      </c>
      <c r="B111" t="s">
        <v>2982</v>
      </c>
      <c r="C111" t="s">
        <v>2983</v>
      </c>
      <c r="D111" s="22">
        <v>0</v>
      </c>
      <c r="E111" s="17">
        <v>42137</v>
      </c>
      <c r="F111" s="18">
        <v>0.45145833333333335</v>
      </c>
      <c r="G111" s="22">
        <v>759.76</v>
      </c>
      <c r="H111">
        <v>0</v>
      </c>
      <c r="I111" s="19" t="e">
        <f>I110 + (D111-G111)</f>
        <v>#VALUE!</v>
      </c>
      <c r="M111">
        <v>122917</v>
      </c>
      <c r="N111">
        <v>24</v>
      </c>
      <c r="O111" t="s">
        <v>68</v>
      </c>
      <c r="P111">
        <v>1</v>
      </c>
      <c r="R111">
        <v>504</v>
      </c>
      <c r="S111" s="17">
        <v>42144</v>
      </c>
      <c r="T111" s="17">
        <v>42144</v>
      </c>
      <c r="W111">
        <v>2015</v>
      </c>
      <c r="X111">
        <v>24</v>
      </c>
      <c r="AC111" t="s">
        <v>2981</v>
      </c>
      <c r="AD111" t="s">
        <v>301</v>
      </c>
      <c r="AE111" t="s">
        <v>46</v>
      </c>
      <c r="AG111">
        <v>52</v>
      </c>
      <c r="AH111">
        <v>2</v>
      </c>
      <c r="AI111" t="s">
        <v>50</v>
      </c>
      <c r="AK111">
        <v>0</v>
      </c>
      <c r="AM111">
        <v>0</v>
      </c>
      <c r="AP111" t="s">
        <v>325</v>
      </c>
    </row>
    <row r="112" spans="1:42" customFormat="1">
      <c r="A112">
        <v>270411</v>
      </c>
      <c r="B112" t="s">
        <v>2988</v>
      </c>
      <c r="C112" t="s">
        <v>2989</v>
      </c>
      <c r="D112" s="22">
        <v>0</v>
      </c>
      <c r="E112" s="17">
        <v>42137</v>
      </c>
      <c r="F112" s="18">
        <v>0.45222222222222225</v>
      </c>
      <c r="G112" s="22">
        <v>2279.2800000000002</v>
      </c>
      <c r="H112">
        <v>0</v>
      </c>
      <c r="I112" s="19" t="e">
        <f>I111 + (D112-G112)</f>
        <v>#VALUE!</v>
      </c>
      <c r="M112">
        <v>122922</v>
      </c>
      <c r="N112">
        <v>24</v>
      </c>
      <c r="O112" t="s">
        <v>68</v>
      </c>
      <c r="P112">
        <v>1</v>
      </c>
      <c r="R112">
        <v>504</v>
      </c>
      <c r="S112" s="17">
        <v>42144</v>
      </c>
      <c r="T112" s="17">
        <v>42144</v>
      </c>
      <c r="W112">
        <v>2015</v>
      </c>
      <c r="X112">
        <v>24</v>
      </c>
      <c r="AC112" t="s">
        <v>2981</v>
      </c>
      <c r="AD112" t="s">
        <v>301</v>
      </c>
      <c r="AE112" t="s">
        <v>46</v>
      </c>
      <c r="AG112">
        <v>52</v>
      </c>
      <c r="AH112">
        <v>2</v>
      </c>
      <c r="AI112" t="s">
        <v>50</v>
      </c>
      <c r="AK112">
        <v>0</v>
      </c>
      <c r="AM112">
        <v>0</v>
      </c>
      <c r="AP112" t="s">
        <v>325</v>
      </c>
    </row>
    <row r="113" spans="1:42" customFormat="1">
      <c r="A113">
        <v>270415</v>
      </c>
      <c r="B113" t="s">
        <v>2994</v>
      </c>
      <c r="C113" t="s">
        <v>2995</v>
      </c>
      <c r="D113" s="22">
        <v>0</v>
      </c>
      <c r="E113" s="17">
        <v>42137</v>
      </c>
      <c r="F113" s="18">
        <v>0.45293981481481477</v>
      </c>
      <c r="G113" s="22">
        <v>1899.4</v>
      </c>
      <c r="H113">
        <v>0</v>
      </c>
      <c r="I113" s="19" t="e">
        <f>I112 + (D113-G113)</f>
        <v>#VALUE!</v>
      </c>
      <c r="M113">
        <v>122923</v>
      </c>
      <c r="N113">
        <v>24</v>
      </c>
      <c r="O113" t="s">
        <v>68</v>
      </c>
      <c r="P113">
        <v>1</v>
      </c>
      <c r="R113">
        <v>504</v>
      </c>
      <c r="S113" s="17">
        <v>42144</v>
      </c>
      <c r="T113" s="17">
        <v>42144</v>
      </c>
      <c r="W113">
        <v>2015</v>
      </c>
      <c r="X113">
        <v>24</v>
      </c>
      <c r="AC113" t="s">
        <v>2981</v>
      </c>
      <c r="AD113" t="s">
        <v>301</v>
      </c>
      <c r="AE113" t="s">
        <v>46</v>
      </c>
      <c r="AG113">
        <v>52</v>
      </c>
      <c r="AH113">
        <v>2</v>
      </c>
      <c r="AI113" t="s">
        <v>50</v>
      </c>
      <c r="AK113">
        <v>0</v>
      </c>
      <c r="AM113">
        <v>0</v>
      </c>
      <c r="AP113" t="s">
        <v>325</v>
      </c>
    </row>
    <row r="114" spans="1:42" customFormat="1">
      <c r="A114">
        <v>270418</v>
      </c>
      <c r="B114" t="s">
        <v>2998</v>
      </c>
      <c r="C114" t="s">
        <v>2999</v>
      </c>
      <c r="D114" s="22">
        <v>0</v>
      </c>
      <c r="E114" s="17">
        <v>42137</v>
      </c>
      <c r="F114" s="18">
        <v>0.45378472222222221</v>
      </c>
      <c r="G114" s="22">
        <v>1709.46</v>
      </c>
      <c r="H114">
        <v>0</v>
      </c>
      <c r="I114" s="19" t="e">
        <f>I113 + (D114-G114)</f>
        <v>#VALUE!</v>
      </c>
      <c r="M114">
        <v>122934</v>
      </c>
      <c r="N114">
        <v>24</v>
      </c>
      <c r="O114" t="s">
        <v>68</v>
      </c>
      <c r="P114">
        <v>1</v>
      </c>
      <c r="R114">
        <v>504</v>
      </c>
      <c r="S114" s="17">
        <v>42144</v>
      </c>
      <c r="T114" s="17">
        <v>42144</v>
      </c>
      <c r="W114">
        <v>2015</v>
      </c>
      <c r="X114">
        <v>24</v>
      </c>
      <c r="AC114" t="s">
        <v>2981</v>
      </c>
      <c r="AD114" t="s">
        <v>301</v>
      </c>
      <c r="AE114" t="s">
        <v>46</v>
      </c>
      <c r="AG114">
        <v>52</v>
      </c>
      <c r="AH114">
        <v>2</v>
      </c>
      <c r="AI114" t="s">
        <v>50</v>
      </c>
      <c r="AK114">
        <v>0</v>
      </c>
      <c r="AM114">
        <v>0</v>
      </c>
      <c r="AP114" t="s">
        <v>325</v>
      </c>
    </row>
    <row r="115" spans="1:42" customFormat="1">
      <c r="A115">
        <v>270421</v>
      </c>
      <c r="B115" t="s">
        <v>3004</v>
      </c>
      <c r="C115" t="s">
        <v>3005</v>
      </c>
      <c r="D115" s="22">
        <v>0</v>
      </c>
      <c r="E115" s="17">
        <v>42137</v>
      </c>
      <c r="F115" s="18">
        <v>0.45429398148148148</v>
      </c>
      <c r="G115" s="22">
        <v>1519.52</v>
      </c>
      <c r="H115">
        <v>0</v>
      </c>
      <c r="I115" s="19" t="e">
        <f>I114 + (D115-G115)</f>
        <v>#VALUE!</v>
      </c>
      <c r="M115">
        <v>122920</v>
      </c>
      <c r="N115">
        <v>24</v>
      </c>
      <c r="O115" t="s">
        <v>68</v>
      </c>
      <c r="P115">
        <v>1</v>
      </c>
      <c r="R115">
        <v>504</v>
      </c>
      <c r="S115" s="17">
        <v>42144</v>
      </c>
      <c r="T115" s="17">
        <v>42144</v>
      </c>
      <c r="W115">
        <v>2015</v>
      </c>
      <c r="X115">
        <v>24</v>
      </c>
      <c r="AC115" t="s">
        <v>2981</v>
      </c>
      <c r="AD115" t="s">
        <v>301</v>
      </c>
      <c r="AE115" t="s">
        <v>46</v>
      </c>
      <c r="AG115">
        <v>52</v>
      </c>
      <c r="AH115">
        <v>2</v>
      </c>
      <c r="AI115" t="s">
        <v>50</v>
      </c>
      <c r="AK115">
        <v>0</v>
      </c>
      <c r="AM115">
        <v>0</v>
      </c>
      <c r="AP115" t="s">
        <v>325</v>
      </c>
    </row>
    <row r="116" spans="1:42" customFormat="1">
      <c r="A116">
        <v>270424</v>
      </c>
      <c r="B116" t="s">
        <v>3010</v>
      </c>
      <c r="C116" t="s">
        <v>3011</v>
      </c>
      <c r="D116" s="22">
        <v>0</v>
      </c>
      <c r="E116" s="17">
        <v>42137</v>
      </c>
      <c r="F116" s="18">
        <v>0.45479166666666665</v>
      </c>
      <c r="G116" s="22">
        <v>6552.93</v>
      </c>
      <c r="H116">
        <v>0</v>
      </c>
      <c r="I116" s="19" t="e">
        <f>I115 + (D116-G116)</f>
        <v>#VALUE!</v>
      </c>
      <c r="M116">
        <v>122919</v>
      </c>
      <c r="N116">
        <v>24</v>
      </c>
      <c r="O116" t="s">
        <v>68</v>
      </c>
      <c r="P116">
        <v>1</v>
      </c>
      <c r="R116">
        <v>504</v>
      </c>
      <c r="S116" s="17">
        <v>42144</v>
      </c>
      <c r="T116" s="17">
        <v>42144</v>
      </c>
      <c r="W116">
        <v>2015</v>
      </c>
      <c r="X116">
        <v>24</v>
      </c>
      <c r="AC116" t="s">
        <v>2981</v>
      </c>
      <c r="AD116" t="s">
        <v>301</v>
      </c>
      <c r="AE116" t="s">
        <v>46</v>
      </c>
      <c r="AG116">
        <v>52</v>
      </c>
      <c r="AH116">
        <v>2</v>
      </c>
      <c r="AI116" t="s">
        <v>50</v>
      </c>
      <c r="AK116">
        <v>0</v>
      </c>
      <c r="AM116">
        <v>0</v>
      </c>
      <c r="AP116" t="s">
        <v>325</v>
      </c>
    </row>
    <row r="117" spans="1:42" customFormat="1">
      <c r="A117">
        <v>270547</v>
      </c>
      <c r="B117" t="s">
        <v>3516</v>
      </c>
      <c r="C117" t="s">
        <v>3517</v>
      </c>
      <c r="D117" s="22">
        <v>0</v>
      </c>
      <c r="E117" s="17">
        <v>42142</v>
      </c>
      <c r="F117" s="18">
        <v>0.40520833333333334</v>
      </c>
      <c r="G117" s="22">
        <v>1709.46</v>
      </c>
      <c r="H117">
        <v>0</v>
      </c>
      <c r="I117" s="19" t="e">
        <f>I116 + (D117-G117)</f>
        <v>#VALUE!</v>
      </c>
      <c r="M117">
        <v>122918</v>
      </c>
      <c r="N117">
        <v>24</v>
      </c>
      <c r="O117" t="s">
        <v>68</v>
      </c>
      <c r="P117">
        <v>1</v>
      </c>
      <c r="R117">
        <v>504</v>
      </c>
      <c r="S117" s="17">
        <v>42145</v>
      </c>
      <c r="T117" s="17">
        <v>42145</v>
      </c>
      <c r="W117">
        <v>2015</v>
      </c>
      <c r="X117">
        <v>24</v>
      </c>
      <c r="AC117" t="s">
        <v>2981</v>
      </c>
      <c r="AD117" t="s">
        <v>301</v>
      </c>
      <c r="AE117" t="s">
        <v>46</v>
      </c>
      <c r="AG117">
        <v>52</v>
      </c>
      <c r="AH117">
        <v>2</v>
      </c>
      <c r="AI117" t="s">
        <v>50</v>
      </c>
      <c r="AK117">
        <v>0</v>
      </c>
      <c r="AM117">
        <v>0</v>
      </c>
      <c r="AP117" t="s">
        <v>325</v>
      </c>
    </row>
    <row r="118" spans="1:42" customFormat="1">
      <c r="A118">
        <v>271805</v>
      </c>
      <c r="B118" t="s">
        <v>4942</v>
      </c>
      <c r="C118" t="s">
        <v>4943</v>
      </c>
      <c r="D118" s="22">
        <v>0</v>
      </c>
      <c r="E118" s="17">
        <v>42151</v>
      </c>
      <c r="F118" s="18">
        <v>0.41903935185185182</v>
      </c>
      <c r="G118" s="22">
        <v>375</v>
      </c>
      <c r="H118">
        <v>0</v>
      </c>
      <c r="I118" s="19" t="e">
        <f>I117 + (D118-G118)</f>
        <v>#VALUE!</v>
      </c>
      <c r="M118">
        <v>124537</v>
      </c>
      <c r="N118">
        <v>25</v>
      </c>
      <c r="O118" t="s">
        <v>71</v>
      </c>
      <c r="P118">
        <v>1</v>
      </c>
      <c r="R118">
        <v>504</v>
      </c>
      <c r="S118" s="17">
        <v>42160</v>
      </c>
      <c r="T118" s="17">
        <v>42160</v>
      </c>
      <c r="W118">
        <v>2015</v>
      </c>
      <c r="X118">
        <v>25</v>
      </c>
      <c r="AC118" t="s">
        <v>2981</v>
      </c>
      <c r="AD118" t="s">
        <v>301</v>
      </c>
      <c r="AE118" t="s">
        <v>46</v>
      </c>
      <c r="AG118">
        <v>4</v>
      </c>
      <c r="AH118">
        <v>9</v>
      </c>
      <c r="AI118" t="s">
        <v>54</v>
      </c>
      <c r="AK118">
        <v>0</v>
      </c>
      <c r="AM118">
        <v>0</v>
      </c>
      <c r="AP118" t="s">
        <v>389</v>
      </c>
    </row>
    <row r="119" spans="1:42" customFormat="1">
      <c r="A119">
        <v>268044</v>
      </c>
      <c r="B119" t="s">
        <v>1332</v>
      </c>
      <c r="C119" t="s">
        <v>1333</v>
      </c>
      <c r="D119" s="22">
        <v>0</v>
      </c>
      <c r="E119" s="17">
        <v>42129</v>
      </c>
      <c r="F119" s="18">
        <v>0.58078703703703705</v>
      </c>
      <c r="G119" s="22">
        <v>115.14</v>
      </c>
      <c r="H119">
        <v>0</v>
      </c>
      <c r="I119" s="19" t="e">
        <f>I118 + (D119-G119)</f>
        <v>#VALUE!</v>
      </c>
      <c r="M119">
        <v>122418</v>
      </c>
      <c r="N119">
        <v>7</v>
      </c>
      <c r="O119" t="s">
        <v>44</v>
      </c>
      <c r="P119">
        <v>1</v>
      </c>
      <c r="R119">
        <v>506</v>
      </c>
      <c r="S119" s="17">
        <v>42130</v>
      </c>
      <c r="T119" s="17">
        <v>42130</v>
      </c>
      <c r="W119">
        <v>2015</v>
      </c>
      <c r="X119">
        <v>7</v>
      </c>
      <c r="AC119" t="s">
        <v>100</v>
      </c>
      <c r="AD119" t="s">
        <v>302</v>
      </c>
      <c r="AE119" t="s">
        <v>46</v>
      </c>
      <c r="AG119">
        <v>4</v>
      </c>
      <c r="AH119">
        <v>8</v>
      </c>
      <c r="AI119" t="s">
        <v>52</v>
      </c>
      <c r="AK119">
        <v>0</v>
      </c>
      <c r="AM119">
        <v>0</v>
      </c>
      <c r="AP119" t="s">
        <v>389</v>
      </c>
    </row>
    <row r="120" spans="1:42" customFormat="1">
      <c r="A120">
        <v>268045</v>
      </c>
      <c r="B120" t="s">
        <v>1334</v>
      </c>
      <c r="C120" t="s">
        <v>1335</v>
      </c>
      <c r="D120" s="22">
        <v>0</v>
      </c>
      <c r="E120" s="17">
        <v>42129</v>
      </c>
      <c r="F120" s="18">
        <v>0.58078703703703705</v>
      </c>
      <c r="G120" s="22">
        <v>137.38</v>
      </c>
      <c r="H120">
        <v>0</v>
      </c>
      <c r="I120" s="19" t="e">
        <f>I119 + (D120-G120)</f>
        <v>#VALUE!</v>
      </c>
      <c r="M120">
        <v>122419</v>
      </c>
      <c r="N120">
        <v>7</v>
      </c>
      <c r="O120" t="s">
        <v>44</v>
      </c>
      <c r="P120">
        <v>1</v>
      </c>
      <c r="R120">
        <v>506</v>
      </c>
      <c r="S120" s="17">
        <v>42130</v>
      </c>
      <c r="T120" s="17">
        <v>42130</v>
      </c>
      <c r="W120">
        <v>2015</v>
      </c>
      <c r="X120">
        <v>7</v>
      </c>
      <c r="AC120" t="s">
        <v>100</v>
      </c>
      <c r="AD120" t="s">
        <v>302</v>
      </c>
      <c r="AE120" t="s">
        <v>46</v>
      </c>
      <c r="AG120">
        <v>4</v>
      </c>
      <c r="AH120">
        <v>8</v>
      </c>
      <c r="AI120" t="s">
        <v>52</v>
      </c>
      <c r="AK120">
        <v>0</v>
      </c>
      <c r="AM120">
        <v>0</v>
      </c>
      <c r="AP120" t="s">
        <v>389</v>
      </c>
    </row>
    <row r="121" spans="1:42" customFormat="1">
      <c r="A121">
        <v>268084</v>
      </c>
      <c r="B121" t="s">
        <v>1351</v>
      </c>
      <c r="C121" t="s">
        <v>1352</v>
      </c>
      <c r="D121" s="22">
        <v>0</v>
      </c>
      <c r="E121" s="17">
        <v>42129</v>
      </c>
      <c r="F121" s="18">
        <v>0.60675925925925933</v>
      </c>
      <c r="G121" s="22">
        <v>249.61</v>
      </c>
      <c r="H121">
        <v>0</v>
      </c>
      <c r="I121" s="19" t="e">
        <f>I120 + (D121-G121)</f>
        <v>#VALUE!</v>
      </c>
      <c r="M121">
        <v>122424</v>
      </c>
      <c r="N121">
        <v>7</v>
      </c>
      <c r="O121" t="s">
        <v>44</v>
      </c>
      <c r="P121">
        <v>1</v>
      </c>
      <c r="R121">
        <v>506</v>
      </c>
      <c r="S121" s="17">
        <v>42130</v>
      </c>
      <c r="T121" s="17">
        <v>42130</v>
      </c>
      <c r="W121">
        <v>2015</v>
      </c>
      <c r="X121">
        <v>7</v>
      </c>
      <c r="AC121" t="s">
        <v>100</v>
      </c>
      <c r="AD121" t="s">
        <v>302</v>
      </c>
      <c r="AE121" t="s">
        <v>46</v>
      </c>
      <c r="AG121">
        <v>27</v>
      </c>
      <c r="AH121">
        <v>9</v>
      </c>
      <c r="AI121" t="s">
        <v>54</v>
      </c>
      <c r="AK121">
        <v>0</v>
      </c>
      <c r="AM121">
        <v>0</v>
      </c>
      <c r="AP121" t="s">
        <v>1337</v>
      </c>
    </row>
    <row r="122" spans="1:42" customFormat="1">
      <c r="A122">
        <v>269829</v>
      </c>
      <c r="B122" t="s">
        <v>1353</v>
      </c>
      <c r="C122" t="s">
        <v>1354</v>
      </c>
      <c r="D122" s="22">
        <v>0</v>
      </c>
      <c r="E122" s="17">
        <v>42129</v>
      </c>
      <c r="F122" s="18">
        <v>0.60685185185185186</v>
      </c>
      <c r="G122" s="22">
        <v>4826.2299999999996</v>
      </c>
      <c r="H122">
        <v>0</v>
      </c>
      <c r="I122" s="19" t="e">
        <f>I121 + (D122-G122)</f>
        <v>#VALUE!</v>
      </c>
      <c r="M122">
        <v>122425</v>
      </c>
      <c r="N122">
        <v>24</v>
      </c>
      <c r="O122" t="s">
        <v>68</v>
      </c>
      <c r="P122">
        <v>1</v>
      </c>
      <c r="R122">
        <v>506</v>
      </c>
      <c r="S122" s="17">
        <v>42137</v>
      </c>
      <c r="T122" s="17">
        <v>42137</v>
      </c>
      <c r="W122">
        <v>2015</v>
      </c>
      <c r="X122">
        <v>24</v>
      </c>
      <c r="AC122" t="s">
        <v>100</v>
      </c>
      <c r="AD122" t="s">
        <v>302</v>
      </c>
      <c r="AE122" t="s">
        <v>46</v>
      </c>
      <c r="AG122">
        <v>27</v>
      </c>
      <c r="AH122">
        <v>9</v>
      </c>
      <c r="AI122" t="s">
        <v>54</v>
      </c>
      <c r="AK122">
        <v>0</v>
      </c>
      <c r="AM122">
        <v>0</v>
      </c>
      <c r="AP122" t="s">
        <v>1337</v>
      </c>
    </row>
    <row r="123" spans="1:42" customFormat="1">
      <c r="A123">
        <v>268085</v>
      </c>
      <c r="B123" t="s">
        <v>1355</v>
      </c>
      <c r="C123" t="s">
        <v>1356</v>
      </c>
      <c r="D123" s="22">
        <v>0</v>
      </c>
      <c r="E123" s="17">
        <v>42129</v>
      </c>
      <c r="F123" s="18">
        <v>0.609375</v>
      </c>
      <c r="G123" s="22">
        <v>50.39</v>
      </c>
      <c r="H123">
        <v>0</v>
      </c>
      <c r="I123" s="19" t="e">
        <f>I122 + (D123-G123)</f>
        <v>#VALUE!</v>
      </c>
      <c r="M123">
        <v>122426</v>
      </c>
      <c r="N123">
        <v>60</v>
      </c>
      <c r="O123" t="s">
        <v>60</v>
      </c>
      <c r="P123">
        <v>1</v>
      </c>
      <c r="R123">
        <v>506</v>
      </c>
      <c r="S123" s="17">
        <v>42130</v>
      </c>
      <c r="T123" s="17">
        <v>42130</v>
      </c>
      <c r="W123">
        <v>2015</v>
      </c>
      <c r="X123">
        <v>60</v>
      </c>
      <c r="AC123" t="s">
        <v>100</v>
      </c>
      <c r="AD123" t="s">
        <v>302</v>
      </c>
      <c r="AE123" t="s">
        <v>46</v>
      </c>
      <c r="AG123">
        <v>45</v>
      </c>
      <c r="AH123">
        <v>9</v>
      </c>
      <c r="AI123" t="s">
        <v>54</v>
      </c>
      <c r="AK123">
        <v>0</v>
      </c>
      <c r="AM123">
        <v>0</v>
      </c>
      <c r="AP123" t="s">
        <v>1357</v>
      </c>
    </row>
    <row r="124" spans="1:42" customFormat="1">
      <c r="A124">
        <v>269831</v>
      </c>
      <c r="B124" t="s">
        <v>2683</v>
      </c>
      <c r="C124" t="s">
        <v>2684</v>
      </c>
      <c r="D124" s="22">
        <v>0</v>
      </c>
      <c r="E124" s="17">
        <v>42135</v>
      </c>
      <c r="F124" s="18">
        <v>0.61563657407407402</v>
      </c>
      <c r="G124" s="22">
        <v>1352.19</v>
      </c>
      <c r="H124">
        <v>0</v>
      </c>
      <c r="I124" s="19" t="e">
        <f>I123 + (D124-G124)</f>
        <v>#VALUE!</v>
      </c>
      <c r="M124">
        <v>123283</v>
      </c>
      <c r="N124">
        <v>24</v>
      </c>
      <c r="O124" t="s">
        <v>68</v>
      </c>
      <c r="P124">
        <v>1</v>
      </c>
      <c r="R124">
        <v>506</v>
      </c>
      <c r="S124" s="17">
        <v>42137</v>
      </c>
      <c r="T124" s="17">
        <v>42137</v>
      </c>
      <c r="W124">
        <v>2015</v>
      </c>
      <c r="X124">
        <v>24</v>
      </c>
      <c r="AC124" t="s">
        <v>100</v>
      </c>
      <c r="AD124" t="s">
        <v>302</v>
      </c>
      <c r="AE124" t="s">
        <v>46</v>
      </c>
      <c r="AG124">
        <v>27</v>
      </c>
      <c r="AH124">
        <v>9</v>
      </c>
      <c r="AI124" t="s">
        <v>54</v>
      </c>
      <c r="AK124">
        <v>0</v>
      </c>
      <c r="AM124">
        <v>0</v>
      </c>
      <c r="AP124" t="s">
        <v>1337</v>
      </c>
    </row>
    <row r="125" spans="1:42" customFormat="1">
      <c r="A125">
        <v>269970</v>
      </c>
      <c r="B125" t="s">
        <v>3195</v>
      </c>
      <c r="C125" t="s">
        <v>3196</v>
      </c>
      <c r="D125" s="22">
        <v>0</v>
      </c>
      <c r="E125" s="17">
        <v>42138</v>
      </c>
      <c r="F125" s="18">
        <v>0.58410879629629631</v>
      </c>
      <c r="G125" s="22">
        <v>1806</v>
      </c>
      <c r="H125">
        <v>0</v>
      </c>
      <c r="I125" s="19" t="e">
        <f>I124 + (D125-G125)</f>
        <v>#VALUE!</v>
      </c>
      <c r="M125">
        <v>123409</v>
      </c>
      <c r="N125">
        <v>24</v>
      </c>
      <c r="O125" t="s">
        <v>68</v>
      </c>
      <c r="P125">
        <v>1</v>
      </c>
      <c r="R125">
        <v>506</v>
      </c>
      <c r="S125" s="17">
        <v>42139</v>
      </c>
      <c r="T125" s="17">
        <v>42139</v>
      </c>
      <c r="W125">
        <v>2015</v>
      </c>
      <c r="X125">
        <v>24</v>
      </c>
      <c r="AC125" t="s">
        <v>100</v>
      </c>
      <c r="AD125" t="s">
        <v>302</v>
      </c>
      <c r="AE125" t="s">
        <v>46</v>
      </c>
      <c r="AG125">
        <v>27</v>
      </c>
      <c r="AH125">
        <v>9</v>
      </c>
      <c r="AI125" t="s">
        <v>54</v>
      </c>
      <c r="AK125">
        <v>0</v>
      </c>
      <c r="AM125">
        <v>0</v>
      </c>
      <c r="AP125" t="s">
        <v>1337</v>
      </c>
    </row>
    <row r="126" spans="1:42" customFormat="1">
      <c r="A126">
        <v>270452</v>
      </c>
      <c r="B126" t="s">
        <v>3225</v>
      </c>
      <c r="C126" t="s">
        <v>3226</v>
      </c>
      <c r="D126" s="22">
        <v>0</v>
      </c>
      <c r="E126" s="17">
        <v>42139</v>
      </c>
      <c r="F126" s="18">
        <v>0.36336805555555557</v>
      </c>
      <c r="G126" s="22">
        <v>478.54</v>
      </c>
      <c r="H126">
        <v>0</v>
      </c>
      <c r="I126" s="19" t="e">
        <f>I125 + (D126-G126)</f>
        <v>#VALUE!</v>
      </c>
      <c r="M126">
        <v>123657</v>
      </c>
      <c r="N126">
        <v>24</v>
      </c>
      <c r="O126" t="s">
        <v>68</v>
      </c>
      <c r="P126">
        <v>1</v>
      </c>
      <c r="R126">
        <v>506</v>
      </c>
      <c r="S126" s="17">
        <v>42145</v>
      </c>
      <c r="T126" s="17">
        <v>42145</v>
      </c>
      <c r="W126">
        <v>2015</v>
      </c>
      <c r="X126">
        <v>24</v>
      </c>
      <c r="AC126" t="s">
        <v>100</v>
      </c>
      <c r="AD126" t="s">
        <v>302</v>
      </c>
      <c r="AE126" t="s">
        <v>46</v>
      </c>
      <c r="AG126">
        <v>42</v>
      </c>
      <c r="AH126">
        <v>9</v>
      </c>
      <c r="AI126" t="s">
        <v>54</v>
      </c>
      <c r="AK126">
        <v>0</v>
      </c>
      <c r="AM126">
        <v>0</v>
      </c>
      <c r="AP126" t="s">
        <v>1602</v>
      </c>
    </row>
    <row r="127" spans="1:42" customFormat="1">
      <c r="A127">
        <v>270461</v>
      </c>
      <c r="B127" t="s">
        <v>3227</v>
      </c>
      <c r="C127" t="s">
        <v>3228</v>
      </c>
      <c r="D127" s="22">
        <v>0</v>
      </c>
      <c r="E127" s="17">
        <v>42139</v>
      </c>
      <c r="F127" s="18">
        <v>0.37807870370370367</v>
      </c>
      <c r="G127" s="22">
        <v>10251.33</v>
      </c>
      <c r="H127">
        <v>0</v>
      </c>
      <c r="I127" s="19" t="e">
        <f>I126 + (D127-G127)</f>
        <v>#VALUE!</v>
      </c>
      <c r="M127">
        <v>123661</v>
      </c>
      <c r="N127">
        <v>24</v>
      </c>
      <c r="O127" t="s">
        <v>68</v>
      </c>
      <c r="P127">
        <v>1</v>
      </c>
      <c r="R127">
        <v>506</v>
      </c>
      <c r="S127" s="17">
        <v>42145</v>
      </c>
      <c r="T127" s="17">
        <v>42145</v>
      </c>
      <c r="W127">
        <v>2015</v>
      </c>
      <c r="X127">
        <v>24</v>
      </c>
      <c r="AC127" t="s">
        <v>100</v>
      </c>
      <c r="AD127" t="s">
        <v>302</v>
      </c>
      <c r="AE127" t="s">
        <v>46</v>
      </c>
      <c r="AG127">
        <v>52</v>
      </c>
      <c r="AH127">
        <v>9</v>
      </c>
      <c r="AI127" t="s">
        <v>54</v>
      </c>
      <c r="AK127">
        <v>0</v>
      </c>
      <c r="AM127">
        <v>0</v>
      </c>
      <c r="AP127" t="s">
        <v>325</v>
      </c>
    </row>
    <row r="128" spans="1:42" customFormat="1">
      <c r="A128">
        <v>270488</v>
      </c>
      <c r="B128" t="s">
        <v>3276</v>
      </c>
      <c r="C128" t="s">
        <v>3277</v>
      </c>
      <c r="D128" s="22">
        <v>0</v>
      </c>
      <c r="E128" s="17">
        <v>42139</v>
      </c>
      <c r="F128" s="18">
        <v>0.39012731481481483</v>
      </c>
      <c r="G128" s="22">
        <v>15758.97</v>
      </c>
      <c r="H128">
        <v>0</v>
      </c>
      <c r="I128" s="19" t="e">
        <f>I127 + (D128-G128)</f>
        <v>#VALUE!</v>
      </c>
      <c r="M128">
        <v>123690</v>
      </c>
      <c r="N128">
        <v>7</v>
      </c>
      <c r="O128" t="s">
        <v>44</v>
      </c>
      <c r="P128">
        <v>1</v>
      </c>
      <c r="R128">
        <v>506</v>
      </c>
      <c r="S128" s="17">
        <v>42145</v>
      </c>
      <c r="T128" s="17">
        <v>42145</v>
      </c>
      <c r="W128">
        <v>2015</v>
      </c>
      <c r="X128">
        <v>7</v>
      </c>
      <c r="AC128" t="s">
        <v>100</v>
      </c>
      <c r="AD128" t="s">
        <v>302</v>
      </c>
      <c r="AE128" t="s">
        <v>46</v>
      </c>
      <c r="AG128">
        <v>26</v>
      </c>
      <c r="AH128">
        <v>9</v>
      </c>
      <c r="AI128" t="s">
        <v>54</v>
      </c>
      <c r="AK128">
        <v>0</v>
      </c>
      <c r="AM128">
        <v>0</v>
      </c>
      <c r="AP128" t="s">
        <v>501</v>
      </c>
    </row>
    <row r="129" spans="1:42" customFormat="1">
      <c r="A129">
        <v>270615</v>
      </c>
      <c r="B129" t="s">
        <v>3403</v>
      </c>
      <c r="C129" t="s">
        <v>3404</v>
      </c>
      <c r="D129" s="22">
        <v>0</v>
      </c>
      <c r="E129" s="17">
        <v>42139</v>
      </c>
      <c r="F129" s="18">
        <v>0.42834490740740744</v>
      </c>
      <c r="G129" s="22">
        <v>6230.08</v>
      </c>
      <c r="H129">
        <v>0</v>
      </c>
      <c r="I129" s="19" t="e">
        <f>I128 + (D129-G129)</f>
        <v>#VALUE!</v>
      </c>
      <c r="M129">
        <v>123784</v>
      </c>
      <c r="N129">
        <v>24</v>
      </c>
      <c r="O129" t="s">
        <v>68</v>
      </c>
      <c r="P129">
        <v>1</v>
      </c>
      <c r="R129">
        <v>506</v>
      </c>
      <c r="S129" s="17">
        <v>42145</v>
      </c>
      <c r="T129" s="17">
        <v>42145</v>
      </c>
      <c r="W129">
        <v>2015</v>
      </c>
      <c r="X129">
        <v>24</v>
      </c>
      <c r="AC129" t="s">
        <v>100</v>
      </c>
      <c r="AD129" t="s">
        <v>302</v>
      </c>
      <c r="AE129" t="s">
        <v>46</v>
      </c>
      <c r="AG129">
        <v>4</v>
      </c>
      <c r="AH129">
        <v>9</v>
      </c>
      <c r="AI129" t="s">
        <v>54</v>
      </c>
      <c r="AK129">
        <v>0</v>
      </c>
      <c r="AM129">
        <v>0</v>
      </c>
      <c r="AP129" t="s">
        <v>389</v>
      </c>
    </row>
    <row r="130" spans="1:42" customFormat="1">
      <c r="A130">
        <v>273974</v>
      </c>
      <c r="B130" t="s">
        <v>5016</v>
      </c>
      <c r="C130" t="s">
        <v>5017</v>
      </c>
      <c r="D130" s="22">
        <v>0</v>
      </c>
      <c r="E130" s="17">
        <v>42151</v>
      </c>
      <c r="F130" s="18">
        <v>0.67896990740740737</v>
      </c>
      <c r="G130" s="22">
        <v>930</v>
      </c>
      <c r="H130">
        <v>0</v>
      </c>
      <c r="I130" s="19" t="e">
        <f>I129 + (D130-G130)</f>
        <v>#VALUE!</v>
      </c>
      <c r="M130">
        <v>127346</v>
      </c>
      <c r="N130">
        <v>24</v>
      </c>
      <c r="O130" t="s">
        <v>68</v>
      </c>
      <c r="P130">
        <v>1</v>
      </c>
      <c r="R130">
        <v>506</v>
      </c>
      <c r="S130" s="17">
        <v>42179</v>
      </c>
      <c r="T130" s="17">
        <v>42179</v>
      </c>
      <c r="W130">
        <v>2015</v>
      </c>
      <c r="X130">
        <v>24</v>
      </c>
      <c r="AC130" t="s">
        <v>100</v>
      </c>
      <c r="AD130" t="s">
        <v>302</v>
      </c>
      <c r="AE130" t="s">
        <v>46</v>
      </c>
      <c r="AG130">
        <v>27</v>
      </c>
      <c r="AH130">
        <v>9</v>
      </c>
      <c r="AI130" t="s">
        <v>54</v>
      </c>
      <c r="AK130">
        <v>0</v>
      </c>
      <c r="AM130">
        <v>0</v>
      </c>
      <c r="AP130" t="s">
        <v>1337</v>
      </c>
    </row>
    <row r="131" spans="1:42" customFormat="1">
      <c r="A131">
        <v>273113</v>
      </c>
      <c r="B131" t="s">
        <v>102</v>
      </c>
      <c r="C131" t="s">
        <v>5026</v>
      </c>
      <c r="D131" s="22">
        <v>1000</v>
      </c>
      <c r="E131" s="17">
        <v>42152</v>
      </c>
      <c r="F131" s="18">
        <v>0.3810648148148148</v>
      </c>
      <c r="G131" s="22">
        <v>0</v>
      </c>
      <c r="H131">
        <v>0</v>
      </c>
      <c r="I131" s="19" t="e">
        <f>I130 + (D131-G131)</f>
        <v>#VALUE!</v>
      </c>
      <c r="N131">
        <v>24</v>
      </c>
      <c r="O131" t="s">
        <v>68</v>
      </c>
      <c r="P131">
        <v>1</v>
      </c>
      <c r="R131">
        <v>506</v>
      </c>
      <c r="S131" s="17">
        <v>42171</v>
      </c>
      <c r="T131" s="17">
        <v>42171</v>
      </c>
      <c r="W131">
        <v>2015</v>
      </c>
      <c r="X131">
        <v>24</v>
      </c>
      <c r="AC131" t="s">
        <v>100</v>
      </c>
      <c r="AD131" t="s">
        <v>302</v>
      </c>
      <c r="AE131" t="s">
        <v>46</v>
      </c>
      <c r="AG131">
        <v>2</v>
      </c>
      <c r="AH131">
        <v>9</v>
      </c>
      <c r="AI131" t="s">
        <v>54</v>
      </c>
      <c r="AM131">
        <v>0</v>
      </c>
      <c r="AP131" t="s">
        <v>2544</v>
      </c>
    </row>
    <row r="132" spans="1:42" customFormat="1">
      <c r="A132">
        <v>271824</v>
      </c>
      <c r="B132" t="s">
        <v>5321</v>
      </c>
      <c r="C132" t="s">
        <v>5322</v>
      </c>
      <c r="D132" s="22">
        <v>0</v>
      </c>
      <c r="E132" s="17">
        <v>42153</v>
      </c>
      <c r="F132" s="18">
        <v>0.43202546296296296</v>
      </c>
      <c r="G132" s="22">
        <v>62590.48</v>
      </c>
      <c r="H132">
        <v>0</v>
      </c>
      <c r="I132" s="19" t="e">
        <f>I131 + (D132-G132)</f>
        <v>#VALUE!</v>
      </c>
      <c r="M132">
        <v>124556</v>
      </c>
      <c r="N132">
        <v>24</v>
      </c>
      <c r="O132" t="s">
        <v>68</v>
      </c>
      <c r="P132">
        <v>1</v>
      </c>
      <c r="R132">
        <v>506</v>
      </c>
      <c r="S132" s="17">
        <v>42160</v>
      </c>
      <c r="T132" s="17">
        <v>42160</v>
      </c>
      <c r="W132">
        <v>2015</v>
      </c>
      <c r="X132">
        <v>24</v>
      </c>
      <c r="AC132" t="s">
        <v>100</v>
      </c>
      <c r="AD132" t="s">
        <v>302</v>
      </c>
      <c r="AE132" t="s">
        <v>46</v>
      </c>
      <c r="AG132">
        <v>12</v>
      </c>
      <c r="AH132">
        <v>9</v>
      </c>
      <c r="AI132" t="s">
        <v>54</v>
      </c>
      <c r="AK132">
        <v>0</v>
      </c>
      <c r="AM132">
        <v>0</v>
      </c>
      <c r="AP132" t="s">
        <v>392</v>
      </c>
    </row>
    <row r="133" spans="1:42" customFormat="1">
      <c r="A133">
        <v>267660</v>
      </c>
      <c r="B133" t="s">
        <v>1229</v>
      </c>
      <c r="C133" t="s">
        <v>1230</v>
      </c>
      <c r="D133" s="22">
        <v>0</v>
      </c>
      <c r="E133" s="17">
        <v>42128</v>
      </c>
      <c r="F133" s="18">
        <v>0.73398148148148146</v>
      </c>
      <c r="G133" s="22">
        <v>100</v>
      </c>
      <c r="H133">
        <v>0</v>
      </c>
      <c r="I133" s="19" t="e">
        <f>I132 + (D133-G133)</f>
        <v>#VALUE!</v>
      </c>
      <c r="M133">
        <v>122358</v>
      </c>
      <c r="N133">
        <v>24</v>
      </c>
      <c r="O133" t="s">
        <v>68</v>
      </c>
      <c r="P133">
        <v>1</v>
      </c>
      <c r="R133">
        <v>512</v>
      </c>
      <c r="S133" s="17">
        <v>42129</v>
      </c>
      <c r="T133" s="17">
        <v>42129</v>
      </c>
      <c r="W133">
        <v>2015</v>
      </c>
      <c r="X133">
        <v>24</v>
      </c>
      <c r="AC133" t="s">
        <v>124</v>
      </c>
      <c r="AD133" t="s">
        <v>301</v>
      </c>
      <c r="AE133" t="s">
        <v>46</v>
      </c>
      <c r="AG133">
        <v>56</v>
      </c>
      <c r="AH133">
        <v>1</v>
      </c>
      <c r="AI133" t="s">
        <v>58</v>
      </c>
      <c r="AK133">
        <v>0</v>
      </c>
      <c r="AM133">
        <v>0</v>
      </c>
      <c r="AP133" t="s">
        <v>59</v>
      </c>
    </row>
    <row r="134" spans="1:42" customFormat="1">
      <c r="A134">
        <v>267663</v>
      </c>
      <c r="B134" t="s">
        <v>1231</v>
      </c>
      <c r="C134" t="s">
        <v>1232</v>
      </c>
      <c r="D134" s="22">
        <v>0</v>
      </c>
      <c r="E134" s="17">
        <v>42128</v>
      </c>
      <c r="F134" s="18">
        <v>0.7350578703703704</v>
      </c>
      <c r="G134" s="22">
        <v>100</v>
      </c>
      <c r="H134">
        <v>0</v>
      </c>
      <c r="I134" s="19" t="e">
        <f>I133 + (D134-G134)</f>
        <v>#VALUE!</v>
      </c>
      <c r="M134">
        <v>122359</v>
      </c>
      <c r="N134">
        <v>24</v>
      </c>
      <c r="O134" t="s">
        <v>68</v>
      </c>
      <c r="P134">
        <v>1</v>
      </c>
      <c r="R134">
        <v>512</v>
      </c>
      <c r="S134" s="17">
        <v>42129</v>
      </c>
      <c r="T134" s="17">
        <v>42129</v>
      </c>
      <c r="W134">
        <v>2015</v>
      </c>
      <c r="X134">
        <v>24</v>
      </c>
      <c r="AC134" t="s">
        <v>124</v>
      </c>
      <c r="AD134" t="s">
        <v>301</v>
      </c>
      <c r="AE134" t="s">
        <v>46</v>
      </c>
      <c r="AG134">
        <v>56</v>
      </c>
      <c r="AH134">
        <v>1</v>
      </c>
      <c r="AI134" t="s">
        <v>58</v>
      </c>
      <c r="AK134">
        <v>0</v>
      </c>
      <c r="AM134">
        <v>0</v>
      </c>
      <c r="AP134" t="s">
        <v>59</v>
      </c>
    </row>
    <row r="135" spans="1:42" customFormat="1">
      <c r="A135">
        <v>269736</v>
      </c>
      <c r="B135" t="s">
        <v>2103</v>
      </c>
      <c r="C135" t="s">
        <v>2104</v>
      </c>
      <c r="D135" s="22">
        <v>0</v>
      </c>
      <c r="E135" s="17">
        <v>42132</v>
      </c>
      <c r="F135" s="18">
        <v>0.41486111111111112</v>
      </c>
      <c r="G135" s="22">
        <v>100</v>
      </c>
      <c r="H135">
        <v>0</v>
      </c>
      <c r="I135" s="19" t="e">
        <f>I134 + (D135-G135)</f>
        <v>#VALUE!</v>
      </c>
      <c r="M135">
        <v>123243</v>
      </c>
      <c r="N135">
        <v>24</v>
      </c>
      <c r="O135" t="s">
        <v>68</v>
      </c>
      <c r="P135">
        <v>1</v>
      </c>
      <c r="R135">
        <v>512</v>
      </c>
      <c r="S135" s="17">
        <v>42137</v>
      </c>
      <c r="T135" s="17">
        <v>42137</v>
      </c>
      <c r="W135">
        <v>2015</v>
      </c>
      <c r="X135">
        <v>24</v>
      </c>
      <c r="AC135" t="s">
        <v>124</v>
      </c>
      <c r="AD135" t="s">
        <v>301</v>
      </c>
      <c r="AE135" t="s">
        <v>46</v>
      </c>
      <c r="AG135">
        <v>56</v>
      </c>
      <c r="AH135">
        <v>1</v>
      </c>
      <c r="AI135" t="s">
        <v>58</v>
      </c>
      <c r="AK135">
        <v>0</v>
      </c>
      <c r="AM135">
        <v>0</v>
      </c>
      <c r="AP135" t="s">
        <v>59</v>
      </c>
    </row>
    <row r="136" spans="1:42" customFormat="1">
      <c r="A136">
        <v>269764</v>
      </c>
      <c r="B136" t="s">
        <v>2194</v>
      </c>
      <c r="C136" t="s">
        <v>2195</v>
      </c>
      <c r="D136" s="22">
        <v>0</v>
      </c>
      <c r="E136" s="17">
        <v>42132</v>
      </c>
      <c r="F136" s="18">
        <v>0.46585648148148145</v>
      </c>
      <c r="G136" s="22">
        <v>100</v>
      </c>
      <c r="H136">
        <v>0</v>
      </c>
      <c r="I136" s="19" t="e">
        <f>I135 + (D136-G136)</f>
        <v>#VALUE!</v>
      </c>
      <c r="M136">
        <v>123270</v>
      </c>
      <c r="N136">
        <v>24</v>
      </c>
      <c r="O136" t="s">
        <v>68</v>
      </c>
      <c r="P136">
        <v>1</v>
      </c>
      <c r="R136">
        <v>512</v>
      </c>
      <c r="S136" s="17">
        <v>42137</v>
      </c>
      <c r="T136" s="17">
        <v>42137</v>
      </c>
      <c r="W136">
        <v>2015</v>
      </c>
      <c r="X136">
        <v>24</v>
      </c>
      <c r="AC136" t="s">
        <v>124</v>
      </c>
      <c r="AD136" t="s">
        <v>301</v>
      </c>
      <c r="AE136" t="s">
        <v>46</v>
      </c>
      <c r="AG136">
        <v>56</v>
      </c>
      <c r="AH136">
        <v>1</v>
      </c>
      <c r="AI136" t="s">
        <v>58</v>
      </c>
      <c r="AK136">
        <v>0</v>
      </c>
      <c r="AM136">
        <v>0</v>
      </c>
      <c r="AP136" t="s">
        <v>59</v>
      </c>
    </row>
    <row r="137" spans="1:42" customFormat="1">
      <c r="A137">
        <v>269755</v>
      </c>
      <c r="B137" t="s">
        <v>2338</v>
      </c>
      <c r="C137" t="s">
        <v>2339</v>
      </c>
      <c r="D137" s="22">
        <v>0</v>
      </c>
      <c r="E137" s="17">
        <v>42133</v>
      </c>
      <c r="F137" s="18">
        <v>0.4525925925925926</v>
      </c>
      <c r="G137" s="22">
        <v>50</v>
      </c>
      <c r="H137">
        <v>0</v>
      </c>
      <c r="I137" s="19" t="e">
        <f>I136 + (D137-G137)</f>
        <v>#VALUE!</v>
      </c>
      <c r="M137">
        <v>123260</v>
      </c>
      <c r="N137">
        <v>24</v>
      </c>
      <c r="O137" t="s">
        <v>68</v>
      </c>
      <c r="P137">
        <v>1</v>
      </c>
      <c r="R137">
        <v>512</v>
      </c>
      <c r="S137" s="17">
        <v>42137</v>
      </c>
      <c r="T137" s="17">
        <v>42137</v>
      </c>
      <c r="W137">
        <v>2015</v>
      </c>
      <c r="X137">
        <v>24</v>
      </c>
      <c r="AC137" t="s">
        <v>124</v>
      </c>
      <c r="AD137" t="s">
        <v>301</v>
      </c>
      <c r="AE137" t="s">
        <v>46</v>
      </c>
      <c r="AG137">
        <v>56</v>
      </c>
      <c r="AH137">
        <v>1</v>
      </c>
      <c r="AI137" t="s">
        <v>58</v>
      </c>
      <c r="AK137">
        <v>0</v>
      </c>
      <c r="AM137">
        <v>0</v>
      </c>
      <c r="AP137" t="s">
        <v>59</v>
      </c>
    </row>
    <row r="138" spans="1:42" customFormat="1">
      <c r="A138">
        <v>269754</v>
      </c>
      <c r="B138" t="s">
        <v>2529</v>
      </c>
      <c r="C138" t="s">
        <v>2530</v>
      </c>
      <c r="D138" s="22">
        <v>0</v>
      </c>
      <c r="E138" s="17">
        <v>42135</v>
      </c>
      <c r="F138" s="18">
        <v>0.45211805555555556</v>
      </c>
      <c r="G138" s="22">
        <v>100</v>
      </c>
      <c r="H138">
        <v>0</v>
      </c>
      <c r="I138" s="19" t="e">
        <f>I137 + (D138-G138)</f>
        <v>#VALUE!</v>
      </c>
      <c r="M138">
        <v>123259</v>
      </c>
      <c r="N138">
        <v>24</v>
      </c>
      <c r="O138" t="s">
        <v>68</v>
      </c>
      <c r="P138">
        <v>1</v>
      </c>
      <c r="R138">
        <v>512</v>
      </c>
      <c r="S138" s="17">
        <v>42137</v>
      </c>
      <c r="T138" s="17">
        <v>42137</v>
      </c>
      <c r="W138">
        <v>2015</v>
      </c>
      <c r="X138">
        <v>24</v>
      </c>
      <c r="AC138" t="s">
        <v>124</v>
      </c>
      <c r="AD138" t="s">
        <v>301</v>
      </c>
      <c r="AE138" t="s">
        <v>46</v>
      </c>
      <c r="AG138">
        <v>56</v>
      </c>
      <c r="AH138">
        <v>1</v>
      </c>
      <c r="AI138" t="s">
        <v>58</v>
      </c>
      <c r="AK138">
        <v>0</v>
      </c>
      <c r="AM138">
        <v>0</v>
      </c>
      <c r="AP138" t="s">
        <v>59</v>
      </c>
    </row>
    <row r="139" spans="1:42" customFormat="1">
      <c r="A139">
        <v>270215</v>
      </c>
      <c r="B139" t="s">
        <v>3574</v>
      </c>
      <c r="C139" t="s">
        <v>3575</v>
      </c>
      <c r="D139" s="22">
        <v>0</v>
      </c>
      <c r="E139" s="17">
        <v>42142</v>
      </c>
      <c r="F139" s="18">
        <v>0.66907407407407404</v>
      </c>
      <c r="G139" s="22">
        <v>70</v>
      </c>
      <c r="H139">
        <v>0</v>
      </c>
      <c r="I139" s="19" t="e">
        <f>I138 + (D139-G139)</f>
        <v>#VALUE!</v>
      </c>
      <c r="M139">
        <v>123564</v>
      </c>
      <c r="N139">
        <v>24</v>
      </c>
      <c r="O139" t="s">
        <v>68</v>
      </c>
      <c r="P139">
        <v>1</v>
      </c>
      <c r="R139">
        <v>512</v>
      </c>
      <c r="S139" s="17">
        <v>42142</v>
      </c>
      <c r="T139" s="17">
        <v>42142</v>
      </c>
      <c r="W139">
        <v>2015</v>
      </c>
      <c r="X139">
        <v>24</v>
      </c>
      <c r="AC139" t="s">
        <v>124</v>
      </c>
      <c r="AD139" t="s">
        <v>301</v>
      </c>
      <c r="AE139" t="s">
        <v>46</v>
      </c>
      <c r="AG139">
        <v>56</v>
      </c>
      <c r="AH139">
        <v>1</v>
      </c>
      <c r="AI139" t="s">
        <v>58</v>
      </c>
      <c r="AK139">
        <v>0</v>
      </c>
      <c r="AM139">
        <v>0</v>
      </c>
      <c r="AP139" t="s">
        <v>59</v>
      </c>
    </row>
    <row r="140" spans="1:42" customFormat="1">
      <c r="A140">
        <v>270680</v>
      </c>
      <c r="B140" t="s">
        <v>3583</v>
      </c>
      <c r="C140" t="s">
        <v>3584</v>
      </c>
      <c r="D140" s="22">
        <v>0</v>
      </c>
      <c r="E140" s="17">
        <v>42142</v>
      </c>
      <c r="F140" s="18">
        <v>0.70942129629629624</v>
      </c>
      <c r="G140" s="22">
        <v>100</v>
      </c>
      <c r="H140">
        <v>0</v>
      </c>
      <c r="I140" s="19" t="e">
        <f>I139 + (D140-G140)</f>
        <v>#VALUE!</v>
      </c>
      <c r="M140">
        <v>123829</v>
      </c>
      <c r="N140">
        <v>24</v>
      </c>
      <c r="O140" t="s">
        <v>68</v>
      </c>
      <c r="P140">
        <v>1</v>
      </c>
      <c r="R140">
        <v>512</v>
      </c>
      <c r="S140" s="17">
        <v>42145</v>
      </c>
      <c r="T140" s="17">
        <v>42145</v>
      </c>
      <c r="W140">
        <v>2015</v>
      </c>
      <c r="X140">
        <v>24</v>
      </c>
      <c r="AC140" t="s">
        <v>124</v>
      </c>
      <c r="AD140" t="s">
        <v>301</v>
      </c>
      <c r="AE140" t="s">
        <v>46</v>
      </c>
      <c r="AG140">
        <v>56</v>
      </c>
      <c r="AH140">
        <v>1</v>
      </c>
      <c r="AI140" t="s">
        <v>58</v>
      </c>
      <c r="AK140">
        <v>0</v>
      </c>
      <c r="AM140">
        <v>0</v>
      </c>
      <c r="AP140" t="s">
        <v>59</v>
      </c>
    </row>
    <row r="141" spans="1:42" customFormat="1">
      <c r="A141">
        <v>270677</v>
      </c>
      <c r="B141" t="s">
        <v>3776</v>
      </c>
      <c r="C141" t="s">
        <v>3777</v>
      </c>
      <c r="D141" s="22">
        <v>0</v>
      </c>
      <c r="E141" s="17">
        <v>42143</v>
      </c>
      <c r="F141" s="18">
        <v>0.60003472222222221</v>
      </c>
      <c r="G141" s="22">
        <v>100</v>
      </c>
      <c r="H141">
        <v>0</v>
      </c>
      <c r="I141" s="19" t="e">
        <f>I140 + (D141-G141)</f>
        <v>#VALUE!</v>
      </c>
      <c r="M141">
        <v>123822</v>
      </c>
      <c r="N141">
        <v>24</v>
      </c>
      <c r="O141" t="s">
        <v>68</v>
      </c>
      <c r="P141">
        <v>1</v>
      </c>
      <c r="R141">
        <v>512</v>
      </c>
      <c r="S141" s="17">
        <v>42145</v>
      </c>
      <c r="T141" s="17">
        <v>42145</v>
      </c>
      <c r="W141">
        <v>2015</v>
      </c>
      <c r="X141">
        <v>24</v>
      </c>
      <c r="AC141" t="s">
        <v>124</v>
      </c>
      <c r="AD141" t="s">
        <v>301</v>
      </c>
      <c r="AE141" t="s">
        <v>46</v>
      </c>
      <c r="AG141">
        <v>56</v>
      </c>
      <c r="AH141">
        <v>1</v>
      </c>
      <c r="AI141" t="s">
        <v>58</v>
      </c>
      <c r="AK141">
        <v>0</v>
      </c>
      <c r="AM141">
        <v>0</v>
      </c>
      <c r="AP141" t="s">
        <v>59</v>
      </c>
    </row>
    <row r="142" spans="1:42" customFormat="1">
      <c r="A142">
        <v>270925</v>
      </c>
      <c r="B142" t="s">
        <v>3924</v>
      </c>
      <c r="C142" t="s">
        <v>3925</v>
      </c>
      <c r="D142" s="22">
        <v>0</v>
      </c>
      <c r="E142" s="17">
        <v>42145</v>
      </c>
      <c r="F142" s="18">
        <v>0.38349537037037035</v>
      </c>
      <c r="G142" s="22">
        <v>100</v>
      </c>
      <c r="H142">
        <v>0</v>
      </c>
      <c r="I142" s="19" t="e">
        <f>I141 + (D142-G142)</f>
        <v>#VALUE!</v>
      </c>
      <c r="M142">
        <v>123964</v>
      </c>
      <c r="N142">
        <v>24</v>
      </c>
      <c r="O142" t="s">
        <v>68</v>
      </c>
      <c r="P142">
        <v>1</v>
      </c>
      <c r="R142">
        <v>512</v>
      </c>
      <c r="S142" s="17">
        <v>42149</v>
      </c>
      <c r="T142" s="17">
        <v>42149</v>
      </c>
      <c r="W142">
        <v>2015</v>
      </c>
      <c r="X142">
        <v>24</v>
      </c>
      <c r="AC142" t="s">
        <v>124</v>
      </c>
      <c r="AD142" t="s">
        <v>301</v>
      </c>
      <c r="AE142" t="s">
        <v>46</v>
      </c>
      <c r="AG142">
        <v>56</v>
      </c>
      <c r="AH142">
        <v>1</v>
      </c>
      <c r="AI142" t="s">
        <v>58</v>
      </c>
      <c r="AK142">
        <v>0</v>
      </c>
      <c r="AM142">
        <v>0</v>
      </c>
      <c r="AP142" t="s">
        <v>59</v>
      </c>
    </row>
    <row r="143" spans="1:42" customFormat="1">
      <c r="A143">
        <v>271413</v>
      </c>
      <c r="B143" t="s">
        <v>4727</v>
      </c>
      <c r="C143" t="s">
        <v>4728</v>
      </c>
      <c r="D143" s="22">
        <v>0</v>
      </c>
      <c r="E143" s="17">
        <v>42150</v>
      </c>
      <c r="F143" s="18">
        <v>0.39031250000000001</v>
      </c>
      <c r="G143" s="22">
        <v>100</v>
      </c>
      <c r="H143">
        <v>0</v>
      </c>
      <c r="I143" s="19" t="e">
        <f>I142 + (D143-G143)</f>
        <v>#VALUE!</v>
      </c>
      <c r="M143">
        <v>124271</v>
      </c>
      <c r="N143">
        <v>24</v>
      </c>
      <c r="O143" t="s">
        <v>68</v>
      </c>
      <c r="P143">
        <v>1</v>
      </c>
      <c r="R143">
        <v>512</v>
      </c>
      <c r="S143" s="17">
        <v>42152</v>
      </c>
      <c r="T143" s="17">
        <v>42152</v>
      </c>
      <c r="W143">
        <v>2015</v>
      </c>
      <c r="X143">
        <v>24</v>
      </c>
      <c r="AC143" t="s">
        <v>124</v>
      </c>
      <c r="AD143" t="s">
        <v>301</v>
      </c>
      <c r="AE143" t="s">
        <v>46</v>
      </c>
      <c r="AG143">
        <v>56</v>
      </c>
      <c r="AH143">
        <v>1</v>
      </c>
      <c r="AI143" t="s">
        <v>58</v>
      </c>
      <c r="AK143">
        <v>0</v>
      </c>
      <c r="AM143">
        <v>0</v>
      </c>
      <c r="AP143" t="s">
        <v>59</v>
      </c>
    </row>
    <row r="144" spans="1:42" customFormat="1">
      <c r="A144">
        <v>271560</v>
      </c>
      <c r="B144" t="s">
        <v>5038</v>
      </c>
      <c r="C144" t="s">
        <v>5039</v>
      </c>
      <c r="D144" s="22">
        <v>0</v>
      </c>
      <c r="E144" s="17">
        <v>42152</v>
      </c>
      <c r="F144" s="18">
        <v>0.41508101851851853</v>
      </c>
      <c r="G144" s="22">
        <v>100</v>
      </c>
      <c r="H144">
        <v>0</v>
      </c>
      <c r="I144" s="19" t="e">
        <f>I143 + (D144-G144)</f>
        <v>#VALUE!</v>
      </c>
      <c r="M144">
        <v>124399</v>
      </c>
      <c r="N144">
        <v>24</v>
      </c>
      <c r="O144" t="s">
        <v>68</v>
      </c>
      <c r="P144">
        <v>1</v>
      </c>
      <c r="R144">
        <v>512</v>
      </c>
      <c r="S144" s="17">
        <v>42157</v>
      </c>
      <c r="T144" s="17">
        <v>42157</v>
      </c>
      <c r="W144">
        <v>2015</v>
      </c>
      <c r="X144">
        <v>24</v>
      </c>
      <c r="AC144" t="s">
        <v>124</v>
      </c>
      <c r="AD144" t="s">
        <v>301</v>
      </c>
      <c r="AE144" t="s">
        <v>46</v>
      </c>
      <c r="AG144">
        <v>56</v>
      </c>
      <c r="AH144">
        <v>1</v>
      </c>
      <c r="AI144" t="s">
        <v>58</v>
      </c>
      <c r="AK144">
        <v>0</v>
      </c>
      <c r="AM144">
        <v>0</v>
      </c>
      <c r="AP144" t="s">
        <v>59</v>
      </c>
    </row>
    <row r="145" spans="1:42" customFormat="1">
      <c r="A145">
        <v>271561</v>
      </c>
      <c r="B145" t="s">
        <v>5040</v>
      </c>
      <c r="C145" t="s">
        <v>5041</v>
      </c>
      <c r="D145" s="22">
        <v>0</v>
      </c>
      <c r="E145" s="17">
        <v>42152</v>
      </c>
      <c r="F145" s="18">
        <v>0.41540509259259256</v>
      </c>
      <c r="G145" s="22">
        <v>80.02</v>
      </c>
      <c r="H145">
        <v>0</v>
      </c>
      <c r="I145" s="19" t="e">
        <f>I144 + (D145-G145)</f>
        <v>#VALUE!</v>
      </c>
      <c r="M145">
        <v>124400</v>
      </c>
      <c r="N145">
        <v>24</v>
      </c>
      <c r="O145" t="s">
        <v>68</v>
      </c>
      <c r="P145">
        <v>1</v>
      </c>
      <c r="R145">
        <v>512</v>
      </c>
      <c r="S145" s="17">
        <v>42157</v>
      </c>
      <c r="T145" s="17">
        <v>42157</v>
      </c>
      <c r="W145">
        <v>2015</v>
      </c>
      <c r="X145">
        <v>24</v>
      </c>
      <c r="AC145" t="s">
        <v>124</v>
      </c>
      <c r="AD145" t="s">
        <v>301</v>
      </c>
      <c r="AE145" t="s">
        <v>46</v>
      </c>
      <c r="AG145">
        <v>56</v>
      </c>
      <c r="AH145">
        <v>1</v>
      </c>
      <c r="AI145" t="s">
        <v>58</v>
      </c>
      <c r="AK145">
        <v>0</v>
      </c>
      <c r="AM145">
        <v>0</v>
      </c>
      <c r="AP145" t="s">
        <v>59</v>
      </c>
    </row>
    <row r="146" spans="1:42" customFormat="1">
      <c r="A146">
        <v>271562</v>
      </c>
      <c r="B146" t="s">
        <v>5042</v>
      </c>
      <c r="C146" t="s">
        <v>5043</v>
      </c>
      <c r="D146" s="22">
        <v>0</v>
      </c>
      <c r="E146" s="17">
        <v>42152</v>
      </c>
      <c r="F146" s="18">
        <v>0.41583333333333333</v>
      </c>
      <c r="G146" s="22">
        <v>130.02000000000001</v>
      </c>
      <c r="H146">
        <v>0</v>
      </c>
      <c r="I146" s="19" t="e">
        <f>I145 + (D146-G146)</f>
        <v>#VALUE!</v>
      </c>
      <c r="M146">
        <v>124401</v>
      </c>
      <c r="N146">
        <v>24</v>
      </c>
      <c r="O146" t="s">
        <v>68</v>
      </c>
      <c r="P146">
        <v>1</v>
      </c>
      <c r="R146">
        <v>512</v>
      </c>
      <c r="S146" s="17">
        <v>42157</v>
      </c>
      <c r="T146" s="17">
        <v>42157</v>
      </c>
      <c r="W146">
        <v>2015</v>
      </c>
      <c r="X146">
        <v>24</v>
      </c>
      <c r="AC146" t="s">
        <v>124</v>
      </c>
      <c r="AD146" t="s">
        <v>301</v>
      </c>
      <c r="AE146" t="s">
        <v>46</v>
      </c>
      <c r="AG146">
        <v>56</v>
      </c>
      <c r="AH146">
        <v>1</v>
      </c>
      <c r="AI146" t="s">
        <v>58</v>
      </c>
      <c r="AK146">
        <v>0</v>
      </c>
      <c r="AM146">
        <v>0</v>
      </c>
      <c r="AP146" t="s">
        <v>59</v>
      </c>
    </row>
    <row r="147" spans="1:42" customFormat="1">
      <c r="A147">
        <v>271563</v>
      </c>
      <c r="B147" t="s">
        <v>5044</v>
      </c>
      <c r="C147" t="s">
        <v>5045</v>
      </c>
      <c r="D147" s="22">
        <v>0</v>
      </c>
      <c r="E147" s="17">
        <v>42152</v>
      </c>
      <c r="F147" s="18">
        <v>0.41623842592592591</v>
      </c>
      <c r="G147" s="22">
        <v>146.01</v>
      </c>
      <c r="H147">
        <v>0</v>
      </c>
      <c r="I147" s="19" t="e">
        <f>I146 + (D147-G147)</f>
        <v>#VALUE!</v>
      </c>
      <c r="M147">
        <v>124402</v>
      </c>
      <c r="N147">
        <v>24</v>
      </c>
      <c r="O147" t="s">
        <v>68</v>
      </c>
      <c r="P147">
        <v>1</v>
      </c>
      <c r="R147">
        <v>512</v>
      </c>
      <c r="S147" s="17">
        <v>42157</v>
      </c>
      <c r="T147" s="17">
        <v>42157</v>
      </c>
      <c r="W147">
        <v>2015</v>
      </c>
      <c r="X147">
        <v>24</v>
      </c>
      <c r="AC147" t="s">
        <v>124</v>
      </c>
      <c r="AD147" t="s">
        <v>301</v>
      </c>
      <c r="AE147" t="s">
        <v>46</v>
      </c>
      <c r="AG147">
        <v>56</v>
      </c>
      <c r="AH147">
        <v>1</v>
      </c>
      <c r="AI147" t="s">
        <v>58</v>
      </c>
      <c r="AK147">
        <v>0</v>
      </c>
      <c r="AM147">
        <v>0</v>
      </c>
      <c r="AP147" t="s">
        <v>59</v>
      </c>
    </row>
    <row r="148" spans="1:42" customFormat="1">
      <c r="A148">
        <v>271528</v>
      </c>
      <c r="B148" t="s">
        <v>5187</v>
      </c>
      <c r="C148" t="s">
        <v>5188</v>
      </c>
      <c r="D148" s="22">
        <v>0</v>
      </c>
      <c r="E148" s="17">
        <v>42153</v>
      </c>
      <c r="F148" s="18">
        <v>0.37961805555555556</v>
      </c>
      <c r="G148" s="22">
        <v>140</v>
      </c>
      <c r="H148">
        <v>0</v>
      </c>
      <c r="I148" s="19" t="e">
        <f>I147 + (D148-G148)</f>
        <v>#VALUE!</v>
      </c>
      <c r="M148">
        <v>124373</v>
      </c>
      <c r="N148">
        <v>24</v>
      </c>
      <c r="O148" t="s">
        <v>68</v>
      </c>
      <c r="P148">
        <v>1</v>
      </c>
      <c r="R148">
        <v>512</v>
      </c>
      <c r="S148" s="17">
        <v>42157</v>
      </c>
      <c r="T148" s="17">
        <v>42157</v>
      </c>
      <c r="W148">
        <v>2015</v>
      </c>
      <c r="X148">
        <v>24</v>
      </c>
      <c r="AC148" t="s">
        <v>124</v>
      </c>
      <c r="AD148" t="s">
        <v>301</v>
      </c>
      <c r="AE148" t="s">
        <v>46</v>
      </c>
      <c r="AG148">
        <v>56</v>
      </c>
      <c r="AH148">
        <v>1</v>
      </c>
      <c r="AI148" t="s">
        <v>58</v>
      </c>
      <c r="AK148">
        <v>0</v>
      </c>
      <c r="AM148">
        <v>0</v>
      </c>
      <c r="AP148" t="s">
        <v>59</v>
      </c>
    </row>
    <row r="149" spans="1:42" customFormat="1">
      <c r="A149">
        <v>271529</v>
      </c>
      <c r="B149" t="s">
        <v>5189</v>
      </c>
      <c r="C149" t="s">
        <v>5190</v>
      </c>
      <c r="D149" s="22">
        <v>0</v>
      </c>
      <c r="E149" s="17">
        <v>42153</v>
      </c>
      <c r="F149" s="18">
        <v>0.3800115740740741</v>
      </c>
      <c r="G149" s="22">
        <v>60</v>
      </c>
      <c r="H149">
        <v>0</v>
      </c>
      <c r="I149" s="19" t="e">
        <f>I148 + (D149-G149)</f>
        <v>#VALUE!</v>
      </c>
      <c r="M149">
        <v>124374</v>
      </c>
      <c r="N149">
        <v>24</v>
      </c>
      <c r="O149" t="s">
        <v>68</v>
      </c>
      <c r="P149">
        <v>1</v>
      </c>
      <c r="R149">
        <v>512</v>
      </c>
      <c r="S149" s="17">
        <v>42157</v>
      </c>
      <c r="T149" s="17">
        <v>42157</v>
      </c>
      <c r="W149">
        <v>2015</v>
      </c>
      <c r="X149">
        <v>24</v>
      </c>
      <c r="AC149" t="s">
        <v>124</v>
      </c>
      <c r="AD149" t="s">
        <v>301</v>
      </c>
      <c r="AE149" t="s">
        <v>46</v>
      </c>
      <c r="AG149">
        <v>56</v>
      </c>
      <c r="AH149">
        <v>1</v>
      </c>
      <c r="AI149" t="s">
        <v>58</v>
      </c>
      <c r="AK149">
        <v>0</v>
      </c>
      <c r="AM149">
        <v>0</v>
      </c>
      <c r="AP149" t="s">
        <v>59</v>
      </c>
    </row>
    <row r="150" spans="1:42" customFormat="1">
      <c r="A150">
        <v>271564</v>
      </c>
      <c r="B150" t="s">
        <v>5293</v>
      </c>
      <c r="C150" t="s">
        <v>5294</v>
      </c>
      <c r="D150" s="22">
        <v>0</v>
      </c>
      <c r="E150" s="17">
        <v>42153</v>
      </c>
      <c r="F150" s="18">
        <v>0.41655092592592591</v>
      </c>
      <c r="G150" s="22">
        <v>74</v>
      </c>
      <c r="H150">
        <v>0</v>
      </c>
      <c r="I150" s="19" t="e">
        <f>I149 + (D150-G150)</f>
        <v>#VALUE!</v>
      </c>
      <c r="M150">
        <v>124403</v>
      </c>
      <c r="N150">
        <v>24</v>
      </c>
      <c r="O150" t="s">
        <v>68</v>
      </c>
      <c r="P150">
        <v>1</v>
      </c>
      <c r="R150">
        <v>512</v>
      </c>
      <c r="S150" s="17">
        <v>42157</v>
      </c>
      <c r="T150" s="17">
        <v>42157</v>
      </c>
      <c r="W150">
        <v>2015</v>
      </c>
      <c r="X150">
        <v>24</v>
      </c>
      <c r="AC150" t="s">
        <v>124</v>
      </c>
      <c r="AD150" t="s">
        <v>301</v>
      </c>
      <c r="AE150" t="s">
        <v>46</v>
      </c>
      <c r="AG150">
        <v>56</v>
      </c>
      <c r="AH150">
        <v>1</v>
      </c>
      <c r="AI150" t="s">
        <v>58</v>
      </c>
      <c r="AK150">
        <v>0</v>
      </c>
      <c r="AM150">
        <v>0</v>
      </c>
      <c r="AP150" t="s">
        <v>59</v>
      </c>
    </row>
    <row r="151" spans="1:42" customFormat="1">
      <c r="A151">
        <v>271567</v>
      </c>
      <c r="B151" t="s">
        <v>5578</v>
      </c>
      <c r="C151" t="s">
        <v>5579</v>
      </c>
      <c r="D151" s="22">
        <v>0</v>
      </c>
      <c r="E151" s="17">
        <v>42154</v>
      </c>
      <c r="F151" s="18">
        <v>0.41822916666666665</v>
      </c>
      <c r="G151" s="22">
        <v>50</v>
      </c>
      <c r="H151">
        <v>0</v>
      </c>
      <c r="I151" s="19" t="e">
        <f>I150 + (D151-G151)</f>
        <v>#VALUE!</v>
      </c>
      <c r="M151">
        <v>124405</v>
      </c>
      <c r="N151">
        <v>24</v>
      </c>
      <c r="O151" t="s">
        <v>68</v>
      </c>
      <c r="P151">
        <v>1</v>
      </c>
      <c r="R151">
        <v>512</v>
      </c>
      <c r="S151" s="17">
        <v>42157</v>
      </c>
      <c r="T151" s="17">
        <v>42157</v>
      </c>
      <c r="W151">
        <v>2015</v>
      </c>
      <c r="X151">
        <v>24</v>
      </c>
      <c r="AC151" t="s">
        <v>124</v>
      </c>
      <c r="AD151" t="s">
        <v>301</v>
      </c>
      <c r="AE151" t="s">
        <v>46</v>
      </c>
      <c r="AG151">
        <v>56</v>
      </c>
      <c r="AH151">
        <v>1</v>
      </c>
      <c r="AI151" t="s">
        <v>58</v>
      </c>
      <c r="AK151">
        <v>0</v>
      </c>
      <c r="AM151">
        <v>0</v>
      </c>
      <c r="AP151" t="s">
        <v>59</v>
      </c>
    </row>
    <row r="152" spans="1:42" customFormat="1">
      <c r="A152">
        <v>272134</v>
      </c>
      <c r="B152" t="s">
        <v>5580</v>
      </c>
      <c r="C152" t="s">
        <v>5581</v>
      </c>
      <c r="D152" s="22">
        <v>0</v>
      </c>
      <c r="E152" s="17">
        <v>42155</v>
      </c>
      <c r="F152" s="18">
        <v>0.39335648148148145</v>
      </c>
      <c r="G152" s="22">
        <v>10</v>
      </c>
      <c r="H152">
        <v>0</v>
      </c>
      <c r="I152" s="19" t="e">
        <f>I151 + (D152-G152)</f>
        <v>#VALUE!</v>
      </c>
      <c r="M152">
        <v>124842</v>
      </c>
      <c r="N152">
        <v>24</v>
      </c>
      <c r="O152" t="s">
        <v>68</v>
      </c>
      <c r="P152">
        <v>1</v>
      </c>
      <c r="R152">
        <v>512</v>
      </c>
      <c r="S152" s="17">
        <v>42163</v>
      </c>
      <c r="T152" s="17">
        <v>42163</v>
      </c>
      <c r="W152">
        <v>2015</v>
      </c>
      <c r="X152">
        <v>24</v>
      </c>
      <c r="AC152" t="s">
        <v>124</v>
      </c>
      <c r="AD152" t="s">
        <v>301</v>
      </c>
      <c r="AE152" t="s">
        <v>46</v>
      </c>
      <c r="AG152">
        <v>56</v>
      </c>
      <c r="AH152">
        <v>1</v>
      </c>
      <c r="AI152" t="s">
        <v>58</v>
      </c>
      <c r="AK152">
        <v>0</v>
      </c>
      <c r="AM152">
        <v>0</v>
      </c>
      <c r="AP152" t="s">
        <v>59</v>
      </c>
    </row>
    <row r="153" spans="1:42" customFormat="1">
      <c r="A153">
        <v>273128</v>
      </c>
      <c r="B153" t="s">
        <v>5217</v>
      </c>
      <c r="C153" t="s">
        <v>5218</v>
      </c>
      <c r="D153" s="22">
        <v>0</v>
      </c>
      <c r="E153" s="17">
        <v>42153</v>
      </c>
      <c r="F153" s="18">
        <v>0.39146990740740745</v>
      </c>
      <c r="G153" s="22">
        <v>3008.65</v>
      </c>
      <c r="H153">
        <v>0</v>
      </c>
      <c r="I153" s="19" t="e">
        <f>I152 + (D153-G153)</f>
        <v>#VALUE!</v>
      </c>
      <c r="M153">
        <v>126933</v>
      </c>
      <c r="N153">
        <v>24</v>
      </c>
      <c r="O153" t="s">
        <v>68</v>
      </c>
      <c r="P153">
        <v>1</v>
      </c>
      <c r="R153">
        <v>521</v>
      </c>
      <c r="S153" s="17">
        <v>42171</v>
      </c>
      <c r="T153" s="17">
        <v>42171</v>
      </c>
      <c r="W153">
        <v>2015</v>
      </c>
      <c r="X153">
        <v>24</v>
      </c>
      <c r="AC153" t="s">
        <v>284</v>
      </c>
      <c r="AD153" t="s">
        <v>301</v>
      </c>
      <c r="AE153" t="s">
        <v>46</v>
      </c>
      <c r="AG153">
        <v>4</v>
      </c>
      <c r="AH153">
        <v>9</v>
      </c>
      <c r="AI153" t="s">
        <v>54</v>
      </c>
      <c r="AK153">
        <v>0</v>
      </c>
      <c r="AM153">
        <v>0</v>
      </c>
      <c r="AP153" t="s">
        <v>389</v>
      </c>
    </row>
    <row r="154" spans="1:42" customFormat="1">
      <c r="A154">
        <v>268092</v>
      </c>
      <c r="B154" t="s">
        <v>517</v>
      </c>
      <c r="C154" t="s">
        <v>518</v>
      </c>
      <c r="D154" s="22">
        <v>0</v>
      </c>
      <c r="E154" s="17">
        <v>42128</v>
      </c>
      <c r="F154" s="18">
        <v>0.63072916666666667</v>
      </c>
      <c r="G154" s="22">
        <v>100000</v>
      </c>
      <c r="H154">
        <v>0</v>
      </c>
      <c r="I154" s="19" t="e">
        <f>I153 + (D154-G154)</f>
        <v>#VALUE!</v>
      </c>
      <c r="M154">
        <v>111026</v>
      </c>
      <c r="N154">
        <v>7</v>
      </c>
      <c r="O154" t="s">
        <v>44</v>
      </c>
      <c r="P154">
        <v>1</v>
      </c>
      <c r="R154">
        <v>544</v>
      </c>
      <c r="S154" s="17">
        <v>42130</v>
      </c>
      <c r="T154" s="17">
        <v>42130</v>
      </c>
      <c r="W154">
        <v>2015</v>
      </c>
      <c r="X154">
        <v>7</v>
      </c>
      <c r="AC154" t="s">
        <v>81</v>
      </c>
      <c r="AD154" t="s">
        <v>301</v>
      </c>
      <c r="AE154" t="s">
        <v>46</v>
      </c>
      <c r="AG154">
        <v>12</v>
      </c>
      <c r="AH154">
        <v>2</v>
      </c>
      <c r="AI154" t="s">
        <v>50</v>
      </c>
      <c r="AK154">
        <v>0</v>
      </c>
      <c r="AM154">
        <v>0</v>
      </c>
      <c r="AP154" t="s">
        <v>392</v>
      </c>
    </row>
    <row r="155" spans="1:42" customFormat="1">
      <c r="A155">
        <v>272785</v>
      </c>
      <c r="B155" t="s">
        <v>2967</v>
      </c>
      <c r="C155" t="s">
        <v>2968</v>
      </c>
      <c r="D155" s="22">
        <v>0</v>
      </c>
      <c r="E155" s="17">
        <v>42137</v>
      </c>
      <c r="F155" s="18">
        <v>0.4251967592592592</v>
      </c>
      <c r="G155" s="22">
        <v>1489.76</v>
      </c>
      <c r="H155">
        <v>0</v>
      </c>
      <c r="I155" s="19" t="e">
        <f>I154 + (D155-G155)</f>
        <v>#VALUE!</v>
      </c>
      <c r="M155">
        <v>125047</v>
      </c>
      <c r="N155">
        <v>24</v>
      </c>
      <c r="O155" t="s">
        <v>68</v>
      </c>
      <c r="P155">
        <v>1</v>
      </c>
      <c r="R155">
        <v>544</v>
      </c>
      <c r="S155" s="17">
        <v>42166</v>
      </c>
      <c r="T155" s="17">
        <v>42166</v>
      </c>
      <c r="W155">
        <v>2015</v>
      </c>
      <c r="X155">
        <v>24</v>
      </c>
      <c r="AC155" t="s">
        <v>81</v>
      </c>
      <c r="AD155" t="s">
        <v>301</v>
      </c>
      <c r="AE155" t="s">
        <v>46</v>
      </c>
      <c r="AG155">
        <v>12</v>
      </c>
      <c r="AH155">
        <v>2</v>
      </c>
      <c r="AI155" t="s">
        <v>50</v>
      </c>
      <c r="AK155">
        <v>0</v>
      </c>
      <c r="AM155">
        <v>0</v>
      </c>
      <c r="AP155" t="s">
        <v>392</v>
      </c>
    </row>
    <row r="156" spans="1:42" customFormat="1">
      <c r="A156">
        <v>270531</v>
      </c>
      <c r="B156" t="s">
        <v>3367</v>
      </c>
      <c r="C156" t="s">
        <v>3368</v>
      </c>
      <c r="D156" s="22">
        <v>0</v>
      </c>
      <c r="E156" s="17">
        <v>42139</v>
      </c>
      <c r="F156" s="18">
        <v>0.40084490740740741</v>
      </c>
      <c r="G156" s="22">
        <v>24550</v>
      </c>
      <c r="H156">
        <v>0</v>
      </c>
      <c r="I156" s="19" t="e">
        <f>I155 + (D156-G156)</f>
        <v>#VALUE!</v>
      </c>
      <c r="M156">
        <v>114774</v>
      </c>
      <c r="N156">
        <v>24</v>
      </c>
      <c r="O156" t="s">
        <v>68</v>
      </c>
      <c r="P156">
        <v>1</v>
      </c>
      <c r="R156">
        <v>544</v>
      </c>
      <c r="S156" s="17">
        <v>42145</v>
      </c>
      <c r="T156" s="17">
        <v>42145</v>
      </c>
      <c r="W156">
        <v>2015</v>
      </c>
      <c r="X156">
        <v>24</v>
      </c>
      <c r="AC156" t="s">
        <v>81</v>
      </c>
      <c r="AD156" t="s">
        <v>301</v>
      </c>
      <c r="AE156" t="s">
        <v>46</v>
      </c>
      <c r="AG156">
        <v>52</v>
      </c>
      <c r="AH156">
        <v>2</v>
      </c>
      <c r="AI156" t="s">
        <v>50</v>
      </c>
      <c r="AK156">
        <v>0</v>
      </c>
      <c r="AM156">
        <v>0</v>
      </c>
      <c r="AP156" t="s">
        <v>325</v>
      </c>
    </row>
    <row r="157" spans="1:42" customFormat="1">
      <c r="A157">
        <v>270532</v>
      </c>
      <c r="B157" t="s">
        <v>3369</v>
      </c>
      <c r="C157" t="s">
        <v>3370</v>
      </c>
      <c r="D157" s="22">
        <v>0</v>
      </c>
      <c r="E157" s="17">
        <v>42139</v>
      </c>
      <c r="F157" s="18">
        <v>0.40105324074074072</v>
      </c>
      <c r="G157" s="22">
        <v>24141</v>
      </c>
      <c r="H157">
        <v>0</v>
      </c>
      <c r="I157" s="19" t="e">
        <f>I156 + (D157-G157)</f>
        <v>#VALUE!</v>
      </c>
      <c r="M157">
        <v>114784</v>
      </c>
      <c r="N157">
        <v>24</v>
      </c>
      <c r="O157" t="s">
        <v>68</v>
      </c>
      <c r="P157">
        <v>1</v>
      </c>
      <c r="R157">
        <v>544</v>
      </c>
      <c r="S157" s="17">
        <v>42145</v>
      </c>
      <c r="T157" s="17">
        <v>42145</v>
      </c>
      <c r="W157">
        <v>2015</v>
      </c>
      <c r="X157">
        <v>24</v>
      </c>
      <c r="AC157" t="s">
        <v>81</v>
      </c>
      <c r="AD157" t="s">
        <v>301</v>
      </c>
      <c r="AE157" t="s">
        <v>46</v>
      </c>
      <c r="AG157">
        <v>52</v>
      </c>
      <c r="AH157">
        <v>2</v>
      </c>
      <c r="AI157" t="s">
        <v>50</v>
      </c>
      <c r="AK157">
        <v>0</v>
      </c>
      <c r="AM157">
        <v>0</v>
      </c>
      <c r="AP157" t="s">
        <v>325</v>
      </c>
    </row>
    <row r="158" spans="1:42" customFormat="1">
      <c r="A158">
        <v>269750</v>
      </c>
      <c r="B158" t="s">
        <v>1978</v>
      </c>
      <c r="C158" t="s">
        <v>1979</v>
      </c>
      <c r="D158" s="22">
        <v>0</v>
      </c>
      <c r="E158" s="17">
        <v>42131</v>
      </c>
      <c r="F158" s="18">
        <v>0.44361111111111112</v>
      </c>
      <c r="G158" s="22">
        <v>103.7</v>
      </c>
      <c r="H158">
        <v>0</v>
      </c>
      <c r="I158" s="19" t="e">
        <f>I157 + (D158-G158)</f>
        <v>#VALUE!</v>
      </c>
      <c r="M158">
        <v>123250</v>
      </c>
      <c r="N158">
        <v>24</v>
      </c>
      <c r="O158" t="s">
        <v>68</v>
      </c>
      <c r="P158">
        <v>1</v>
      </c>
      <c r="R158">
        <v>522</v>
      </c>
      <c r="S158" s="17">
        <v>42137</v>
      </c>
      <c r="T158" s="17">
        <v>42137</v>
      </c>
      <c r="W158">
        <v>2015</v>
      </c>
      <c r="X158">
        <v>24</v>
      </c>
      <c r="AC158" t="s">
        <v>265</v>
      </c>
      <c r="AD158" t="s">
        <v>301</v>
      </c>
      <c r="AE158" t="s">
        <v>46</v>
      </c>
      <c r="AG158">
        <v>56</v>
      </c>
      <c r="AH158">
        <v>1</v>
      </c>
      <c r="AI158" t="s">
        <v>58</v>
      </c>
      <c r="AK158">
        <v>0</v>
      </c>
      <c r="AM158">
        <v>0</v>
      </c>
      <c r="AP158" t="s">
        <v>59</v>
      </c>
    </row>
    <row r="159" spans="1:42" customFormat="1">
      <c r="A159">
        <v>270914</v>
      </c>
      <c r="B159" t="s">
        <v>2944</v>
      </c>
      <c r="C159" t="s">
        <v>2945</v>
      </c>
      <c r="D159" s="22">
        <v>0</v>
      </c>
      <c r="E159" s="17">
        <v>42137</v>
      </c>
      <c r="F159" s="18">
        <v>0.36313657407407413</v>
      </c>
      <c r="G159" s="22">
        <v>73.760000000000005</v>
      </c>
      <c r="H159">
        <v>0</v>
      </c>
      <c r="I159" s="19" t="e">
        <f>I158 + (D159-G159)</f>
        <v>#VALUE!</v>
      </c>
      <c r="M159">
        <v>123960</v>
      </c>
      <c r="N159">
        <v>24</v>
      </c>
      <c r="O159" t="s">
        <v>68</v>
      </c>
      <c r="P159">
        <v>1</v>
      </c>
      <c r="R159">
        <v>522</v>
      </c>
      <c r="S159" s="17">
        <v>42149</v>
      </c>
      <c r="T159" s="17">
        <v>42149</v>
      </c>
      <c r="W159">
        <v>2015</v>
      </c>
      <c r="X159">
        <v>24</v>
      </c>
      <c r="AC159" t="s">
        <v>265</v>
      </c>
      <c r="AD159" t="s">
        <v>301</v>
      </c>
      <c r="AE159" t="s">
        <v>46</v>
      </c>
      <c r="AG159">
        <v>56</v>
      </c>
      <c r="AH159">
        <v>1</v>
      </c>
      <c r="AI159" t="s">
        <v>58</v>
      </c>
      <c r="AK159">
        <v>0</v>
      </c>
      <c r="AM159">
        <v>0</v>
      </c>
      <c r="AP159" t="s">
        <v>59</v>
      </c>
    </row>
    <row r="160" spans="1:42" customFormat="1">
      <c r="A160">
        <v>270206</v>
      </c>
      <c r="B160" t="s">
        <v>3085</v>
      </c>
      <c r="C160" t="s">
        <v>3086</v>
      </c>
      <c r="D160" s="22">
        <v>0</v>
      </c>
      <c r="E160" s="17">
        <v>42137</v>
      </c>
      <c r="F160" s="18">
        <v>0.65973379629629625</v>
      </c>
      <c r="G160" s="22">
        <v>44.64</v>
      </c>
      <c r="H160">
        <v>0</v>
      </c>
      <c r="I160" s="19" t="e">
        <f>I159 + (D160-G160)</f>
        <v>#VALUE!</v>
      </c>
      <c r="M160">
        <v>123550</v>
      </c>
      <c r="N160">
        <v>24</v>
      </c>
      <c r="O160" t="s">
        <v>68</v>
      </c>
      <c r="P160">
        <v>1</v>
      </c>
      <c r="R160">
        <v>522</v>
      </c>
      <c r="S160" s="17">
        <v>42142</v>
      </c>
      <c r="T160" s="17">
        <v>42142</v>
      </c>
      <c r="W160">
        <v>2015</v>
      </c>
      <c r="X160">
        <v>24</v>
      </c>
      <c r="AC160" t="s">
        <v>265</v>
      </c>
      <c r="AD160" t="s">
        <v>301</v>
      </c>
      <c r="AE160" t="s">
        <v>46</v>
      </c>
      <c r="AG160">
        <v>56</v>
      </c>
      <c r="AH160">
        <v>1</v>
      </c>
      <c r="AI160" t="s">
        <v>58</v>
      </c>
      <c r="AK160">
        <v>0</v>
      </c>
      <c r="AM160">
        <v>0</v>
      </c>
      <c r="AP160" t="s">
        <v>59</v>
      </c>
    </row>
    <row r="161" spans="1:42" customFormat="1">
      <c r="A161">
        <v>270214</v>
      </c>
      <c r="B161" t="s">
        <v>3572</v>
      </c>
      <c r="C161" t="s">
        <v>3573</v>
      </c>
      <c r="D161" s="22">
        <v>0</v>
      </c>
      <c r="E161" s="17">
        <v>42142</v>
      </c>
      <c r="F161" s="18">
        <v>0.6685416666666667</v>
      </c>
      <c r="G161" s="22">
        <v>17.899999999999999</v>
      </c>
      <c r="H161">
        <v>0</v>
      </c>
      <c r="I161" s="19" t="e">
        <f>I160 + (D161-G161)</f>
        <v>#VALUE!</v>
      </c>
      <c r="M161">
        <v>123563</v>
      </c>
      <c r="N161">
        <v>24</v>
      </c>
      <c r="O161" t="s">
        <v>68</v>
      </c>
      <c r="P161">
        <v>1</v>
      </c>
      <c r="R161">
        <v>522</v>
      </c>
      <c r="S161" s="17">
        <v>42142</v>
      </c>
      <c r="T161" s="17">
        <v>42142</v>
      </c>
      <c r="W161">
        <v>2015</v>
      </c>
      <c r="X161">
        <v>24</v>
      </c>
      <c r="AC161" t="s">
        <v>265</v>
      </c>
      <c r="AD161" t="s">
        <v>301</v>
      </c>
      <c r="AE161" t="s">
        <v>46</v>
      </c>
      <c r="AG161">
        <v>56</v>
      </c>
      <c r="AH161">
        <v>1</v>
      </c>
      <c r="AI161" t="s">
        <v>58</v>
      </c>
      <c r="AK161">
        <v>0</v>
      </c>
      <c r="AM161">
        <v>0</v>
      </c>
      <c r="AP161" t="s">
        <v>59</v>
      </c>
    </row>
    <row r="162" spans="1:42" customFormat="1">
      <c r="A162">
        <v>270694</v>
      </c>
      <c r="B162" t="s">
        <v>3613</v>
      </c>
      <c r="C162" t="s">
        <v>3614</v>
      </c>
      <c r="D162" s="22">
        <v>0</v>
      </c>
      <c r="E162" s="17">
        <v>42143</v>
      </c>
      <c r="F162" s="18">
        <v>0.38343750000000004</v>
      </c>
      <c r="G162" s="22">
        <v>44.64</v>
      </c>
      <c r="H162">
        <v>0</v>
      </c>
      <c r="I162" s="19" t="e">
        <f>I161 + (D162-G162)</f>
        <v>#VALUE!</v>
      </c>
      <c r="M162">
        <v>123831</v>
      </c>
      <c r="N162">
        <v>24</v>
      </c>
      <c r="O162" t="s">
        <v>68</v>
      </c>
      <c r="P162">
        <v>1</v>
      </c>
      <c r="R162">
        <v>522</v>
      </c>
      <c r="S162" s="17">
        <v>42146</v>
      </c>
      <c r="T162" s="17">
        <v>42146</v>
      </c>
      <c r="W162">
        <v>2015</v>
      </c>
      <c r="X162">
        <v>24</v>
      </c>
      <c r="AC162" t="s">
        <v>265</v>
      </c>
      <c r="AD162" t="s">
        <v>301</v>
      </c>
      <c r="AE162" t="s">
        <v>46</v>
      </c>
      <c r="AG162">
        <v>56</v>
      </c>
      <c r="AH162">
        <v>1</v>
      </c>
      <c r="AI162" t="s">
        <v>58</v>
      </c>
      <c r="AK162">
        <v>0</v>
      </c>
      <c r="AM162">
        <v>0</v>
      </c>
      <c r="AP162" t="s">
        <v>59</v>
      </c>
    </row>
    <row r="163" spans="1:42" customFormat="1">
      <c r="A163">
        <v>270203</v>
      </c>
      <c r="B163" t="s">
        <v>3469</v>
      </c>
      <c r="C163" t="s">
        <v>3470</v>
      </c>
      <c r="D163" s="22">
        <v>0</v>
      </c>
      <c r="E163" s="17">
        <v>42139</v>
      </c>
      <c r="F163" s="18">
        <v>0.6347800925925926</v>
      </c>
      <c r="G163" s="22">
        <v>275</v>
      </c>
      <c r="H163">
        <v>0</v>
      </c>
      <c r="I163" s="19" t="e">
        <f>I162 + (D163-G163)</f>
        <v>#VALUE!</v>
      </c>
      <c r="M163">
        <v>123537</v>
      </c>
      <c r="N163">
        <v>24</v>
      </c>
      <c r="O163" t="s">
        <v>68</v>
      </c>
      <c r="P163">
        <v>1</v>
      </c>
      <c r="R163">
        <v>523</v>
      </c>
      <c r="S163" s="17">
        <v>42142</v>
      </c>
      <c r="T163" s="17">
        <v>42142</v>
      </c>
      <c r="W163">
        <v>2015</v>
      </c>
      <c r="X163">
        <v>24</v>
      </c>
      <c r="AC163" t="s">
        <v>3471</v>
      </c>
      <c r="AD163" t="s">
        <v>301</v>
      </c>
      <c r="AE163" t="s">
        <v>46</v>
      </c>
      <c r="AG163">
        <v>56</v>
      </c>
      <c r="AH163">
        <v>1</v>
      </c>
      <c r="AI163" t="s">
        <v>58</v>
      </c>
      <c r="AK163">
        <v>0</v>
      </c>
      <c r="AM163">
        <v>0</v>
      </c>
      <c r="AP163" t="s">
        <v>59</v>
      </c>
    </row>
    <row r="164" spans="1:42" customFormat="1">
      <c r="A164">
        <v>270676</v>
      </c>
      <c r="B164" t="s">
        <v>4103</v>
      </c>
      <c r="C164" t="s">
        <v>4104</v>
      </c>
      <c r="D164" s="22">
        <v>0</v>
      </c>
      <c r="E164" s="17">
        <v>42145</v>
      </c>
      <c r="F164" s="18">
        <v>0.59956018518518517</v>
      </c>
      <c r="G164" s="22">
        <v>3</v>
      </c>
      <c r="H164">
        <v>0</v>
      </c>
      <c r="I164" s="19" t="e">
        <f>I163 + (D164-G164)</f>
        <v>#VALUE!</v>
      </c>
      <c r="M164">
        <v>123821</v>
      </c>
      <c r="N164">
        <v>24</v>
      </c>
      <c r="O164" t="s">
        <v>68</v>
      </c>
      <c r="P164">
        <v>1</v>
      </c>
      <c r="R164">
        <v>523</v>
      </c>
      <c r="S164" s="17">
        <v>42145</v>
      </c>
      <c r="T164" s="17">
        <v>42145</v>
      </c>
      <c r="W164">
        <v>2015</v>
      </c>
      <c r="X164">
        <v>24</v>
      </c>
      <c r="AC164" t="s">
        <v>3471</v>
      </c>
      <c r="AD164" t="s">
        <v>301</v>
      </c>
      <c r="AE164" t="s">
        <v>46</v>
      </c>
      <c r="AG164">
        <v>56</v>
      </c>
      <c r="AH164">
        <v>1</v>
      </c>
      <c r="AI164" t="s">
        <v>58</v>
      </c>
      <c r="AK164">
        <v>0</v>
      </c>
      <c r="AM164">
        <v>0</v>
      </c>
      <c r="AP164" t="s">
        <v>59</v>
      </c>
    </row>
    <row r="165" spans="1:42" customFormat="1">
      <c r="A165">
        <v>268087</v>
      </c>
      <c r="B165" t="s">
        <v>511</v>
      </c>
      <c r="C165" t="s">
        <v>512</v>
      </c>
      <c r="D165" s="22">
        <v>0</v>
      </c>
      <c r="E165" s="17">
        <v>42128</v>
      </c>
      <c r="F165" s="18">
        <v>0.62436342592592597</v>
      </c>
      <c r="G165" s="22">
        <v>150</v>
      </c>
      <c r="H165">
        <v>0</v>
      </c>
      <c r="I165" s="19" t="e">
        <f>I164 + (D165-G165)</f>
        <v>#VALUE!</v>
      </c>
      <c r="M165">
        <v>122428</v>
      </c>
      <c r="N165">
        <v>25</v>
      </c>
      <c r="O165" t="s">
        <v>71</v>
      </c>
      <c r="P165">
        <v>1</v>
      </c>
      <c r="R165">
        <v>537</v>
      </c>
      <c r="S165" s="17">
        <v>42130</v>
      </c>
      <c r="T165" s="17">
        <v>42130</v>
      </c>
      <c r="W165">
        <v>2015</v>
      </c>
      <c r="X165">
        <v>25</v>
      </c>
      <c r="AC165" t="s">
        <v>161</v>
      </c>
      <c r="AD165" t="s">
        <v>301</v>
      </c>
      <c r="AE165" t="s">
        <v>46</v>
      </c>
      <c r="AG165">
        <v>56</v>
      </c>
      <c r="AH165">
        <v>1</v>
      </c>
      <c r="AI165" t="s">
        <v>58</v>
      </c>
      <c r="AK165">
        <v>0</v>
      </c>
      <c r="AM165">
        <v>0</v>
      </c>
      <c r="AP165" t="s">
        <v>59</v>
      </c>
    </row>
    <row r="166" spans="1:42" customFormat="1">
      <c r="A166">
        <v>269555</v>
      </c>
      <c r="B166" t="s">
        <v>1700</v>
      </c>
      <c r="C166" t="s">
        <v>1701</v>
      </c>
      <c r="D166" s="22">
        <v>0</v>
      </c>
      <c r="E166" s="17">
        <v>42130</v>
      </c>
      <c r="F166" s="18">
        <v>0.47538194444444448</v>
      </c>
      <c r="G166" s="22">
        <v>52</v>
      </c>
      <c r="H166">
        <v>0</v>
      </c>
      <c r="I166" s="19" t="e">
        <f>I165 + (D166-G166)</f>
        <v>#VALUE!</v>
      </c>
      <c r="M166">
        <v>123196</v>
      </c>
      <c r="N166">
        <v>24</v>
      </c>
      <c r="O166" t="s">
        <v>68</v>
      </c>
      <c r="P166">
        <v>1</v>
      </c>
      <c r="R166">
        <v>537</v>
      </c>
      <c r="S166" s="17">
        <v>42136</v>
      </c>
      <c r="T166" s="17">
        <v>42136</v>
      </c>
      <c r="W166">
        <v>2015</v>
      </c>
      <c r="X166">
        <v>24</v>
      </c>
      <c r="AC166" t="s">
        <v>161</v>
      </c>
      <c r="AD166" t="s">
        <v>301</v>
      </c>
      <c r="AE166" t="s">
        <v>46</v>
      </c>
      <c r="AG166">
        <v>26</v>
      </c>
      <c r="AH166">
        <v>9</v>
      </c>
      <c r="AI166" t="s">
        <v>54</v>
      </c>
      <c r="AK166">
        <v>0</v>
      </c>
      <c r="AM166">
        <v>0</v>
      </c>
      <c r="AP166" t="s">
        <v>501</v>
      </c>
    </row>
    <row r="167" spans="1:42" customFormat="1">
      <c r="A167">
        <v>270968</v>
      </c>
      <c r="B167" t="s">
        <v>102</v>
      </c>
      <c r="C167" t="s">
        <v>3184</v>
      </c>
      <c r="D167" s="22">
        <v>0</v>
      </c>
      <c r="E167" s="17">
        <v>42138</v>
      </c>
      <c r="F167" s="18">
        <v>0.47011574074074075</v>
      </c>
      <c r="G167" s="22">
        <v>70000</v>
      </c>
      <c r="H167">
        <v>0</v>
      </c>
      <c r="I167" s="19" t="e">
        <f>I166 + (D167-G167)</f>
        <v>#VALUE!</v>
      </c>
      <c r="N167">
        <v>7</v>
      </c>
      <c r="O167" t="s">
        <v>44</v>
      </c>
      <c r="P167">
        <v>1</v>
      </c>
      <c r="R167">
        <v>537</v>
      </c>
      <c r="S167" s="17">
        <v>42149</v>
      </c>
      <c r="T167" s="17">
        <v>42157</v>
      </c>
      <c r="W167">
        <v>2015</v>
      </c>
      <c r="X167">
        <v>7</v>
      </c>
      <c r="AC167" t="s">
        <v>161</v>
      </c>
      <c r="AD167" t="s">
        <v>301</v>
      </c>
      <c r="AE167" t="s">
        <v>46</v>
      </c>
      <c r="AG167">
        <v>2</v>
      </c>
      <c r="AH167">
        <v>8</v>
      </c>
      <c r="AI167" t="s">
        <v>52</v>
      </c>
      <c r="AM167">
        <v>0</v>
      </c>
      <c r="AO167">
        <v>52</v>
      </c>
      <c r="AP167" t="s">
        <v>2544</v>
      </c>
    </row>
    <row r="168" spans="1:42" customFormat="1">
      <c r="A168">
        <v>271569</v>
      </c>
      <c r="B168" t="s">
        <v>102</v>
      </c>
      <c r="C168" t="s">
        <v>3185</v>
      </c>
      <c r="D168" s="22">
        <v>70000</v>
      </c>
      <c r="E168" s="17">
        <v>42138</v>
      </c>
      <c r="F168" s="18">
        <v>0.47011574074074075</v>
      </c>
      <c r="G168" s="22">
        <v>0</v>
      </c>
      <c r="H168">
        <v>0</v>
      </c>
      <c r="I168" s="19" t="e">
        <f>I167 + (D168-G168)</f>
        <v>#VALUE!</v>
      </c>
      <c r="N168">
        <v>7</v>
      </c>
      <c r="O168" t="s">
        <v>44</v>
      </c>
      <c r="P168">
        <v>1</v>
      </c>
      <c r="R168">
        <v>537</v>
      </c>
      <c r="S168" s="17">
        <v>42157</v>
      </c>
      <c r="T168" s="17">
        <v>42157</v>
      </c>
      <c r="W168">
        <v>2015</v>
      </c>
      <c r="X168">
        <v>7</v>
      </c>
      <c r="AA168">
        <v>270968</v>
      </c>
      <c r="AC168" t="s">
        <v>161</v>
      </c>
      <c r="AD168" t="s">
        <v>301</v>
      </c>
      <c r="AE168" t="s">
        <v>46</v>
      </c>
      <c r="AG168">
        <v>52</v>
      </c>
      <c r="AH168">
        <v>8</v>
      </c>
      <c r="AI168" t="s">
        <v>52</v>
      </c>
      <c r="AM168">
        <v>0</v>
      </c>
      <c r="AP168" t="s">
        <v>325</v>
      </c>
    </row>
    <row r="169" spans="1:42" customFormat="1">
      <c r="A169">
        <v>270935</v>
      </c>
      <c r="B169" t="s">
        <v>3389</v>
      </c>
      <c r="C169" t="s">
        <v>3390</v>
      </c>
      <c r="D169" s="22">
        <v>0</v>
      </c>
      <c r="E169" s="17">
        <v>42139</v>
      </c>
      <c r="F169" s="18">
        <v>0.40693287037037035</v>
      </c>
      <c r="G169" s="22">
        <v>9000</v>
      </c>
      <c r="H169">
        <v>0</v>
      </c>
      <c r="I169" s="19" t="e">
        <f>I168 + (D169-G169)</f>
        <v>#VALUE!</v>
      </c>
      <c r="N169">
        <v>7</v>
      </c>
      <c r="O169" t="s">
        <v>44</v>
      </c>
      <c r="P169">
        <v>1</v>
      </c>
      <c r="R169">
        <v>537</v>
      </c>
      <c r="S169" s="17">
        <v>42149</v>
      </c>
      <c r="T169" s="17">
        <v>42149</v>
      </c>
      <c r="W169">
        <v>2015</v>
      </c>
      <c r="X169">
        <v>7</v>
      </c>
      <c r="AC169" t="s">
        <v>161</v>
      </c>
      <c r="AD169" t="s">
        <v>301</v>
      </c>
      <c r="AE169" t="s">
        <v>46</v>
      </c>
      <c r="AG169">
        <v>33</v>
      </c>
      <c r="AH169">
        <v>2</v>
      </c>
      <c r="AI169" t="s">
        <v>50</v>
      </c>
      <c r="AM169">
        <v>0</v>
      </c>
      <c r="AP169" t="s">
        <v>457</v>
      </c>
    </row>
    <row r="170" spans="1:42" customFormat="1">
      <c r="A170">
        <v>272802</v>
      </c>
      <c r="B170" t="s">
        <v>3437</v>
      </c>
      <c r="C170" t="s">
        <v>3438</v>
      </c>
      <c r="D170" s="22">
        <v>0</v>
      </c>
      <c r="E170" s="17">
        <v>42139</v>
      </c>
      <c r="F170" s="18">
        <v>0.44319444444444445</v>
      </c>
      <c r="G170" s="22">
        <v>1182</v>
      </c>
      <c r="H170">
        <v>0</v>
      </c>
      <c r="I170" s="19" t="e">
        <f>I169 + (D170-G170)</f>
        <v>#VALUE!</v>
      </c>
      <c r="M170">
        <v>123533</v>
      </c>
      <c r="N170">
        <v>24</v>
      </c>
      <c r="O170" t="s">
        <v>68</v>
      </c>
      <c r="P170">
        <v>1</v>
      </c>
      <c r="R170">
        <v>537</v>
      </c>
      <c r="S170" s="17">
        <v>42166</v>
      </c>
      <c r="T170" s="17">
        <v>42166</v>
      </c>
      <c r="W170">
        <v>2015</v>
      </c>
      <c r="X170">
        <v>24</v>
      </c>
      <c r="AC170" t="s">
        <v>161</v>
      </c>
      <c r="AD170" t="s">
        <v>301</v>
      </c>
      <c r="AE170" t="s">
        <v>46</v>
      </c>
      <c r="AG170">
        <v>12</v>
      </c>
      <c r="AH170">
        <v>2</v>
      </c>
      <c r="AI170" t="s">
        <v>50</v>
      </c>
      <c r="AK170">
        <v>0</v>
      </c>
      <c r="AM170">
        <v>0</v>
      </c>
      <c r="AP170" t="s">
        <v>392</v>
      </c>
    </row>
    <row r="171" spans="1:42" customFormat="1">
      <c r="A171">
        <v>271042</v>
      </c>
      <c r="B171" t="s">
        <v>102</v>
      </c>
      <c r="C171" t="s">
        <v>3447</v>
      </c>
      <c r="D171" s="22">
        <v>0</v>
      </c>
      <c r="E171" s="17">
        <v>42139</v>
      </c>
      <c r="F171" s="18">
        <v>0.44634259259259257</v>
      </c>
      <c r="G171" s="22">
        <v>720.3</v>
      </c>
      <c r="H171">
        <v>0</v>
      </c>
      <c r="I171" s="19" t="e">
        <f>I170 + (D171-G171)</f>
        <v>#VALUE!</v>
      </c>
      <c r="N171">
        <v>7</v>
      </c>
      <c r="O171" t="s">
        <v>44</v>
      </c>
      <c r="P171">
        <v>1</v>
      </c>
      <c r="R171">
        <v>537</v>
      </c>
      <c r="S171" s="17">
        <v>42150</v>
      </c>
      <c r="T171" s="17">
        <v>42150</v>
      </c>
      <c r="W171">
        <v>2015</v>
      </c>
      <c r="X171">
        <v>7</v>
      </c>
      <c r="AC171" t="s">
        <v>161</v>
      </c>
      <c r="AD171" t="s">
        <v>301</v>
      </c>
      <c r="AE171" t="s">
        <v>46</v>
      </c>
      <c r="AG171">
        <v>26</v>
      </c>
      <c r="AH171">
        <v>2</v>
      </c>
      <c r="AI171" t="s">
        <v>50</v>
      </c>
      <c r="AM171">
        <v>0</v>
      </c>
      <c r="AP171" t="s">
        <v>501</v>
      </c>
    </row>
    <row r="172" spans="1:42" customFormat="1">
      <c r="A172">
        <v>270970</v>
      </c>
      <c r="B172" t="s">
        <v>102</v>
      </c>
      <c r="C172" t="s">
        <v>3451</v>
      </c>
      <c r="D172" s="22">
        <v>0</v>
      </c>
      <c r="E172" s="17">
        <v>42139</v>
      </c>
      <c r="F172" s="18">
        <v>0.47206018518518517</v>
      </c>
      <c r="G172" s="22">
        <v>20000</v>
      </c>
      <c r="H172">
        <v>0</v>
      </c>
      <c r="I172" s="19" t="e">
        <f>I171 + (D172-G172)</f>
        <v>#VALUE!</v>
      </c>
      <c r="N172">
        <v>7</v>
      </c>
      <c r="O172" t="s">
        <v>44</v>
      </c>
      <c r="P172">
        <v>1</v>
      </c>
      <c r="R172">
        <v>537</v>
      </c>
      <c r="S172" s="17">
        <v>42149</v>
      </c>
      <c r="T172" s="17">
        <v>42149</v>
      </c>
      <c r="W172">
        <v>2015</v>
      </c>
      <c r="X172">
        <v>7</v>
      </c>
      <c r="AC172" t="s">
        <v>161</v>
      </c>
      <c r="AD172" t="s">
        <v>301</v>
      </c>
      <c r="AE172" t="s">
        <v>46</v>
      </c>
      <c r="AG172">
        <v>2</v>
      </c>
      <c r="AH172">
        <v>2</v>
      </c>
      <c r="AI172" t="s">
        <v>50</v>
      </c>
      <c r="AM172">
        <v>0</v>
      </c>
      <c r="AP172" t="s">
        <v>2544</v>
      </c>
    </row>
    <row r="173" spans="1:42" customFormat="1">
      <c r="A173">
        <v>270960</v>
      </c>
      <c r="B173" t="s">
        <v>3551</v>
      </c>
      <c r="C173" t="s">
        <v>3552</v>
      </c>
      <c r="D173" s="22">
        <v>0</v>
      </c>
      <c r="E173" s="17">
        <v>42142</v>
      </c>
      <c r="F173" s="18">
        <v>0.4586574074074074</v>
      </c>
      <c r="G173" s="22">
        <v>251.16</v>
      </c>
      <c r="H173">
        <v>0</v>
      </c>
      <c r="I173" s="19" t="e">
        <f>I172 + (D173-G173)</f>
        <v>#VALUE!</v>
      </c>
      <c r="M173">
        <v>124015</v>
      </c>
      <c r="N173">
        <v>24</v>
      </c>
      <c r="O173" t="s">
        <v>68</v>
      </c>
      <c r="P173">
        <v>1</v>
      </c>
      <c r="R173">
        <v>537</v>
      </c>
      <c r="S173" s="17">
        <v>42149</v>
      </c>
      <c r="T173" s="17">
        <v>42149</v>
      </c>
      <c r="W173">
        <v>2015</v>
      </c>
      <c r="X173">
        <v>24</v>
      </c>
      <c r="AC173" t="s">
        <v>161</v>
      </c>
      <c r="AD173" t="s">
        <v>301</v>
      </c>
      <c r="AE173" t="s">
        <v>46</v>
      </c>
      <c r="AG173">
        <v>4</v>
      </c>
      <c r="AH173">
        <v>9</v>
      </c>
      <c r="AI173" t="s">
        <v>54</v>
      </c>
      <c r="AK173">
        <v>0</v>
      </c>
      <c r="AM173">
        <v>0</v>
      </c>
      <c r="AP173" t="s">
        <v>389</v>
      </c>
    </row>
    <row r="174" spans="1:42" customFormat="1">
      <c r="A174">
        <v>270936</v>
      </c>
      <c r="B174" t="s">
        <v>3619</v>
      </c>
      <c r="C174" t="s">
        <v>3390</v>
      </c>
      <c r="D174" s="22">
        <v>0</v>
      </c>
      <c r="E174" s="17">
        <v>42143</v>
      </c>
      <c r="F174" s="18">
        <v>0.40788194444444442</v>
      </c>
      <c r="G174" s="22">
        <v>9000</v>
      </c>
      <c r="H174">
        <v>0</v>
      </c>
      <c r="I174" s="19" t="e">
        <f>I173 + (D174-G174)</f>
        <v>#VALUE!</v>
      </c>
      <c r="N174">
        <v>7</v>
      </c>
      <c r="O174" t="s">
        <v>44</v>
      </c>
      <c r="P174">
        <v>1</v>
      </c>
      <c r="R174">
        <v>537</v>
      </c>
      <c r="S174" s="17">
        <v>42149</v>
      </c>
      <c r="T174" s="17">
        <v>42149</v>
      </c>
      <c r="W174">
        <v>2015</v>
      </c>
      <c r="X174">
        <v>7</v>
      </c>
      <c r="AC174" t="s">
        <v>161</v>
      </c>
      <c r="AD174" t="s">
        <v>301</v>
      </c>
      <c r="AE174" t="s">
        <v>46</v>
      </c>
      <c r="AG174">
        <v>33</v>
      </c>
      <c r="AH174">
        <v>2</v>
      </c>
      <c r="AI174" t="s">
        <v>50</v>
      </c>
      <c r="AM174">
        <v>0</v>
      </c>
      <c r="AP174" t="s">
        <v>457</v>
      </c>
    </row>
    <row r="175" spans="1:42" customFormat="1">
      <c r="A175">
        <v>270950</v>
      </c>
      <c r="B175" t="s">
        <v>4128</v>
      </c>
      <c r="C175" t="s">
        <v>4129</v>
      </c>
      <c r="D175" s="22">
        <v>0</v>
      </c>
      <c r="E175" s="17">
        <v>42146</v>
      </c>
      <c r="F175" s="18">
        <v>0.41961805555555554</v>
      </c>
      <c r="G175" s="22">
        <v>241.8</v>
      </c>
      <c r="H175">
        <v>0</v>
      </c>
      <c r="I175" s="19" t="e">
        <f>I174 + (D175-G175)</f>
        <v>#VALUE!</v>
      </c>
      <c r="M175">
        <v>123994</v>
      </c>
      <c r="N175">
        <v>24</v>
      </c>
      <c r="O175" t="s">
        <v>68</v>
      </c>
      <c r="P175">
        <v>1</v>
      </c>
      <c r="R175">
        <v>537</v>
      </c>
      <c r="S175" s="17">
        <v>42149</v>
      </c>
      <c r="T175" s="17">
        <v>42149</v>
      </c>
      <c r="W175">
        <v>2015</v>
      </c>
      <c r="X175">
        <v>24</v>
      </c>
      <c r="AC175" t="s">
        <v>161</v>
      </c>
      <c r="AD175" t="s">
        <v>301</v>
      </c>
      <c r="AE175" t="s">
        <v>46</v>
      </c>
      <c r="AG175">
        <v>56</v>
      </c>
      <c r="AH175">
        <v>1</v>
      </c>
      <c r="AI175" t="s">
        <v>58</v>
      </c>
      <c r="AK175">
        <v>0</v>
      </c>
      <c r="AM175">
        <v>0</v>
      </c>
      <c r="AP175" t="s">
        <v>59</v>
      </c>
    </row>
    <row r="176" spans="1:42" customFormat="1">
      <c r="A176">
        <v>273871</v>
      </c>
      <c r="B176" t="s">
        <v>502</v>
      </c>
      <c r="C176" t="s">
        <v>503</v>
      </c>
      <c r="D176" s="22">
        <v>0</v>
      </c>
      <c r="E176" s="17">
        <v>42128</v>
      </c>
      <c r="F176" s="18">
        <v>0.58173611111111112</v>
      </c>
      <c r="G176" s="22">
        <v>57937.83</v>
      </c>
      <c r="H176">
        <v>0</v>
      </c>
      <c r="I176" s="19" t="e">
        <f>I175 + (D176-G176)</f>
        <v>#VALUE!</v>
      </c>
      <c r="M176">
        <v>127276</v>
      </c>
      <c r="N176">
        <v>7</v>
      </c>
      <c r="O176" t="s">
        <v>44</v>
      </c>
      <c r="P176">
        <v>1</v>
      </c>
      <c r="R176">
        <v>1604</v>
      </c>
      <c r="S176" s="17">
        <v>42179</v>
      </c>
      <c r="T176" s="17">
        <v>42179</v>
      </c>
      <c r="W176">
        <v>2015</v>
      </c>
      <c r="X176">
        <v>7</v>
      </c>
      <c r="AC176" t="s">
        <v>82</v>
      </c>
      <c r="AD176" t="s">
        <v>302</v>
      </c>
      <c r="AE176" t="s">
        <v>46</v>
      </c>
      <c r="AG176">
        <v>26</v>
      </c>
      <c r="AH176">
        <v>9</v>
      </c>
      <c r="AI176" t="s">
        <v>54</v>
      </c>
      <c r="AK176">
        <v>0</v>
      </c>
      <c r="AM176">
        <v>0</v>
      </c>
      <c r="AP176" t="s">
        <v>501</v>
      </c>
    </row>
    <row r="177" spans="1:42" customFormat="1">
      <c r="A177">
        <v>273873</v>
      </c>
      <c r="B177" t="s">
        <v>2573</v>
      </c>
      <c r="C177" t="s">
        <v>2574</v>
      </c>
      <c r="D177" s="22">
        <v>0</v>
      </c>
      <c r="E177" s="17">
        <v>42135</v>
      </c>
      <c r="F177" s="18">
        <v>0.58204861111111106</v>
      </c>
      <c r="G177" s="22">
        <v>10087.790000000001</v>
      </c>
      <c r="H177">
        <v>0</v>
      </c>
      <c r="I177" s="19" t="e">
        <f>I176 + (D177-G177)</f>
        <v>#VALUE!</v>
      </c>
      <c r="M177">
        <v>127284</v>
      </c>
      <c r="N177">
        <v>7</v>
      </c>
      <c r="O177" t="s">
        <v>44</v>
      </c>
      <c r="P177">
        <v>1</v>
      </c>
      <c r="R177">
        <v>1604</v>
      </c>
      <c r="S177" s="17">
        <v>42179</v>
      </c>
      <c r="T177" s="17">
        <v>42179</v>
      </c>
      <c r="W177">
        <v>2015</v>
      </c>
      <c r="X177">
        <v>7</v>
      </c>
      <c r="AC177" t="s">
        <v>82</v>
      </c>
      <c r="AD177" t="s">
        <v>302</v>
      </c>
      <c r="AE177" t="s">
        <v>46</v>
      </c>
      <c r="AG177">
        <v>8</v>
      </c>
      <c r="AH177">
        <v>9</v>
      </c>
      <c r="AI177" t="s">
        <v>54</v>
      </c>
      <c r="AK177">
        <v>0</v>
      </c>
      <c r="AM177">
        <v>0</v>
      </c>
      <c r="AP177" t="s">
        <v>1201</v>
      </c>
    </row>
    <row r="178" spans="1:42" customFormat="1">
      <c r="A178">
        <v>268617</v>
      </c>
      <c r="B178" t="s">
        <v>319</v>
      </c>
      <c r="C178" t="s">
        <v>320</v>
      </c>
      <c r="D178" s="22">
        <v>0</v>
      </c>
      <c r="E178" s="17">
        <v>42128</v>
      </c>
      <c r="F178" s="18">
        <v>0.36171296296296296</v>
      </c>
      <c r="G178" s="22">
        <v>15589.7</v>
      </c>
      <c r="H178">
        <v>0</v>
      </c>
      <c r="I178" s="19" t="e">
        <f>I177 + (D178-G178)</f>
        <v>#VALUE!</v>
      </c>
      <c r="M178">
        <v>122871</v>
      </c>
      <c r="N178">
        <v>7</v>
      </c>
      <c r="O178" t="s">
        <v>44</v>
      </c>
      <c r="P178">
        <v>1</v>
      </c>
      <c r="R178">
        <v>524</v>
      </c>
      <c r="S178" s="17">
        <v>42131</v>
      </c>
      <c r="T178" s="17">
        <v>42131</v>
      </c>
      <c r="W178">
        <v>2015</v>
      </c>
      <c r="X178">
        <v>7</v>
      </c>
      <c r="AC178" t="s">
        <v>66</v>
      </c>
      <c r="AD178" t="s">
        <v>302</v>
      </c>
      <c r="AE178" t="s">
        <v>46</v>
      </c>
      <c r="AG178">
        <v>5</v>
      </c>
      <c r="AH178">
        <v>9</v>
      </c>
      <c r="AI178" t="s">
        <v>54</v>
      </c>
      <c r="AK178">
        <v>0</v>
      </c>
      <c r="AM178">
        <v>0</v>
      </c>
      <c r="AP178" t="s">
        <v>312</v>
      </c>
    </row>
    <row r="179" spans="1:42" customFormat="1">
      <c r="A179">
        <v>268647</v>
      </c>
      <c r="B179" t="s">
        <v>362</v>
      </c>
      <c r="C179" t="s">
        <v>363</v>
      </c>
      <c r="D179" s="22">
        <v>0</v>
      </c>
      <c r="E179" s="17">
        <v>42128</v>
      </c>
      <c r="F179" s="18">
        <v>0.38848379629629631</v>
      </c>
      <c r="G179" s="22">
        <v>54506.03</v>
      </c>
      <c r="H179">
        <v>0</v>
      </c>
      <c r="I179" s="19" t="e">
        <f>I178 + (D179-G179)</f>
        <v>#VALUE!</v>
      </c>
      <c r="M179">
        <v>122897</v>
      </c>
      <c r="N179">
        <v>7</v>
      </c>
      <c r="O179" t="s">
        <v>44</v>
      </c>
      <c r="P179">
        <v>1</v>
      </c>
      <c r="R179">
        <v>524</v>
      </c>
      <c r="S179" s="17">
        <v>42131</v>
      </c>
      <c r="T179" s="17">
        <v>42131</v>
      </c>
      <c r="W179">
        <v>2015</v>
      </c>
      <c r="X179">
        <v>7</v>
      </c>
      <c r="AC179" t="s">
        <v>66</v>
      </c>
      <c r="AD179" t="s">
        <v>302</v>
      </c>
      <c r="AE179" t="s">
        <v>46</v>
      </c>
      <c r="AG179">
        <v>59</v>
      </c>
      <c r="AH179">
        <v>9</v>
      </c>
      <c r="AI179" t="s">
        <v>54</v>
      </c>
      <c r="AK179">
        <v>0</v>
      </c>
      <c r="AM179">
        <v>0</v>
      </c>
      <c r="AP179" t="s">
        <v>341</v>
      </c>
    </row>
    <row r="180" spans="1:42" customFormat="1">
      <c r="A180">
        <v>269417</v>
      </c>
      <c r="B180" t="s">
        <v>1663</v>
      </c>
      <c r="C180" t="s">
        <v>1664</v>
      </c>
      <c r="D180" s="22">
        <v>0</v>
      </c>
      <c r="E180" s="17">
        <v>42130</v>
      </c>
      <c r="F180" s="18">
        <v>0.41679398148148145</v>
      </c>
      <c r="G180" s="22">
        <v>15000</v>
      </c>
      <c r="H180">
        <v>0</v>
      </c>
      <c r="I180" s="19" t="e">
        <f>I179 + (D180-G180)</f>
        <v>#VALUE!</v>
      </c>
      <c r="M180">
        <v>114895</v>
      </c>
      <c r="N180">
        <v>24</v>
      </c>
      <c r="O180" t="s">
        <v>68</v>
      </c>
      <c r="P180">
        <v>1</v>
      </c>
      <c r="R180">
        <v>524</v>
      </c>
      <c r="S180" s="17">
        <v>42136</v>
      </c>
      <c r="T180" s="17">
        <v>42136</v>
      </c>
      <c r="W180">
        <v>2015</v>
      </c>
      <c r="X180">
        <v>24</v>
      </c>
      <c r="AC180" t="s">
        <v>66</v>
      </c>
      <c r="AD180" t="s">
        <v>302</v>
      </c>
      <c r="AE180" t="s">
        <v>46</v>
      </c>
      <c r="AG180">
        <v>52</v>
      </c>
      <c r="AH180">
        <v>2</v>
      </c>
      <c r="AI180" t="s">
        <v>50</v>
      </c>
      <c r="AK180">
        <v>0</v>
      </c>
      <c r="AM180">
        <v>0</v>
      </c>
      <c r="AP180" t="s">
        <v>325</v>
      </c>
    </row>
    <row r="181" spans="1:42" customFormat="1">
      <c r="A181">
        <v>270924</v>
      </c>
      <c r="B181" t="s">
        <v>2083</v>
      </c>
      <c r="C181" t="s">
        <v>2084</v>
      </c>
      <c r="D181" s="22">
        <v>0</v>
      </c>
      <c r="E181" s="17">
        <v>42132</v>
      </c>
      <c r="F181" s="18">
        <v>0.38032407407407409</v>
      </c>
      <c r="G181" s="22">
        <v>15000</v>
      </c>
      <c r="H181">
        <v>0</v>
      </c>
      <c r="I181" s="19" t="e">
        <f>I180 + (D181-G181)</f>
        <v>#VALUE!</v>
      </c>
      <c r="M181">
        <v>123963</v>
      </c>
      <c r="N181">
        <v>7</v>
      </c>
      <c r="O181" t="s">
        <v>44</v>
      </c>
      <c r="P181">
        <v>2</v>
      </c>
      <c r="R181">
        <v>524</v>
      </c>
      <c r="S181" s="17">
        <v>42149</v>
      </c>
      <c r="T181" s="17">
        <v>42149</v>
      </c>
      <c r="W181">
        <v>2015</v>
      </c>
      <c r="X181">
        <v>7</v>
      </c>
      <c r="AC181" t="s">
        <v>66</v>
      </c>
      <c r="AD181" t="s">
        <v>302</v>
      </c>
      <c r="AE181" t="s">
        <v>46</v>
      </c>
      <c r="AG181">
        <v>29</v>
      </c>
      <c r="AH181">
        <v>9</v>
      </c>
      <c r="AI181" t="s">
        <v>54</v>
      </c>
      <c r="AK181">
        <v>0</v>
      </c>
      <c r="AM181">
        <v>0</v>
      </c>
      <c r="AP181" t="s">
        <v>497</v>
      </c>
    </row>
    <row r="182" spans="1:42" customFormat="1">
      <c r="A182">
        <v>269550</v>
      </c>
      <c r="B182" t="s">
        <v>2196</v>
      </c>
      <c r="C182" t="s">
        <v>2197</v>
      </c>
      <c r="D182" s="22">
        <v>0</v>
      </c>
      <c r="E182" s="17">
        <v>42132</v>
      </c>
      <c r="F182" s="18">
        <v>0.46652777777777782</v>
      </c>
      <c r="G182" s="22">
        <v>13083.77</v>
      </c>
      <c r="H182">
        <v>0</v>
      </c>
      <c r="I182" s="19" t="e">
        <f>I181 + (D182-G182)</f>
        <v>#VALUE!</v>
      </c>
      <c r="M182">
        <v>123193</v>
      </c>
      <c r="N182">
        <v>24</v>
      </c>
      <c r="O182" t="s">
        <v>68</v>
      </c>
      <c r="P182">
        <v>1</v>
      </c>
      <c r="R182">
        <v>524</v>
      </c>
      <c r="S182" s="17">
        <v>42136</v>
      </c>
      <c r="T182" s="17">
        <v>42136</v>
      </c>
      <c r="W182">
        <v>2015</v>
      </c>
      <c r="X182">
        <v>24</v>
      </c>
      <c r="AC182" t="s">
        <v>66</v>
      </c>
      <c r="AD182" t="s">
        <v>302</v>
      </c>
      <c r="AE182" t="s">
        <v>46</v>
      </c>
      <c r="AG182">
        <v>8</v>
      </c>
      <c r="AH182">
        <v>9</v>
      </c>
      <c r="AI182" t="s">
        <v>54</v>
      </c>
      <c r="AK182">
        <v>0</v>
      </c>
      <c r="AM182">
        <v>0</v>
      </c>
      <c r="AP182" t="s">
        <v>1201</v>
      </c>
    </row>
    <row r="183" spans="1:42" customFormat="1">
      <c r="A183">
        <v>269551</v>
      </c>
      <c r="B183" t="s">
        <v>2198</v>
      </c>
      <c r="C183" t="s">
        <v>2199</v>
      </c>
      <c r="D183" s="22">
        <v>0</v>
      </c>
      <c r="E183" s="17">
        <v>42132</v>
      </c>
      <c r="F183" s="18">
        <v>0.46652777777777782</v>
      </c>
      <c r="G183" s="22">
        <v>261.68</v>
      </c>
      <c r="H183">
        <v>0</v>
      </c>
      <c r="I183" s="19" t="e">
        <f>I182 + (D183-G183)</f>
        <v>#VALUE!</v>
      </c>
      <c r="M183">
        <v>123194</v>
      </c>
      <c r="N183">
        <v>24</v>
      </c>
      <c r="O183" t="s">
        <v>68</v>
      </c>
      <c r="P183">
        <v>1</v>
      </c>
      <c r="R183">
        <v>524</v>
      </c>
      <c r="S183" s="17">
        <v>42136</v>
      </c>
      <c r="T183" s="17">
        <v>42136</v>
      </c>
      <c r="W183">
        <v>2015</v>
      </c>
      <c r="X183">
        <v>24</v>
      </c>
      <c r="AC183" t="s">
        <v>66</v>
      </c>
      <c r="AD183" t="s">
        <v>302</v>
      </c>
      <c r="AE183" t="s">
        <v>46</v>
      </c>
      <c r="AG183">
        <v>8</v>
      </c>
      <c r="AH183">
        <v>9</v>
      </c>
      <c r="AI183" t="s">
        <v>54</v>
      </c>
      <c r="AK183">
        <v>0</v>
      </c>
      <c r="AM183">
        <v>0</v>
      </c>
      <c r="AP183" t="s">
        <v>1201</v>
      </c>
    </row>
    <row r="184" spans="1:42" customFormat="1">
      <c r="A184">
        <v>269565</v>
      </c>
      <c r="B184" t="s">
        <v>2213</v>
      </c>
      <c r="C184" t="s">
        <v>2214</v>
      </c>
      <c r="D184" s="22">
        <v>0</v>
      </c>
      <c r="E184" s="17">
        <v>42132</v>
      </c>
      <c r="F184" s="18">
        <v>0.48947916666666669</v>
      </c>
      <c r="G184" s="22">
        <v>68000</v>
      </c>
      <c r="H184">
        <v>0</v>
      </c>
      <c r="I184" s="19" t="e">
        <f>I183 + (D184-G184)</f>
        <v>#VALUE!</v>
      </c>
      <c r="M184">
        <v>123201</v>
      </c>
      <c r="N184">
        <v>24</v>
      </c>
      <c r="O184" t="s">
        <v>68</v>
      </c>
      <c r="P184">
        <v>1</v>
      </c>
      <c r="R184">
        <v>524</v>
      </c>
      <c r="S184" s="17">
        <v>42136</v>
      </c>
      <c r="T184" s="17">
        <v>42136</v>
      </c>
      <c r="W184">
        <v>2015</v>
      </c>
      <c r="X184">
        <v>24</v>
      </c>
      <c r="AC184" t="s">
        <v>66</v>
      </c>
      <c r="AD184" t="s">
        <v>302</v>
      </c>
      <c r="AE184" t="s">
        <v>46</v>
      </c>
      <c r="AG184">
        <v>7</v>
      </c>
      <c r="AH184">
        <v>12</v>
      </c>
      <c r="AI184" t="s">
        <v>104</v>
      </c>
      <c r="AK184">
        <v>0</v>
      </c>
      <c r="AM184">
        <v>0</v>
      </c>
      <c r="AP184" t="s">
        <v>220</v>
      </c>
    </row>
    <row r="185" spans="1:42" customFormat="1">
      <c r="A185">
        <v>269912</v>
      </c>
      <c r="B185" t="s">
        <v>2534</v>
      </c>
      <c r="C185" t="s">
        <v>2535</v>
      </c>
      <c r="D185" s="22">
        <v>0</v>
      </c>
      <c r="E185" s="17">
        <v>42135</v>
      </c>
      <c r="F185" s="18">
        <v>0.45435185185185184</v>
      </c>
      <c r="G185" s="22">
        <v>2800.05</v>
      </c>
      <c r="H185">
        <v>0</v>
      </c>
      <c r="I185" s="19" t="e">
        <f>I184 + (D185-G185)</f>
        <v>#VALUE!</v>
      </c>
      <c r="M185">
        <v>123308</v>
      </c>
      <c r="N185">
        <v>60</v>
      </c>
      <c r="O185" t="s">
        <v>60</v>
      </c>
      <c r="P185">
        <v>1</v>
      </c>
      <c r="R185">
        <v>524</v>
      </c>
      <c r="S185" s="17">
        <v>42138</v>
      </c>
      <c r="T185" s="17">
        <v>42138</v>
      </c>
      <c r="W185">
        <v>2015</v>
      </c>
      <c r="X185">
        <v>60</v>
      </c>
      <c r="AC185" t="s">
        <v>66</v>
      </c>
      <c r="AD185" t="s">
        <v>302</v>
      </c>
      <c r="AE185" t="s">
        <v>46</v>
      </c>
      <c r="AG185">
        <v>8</v>
      </c>
      <c r="AH185">
        <v>9</v>
      </c>
      <c r="AI185" t="s">
        <v>54</v>
      </c>
      <c r="AK185">
        <v>0</v>
      </c>
      <c r="AM185">
        <v>0</v>
      </c>
      <c r="AP185" t="s">
        <v>1201</v>
      </c>
    </row>
    <row r="186" spans="1:42" customFormat="1">
      <c r="A186">
        <v>269566</v>
      </c>
      <c r="B186" t="s">
        <v>2564</v>
      </c>
      <c r="C186" t="s">
        <v>2565</v>
      </c>
      <c r="D186" s="22">
        <v>0</v>
      </c>
      <c r="E186" s="17">
        <v>42135</v>
      </c>
      <c r="F186" s="18">
        <v>0.49057870370370371</v>
      </c>
      <c r="G186" s="22">
        <v>1491.02</v>
      </c>
      <c r="H186">
        <v>0</v>
      </c>
      <c r="I186" s="19" t="e">
        <f>I185 + (D186-G186)</f>
        <v>#VALUE!</v>
      </c>
      <c r="M186">
        <v>123202</v>
      </c>
      <c r="N186">
        <v>24</v>
      </c>
      <c r="O186" t="s">
        <v>68</v>
      </c>
      <c r="P186">
        <v>1</v>
      </c>
      <c r="R186">
        <v>524</v>
      </c>
      <c r="S186" s="17">
        <v>42136</v>
      </c>
      <c r="T186" s="17">
        <v>42136</v>
      </c>
      <c r="W186">
        <v>2015</v>
      </c>
      <c r="X186">
        <v>24</v>
      </c>
      <c r="AC186" t="s">
        <v>66</v>
      </c>
      <c r="AD186" t="s">
        <v>302</v>
      </c>
      <c r="AE186" t="s">
        <v>46</v>
      </c>
      <c r="AG186">
        <v>7</v>
      </c>
      <c r="AH186">
        <v>9</v>
      </c>
      <c r="AI186" t="s">
        <v>54</v>
      </c>
      <c r="AK186">
        <v>0</v>
      </c>
      <c r="AM186">
        <v>0</v>
      </c>
      <c r="AP186" t="s">
        <v>220</v>
      </c>
    </row>
    <row r="187" spans="1:42" customFormat="1">
      <c r="A187">
        <v>270946</v>
      </c>
      <c r="B187" t="s">
        <v>2963</v>
      </c>
      <c r="C187" t="s">
        <v>2964</v>
      </c>
      <c r="D187" s="22">
        <v>0</v>
      </c>
      <c r="E187" s="17">
        <v>42137</v>
      </c>
      <c r="F187" s="18">
        <v>0.4173263888888889</v>
      </c>
      <c r="G187" s="22">
        <v>1000</v>
      </c>
      <c r="H187">
        <v>0</v>
      </c>
      <c r="I187" s="19" t="e">
        <f>I186 + (D187-G187)</f>
        <v>#VALUE!</v>
      </c>
      <c r="M187">
        <v>123989</v>
      </c>
      <c r="N187">
        <v>7</v>
      </c>
      <c r="O187" t="s">
        <v>44</v>
      </c>
      <c r="P187">
        <v>2</v>
      </c>
      <c r="R187">
        <v>524</v>
      </c>
      <c r="S187" s="17">
        <v>42149</v>
      </c>
      <c r="T187" s="17">
        <v>42149</v>
      </c>
      <c r="W187">
        <v>2015</v>
      </c>
      <c r="X187">
        <v>7</v>
      </c>
      <c r="AC187" t="s">
        <v>66</v>
      </c>
      <c r="AD187" t="s">
        <v>302</v>
      </c>
      <c r="AE187" t="s">
        <v>46</v>
      </c>
      <c r="AG187">
        <v>5</v>
      </c>
      <c r="AH187">
        <v>9</v>
      </c>
      <c r="AI187" t="s">
        <v>54</v>
      </c>
      <c r="AK187">
        <v>0</v>
      </c>
      <c r="AM187">
        <v>0</v>
      </c>
      <c r="AP187" t="s">
        <v>312</v>
      </c>
    </row>
    <row r="188" spans="1:42" customFormat="1">
      <c r="A188">
        <v>270981</v>
      </c>
      <c r="B188" t="s">
        <v>3830</v>
      </c>
      <c r="C188" t="s">
        <v>3831</v>
      </c>
      <c r="D188" s="22">
        <v>0</v>
      </c>
      <c r="E188" s="17">
        <v>42144</v>
      </c>
      <c r="F188" s="18">
        <v>0.41006944444444443</v>
      </c>
      <c r="G188" s="22">
        <v>3149.94</v>
      </c>
      <c r="H188">
        <v>0</v>
      </c>
      <c r="I188" s="19" t="e">
        <f>I187 + (D188-G188)</f>
        <v>#VALUE!</v>
      </c>
      <c r="M188">
        <v>124019</v>
      </c>
      <c r="N188">
        <v>7</v>
      </c>
      <c r="O188" t="s">
        <v>44</v>
      </c>
      <c r="P188">
        <v>1</v>
      </c>
      <c r="R188">
        <v>524</v>
      </c>
      <c r="S188" s="17">
        <v>42150</v>
      </c>
      <c r="T188" s="17">
        <v>42150</v>
      </c>
      <c r="W188">
        <v>2015</v>
      </c>
      <c r="X188">
        <v>7</v>
      </c>
      <c r="AC188" t="s">
        <v>66</v>
      </c>
      <c r="AD188" t="s">
        <v>302</v>
      </c>
      <c r="AE188" t="s">
        <v>46</v>
      </c>
      <c r="AG188">
        <v>4</v>
      </c>
      <c r="AH188">
        <v>9</v>
      </c>
      <c r="AI188" t="s">
        <v>54</v>
      </c>
      <c r="AK188">
        <v>0</v>
      </c>
      <c r="AM188">
        <v>0</v>
      </c>
      <c r="AP188" t="s">
        <v>389</v>
      </c>
    </row>
    <row r="189" spans="1:42" customFormat="1">
      <c r="A189">
        <v>270606</v>
      </c>
      <c r="B189" t="s">
        <v>3834</v>
      </c>
      <c r="C189" t="s">
        <v>3835</v>
      </c>
      <c r="D189" s="22">
        <v>0</v>
      </c>
      <c r="E189" s="17">
        <v>42144</v>
      </c>
      <c r="F189" s="18">
        <v>0.41981481481481481</v>
      </c>
      <c r="G189" s="22">
        <v>5837.38</v>
      </c>
      <c r="H189">
        <v>0</v>
      </c>
      <c r="I189" s="19" t="e">
        <f>I188 + (D189-G189)</f>
        <v>#VALUE!</v>
      </c>
      <c r="M189">
        <v>123781</v>
      </c>
      <c r="N189">
        <v>7</v>
      </c>
      <c r="O189" t="s">
        <v>44</v>
      </c>
      <c r="P189">
        <v>1</v>
      </c>
      <c r="R189">
        <v>524</v>
      </c>
      <c r="S189" s="17">
        <v>42145</v>
      </c>
      <c r="T189" s="17">
        <v>42145</v>
      </c>
      <c r="W189">
        <v>2015</v>
      </c>
      <c r="X189">
        <v>7</v>
      </c>
      <c r="AC189" t="s">
        <v>66</v>
      </c>
      <c r="AD189" t="s">
        <v>302</v>
      </c>
      <c r="AE189" t="s">
        <v>46</v>
      </c>
      <c r="AG189">
        <v>7</v>
      </c>
      <c r="AH189">
        <v>9</v>
      </c>
      <c r="AI189" t="s">
        <v>54</v>
      </c>
      <c r="AK189">
        <v>0</v>
      </c>
      <c r="AM189">
        <v>0</v>
      </c>
      <c r="AP189" t="s">
        <v>220</v>
      </c>
    </row>
    <row r="190" spans="1:42" customFormat="1">
      <c r="A190">
        <v>270737</v>
      </c>
      <c r="B190" t="s">
        <v>3999</v>
      </c>
      <c r="C190" t="s">
        <v>4000</v>
      </c>
      <c r="D190" s="22">
        <v>0</v>
      </c>
      <c r="E190" s="17">
        <v>42145</v>
      </c>
      <c r="F190" s="18">
        <v>0.44355324074074076</v>
      </c>
      <c r="G190" s="22">
        <v>374</v>
      </c>
      <c r="H190">
        <v>0</v>
      </c>
      <c r="I190" s="19" t="e">
        <f>I189 + (D190-G190)</f>
        <v>#VALUE!</v>
      </c>
      <c r="M190">
        <v>123877</v>
      </c>
      <c r="N190">
        <v>7</v>
      </c>
      <c r="O190" t="s">
        <v>44</v>
      </c>
      <c r="P190">
        <v>1</v>
      </c>
      <c r="R190">
        <v>524</v>
      </c>
      <c r="S190" s="17">
        <v>42146</v>
      </c>
      <c r="T190" s="17">
        <v>42146</v>
      </c>
      <c r="W190">
        <v>2015</v>
      </c>
      <c r="X190">
        <v>7</v>
      </c>
      <c r="AC190" t="s">
        <v>66</v>
      </c>
      <c r="AD190" t="s">
        <v>302</v>
      </c>
      <c r="AE190" t="s">
        <v>46</v>
      </c>
      <c r="AG190">
        <v>7</v>
      </c>
      <c r="AH190">
        <v>9</v>
      </c>
      <c r="AI190" t="s">
        <v>54</v>
      </c>
      <c r="AK190">
        <v>0</v>
      </c>
      <c r="AM190">
        <v>0</v>
      </c>
      <c r="AP190" t="s">
        <v>220</v>
      </c>
    </row>
    <row r="191" spans="1:42" customFormat="1">
      <c r="A191">
        <v>271791</v>
      </c>
      <c r="B191" t="s">
        <v>4475</v>
      </c>
      <c r="C191" t="s">
        <v>4476</v>
      </c>
      <c r="D191" s="22">
        <v>0</v>
      </c>
      <c r="E191" s="17">
        <v>42146</v>
      </c>
      <c r="F191" s="18">
        <v>0.67361111111111116</v>
      </c>
      <c r="G191" s="22">
        <v>163143.79</v>
      </c>
      <c r="H191">
        <v>0</v>
      </c>
      <c r="I191" s="19" t="e">
        <f>I190 + (D191-G191)</f>
        <v>#VALUE!</v>
      </c>
      <c r="M191">
        <v>124533</v>
      </c>
      <c r="N191">
        <v>24</v>
      </c>
      <c r="O191" t="s">
        <v>68</v>
      </c>
      <c r="P191">
        <v>1</v>
      </c>
      <c r="R191">
        <v>524</v>
      </c>
      <c r="S191" s="17">
        <v>42158</v>
      </c>
      <c r="T191" s="17">
        <v>42158</v>
      </c>
      <c r="W191">
        <v>2015</v>
      </c>
      <c r="X191">
        <v>24</v>
      </c>
      <c r="AC191" t="s">
        <v>66</v>
      </c>
      <c r="AD191" t="s">
        <v>302</v>
      </c>
      <c r="AE191" t="s">
        <v>46</v>
      </c>
      <c r="AG191">
        <v>5</v>
      </c>
      <c r="AH191">
        <v>9</v>
      </c>
      <c r="AI191" t="s">
        <v>54</v>
      </c>
      <c r="AK191">
        <v>0</v>
      </c>
      <c r="AM191">
        <v>0</v>
      </c>
      <c r="AP191" t="s">
        <v>312</v>
      </c>
    </row>
    <row r="192" spans="1:42" customFormat="1">
      <c r="A192">
        <v>271792</v>
      </c>
      <c r="B192" t="s">
        <v>4477</v>
      </c>
      <c r="C192" t="s">
        <v>4478</v>
      </c>
      <c r="D192" s="22">
        <v>0</v>
      </c>
      <c r="E192" s="17">
        <v>42146</v>
      </c>
      <c r="F192" s="18">
        <v>0.67361111111111116</v>
      </c>
      <c r="G192" s="22">
        <v>551674.96</v>
      </c>
      <c r="H192">
        <v>0</v>
      </c>
      <c r="I192" s="19" t="e">
        <f>I191 + (D192-G192)</f>
        <v>#VALUE!</v>
      </c>
      <c r="M192">
        <v>124534</v>
      </c>
      <c r="N192">
        <v>24</v>
      </c>
      <c r="O192" t="s">
        <v>68</v>
      </c>
      <c r="P192">
        <v>1</v>
      </c>
      <c r="R192">
        <v>524</v>
      </c>
      <c r="S192" s="17">
        <v>42158</v>
      </c>
      <c r="T192" s="17">
        <v>42158</v>
      </c>
      <c r="W192">
        <v>2015</v>
      </c>
      <c r="X192">
        <v>24</v>
      </c>
      <c r="AC192" t="s">
        <v>66</v>
      </c>
      <c r="AD192" t="s">
        <v>302</v>
      </c>
      <c r="AE192" t="s">
        <v>46</v>
      </c>
      <c r="AG192">
        <v>5</v>
      </c>
      <c r="AH192">
        <v>9</v>
      </c>
      <c r="AI192" t="s">
        <v>54</v>
      </c>
      <c r="AK192">
        <v>0</v>
      </c>
      <c r="AM192">
        <v>0</v>
      </c>
      <c r="AP192" t="s">
        <v>312</v>
      </c>
    </row>
    <row r="193" spans="1:42" customFormat="1">
      <c r="A193">
        <v>271777</v>
      </c>
      <c r="B193" t="s">
        <v>4623</v>
      </c>
      <c r="C193" t="s">
        <v>4624</v>
      </c>
      <c r="D193" s="22">
        <v>0</v>
      </c>
      <c r="E193" s="17">
        <v>42149</v>
      </c>
      <c r="F193" s="18">
        <v>0.66677083333333342</v>
      </c>
      <c r="G193" s="22">
        <v>60000</v>
      </c>
      <c r="H193">
        <v>0</v>
      </c>
      <c r="I193" s="19" t="e">
        <f>I192 + (D193-G193)</f>
        <v>#VALUE!</v>
      </c>
      <c r="M193">
        <v>124522</v>
      </c>
      <c r="N193">
        <v>24</v>
      </c>
      <c r="O193" t="s">
        <v>68</v>
      </c>
      <c r="P193">
        <v>1</v>
      </c>
      <c r="R193">
        <v>524</v>
      </c>
      <c r="S193" s="17">
        <v>42158</v>
      </c>
      <c r="T193" s="17">
        <v>42158</v>
      </c>
      <c r="W193">
        <v>2015</v>
      </c>
      <c r="X193">
        <v>24</v>
      </c>
      <c r="AC193" t="s">
        <v>66</v>
      </c>
      <c r="AD193" t="s">
        <v>302</v>
      </c>
      <c r="AE193" t="s">
        <v>46</v>
      </c>
      <c r="AG193">
        <v>7</v>
      </c>
      <c r="AH193">
        <v>9</v>
      </c>
      <c r="AI193" t="s">
        <v>54</v>
      </c>
      <c r="AK193">
        <v>0</v>
      </c>
      <c r="AM193">
        <v>0</v>
      </c>
      <c r="AP193" t="s">
        <v>220</v>
      </c>
    </row>
    <row r="194" spans="1:42" customFormat="1">
      <c r="A194">
        <v>271778</v>
      </c>
      <c r="B194" t="s">
        <v>4625</v>
      </c>
      <c r="C194" t="s">
        <v>4626</v>
      </c>
      <c r="D194" s="22">
        <v>0</v>
      </c>
      <c r="E194" s="17">
        <v>42149</v>
      </c>
      <c r="F194" s="18">
        <v>0.66707175925925932</v>
      </c>
      <c r="G194" s="22">
        <v>14330.43</v>
      </c>
      <c r="H194">
        <v>0</v>
      </c>
      <c r="I194" s="19" t="e">
        <f>I193 + (D194-G194)</f>
        <v>#VALUE!</v>
      </c>
      <c r="M194">
        <v>124523</v>
      </c>
      <c r="N194">
        <v>24</v>
      </c>
      <c r="O194" t="s">
        <v>68</v>
      </c>
      <c r="P194">
        <v>1</v>
      </c>
      <c r="R194">
        <v>524</v>
      </c>
      <c r="S194" s="17">
        <v>42158</v>
      </c>
      <c r="T194" s="17">
        <v>42158</v>
      </c>
      <c r="W194">
        <v>2015</v>
      </c>
      <c r="X194">
        <v>24</v>
      </c>
      <c r="AC194" t="s">
        <v>66</v>
      </c>
      <c r="AD194" t="s">
        <v>302</v>
      </c>
      <c r="AE194" t="s">
        <v>46</v>
      </c>
      <c r="AG194">
        <v>7</v>
      </c>
      <c r="AH194">
        <v>9</v>
      </c>
      <c r="AI194" t="s">
        <v>54</v>
      </c>
      <c r="AK194">
        <v>0</v>
      </c>
      <c r="AM194">
        <v>0</v>
      </c>
      <c r="AP194" t="s">
        <v>220</v>
      </c>
    </row>
    <row r="195" spans="1:42" customFormat="1">
      <c r="A195">
        <v>273030</v>
      </c>
      <c r="B195" t="s">
        <v>4747</v>
      </c>
      <c r="C195" t="s">
        <v>4748</v>
      </c>
      <c r="D195" s="22">
        <v>0</v>
      </c>
      <c r="E195" s="17">
        <v>42150</v>
      </c>
      <c r="F195" s="18">
        <v>0.42226851851851849</v>
      </c>
      <c r="G195" s="22">
        <v>547446.48</v>
      </c>
      <c r="H195">
        <v>0</v>
      </c>
      <c r="I195" s="19" t="e">
        <f>I194 + (D195-G195)</f>
        <v>#VALUE!</v>
      </c>
      <c r="M195">
        <v>125177</v>
      </c>
      <c r="N195">
        <v>24</v>
      </c>
      <c r="O195" t="s">
        <v>68</v>
      </c>
      <c r="P195">
        <v>1</v>
      </c>
      <c r="R195">
        <v>524</v>
      </c>
      <c r="S195" s="17">
        <v>42167</v>
      </c>
      <c r="T195" s="17">
        <v>42167</v>
      </c>
      <c r="W195">
        <v>2015</v>
      </c>
      <c r="X195">
        <v>24</v>
      </c>
      <c r="AC195" t="s">
        <v>66</v>
      </c>
      <c r="AD195" t="s">
        <v>302</v>
      </c>
      <c r="AE195" t="s">
        <v>46</v>
      </c>
      <c r="AG195">
        <v>5</v>
      </c>
      <c r="AH195">
        <v>9</v>
      </c>
      <c r="AI195" t="s">
        <v>54</v>
      </c>
      <c r="AK195">
        <v>0</v>
      </c>
      <c r="AM195">
        <v>0</v>
      </c>
      <c r="AP195" t="s">
        <v>312</v>
      </c>
    </row>
    <row r="196" spans="1:42" customFormat="1">
      <c r="A196">
        <v>271779</v>
      </c>
      <c r="B196" t="s">
        <v>4891</v>
      </c>
      <c r="C196" t="s">
        <v>4892</v>
      </c>
      <c r="D196" s="22">
        <v>0</v>
      </c>
      <c r="E196" s="17">
        <v>42150</v>
      </c>
      <c r="F196" s="18">
        <v>0.66787037037037045</v>
      </c>
      <c r="G196" s="22">
        <v>1501.85</v>
      </c>
      <c r="H196">
        <v>0</v>
      </c>
      <c r="I196" s="19" t="e">
        <f>I195 + (D196-G196)</f>
        <v>#VALUE!</v>
      </c>
      <c r="M196">
        <v>124524</v>
      </c>
      <c r="N196">
        <v>24</v>
      </c>
      <c r="O196" t="s">
        <v>68</v>
      </c>
      <c r="P196">
        <v>1</v>
      </c>
      <c r="R196">
        <v>524</v>
      </c>
      <c r="S196" s="17">
        <v>42158</v>
      </c>
      <c r="T196" s="17">
        <v>42158</v>
      </c>
      <c r="W196">
        <v>2015</v>
      </c>
      <c r="X196">
        <v>24</v>
      </c>
      <c r="AC196" t="s">
        <v>66</v>
      </c>
      <c r="AD196" t="s">
        <v>302</v>
      </c>
      <c r="AE196" t="s">
        <v>46</v>
      </c>
      <c r="AG196">
        <v>7</v>
      </c>
      <c r="AH196">
        <v>9</v>
      </c>
      <c r="AI196" t="s">
        <v>54</v>
      </c>
      <c r="AK196">
        <v>0</v>
      </c>
      <c r="AM196">
        <v>0</v>
      </c>
      <c r="AP196" t="s">
        <v>220</v>
      </c>
    </row>
    <row r="197" spans="1:42" customFormat="1">
      <c r="A197">
        <v>273010</v>
      </c>
      <c r="B197" t="s">
        <v>5034</v>
      </c>
      <c r="C197" t="s">
        <v>5035</v>
      </c>
      <c r="D197" s="22">
        <v>0</v>
      </c>
      <c r="E197" s="17">
        <v>42152</v>
      </c>
      <c r="F197" s="18">
        <v>0.41021990740740738</v>
      </c>
      <c r="G197" s="22">
        <v>12402.83</v>
      </c>
      <c r="H197">
        <v>0</v>
      </c>
      <c r="I197" s="19" t="e">
        <f>I196 + (D197-G197)</f>
        <v>#VALUE!</v>
      </c>
      <c r="M197">
        <v>125157</v>
      </c>
      <c r="N197">
        <v>24</v>
      </c>
      <c r="O197" t="s">
        <v>68</v>
      </c>
      <c r="P197">
        <v>1</v>
      </c>
      <c r="R197">
        <v>524</v>
      </c>
      <c r="S197" s="17">
        <v>42167</v>
      </c>
      <c r="T197" s="17">
        <v>42167</v>
      </c>
      <c r="W197">
        <v>2015</v>
      </c>
      <c r="X197">
        <v>24</v>
      </c>
      <c r="AC197" t="s">
        <v>66</v>
      </c>
      <c r="AD197" t="s">
        <v>302</v>
      </c>
      <c r="AE197" t="s">
        <v>46</v>
      </c>
      <c r="AG197">
        <v>33</v>
      </c>
      <c r="AH197">
        <v>9</v>
      </c>
      <c r="AI197" t="s">
        <v>54</v>
      </c>
      <c r="AK197">
        <v>0</v>
      </c>
      <c r="AM197">
        <v>0</v>
      </c>
      <c r="AP197" t="s">
        <v>457</v>
      </c>
    </row>
    <row r="198" spans="1:42" customFormat="1">
      <c r="A198">
        <v>273038</v>
      </c>
      <c r="B198" t="s">
        <v>5050</v>
      </c>
      <c r="C198" t="s">
        <v>5051</v>
      </c>
      <c r="D198" s="22">
        <v>0</v>
      </c>
      <c r="E198" s="17">
        <v>42152</v>
      </c>
      <c r="F198" s="18">
        <v>0.42496527777777776</v>
      </c>
      <c r="G198" s="22">
        <v>41480.1</v>
      </c>
      <c r="H198">
        <v>0</v>
      </c>
      <c r="I198" s="19" t="e">
        <f>I197 + (D198-G198)</f>
        <v>#VALUE!</v>
      </c>
      <c r="M198">
        <v>125185</v>
      </c>
      <c r="N198">
        <v>24</v>
      </c>
      <c r="O198" t="s">
        <v>68</v>
      </c>
      <c r="P198">
        <v>1</v>
      </c>
      <c r="R198">
        <v>524</v>
      </c>
      <c r="S198" s="17">
        <v>42167</v>
      </c>
      <c r="T198" s="17">
        <v>42167</v>
      </c>
      <c r="W198">
        <v>2015</v>
      </c>
      <c r="X198">
        <v>24</v>
      </c>
      <c r="AC198" t="s">
        <v>66</v>
      </c>
      <c r="AD198" t="s">
        <v>302</v>
      </c>
      <c r="AE198" t="s">
        <v>46</v>
      </c>
      <c r="AG198">
        <v>5</v>
      </c>
      <c r="AH198">
        <v>9</v>
      </c>
      <c r="AI198" t="s">
        <v>54</v>
      </c>
      <c r="AK198">
        <v>0</v>
      </c>
      <c r="AM198">
        <v>0</v>
      </c>
      <c r="AP198" t="s">
        <v>312</v>
      </c>
    </row>
    <row r="199" spans="1:42" customFormat="1">
      <c r="A199">
        <v>271553</v>
      </c>
      <c r="B199" t="s">
        <v>5261</v>
      </c>
      <c r="C199" t="s">
        <v>5262</v>
      </c>
      <c r="D199" s="22">
        <v>0</v>
      </c>
      <c r="E199" s="17">
        <v>42153</v>
      </c>
      <c r="F199" s="18">
        <v>0.40972222222222227</v>
      </c>
      <c r="G199" s="22">
        <v>8029.47</v>
      </c>
      <c r="H199">
        <v>0</v>
      </c>
      <c r="I199" s="19" t="e">
        <f>I198 + (D199-G199)</f>
        <v>#VALUE!</v>
      </c>
      <c r="M199">
        <v>124394</v>
      </c>
      <c r="N199">
        <v>24</v>
      </c>
      <c r="O199" t="s">
        <v>68</v>
      </c>
      <c r="P199">
        <v>1</v>
      </c>
      <c r="R199">
        <v>524</v>
      </c>
      <c r="S199" s="17">
        <v>42157</v>
      </c>
      <c r="T199" s="17">
        <v>42157</v>
      </c>
      <c r="W199">
        <v>2015</v>
      </c>
      <c r="X199">
        <v>24</v>
      </c>
      <c r="AC199" t="s">
        <v>66</v>
      </c>
      <c r="AD199" t="s">
        <v>302</v>
      </c>
      <c r="AE199" t="s">
        <v>46</v>
      </c>
      <c r="AG199">
        <v>5</v>
      </c>
      <c r="AH199">
        <v>9</v>
      </c>
      <c r="AI199" t="s">
        <v>54</v>
      </c>
      <c r="AK199">
        <v>0</v>
      </c>
      <c r="AM199">
        <v>0</v>
      </c>
      <c r="AP199" t="s">
        <v>312</v>
      </c>
    </row>
    <row r="200" spans="1:42" customFormat="1">
      <c r="A200">
        <v>271554</v>
      </c>
      <c r="B200" t="s">
        <v>5263</v>
      </c>
      <c r="C200" t="s">
        <v>5264</v>
      </c>
      <c r="D200" s="22">
        <v>0</v>
      </c>
      <c r="E200" s="17">
        <v>42153</v>
      </c>
      <c r="F200" s="18">
        <v>0.4103472222222222</v>
      </c>
      <c r="G200" s="22">
        <v>8029.47</v>
      </c>
      <c r="H200">
        <v>0</v>
      </c>
      <c r="I200" s="19" t="e">
        <f>I199 + (D200-G200)</f>
        <v>#VALUE!</v>
      </c>
      <c r="M200">
        <v>124395</v>
      </c>
      <c r="N200">
        <v>24</v>
      </c>
      <c r="O200" t="s">
        <v>68</v>
      </c>
      <c r="P200">
        <v>1</v>
      </c>
      <c r="R200">
        <v>524</v>
      </c>
      <c r="S200" s="17">
        <v>42157</v>
      </c>
      <c r="T200" s="17">
        <v>42157</v>
      </c>
      <c r="W200">
        <v>2015</v>
      </c>
      <c r="X200">
        <v>24</v>
      </c>
      <c r="AC200" t="s">
        <v>66</v>
      </c>
      <c r="AD200" t="s">
        <v>302</v>
      </c>
      <c r="AE200" t="s">
        <v>46</v>
      </c>
      <c r="AG200">
        <v>5</v>
      </c>
      <c r="AH200">
        <v>9</v>
      </c>
      <c r="AI200" t="s">
        <v>54</v>
      </c>
      <c r="AK200">
        <v>0</v>
      </c>
      <c r="AM200">
        <v>0</v>
      </c>
      <c r="AP200" t="s">
        <v>312</v>
      </c>
    </row>
    <row r="201" spans="1:42" customFormat="1">
      <c r="A201">
        <v>273016</v>
      </c>
      <c r="B201" t="s">
        <v>5280</v>
      </c>
      <c r="C201" t="s">
        <v>5281</v>
      </c>
      <c r="D201" s="22">
        <v>0</v>
      </c>
      <c r="E201" s="17">
        <v>42153</v>
      </c>
      <c r="F201" s="18">
        <v>0.41504629629629625</v>
      </c>
      <c r="G201" s="22">
        <v>11210.45</v>
      </c>
      <c r="H201">
        <v>0</v>
      </c>
      <c r="I201" s="19" t="e">
        <f>I200 + (D201-G201)</f>
        <v>#VALUE!</v>
      </c>
      <c r="M201">
        <v>125163</v>
      </c>
      <c r="N201">
        <v>24</v>
      </c>
      <c r="O201" t="s">
        <v>68</v>
      </c>
      <c r="P201">
        <v>1</v>
      </c>
      <c r="R201">
        <v>524</v>
      </c>
      <c r="S201" s="17">
        <v>42167</v>
      </c>
      <c r="T201" s="17">
        <v>42167</v>
      </c>
      <c r="W201">
        <v>2015</v>
      </c>
      <c r="X201">
        <v>24</v>
      </c>
      <c r="AC201" t="s">
        <v>66</v>
      </c>
      <c r="AD201" t="s">
        <v>302</v>
      </c>
      <c r="AE201" t="s">
        <v>46</v>
      </c>
      <c r="AG201">
        <v>33</v>
      </c>
      <c r="AH201">
        <v>9</v>
      </c>
      <c r="AI201" t="s">
        <v>54</v>
      </c>
      <c r="AK201">
        <v>0</v>
      </c>
      <c r="AM201">
        <v>0</v>
      </c>
      <c r="AP201" t="s">
        <v>457</v>
      </c>
    </row>
    <row r="202" spans="1:42" customFormat="1">
      <c r="A202">
        <v>273041</v>
      </c>
      <c r="B202" t="s">
        <v>5311</v>
      </c>
      <c r="C202" t="s">
        <v>5312</v>
      </c>
      <c r="D202" s="22">
        <v>0</v>
      </c>
      <c r="E202" s="17">
        <v>42153</v>
      </c>
      <c r="F202" s="18">
        <v>0.42798611111111112</v>
      </c>
      <c r="G202" s="22">
        <v>40302.61</v>
      </c>
      <c r="H202">
        <v>0</v>
      </c>
      <c r="I202" s="19" t="e">
        <f>I201 + (D202-G202)</f>
        <v>#VALUE!</v>
      </c>
      <c r="M202">
        <v>125188</v>
      </c>
      <c r="N202">
        <v>24</v>
      </c>
      <c r="O202" t="s">
        <v>68</v>
      </c>
      <c r="P202">
        <v>1</v>
      </c>
      <c r="R202">
        <v>524</v>
      </c>
      <c r="S202" s="17">
        <v>42167</v>
      </c>
      <c r="T202" s="17">
        <v>42167</v>
      </c>
      <c r="W202">
        <v>2015</v>
      </c>
      <c r="X202">
        <v>24</v>
      </c>
      <c r="AC202" t="s">
        <v>66</v>
      </c>
      <c r="AD202" t="s">
        <v>302</v>
      </c>
      <c r="AE202" t="s">
        <v>46</v>
      </c>
      <c r="AG202">
        <v>5</v>
      </c>
      <c r="AH202">
        <v>9</v>
      </c>
      <c r="AI202" t="s">
        <v>54</v>
      </c>
      <c r="AK202">
        <v>0</v>
      </c>
      <c r="AM202">
        <v>0</v>
      </c>
      <c r="AP202" t="s">
        <v>312</v>
      </c>
    </row>
    <row r="203" spans="1:42" customFormat="1">
      <c r="A203">
        <v>269740</v>
      </c>
      <c r="B203" t="s">
        <v>2116</v>
      </c>
      <c r="C203" t="s">
        <v>2117</v>
      </c>
      <c r="D203" s="22">
        <v>0</v>
      </c>
      <c r="E203" s="17">
        <v>42132</v>
      </c>
      <c r="F203" s="18">
        <v>0.43343749999999998</v>
      </c>
      <c r="G203" s="22">
        <v>35000</v>
      </c>
      <c r="H203">
        <v>0</v>
      </c>
      <c r="I203" s="19" t="e">
        <f>I202 + (D203-G203)</f>
        <v>#VALUE!</v>
      </c>
      <c r="M203">
        <v>123245</v>
      </c>
      <c r="N203">
        <v>24</v>
      </c>
      <c r="O203" t="s">
        <v>68</v>
      </c>
      <c r="P203">
        <v>1</v>
      </c>
      <c r="R203">
        <v>525</v>
      </c>
      <c r="S203" s="17">
        <v>42137</v>
      </c>
      <c r="T203" s="17">
        <v>42137</v>
      </c>
      <c r="W203">
        <v>2015</v>
      </c>
      <c r="X203">
        <v>24</v>
      </c>
      <c r="AC203" t="s">
        <v>156</v>
      </c>
      <c r="AD203" t="s">
        <v>302</v>
      </c>
      <c r="AE203" t="s">
        <v>46</v>
      </c>
      <c r="AG203">
        <v>8</v>
      </c>
      <c r="AH203">
        <v>9</v>
      </c>
      <c r="AI203" t="s">
        <v>54</v>
      </c>
      <c r="AK203">
        <v>0</v>
      </c>
      <c r="AM203">
        <v>0</v>
      </c>
      <c r="AP203" t="s">
        <v>1201</v>
      </c>
    </row>
    <row r="204" spans="1:42" customFormat="1">
      <c r="A204">
        <v>270272</v>
      </c>
      <c r="B204" t="s">
        <v>3217</v>
      </c>
      <c r="C204" t="s">
        <v>3218</v>
      </c>
      <c r="D204" s="22">
        <v>0</v>
      </c>
      <c r="E204" s="17">
        <v>42139</v>
      </c>
      <c r="F204" s="18">
        <v>0.35988425925925926</v>
      </c>
      <c r="G204" s="22">
        <v>10000</v>
      </c>
      <c r="H204">
        <v>0</v>
      </c>
      <c r="I204" s="19" t="e">
        <f>I203 + (D204-G204)</f>
        <v>#VALUE!</v>
      </c>
      <c r="M204">
        <v>123591</v>
      </c>
      <c r="N204">
        <v>24</v>
      </c>
      <c r="O204" t="s">
        <v>68</v>
      </c>
      <c r="P204">
        <v>1</v>
      </c>
      <c r="R204">
        <v>525</v>
      </c>
      <c r="S204" s="17">
        <v>42143</v>
      </c>
      <c r="T204" s="17">
        <v>42143</v>
      </c>
      <c r="W204">
        <v>2015</v>
      </c>
      <c r="X204">
        <v>24</v>
      </c>
      <c r="AC204" t="s">
        <v>156</v>
      </c>
      <c r="AD204" t="s">
        <v>302</v>
      </c>
      <c r="AE204" t="s">
        <v>46</v>
      </c>
      <c r="AG204">
        <v>26</v>
      </c>
      <c r="AH204">
        <v>9</v>
      </c>
      <c r="AI204" t="s">
        <v>54</v>
      </c>
      <c r="AK204">
        <v>0</v>
      </c>
      <c r="AM204">
        <v>0</v>
      </c>
      <c r="AP204" t="s">
        <v>501</v>
      </c>
    </row>
    <row r="205" spans="1:42" customFormat="1">
      <c r="A205">
        <v>270273</v>
      </c>
      <c r="B205" t="s">
        <v>3219</v>
      </c>
      <c r="C205" t="s">
        <v>3220</v>
      </c>
      <c r="D205" s="22">
        <v>0</v>
      </c>
      <c r="E205" s="17">
        <v>42139</v>
      </c>
      <c r="F205" s="18">
        <v>0.36046296296296299</v>
      </c>
      <c r="G205" s="22">
        <v>10000</v>
      </c>
      <c r="H205">
        <v>0</v>
      </c>
      <c r="I205" s="19" t="e">
        <f>I204 + (D205-G205)</f>
        <v>#VALUE!</v>
      </c>
      <c r="M205">
        <v>123592</v>
      </c>
      <c r="N205">
        <v>24</v>
      </c>
      <c r="O205" t="s">
        <v>68</v>
      </c>
      <c r="P205">
        <v>1</v>
      </c>
      <c r="R205">
        <v>525</v>
      </c>
      <c r="S205" s="17">
        <v>42143</v>
      </c>
      <c r="T205" s="17">
        <v>42143</v>
      </c>
      <c r="W205">
        <v>2015</v>
      </c>
      <c r="X205">
        <v>24</v>
      </c>
      <c r="AC205" t="s">
        <v>156</v>
      </c>
      <c r="AD205" t="s">
        <v>302</v>
      </c>
      <c r="AE205" t="s">
        <v>46</v>
      </c>
      <c r="AG205">
        <v>8</v>
      </c>
      <c r="AH205">
        <v>9</v>
      </c>
      <c r="AI205" t="s">
        <v>54</v>
      </c>
      <c r="AK205">
        <v>0</v>
      </c>
      <c r="AM205">
        <v>0</v>
      </c>
      <c r="AP205" t="s">
        <v>1201</v>
      </c>
    </row>
    <row r="206" spans="1:42" customFormat="1">
      <c r="A206">
        <v>270275</v>
      </c>
      <c r="B206" t="s">
        <v>3221</v>
      </c>
      <c r="C206" t="s">
        <v>3222</v>
      </c>
      <c r="D206" s="22">
        <v>0</v>
      </c>
      <c r="E206" s="17">
        <v>42139</v>
      </c>
      <c r="F206" s="18">
        <v>0.36105324074074074</v>
      </c>
      <c r="G206" s="22">
        <v>5000</v>
      </c>
      <c r="H206">
        <v>0</v>
      </c>
      <c r="I206" s="19" t="e">
        <f>I205 + (D206-G206)</f>
        <v>#VALUE!</v>
      </c>
      <c r="M206">
        <v>123593</v>
      </c>
      <c r="N206">
        <v>24</v>
      </c>
      <c r="O206" t="s">
        <v>68</v>
      </c>
      <c r="P206">
        <v>1</v>
      </c>
      <c r="R206">
        <v>525</v>
      </c>
      <c r="S206" s="17">
        <v>42143</v>
      </c>
      <c r="T206" s="17">
        <v>42143</v>
      </c>
      <c r="W206">
        <v>2015</v>
      </c>
      <c r="X206">
        <v>24</v>
      </c>
      <c r="AC206" t="s">
        <v>156</v>
      </c>
      <c r="AD206" t="s">
        <v>302</v>
      </c>
      <c r="AE206" t="s">
        <v>46</v>
      </c>
      <c r="AG206">
        <v>4</v>
      </c>
      <c r="AH206">
        <v>9</v>
      </c>
      <c r="AI206" t="s">
        <v>54</v>
      </c>
      <c r="AK206">
        <v>0</v>
      </c>
      <c r="AM206">
        <v>0</v>
      </c>
      <c r="AP206" t="s">
        <v>389</v>
      </c>
    </row>
    <row r="207" spans="1:42" customFormat="1">
      <c r="A207">
        <v>273870</v>
      </c>
      <c r="B207" t="s">
        <v>499</v>
      </c>
      <c r="C207" t="s">
        <v>500</v>
      </c>
      <c r="D207" s="22">
        <v>0</v>
      </c>
      <c r="E207" s="17">
        <v>42128</v>
      </c>
      <c r="F207" s="18">
        <v>0.58173611111111112</v>
      </c>
      <c r="G207" s="22">
        <v>56765.8</v>
      </c>
      <c r="H207">
        <v>0</v>
      </c>
      <c r="I207" s="19" t="e">
        <f>I206 + (D207-G207)</f>
        <v>#VALUE!</v>
      </c>
      <c r="M207">
        <v>109721</v>
      </c>
      <c r="N207">
        <v>7</v>
      </c>
      <c r="O207" t="s">
        <v>44</v>
      </c>
      <c r="P207">
        <v>1</v>
      </c>
      <c r="R207">
        <v>1516</v>
      </c>
      <c r="S207" s="17">
        <v>42179</v>
      </c>
      <c r="T207" s="17">
        <v>42179</v>
      </c>
      <c r="W207">
        <v>2015</v>
      </c>
      <c r="X207">
        <v>7</v>
      </c>
      <c r="AC207" t="s">
        <v>195</v>
      </c>
      <c r="AD207" t="s">
        <v>302</v>
      </c>
      <c r="AE207" t="s">
        <v>46</v>
      </c>
      <c r="AG207">
        <v>26</v>
      </c>
      <c r="AH207">
        <v>9</v>
      </c>
      <c r="AI207" t="s">
        <v>54</v>
      </c>
      <c r="AK207">
        <v>0</v>
      </c>
      <c r="AM207">
        <v>0</v>
      </c>
      <c r="AP207" t="s">
        <v>501</v>
      </c>
    </row>
    <row r="208" spans="1:42" customFormat="1">
      <c r="A208">
        <v>270655</v>
      </c>
      <c r="B208" t="s">
        <v>451</v>
      </c>
      <c r="C208" t="s">
        <v>452</v>
      </c>
      <c r="D208" s="22">
        <v>0</v>
      </c>
      <c r="E208" s="17">
        <v>42128</v>
      </c>
      <c r="F208" s="18">
        <v>0.46961805555555558</v>
      </c>
      <c r="G208" s="22">
        <v>28.47</v>
      </c>
      <c r="H208">
        <v>0</v>
      </c>
      <c r="I208" s="19" t="e">
        <f>I207 + (D208-G208)</f>
        <v>#VALUE!</v>
      </c>
      <c r="M208">
        <v>123807</v>
      </c>
      <c r="N208">
        <v>7</v>
      </c>
      <c r="O208" t="s">
        <v>44</v>
      </c>
      <c r="P208">
        <v>1</v>
      </c>
      <c r="R208">
        <v>1599</v>
      </c>
      <c r="S208" s="17">
        <v>42145</v>
      </c>
      <c r="T208" s="17">
        <v>42145</v>
      </c>
      <c r="W208">
        <v>2015</v>
      </c>
      <c r="X208">
        <v>7</v>
      </c>
      <c r="AC208" t="s">
        <v>55</v>
      </c>
      <c r="AD208" t="s">
        <v>302</v>
      </c>
      <c r="AE208" t="s">
        <v>46</v>
      </c>
      <c r="AG208">
        <v>122</v>
      </c>
      <c r="AH208">
        <v>9</v>
      </c>
      <c r="AI208" t="s">
        <v>54</v>
      </c>
      <c r="AK208">
        <v>0</v>
      </c>
      <c r="AM208">
        <v>0</v>
      </c>
      <c r="AP208" t="s">
        <v>444</v>
      </c>
    </row>
    <row r="209" spans="1:42" customFormat="1">
      <c r="A209">
        <v>270656</v>
      </c>
      <c r="B209" t="s">
        <v>453</v>
      </c>
      <c r="C209" t="s">
        <v>454</v>
      </c>
      <c r="D209" s="22">
        <v>0</v>
      </c>
      <c r="E209" s="17">
        <v>42128</v>
      </c>
      <c r="F209" s="18">
        <v>0.46961805555555558</v>
      </c>
      <c r="G209" s="22">
        <v>227.24</v>
      </c>
      <c r="H209">
        <v>0</v>
      </c>
      <c r="I209" s="19" t="e">
        <f>I208 + (D209-G209)</f>
        <v>#VALUE!</v>
      </c>
      <c r="M209">
        <v>123808</v>
      </c>
      <c r="N209">
        <v>7</v>
      </c>
      <c r="O209" t="s">
        <v>44</v>
      </c>
      <c r="P209">
        <v>1</v>
      </c>
      <c r="R209">
        <v>1599</v>
      </c>
      <c r="S209" s="17">
        <v>42145</v>
      </c>
      <c r="T209" s="17">
        <v>42145</v>
      </c>
      <c r="W209">
        <v>2015</v>
      </c>
      <c r="X209">
        <v>7</v>
      </c>
      <c r="AC209" t="s">
        <v>55</v>
      </c>
      <c r="AD209" t="s">
        <v>302</v>
      </c>
      <c r="AE209" t="s">
        <v>46</v>
      </c>
      <c r="AG209">
        <v>122</v>
      </c>
      <c r="AH209">
        <v>9</v>
      </c>
      <c r="AI209" t="s">
        <v>54</v>
      </c>
      <c r="AK209">
        <v>0</v>
      </c>
      <c r="AM209">
        <v>0</v>
      </c>
      <c r="AP209" t="s">
        <v>444</v>
      </c>
    </row>
    <row r="210" spans="1:42" customFormat="1">
      <c r="A210">
        <v>268550</v>
      </c>
      <c r="B210" t="s">
        <v>1164</v>
      </c>
      <c r="C210" t="s">
        <v>1165</v>
      </c>
      <c r="D210" s="22">
        <v>0</v>
      </c>
      <c r="E210" s="17">
        <v>42128</v>
      </c>
      <c r="F210" s="18">
        <v>0.69879629629629625</v>
      </c>
      <c r="G210" s="22">
        <v>129.24</v>
      </c>
      <c r="H210">
        <v>0</v>
      </c>
      <c r="I210" s="19" t="e">
        <f>I209 + (D210-G210)</f>
        <v>#VALUE!</v>
      </c>
      <c r="M210">
        <v>122834</v>
      </c>
      <c r="N210">
        <v>7</v>
      </c>
      <c r="O210" t="s">
        <v>44</v>
      </c>
      <c r="P210">
        <v>1</v>
      </c>
      <c r="R210">
        <v>1599</v>
      </c>
      <c r="S210" s="17">
        <v>42130</v>
      </c>
      <c r="T210" s="17">
        <v>42130</v>
      </c>
      <c r="W210">
        <v>2015</v>
      </c>
      <c r="X210">
        <v>7</v>
      </c>
      <c r="AC210" t="s">
        <v>55</v>
      </c>
      <c r="AD210" t="s">
        <v>302</v>
      </c>
      <c r="AE210" t="s">
        <v>46</v>
      </c>
      <c r="AG210">
        <v>26</v>
      </c>
      <c r="AH210">
        <v>9</v>
      </c>
      <c r="AI210" t="s">
        <v>54</v>
      </c>
      <c r="AK210">
        <v>0</v>
      </c>
      <c r="AM210">
        <v>0</v>
      </c>
      <c r="AP210" t="s">
        <v>501</v>
      </c>
    </row>
    <row r="211" spans="1:42" customFormat="1">
      <c r="A211">
        <v>268595</v>
      </c>
      <c r="B211" t="s">
        <v>1208</v>
      </c>
      <c r="C211" t="s">
        <v>1209</v>
      </c>
      <c r="D211" s="22">
        <v>0</v>
      </c>
      <c r="E211" s="17">
        <v>42128</v>
      </c>
      <c r="F211" s="18">
        <v>0.70652777777777775</v>
      </c>
      <c r="G211" s="22">
        <v>18.28</v>
      </c>
      <c r="H211">
        <v>0</v>
      </c>
      <c r="I211" s="19" t="e">
        <f>I210 + (D211-G211)</f>
        <v>#VALUE!</v>
      </c>
      <c r="M211">
        <v>121453</v>
      </c>
      <c r="N211">
        <v>7</v>
      </c>
      <c r="O211" t="s">
        <v>44</v>
      </c>
      <c r="P211">
        <v>1</v>
      </c>
      <c r="R211">
        <v>1599</v>
      </c>
      <c r="S211" s="17">
        <v>42130</v>
      </c>
      <c r="T211" s="17">
        <v>42130</v>
      </c>
      <c r="W211">
        <v>2015</v>
      </c>
      <c r="X211">
        <v>7</v>
      </c>
      <c r="AC211" t="s">
        <v>55</v>
      </c>
      <c r="AD211" t="s">
        <v>302</v>
      </c>
      <c r="AE211" t="s">
        <v>46</v>
      </c>
      <c r="AG211">
        <v>8</v>
      </c>
      <c r="AH211">
        <v>8</v>
      </c>
      <c r="AI211" t="s">
        <v>52</v>
      </c>
      <c r="AK211">
        <v>0</v>
      </c>
      <c r="AM211">
        <v>0</v>
      </c>
      <c r="AP211" t="s">
        <v>1201</v>
      </c>
    </row>
    <row r="212" spans="1:42" customFormat="1">
      <c r="A212">
        <v>269832</v>
      </c>
      <c r="B212" t="s">
        <v>2685</v>
      </c>
      <c r="C212" t="s">
        <v>2686</v>
      </c>
      <c r="D212" s="22">
        <v>0</v>
      </c>
      <c r="E212" s="17">
        <v>42135</v>
      </c>
      <c r="F212" s="18">
        <v>0.61563657407407402</v>
      </c>
      <c r="G212" s="22">
        <v>33.81</v>
      </c>
      <c r="H212">
        <v>0</v>
      </c>
      <c r="I212" s="19" t="e">
        <f>I211 + (D212-G212)</f>
        <v>#VALUE!</v>
      </c>
      <c r="M212">
        <v>123284</v>
      </c>
      <c r="N212">
        <v>24</v>
      </c>
      <c r="O212" t="s">
        <v>68</v>
      </c>
      <c r="P212">
        <v>1</v>
      </c>
      <c r="R212">
        <v>1599</v>
      </c>
      <c r="S212" s="17">
        <v>42137</v>
      </c>
      <c r="T212" s="17">
        <v>42137</v>
      </c>
      <c r="W212">
        <v>2015</v>
      </c>
      <c r="X212">
        <v>24</v>
      </c>
      <c r="AC212" t="s">
        <v>55</v>
      </c>
      <c r="AD212" t="s">
        <v>302</v>
      </c>
      <c r="AE212" t="s">
        <v>46</v>
      </c>
      <c r="AG212">
        <v>27</v>
      </c>
      <c r="AH212">
        <v>9</v>
      </c>
      <c r="AI212" t="s">
        <v>54</v>
      </c>
      <c r="AK212">
        <v>0</v>
      </c>
      <c r="AM212">
        <v>0</v>
      </c>
      <c r="AP212" t="s">
        <v>1337</v>
      </c>
    </row>
    <row r="213" spans="1:42" customFormat="1">
      <c r="A213">
        <v>275895</v>
      </c>
      <c r="B213" t="s">
        <v>2831</v>
      </c>
      <c r="C213" t="s">
        <v>2832</v>
      </c>
      <c r="D213" s="22">
        <v>0</v>
      </c>
      <c r="E213" s="17">
        <v>42135</v>
      </c>
      <c r="F213" s="18">
        <v>0.71131944444444439</v>
      </c>
      <c r="G213" s="22">
        <v>1040.77</v>
      </c>
      <c r="H213">
        <v>0</v>
      </c>
      <c r="I213" s="19" t="e">
        <f>I212 + (D213-G213)</f>
        <v>#VALUE!</v>
      </c>
      <c r="M213">
        <v>128468</v>
      </c>
      <c r="N213">
        <v>7</v>
      </c>
      <c r="O213" t="s">
        <v>44</v>
      </c>
      <c r="P213">
        <v>2</v>
      </c>
      <c r="R213">
        <v>1599</v>
      </c>
      <c r="S213" s="17">
        <v>42187</v>
      </c>
      <c r="T213" s="17">
        <v>42187</v>
      </c>
      <c r="W213">
        <v>2015</v>
      </c>
      <c r="X213">
        <v>7</v>
      </c>
      <c r="AC213" t="s">
        <v>55</v>
      </c>
      <c r="AD213" t="s">
        <v>302</v>
      </c>
      <c r="AE213" t="s">
        <v>46</v>
      </c>
      <c r="AG213">
        <v>13</v>
      </c>
      <c r="AH213">
        <v>8</v>
      </c>
      <c r="AI213" t="s">
        <v>52</v>
      </c>
      <c r="AK213">
        <v>0</v>
      </c>
      <c r="AM213">
        <v>0</v>
      </c>
      <c r="AP213" t="s">
        <v>1212</v>
      </c>
    </row>
    <row r="214" spans="1:42" customFormat="1">
      <c r="A214">
        <v>275985</v>
      </c>
      <c r="B214" t="s">
        <v>2833</v>
      </c>
      <c r="C214" t="s">
        <v>2834</v>
      </c>
      <c r="D214" s="22">
        <v>0</v>
      </c>
      <c r="E214" s="17">
        <v>42135</v>
      </c>
      <c r="F214" s="18">
        <v>0.73424768518518524</v>
      </c>
      <c r="G214" s="22">
        <v>1370.41</v>
      </c>
      <c r="H214">
        <v>0</v>
      </c>
      <c r="I214" s="19" t="e">
        <f>I213 + (D214-G214)</f>
        <v>#VALUE!</v>
      </c>
      <c r="M214">
        <v>128529</v>
      </c>
      <c r="N214">
        <v>60</v>
      </c>
      <c r="O214" t="s">
        <v>60</v>
      </c>
      <c r="P214">
        <v>1</v>
      </c>
      <c r="R214">
        <v>1599</v>
      </c>
      <c r="S214" s="17">
        <v>42187</v>
      </c>
      <c r="T214" s="17">
        <v>42187</v>
      </c>
      <c r="W214">
        <v>2015</v>
      </c>
      <c r="X214">
        <v>60</v>
      </c>
      <c r="AC214" t="s">
        <v>55</v>
      </c>
      <c r="AD214" t="s">
        <v>302</v>
      </c>
      <c r="AE214" t="s">
        <v>46</v>
      </c>
      <c r="AG214">
        <v>14</v>
      </c>
      <c r="AH214">
        <v>9</v>
      </c>
      <c r="AI214" t="s">
        <v>54</v>
      </c>
      <c r="AK214">
        <v>0</v>
      </c>
      <c r="AM214">
        <v>0</v>
      </c>
      <c r="AP214" t="s">
        <v>1224</v>
      </c>
    </row>
    <row r="215" spans="1:42" customFormat="1">
      <c r="A215">
        <v>270489</v>
      </c>
      <c r="B215" t="s">
        <v>3278</v>
      </c>
      <c r="C215" t="s">
        <v>3279</v>
      </c>
      <c r="D215" s="22">
        <v>0</v>
      </c>
      <c r="E215" s="17">
        <v>42139</v>
      </c>
      <c r="F215" s="18">
        <v>0.39012731481481483</v>
      </c>
      <c r="G215" s="22">
        <v>315.18</v>
      </c>
      <c r="H215">
        <v>0</v>
      </c>
      <c r="I215" s="19" t="e">
        <f>I214 + (D215-G215)</f>
        <v>#VALUE!</v>
      </c>
      <c r="M215">
        <v>123691</v>
      </c>
      <c r="N215">
        <v>7</v>
      </c>
      <c r="O215" t="s">
        <v>44</v>
      </c>
      <c r="P215">
        <v>1</v>
      </c>
      <c r="R215">
        <v>1599</v>
      </c>
      <c r="S215" s="17">
        <v>42145</v>
      </c>
      <c r="T215" s="17">
        <v>42145</v>
      </c>
      <c r="W215">
        <v>2015</v>
      </c>
      <c r="X215">
        <v>7</v>
      </c>
      <c r="AC215" t="s">
        <v>55</v>
      </c>
      <c r="AD215" t="s">
        <v>302</v>
      </c>
      <c r="AE215" t="s">
        <v>46</v>
      </c>
      <c r="AG215">
        <v>26</v>
      </c>
      <c r="AH215">
        <v>9</v>
      </c>
      <c r="AI215" t="s">
        <v>54</v>
      </c>
      <c r="AK215">
        <v>0</v>
      </c>
      <c r="AM215">
        <v>0</v>
      </c>
      <c r="AP215" t="s">
        <v>501</v>
      </c>
    </row>
    <row r="216" spans="1:42" customFormat="1">
      <c r="A216">
        <v>270490</v>
      </c>
      <c r="B216" t="s">
        <v>3280</v>
      </c>
      <c r="C216" t="s">
        <v>3281</v>
      </c>
      <c r="D216" s="22">
        <v>0</v>
      </c>
      <c r="E216" s="17">
        <v>42139</v>
      </c>
      <c r="F216" s="18">
        <v>0.39012731481481483</v>
      </c>
      <c r="G216" s="22">
        <v>61.14</v>
      </c>
      <c r="H216">
        <v>0</v>
      </c>
      <c r="I216" s="19" t="e">
        <f>I215 + (D216-G216)</f>
        <v>#VALUE!</v>
      </c>
      <c r="M216">
        <v>123692</v>
      </c>
      <c r="N216">
        <v>7</v>
      </c>
      <c r="O216" t="s">
        <v>44</v>
      </c>
      <c r="P216">
        <v>1</v>
      </c>
      <c r="R216">
        <v>1599</v>
      </c>
      <c r="S216" s="17">
        <v>42145</v>
      </c>
      <c r="T216" s="17">
        <v>42145</v>
      </c>
      <c r="W216">
        <v>2015</v>
      </c>
      <c r="X216">
        <v>7</v>
      </c>
      <c r="AC216" t="s">
        <v>55</v>
      </c>
      <c r="AD216" t="s">
        <v>302</v>
      </c>
      <c r="AE216" t="s">
        <v>46</v>
      </c>
      <c r="AG216">
        <v>26</v>
      </c>
      <c r="AH216">
        <v>9</v>
      </c>
      <c r="AI216" t="s">
        <v>54</v>
      </c>
      <c r="AK216">
        <v>0</v>
      </c>
      <c r="AM216">
        <v>0</v>
      </c>
      <c r="AP216" t="s">
        <v>501</v>
      </c>
    </row>
    <row r="217" spans="1:42" customFormat="1">
      <c r="A217">
        <v>270735</v>
      </c>
      <c r="B217" t="s">
        <v>3401</v>
      </c>
      <c r="C217" t="s">
        <v>3402</v>
      </c>
      <c r="D217" s="22">
        <v>0</v>
      </c>
      <c r="E217" s="17">
        <v>42139</v>
      </c>
      <c r="F217" s="18">
        <v>0.42719907407407409</v>
      </c>
      <c r="G217" s="22">
        <v>2070</v>
      </c>
      <c r="H217">
        <v>0</v>
      </c>
      <c r="I217" s="19" t="e">
        <f>I216 + (D217-G217)</f>
        <v>#VALUE!</v>
      </c>
      <c r="M217">
        <v>123875</v>
      </c>
      <c r="N217">
        <v>7</v>
      </c>
      <c r="O217" t="s">
        <v>44</v>
      </c>
      <c r="P217">
        <v>1</v>
      </c>
      <c r="R217">
        <v>1599</v>
      </c>
      <c r="S217" s="17">
        <v>42146</v>
      </c>
      <c r="T217" s="17">
        <v>42146</v>
      </c>
      <c r="W217">
        <v>2015</v>
      </c>
      <c r="X217">
        <v>7</v>
      </c>
      <c r="AC217" t="s">
        <v>55</v>
      </c>
      <c r="AD217" t="s">
        <v>302</v>
      </c>
      <c r="AE217" t="s">
        <v>46</v>
      </c>
      <c r="AG217">
        <v>27</v>
      </c>
      <c r="AH217">
        <v>9</v>
      </c>
      <c r="AI217" t="s">
        <v>54</v>
      </c>
      <c r="AK217">
        <v>0</v>
      </c>
      <c r="AM217">
        <v>0</v>
      </c>
      <c r="AP217" t="s">
        <v>1337</v>
      </c>
    </row>
    <row r="218" spans="1:42" customFormat="1">
      <c r="A218">
        <v>270734</v>
      </c>
      <c r="B218" t="s">
        <v>3535</v>
      </c>
      <c r="C218" t="s">
        <v>3536</v>
      </c>
      <c r="D218" s="22">
        <v>0</v>
      </c>
      <c r="E218" s="17">
        <v>42142</v>
      </c>
      <c r="F218" s="18">
        <v>0.4271064814814815</v>
      </c>
      <c r="G218" s="22">
        <v>1496</v>
      </c>
      <c r="H218">
        <v>0</v>
      </c>
      <c r="I218" s="19" t="e">
        <f>I217 + (D218-G218)</f>
        <v>#VALUE!</v>
      </c>
      <c r="M218">
        <v>123876</v>
      </c>
      <c r="N218">
        <v>7</v>
      </c>
      <c r="O218" t="s">
        <v>44</v>
      </c>
      <c r="P218">
        <v>1</v>
      </c>
      <c r="R218">
        <v>1599</v>
      </c>
      <c r="S218" s="17">
        <v>42146</v>
      </c>
      <c r="T218" s="17">
        <v>42146</v>
      </c>
      <c r="W218">
        <v>2015</v>
      </c>
      <c r="X218">
        <v>7</v>
      </c>
      <c r="AC218" t="s">
        <v>55</v>
      </c>
      <c r="AD218" t="s">
        <v>302</v>
      </c>
      <c r="AE218" t="s">
        <v>46</v>
      </c>
      <c r="AG218">
        <v>27</v>
      </c>
      <c r="AH218">
        <v>9</v>
      </c>
      <c r="AI218" t="s">
        <v>54</v>
      </c>
      <c r="AK218">
        <v>0</v>
      </c>
      <c r="AM218">
        <v>0</v>
      </c>
      <c r="AP218" t="s">
        <v>1337</v>
      </c>
    </row>
    <row r="219" spans="1:42" customFormat="1">
      <c r="A219">
        <v>271725</v>
      </c>
      <c r="B219" t="s">
        <v>5529</v>
      </c>
      <c r="C219" t="s">
        <v>5530</v>
      </c>
      <c r="D219" s="22">
        <v>0</v>
      </c>
      <c r="E219" s="17">
        <v>42153</v>
      </c>
      <c r="F219" s="18">
        <v>0.5927662037037037</v>
      </c>
      <c r="G219" s="22">
        <v>12754.95</v>
      </c>
      <c r="H219">
        <v>0</v>
      </c>
      <c r="I219" s="19" t="e">
        <f>I218 + (D219-G219)</f>
        <v>#VALUE!</v>
      </c>
      <c r="M219">
        <v>124490</v>
      </c>
      <c r="N219">
        <v>24</v>
      </c>
      <c r="O219" t="s">
        <v>68</v>
      </c>
      <c r="P219">
        <v>1</v>
      </c>
      <c r="R219">
        <v>1599</v>
      </c>
      <c r="S219" s="17">
        <v>42158</v>
      </c>
      <c r="T219" s="17">
        <v>42158</v>
      </c>
      <c r="W219">
        <v>2015</v>
      </c>
      <c r="X219">
        <v>24</v>
      </c>
      <c r="AC219" t="s">
        <v>55</v>
      </c>
      <c r="AD219" t="s">
        <v>302</v>
      </c>
      <c r="AE219" t="s">
        <v>46</v>
      </c>
      <c r="AG219">
        <v>52</v>
      </c>
      <c r="AH219">
        <v>9</v>
      </c>
      <c r="AI219" t="s">
        <v>54</v>
      </c>
      <c r="AK219">
        <v>0</v>
      </c>
      <c r="AM219">
        <v>0</v>
      </c>
      <c r="AP219" t="s">
        <v>325</v>
      </c>
    </row>
    <row r="220" spans="1:42" customFormat="1">
      <c r="A220">
        <v>269726</v>
      </c>
      <c r="B220" t="s">
        <v>1640</v>
      </c>
      <c r="C220" t="s">
        <v>1641</v>
      </c>
      <c r="D220" s="22">
        <v>0</v>
      </c>
      <c r="E220" s="17">
        <v>42130</v>
      </c>
      <c r="F220" s="18">
        <v>0.40364583333333331</v>
      </c>
      <c r="G220" s="22">
        <v>78.28</v>
      </c>
      <c r="H220">
        <v>0</v>
      </c>
      <c r="I220" s="19" t="e">
        <f>I219 + (D220-G220)</f>
        <v>#VALUE!</v>
      </c>
      <c r="M220">
        <v>123239</v>
      </c>
      <c r="N220">
        <v>24</v>
      </c>
      <c r="O220" t="s">
        <v>68</v>
      </c>
      <c r="P220">
        <v>1</v>
      </c>
      <c r="R220">
        <v>526</v>
      </c>
      <c r="S220" s="17">
        <v>42137</v>
      </c>
      <c r="T220" s="17">
        <v>42137</v>
      </c>
      <c r="W220">
        <v>2015</v>
      </c>
      <c r="X220">
        <v>24</v>
      </c>
      <c r="AC220" t="s">
        <v>69</v>
      </c>
      <c r="AD220" t="s">
        <v>301</v>
      </c>
      <c r="AE220" t="s">
        <v>46</v>
      </c>
      <c r="AG220">
        <v>4</v>
      </c>
      <c r="AH220">
        <v>9</v>
      </c>
      <c r="AI220" t="s">
        <v>54</v>
      </c>
      <c r="AK220">
        <v>0</v>
      </c>
      <c r="AM220">
        <v>0</v>
      </c>
      <c r="AP220" t="s">
        <v>389</v>
      </c>
    </row>
    <row r="221" spans="1:42" customFormat="1">
      <c r="A221">
        <v>269727</v>
      </c>
      <c r="B221" t="s">
        <v>1642</v>
      </c>
      <c r="C221" t="s">
        <v>1643</v>
      </c>
      <c r="D221" s="22">
        <v>0</v>
      </c>
      <c r="E221" s="17">
        <v>42130</v>
      </c>
      <c r="F221" s="18">
        <v>0.40438657407407402</v>
      </c>
      <c r="G221" s="22">
        <v>77.45</v>
      </c>
      <c r="H221">
        <v>0</v>
      </c>
      <c r="I221" s="19" t="e">
        <f>I220 + (D221-G221)</f>
        <v>#VALUE!</v>
      </c>
      <c r="M221">
        <v>123240</v>
      </c>
      <c r="N221">
        <v>24</v>
      </c>
      <c r="O221" t="s">
        <v>68</v>
      </c>
      <c r="P221">
        <v>1</v>
      </c>
      <c r="R221">
        <v>526</v>
      </c>
      <c r="S221" s="17">
        <v>42137</v>
      </c>
      <c r="T221" s="17">
        <v>42137</v>
      </c>
      <c r="W221">
        <v>2015</v>
      </c>
      <c r="X221">
        <v>24</v>
      </c>
      <c r="AC221" t="s">
        <v>69</v>
      </c>
      <c r="AD221" t="s">
        <v>301</v>
      </c>
      <c r="AE221" t="s">
        <v>46</v>
      </c>
      <c r="AG221">
        <v>4</v>
      </c>
      <c r="AH221">
        <v>9</v>
      </c>
      <c r="AI221" t="s">
        <v>54</v>
      </c>
      <c r="AK221">
        <v>0</v>
      </c>
      <c r="AM221">
        <v>0</v>
      </c>
      <c r="AP221" t="s">
        <v>389</v>
      </c>
    </row>
    <row r="222" spans="1:42" customFormat="1">
      <c r="A222">
        <v>269765</v>
      </c>
      <c r="B222" t="s">
        <v>2202</v>
      </c>
      <c r="C222" t="s">
        <v>2203</v>
      </c>
      <c r="D222" s="22">
        <v>0</v>
      </c>
      <c r="E222" s="17">
        <v>42132</v>
      </c>
      <c r="F222" s="18">
        <v>0.46694444444444444</v>
      </c>
      <c r="G222" s="22">
        <v>5</v>
      </c>
      <c r="H222">
        <v>0</v>
      </c>
      <c r="I222" s="19" t="e">
        <f>I221 + (D222-G222)</f>
        <v>#VALUE!</v>
      </c>
      <c r="M222">
        <v>123271</v>
      </c>
      <c r="N222">
        <v>24</v>
      </c>
      <c r="O222" t="s">
        <v>68</v>
      </c>
      <c r="P222">
        <v>1</v>
      </c>
      <c r="R222">
        <v>527</v>
      </c>
      <c r="S222" s="17">
        <v>42137</v>
      </c>
      <c r="T222" s="17">
        <v>42137</v>
      </c>
      <c r="W222">
        <v>2015</v>
      </c>
      <c r="X222">
        <v>24</v>
      </c>
      <c r="AC222" t="s">
        <v>295</v>
      </c>
      <c r="AD222" t="s">
        <v>301</v>
      </c>
      <c r="AE222" t="s">
        <v>46</v>
      </c>
      <c r="AG222">
        <v>56</v>
      </c>
      <c r="AH222">
        <v>1</v>
      </c>
      <c r="AI222" t="s">
        <v>58</v>
      </c>
      <c r="AK222">
        <v>0</v>
      </c>
      <c r="AM222">
        <v>0</v>
      </c>
      <c r="AP222" t="s">
        <v>59</v>
      </c>
    </row>
    <row r="223" spans="1:42" customFormat="1">
      <c r="A223">
        <v>270528</v>
      </c>
      <c r="B223" t="s">
        <v>2954</v>
      </c>
      <c r="C223" t="s">
        <v>2955</v>
      </c>
      <c r="D223" s="22">
        <v>0</v>
      </c>
      <c r="E223" s="17">
        <v>42137</v>
      </c>
      <c r="F223" s="18">
        <v>0.40001157407407412</v>
      </c>
      <c r="G223" s="22">
        <v>300.05</v>
      </c>
      <c r="H223">
        <v>0</v>
      </c>
      <c r="I223" s="19" t="e">
        <f>I222 + (D223-G223)</f>
        <v>#VALUE!</v>
      </c>
      <c r="M223">
        <v>123726</v>
      </c>
      <c r="N223">
        <v>7</v>
      </c>
      <c r="O223" t="s">
        <v>44</v>
      </c>
      <c r="P223">
        <v>1</v>
      </c>
      <c r="R223">
        <v>491</v>
      </c>
      <c r="S223" s="17">
        <v>42145</v>
      </c>
      <c r="T223" s="17">
        <v>42145</v>
      </c>
      <c r="W223">
        <v>2015</v>
      </c>
      <c r="X223">
        <v>7</v>
      </c>
      <c r="AC223" t="s">
        <v>2956</v>
      </c>
      <c r="AD223" t="s">
        <v>301</v>
      </c>
      <c r="AE223" t="s">
        <v>46</v>
      </c>
      <c r="AG223">
        <v>4</v>
      </c>
      <c r="AH223">
        <v>9</v>
      </c>
      <c r="AI223" t="s">
        <v>54</v>
      </c>
      <c r="AK223">
        <v>0</v>
      </c>
      <c r="AM223">
        <v>0</v>
      </c>
      <c r="AP223" t="s">
        <v>389</v>
      </c>
    </row>
    <row r="224" spans="1:42" customFormat="1">
      <c r="A224">
        <v>269773</v>
      </c>
      <c r="B224" t="s">
        <v>1696</v>
      </c>
      <c r="C224" t="s">
        <v>1697</v>
      </c>
      <c r="D224" s="22">
        <v>0</v>
      </c>
      <c r="E224" s="17">
        <v>42130</v>
      </c>
      <c r="F224" s="18">
        <v>0.47388888888888886</v>
      </c>
      <c r="G224" s="22">
        <v>40</v>
      </c>
      <c r="H224">
        <v>0</v>
      </c>
      <c r="I224" s="19" t="e">
        <f>I223 + (D224-G224)</f>
        <v>#VALUE!</v>
      </c>
      <c r="M224">
        <v>123275</v>
      </c>
      <c r="N224">
        <v>24</v>
      </c>
      <c r="O224" t="s">
        <v>68</v>
      </c>
      <c r="P224">
        <v>1</v>
      </c>
      <c r="R224">
        <v>528</v>
      </c>
      <c r="S224" s="17">
        <v>42137</v>
      </c>
      <c r="T224" s="17">
        <v>42137</v>
      </c>
      <c r="W224">
        <v>2015</v>
      </c>
      <c r="X224">
        <v>24</v>
      </c>
      <c r="AC224" t="s">
        <v>164</v>
      </c>
      <c r="AD224" t="s">
        <v>301</v>
      </c>
      <c r="AE224" t="s">
        <v>46</v>
      </c>
      <c r="AG224">
        <v>56</v>
      </c>
      <c r="AH224">
        <v>1</v>
      </c>
      <c r="AI224" t="s">
        <v>58</v>
      </c>
      <c r="AK224">
        <v>0</v>
      </c>
      <c r="AM224">
        <v>0</v>
      </c>
      <c r="AP224" t="s">
        <v>59</v>
      </c>
    </row>
    <row r="225" spans="1:42" customFormat="1">
      <c r="A225">
        <v>269774</v>
      </c>
      <c r="B225" t="s">
        <v>1698</v>
      </c>
      <c r="C225" t="s">
        <v>1699</v>
      </c>
      <c r="D225" s="22">
        <v>0</v>
      </c>
      <c r="E225" s="17">
        <v>42130</v>
      </c>
      <c r="F225" s="18">
        <v>0.47421296296296295</v>
      </c>
      <c r="G225" s="22">
        <v>20</v>
      </c>
      <c r="H225">
        <v>0</v>
      </c>
      <c r="I225" s="19" t="e">
        <f>I224 + (D225-G225)</f>
        <v>#VALUE!</v>
      </c>
      <c r="M225">
        <v>123276</v>
      </c>
      <c r="N225">
        <v>24</v>
      </c>
      <c r="O225" t="s">
        <v>68</v>
      </c>
      <c r="P225">
        <v>1</v>
      </c>
      <c r="R225">
        <v>528</v>
      </c>
      <c r="S225" s="17">
        <v>42137</v>
      </c>
      <c r="T225" s="17">
        <v>42137</v>
      </c>
      <c r="W225">
        <v>2015</v>
      </c>
      <c r="X225">
        <v>24</v>
      </c>
      <c r="AC225" t="s">
        <v>164</v>
      </c>
      <c r="AD225" t="s">
        <v>301</v>
      </c>
      <c r="AE225" t="s">
        <v>46</v>
      </c>
      <c r="AG225">
        <v>56</v>
      </c>
      <c r="AH225">
        <v>1</v>
      </c>
      <c r="AI225" t="s">
        <v>58</v>
      </c>
      <c r="AK225">
        <v>0</v>
      </c>
      <c r="AM225">
        <v>0</v>
      </c>
      <c r="AP225" t="s">
        <v>59</v>
      </c>
    </row>
    <row r="226" spans="1:42" customFormat="1">
      <c r="A226">
        <v>274026</v>
      </c>
      <c r="B226" t="s">
        <v>3496</v>
      </c>
      <c r="C226" t="s">
        <v>3497</v>
      </c>
      <c r="D226" s="22">
        <v>0</v>
      </c>
      <c r="E226" s="17">
        <v>42142</v>
      </c>
      <c r="F226" s="18">
        <v>0.34717592592592594</v>
      </c>
      <c r="G226" s="22">
        <v>574.63</v>
      </c>
      <c r="H226">
        <v>0</v>
      </c>
      <c r="I226" s="19" t="e">
        <f>I225 + (D226-G226)</f>
        <v>#VALUE!</v>
      </c>
      <c r="M226">
        <v>127350</v>
      </c>
      <c r="N226">
        <v>24</v>
      </c>
      <c r="O226" t="s">
        <v>68</v>
      </c>
      <c r="P226">
        <v>2</v>
      </c>
      <c r="R226">
        <v>530</v>
      </c>
      <c r="S226" s="17">
        <v>42180</v>
      </c>
      <c r="T226" s="17">
        <v>42180</v>
      </c>
      <c r="W226">
        <v>2015</v>
      </c>
      <c r="X226">
        <v>24</v>
      </c>
      <c r="AC226" t="s">
        <v>3498</v>
      </c>
      <c r="AD226" t="s">
        <v>301</v>
      </c>
      <c r="AE226" t="s">
        <v>46</v>
      </c>
      <c r="AG226">
        <v>26</v>
      </c>
      <c r="AH226">
        <v>9</v>
      </c>
      <c r="AI226" t="s">
        <v>54</v>
      </c>
      <c r="AK226">
        <v>0</v>
      </c>
      <c r="AM226">
        <v>0</v>
      </c>
      <c r="AP226" t="s">
        <v>501</v>
      </c>
    </row>
    <row r="227" spans="1:42" customFormat="1">
      <c r="A227">
        <v>268091</v>
      </c>
      <c r="B227" t="s">
        <v>515</v>
      </c>
      <c r="C227" t="s">
        <v>516</v>
      </c>
      <c r="D227" s="22">
        <v>0</v>
      </c>
      <c r="E227" s="17">
        <v>42128</v>
      </c>
      <c r="F227" s="18">
        <v>0.63048611111111108</v>
      </c>
      <c r="G227" s="22">
        <v>28155</v>
      </c>
      <c r="H227">
        <v>0</v>
      </c>
      <c r="I227" s="19" t="e">
        <f>I226 + (D227-G227)</f>
        <v>#VALUE!</v>
      </c>
      <c r="M227">
        <v>83448</v>
      </c>
      <c r="N227">
        <v>7</v>
      </c>
      <c r="O227" t="s">
        <v>44</v>
      </c>
      <c r="P227">
        <v>1</v>
      </c>
      <c r="R227">
        <v>534</v>
      </c>
      <c r="S227" s="17">
        <v>42130</v>
      </c>
      <c r="T227" s="17">
        <v>42130</v>
      </c>
      <c r="W227">
        <v>2015</v>
      </c>
      <c r="X227">
        <v>7</v>
      </c>
      <c r="AC227" t="s">
        <v>152</v>
      </c>
      <c r="AD227" t="s">
        <v>301</v>
      </c>
      <c r="AE227" t="s">
        <v>46</v>
      </c>
      <c r="AG227">
        <v>12</v>
      </c>
      <c r="AH227">
        <v>2</v>
      </c>
      <c r="AI227" t="s">
        <v>50</v>
      </c>
      <c r="AK227">
        <v>0</v>
      </c>
      <c r="AM227">
        <v>0</v>
      </c>
      <c r="AP227" t="s">
        <v>392</v>
      </c>
    </row>
    <row r="228" spans="1:42" customFormat="1">
      <c r="A228">
        <v>270078</v>
      </c>
      <c r="B228" t="s">
        <v>2750</v>
      </c>
      <c r="C228" t="s">
        <v>2751</v>
      </c>
      <c r="D228" s="22">
        <v>0</v>
      </c>
      <c r="E228" s="17">
        <v>42135</v>
      </c>
      <c r="F228" s="18">
        <v>0.68598379629629624</v>
      </c>
      <c r="G228" s="22">
        <v>3200</v>
      </c>
      <c r="H228">
        <v>0</v>
      </c>
      <c r="I228" s="19" t="e">
        <f>I227 + (D228-G228)</f>
        <v>#VALUE!</v>
      </c>
      <c r="M228">
        <v>109893</v>
      </c>
      <c r="N228">
        <v>24</v>
      </c>
      <c r="O228" t="s">
        <v>68</v>
      </c>
      <c r="P228">
        <v>1</v>
      </c>
      <c r="R228">
        <v>534</v>
      </c>
      <c r="S228" s="17">
        <v>42139</v>
      </c>
      <c r="T228" s="17">
        <v>42139</v>
      </c>
      <c r="W228">
        <v>2015</v>
      </c>
      <c r="X228">
        <v>24</v>
      </c>
      <c r="AC228" t="s">
        <v>152</v>
      </c>
      <c r="AD228" t="s">
        <v>301</v>
      </c>
      <c r="AE228" t="s">
        <v>46</v>
      </c>
      <c r="AG228">
        <v>52</v>
      </c>
      <c r="AH228">
        <v>2</v>
      </c>
      <c r="AI228" t="s">
        <v>50</v>
      </c>
      <c r="AK228">
        <v>0</v>
      </c>
      <c r="AM228">
        <v>0</v>
      </c>
      <c r="AP228" t="s">
        <v>325</v>
      </c>
    </row>
    <row r="229" spans="1:42" customFormat="1">
      <c r="A229">
        <v>270079</v>
      </c>
      <c r="B229" t="s">
        <v>2752</v>
      </c>
      <c r="C229" t="s">
        <v>2753</v>
      </c>
      <c r="D229" s="22">
        <v>0</v>
      </c>
      <c r="E229" s="17">
        <v>42135</v>
      </c>
      <c r="F229" s="18">
        <v>0.6861342592592593</v>
      </c>
      <c r="G229" s="22">
        <v>6000</v>
      </c>
      <c r="H229">
        <v>0</v>
      </c>
      <c r="I229" s="19" t="e">
        <f>I228 + (D229-G229)</f>
        <v>#VALUE!</v>
      </c>
      <c r="M229">
        <v>109881</v>
      </c>
      <c r="N229">
        <v>24</v>
      </c>
      <c r="O229" t="s">
        <v>68</v>
      </c>
      <c r="P229">
        <v>1</v>
      </c>
      <c r="R229">
        <v>534</v>
      </c>
      <c r="S229" s="17">
        <v>42139</v>
      </c>
      <c r="T229" s="17">
        <v>42139</v>
      </c>
      <c r="W229">
        <v>2015</v>
      </c>
      <c r="X229">
        <v>24</v>
      </c>
      <c r="AC229" t="s">
        <v>152</v>
      </c>
      <c r="AD229" t="s">
        <v>301</v>
      </c>
      <c r="AE229" t="s">
        <v>46</v>
      </c>
      <c r="AG229">
        <v>52</v>
      </c>
      <c r="AH229">
        <v>2</v>
      </c>
      <c r="AI229" t="s">
        <v>50</v>
      </c>
      <c r="AK229">
        <v>0</v>
      </c>
      <c r="AM229">
        <v>0</v>
      </c>
      <c r="AP229" t="s">
        <v>325</v>
      </c>
    </row>
    <row r="230" spans="1:42" customFormat="1">
      <c r="A230">
        <v>276043</v>
      </c>
      <c r="B230" t="s">
        <v>3465</v>
      </c>
      <c r="C230" t="s">
        <v>3466</v>
      </c>
      <c r="D230" s="22">
        <v>0</v>
      </c>
      <c r="E230" s="17">
        <v>42139</v>
      </c>
      <c r="F230" s="18">
        <v>0.63004629629629627</v>
      </c>
      <c r="G230" s="22">
        <v>4720.3</v>
      </c>
      <c r="H230">
        <v>0</v>
      </c>
      <c r="I230" s="19" t="e">
        <f>I229 + (D230-G230)</f>
        <v>#VALUE!</v>
      </c>
      <c r="M230">
        <v>128617</v>
      </c>
      <c r="N230">
        <v>12</v>
      </c>
      <c r="O230" t="s">
        <v>214</v>
      </c>
      <c r="P230">
        <v>1</v>
      </c>
      <c r="R230">
        <v>534</v>
      </c>
      <c r="S230" s="17">
        <v>42188</v>
      </c>
      <c r="T230" s="17">
        <v>42188</v>
      </c>
      <c r="W230">
        <v>2015</v>
      </c>
      <c r="X230">
        <v>12</v>
      </c>
      <c r="AC230" t="s">
        <v>152</v>
      </c>
      <c r="AD230" t="s">
        <v>301</v>
      </c>
      <c r="AE230" t="s">
        <v>46</v>
      </c>
      <c r="AG230">
        <v>26</v>
      </c>
      <c r="AH230">
        <v>8</v>
      </c>
      <c r="AI230" t="s">
        <v>52</v>
      </c>
      <c r="AK230">
        <v>0</v>
      </c>
      <c r="AM230">
        <v>0</v>
      </c>
      <c r="AP230" t="s">
        <v>501</v>
      </c>
    </row>
    <row r="231" spans="1:42" customFormat="1">
      <c r="A231">
        <v>274079</v>
      </c>
      <c r="B231" t="s">
        <v>3871</v>
      </c>
      <c r="C231" t="s">
        <v>3872</v>
      </c>
      <c r="D231" s="22">
        <v>0</v>
      </c>
      <c r="E231" s="17">
        <v>42144</v>
      </c>
      <c r="F231" s="18">
        <v>0.57456018518518526</v>
      </c>
      <c r="G231" s="22">
        <v>6000</v>
      </c>
      <c r="H231">
        <v>0</v>
      </c>
      <c r="I231" s="19" t="e">
        <f>I230 + (D231-G231)</f>
        <v>#VALUE!</v>
      </c>
      <c r="M231">
        <v>127362</v>
      </c>
      <c r="N231">
        <v>24</v>
      </c>
      <c r="O231" t="s">
        <v>68</v>
      </c>
      <c r="P231">
        <v>1</v>
      </c>
      <c r="R231">
        <v>534</v>
      </c>
      <c r="S231" s="17">
        <v>42180</v>
      </c>
      <c r="T231" s="17">
        <v>42180</v>
      </c>
      <c r="W231">
        <v>2015</v>
      </c>
      <c r="X231">
        <v>24</v>
      </c>
      <c r="AC231" t="s">
        <v>152</v>
      </c>
      <c r="AD231" t="s">
        <v>301</v>
      </c>
      <c r="AE231" t="s">
        <v>46</v>
      </c>
      <c r="AG231">
        <v>26</v>
      </c>
      <c r="AH231">
        <v>8</v>
      </c>
      <c r="AI231" t="s">
        <v>52</v>
      </c>
      <c r="AK231">
        <v>0</v>
      </c>
      <c r="AM231">
        <v>0</v>
      </c>
      <c r="AP231" t="s">
        <v>501</v>
      </c>
    </row>
    <row r="232" spans="1:42" customFormat="1">
      <c r="A232">
        <v>270833</v>
      </c>
      <c r="B232" t="s">
        <v>4093</v>
      </c>
      <c r="C232" t="s">
        <v>4094</v>
      </c>
      <c r="D232" s="22">
        <v>0</v>
      </c>
      <c r="E232" s="17">
        <v>42145</v>
      </c>
      <c r="F232" s="18">
        <v>0.54916666666666669</v>
      </c>
      <c r="G232" s="22">
        <v>27500</v>
      </c>
      <c r="H232">
        <v>0</v>
      </c>
      <c r="I232" s="19" t="e">
        <f>I231 + (D232-G232)</f>
        <v>#VALUE!</v>
      </c>
      <c r="M232">
        <v>73240</v>
      </c>
      <c r="N232">
        <v>24</v>
      </c>
      <c r="O232" t="s">
        <v>68</v>
      </c>
      <c r="P232">
        <v>1</v>
      </c>
      <c r="R232">
        <v>536</v>
      </c>
      <c r="S232" s="17">
        <v>42146</v>
      </c>
      <c r="T232" s="17">
        <v>42146</v>
      </c>
      <c r="W232">
        <v>2015</v>
      </c>
      <c r="X232">
        <v>24</v>
      </c>
      <c r="AC232" t="s">
        <v>159</v>
      </c>
      <c r="AD232" t="s">
        <v>301</v>
      </c>
      <c r="AE232" t="s">
        <v>46</v>
      </c>
      <c r="AG232">
        <v>52</v>
      </c>
      <c r="AH232">
        <v>2</v>
      </c>
      <c r="AI232" t="s">
        <v>50</v>
      </c>
      <c r="AK232">
        <v>0</v>
      </c>
      <c r="AM232">
        <v>0</v>
      </c>
      <c r="AP232" t="s">
        <v>325</v>
      </c>
    </row>
    <row r="233" spans="1:42" customFormat="1">
      <c r="A233">
        <v>269863</v>
      </c>
      <c r="B233" t="s">
        <v>1627</v>
      </c>
      <c r="C233" t="s">
        <v>1628</v>
      </c>
      <c r="D233" s="22">
        <v>0</v>
      </c>
      <c r="E233" s="17">
        <v>42130</v>
      </c>
      <c r="F233" s="18">
        <v>0.35429398148148145</v>
      </c>
      <c r="G233" s="22">
        <v>2500</v>
      </c>
      <c r="H233">
        <v>0</v>
      </c>
      <c r="I233" s="19" t="e">
        <f>I232 + (D233-G233)</f>
        <v>#VALUE!</v>
      </c>
      <c r="M233">
        <v>123224</v>
      </c>
      <c r="N233">
        <v>7</v>
      </c>
      <c r="O233" t="s">
        <v>44</v>
      </c>
      <c r="P233">
        <v>1</v>
      </c>
      <c r="R233">
        <v>1480</v>
      </c>
      <c r="S233" s="17">
        <v>42138</v>
      </c>
      <c r="T233" s="17">
        <v>42138</v>
      </c>
      <c r="W233">
        <v>2015</v>
      </c>
      <c r="X233">
        <v>7</v>
      </c>
      <c r="AC233" t="s">
        <v>147</v>
      </c>
      <c r="AD233" t="s">
        <v>301</v>
      </c>
      <c r="AE233" t="s">
        <v>46</v>
      </c>
      <c r="AG233">
        <v>52</v>
      </c>
      <c r="AH233">
        <v>9</v>
      </c>
      <c r="AI233" t="s">
        <v>54</v>
      </c>
      <c r="AK233">
        <v>0</v>
      </c>
      <c r="AM233">
        <v>0</v>
      </c>
      <c r="AP233" t="s">
        <v>325</v>
      </c>
    </row>
    <row r="234" spans="1:42" customFormat="1">
      <c r="A234">
        <v>268569</v>
      </c>
      <c r="B234" t="s">
        <v>1188</v>
      </c>
      <c r="C234" t="s">
        <v>1189</v>
      </c>
      <c r="D234" s="22">
        <v>0</v>
      </c>
      <c r="E234" s="17">
        <v>42128</v>
      </c>
      <c r="F234" s="18">
        <v>0.70013888888888898</v>
      </c>
      <c r="G234" s="22">
        <v>3000</v>
      </c>
      <c r="H234">
        <v>0</v>
      </c>
      <c r="I234" s="19" t="e">
        <f>I233 + (D234-G234)</f>
        <v>#VALUE!</v>
      </c>
      <c r="M234">
        <v>114290</v>
      </c>
      <c r="N234">
        <v>60</v>
      </c>
      <c r="O234" t="s">
        <v>60</v>
      </c>
      <c r="P234">
        <v>1</v>
      </c>
      <c r="R234">
        <v>1450</v>
      </c>
      <c r="S234" s="17">
        <v>42130</v>
      </c>
      <c r="T234" s="17">
        <v>42130</v>
      </c>
      <c r="W234">
        <v>2015</v>
      </c>
      <c r="X234">
        <v>60</v>
      </c>
      <c r="AC234" t="s">
        <v>65</v>
      </c>
      <c r="AD234" t="s">
        <v>302</v>
      </c>
      <c r="AE234" t="s">
        <v>46</v>
      </c>
      <c r="AG234">
        <v>52</v>
      </c>
      <c r="AH234">
        <v>2</v>
      </c>
      <c r="AI234" t="s">
        <v>50</v>
      </c>
      <c r="AK234">
        <v>0</v>
      </c>
      <c r="AM234">
        <v>0</v>
      </c>
      <c r="AP234" t="s">
        <v>325</v>
      </c>
    </row>
    <row r="235" spans="1:42" customFormat="1">
      <c r="A235">
        <v>268572</v>
      </c>
      <c r="B235" t="s">
        <v>1191</v>
      </c>
      <c r="C235" t="s">
        <v>1192</v>
      </c>
      <c r="D235" s="22">
        <v>0</v>
      </c>
      <c r="E235" s="17">
        <v>42128</v>
      </c>
      <c r="F235" s="18">
        <v>0.70035879629629638</v>
      </c>
      <c r="G235" s="22">
        <v>3301</v>
      </c>
      <c r="H235">
        <v>0</v>
      </c>
      <c r="I235" s="19" t="e">
        <f>I234 + (D235-G235)</f>
        <v>#VALUE!</v>
      </c>
      <c r="M235">
        <v>114292</v>
      </c>
      <c r="N235">
        <v>60</v>
      </c>
      <c r="O235" t="s">
        <v>60</v>
      </c>
      <c r="P235">
        <v>1</v>
      </c>
      <c r="R235">
        <v>1450</v>
      </c>
      <c r="S235" s="17">
        <v>42130</v>
      </c>
      <c r="T235" s="17">
        <v>42130</v>
      </c>
      <c r="W235">
        <v>2015</v>
      </c>
      <c r="X235">
        <v>60</v>
      </c>
      <c r="AC235" t="s">
        <v>65</v>
      </c>
      <c r="AD235" t="s">
        <v>302</v>
      </c>
      <c r="AE235" t="s">
        <v>46</v>
      </c>
      <c r="AG235">
        <v>52</v>
      </c>
      <c r="AH235">
        <v>2</v>
      </c>
      <c r="AI235" t="s">
        <v>50</v>
      </c>
      <c r="AK235">
        <v>0</v>
      </c>
      <c r="AM235">
        <v>0</v>
      </c>
      <c r="AP235" t="s">
        <v>325</v>
      </c>
    </row>
    <row r="236" spans="1:42" customFormat="1">
      <c r="A236">
        <v>268581</v>
      </c>
      <c r="B236" t="s">
        <v>1195</v>
      </c>
      <c r="C236" t="s">
        <v>1196</v>
      </c>
      <c r="D236" s="22">
        <v>0</v>
      </c>
      <c r="E236" s="17">
        <v>42128</v>
      </c>
      <c r="F236" s="18">
        <v>0.70168981481481474</v>
      </c>
      <c r="G236" s="22">
        <v>4000</v>
      </c>
      <c r="H236">
        <v>0</v>
      </c>
      <c r="I236" s="19" t="e">
        <f>I235 + (D236-G236)</f>
        <v>#VALUE!</v>
      </c>
      <c r="M236">
        <v>116400</v>
      </c>
      <c r="N236">
        <v>60</v>
      </c>
      <c r="O236" t="s">
        <v>60</v>
      </c>
      <c r="P236">
        <v>1</v>
      </c>
      <c r="R236">
        <v>1450</v>
      </c>
      <c r="S236" s="17">
        <v>42130</v>
      </c>
      <c r="T236" s="17">
        <v>42130</v>
      </c>
      <c r="W236">
        <v>2015</v>
      </c>
      <c r="X236">
        <v>60</v>
      </c>
      <c r="AC236" t="s">
        <v>65</v>
      </c>
      <c r="AD236" t="s">
        <v>302</v>
      </c>
      <c r="AE236" t="s">
        <v>46</v>
      </c>
      <c r="AG236">
        <v>52</v>
      </c>
      <c r="AH236">
        <v>2</v>
      </c>
      <c r="AI236" t="s">
        <v>50</v>
      </c>
      <c r="AK236">
        <v>0</v>
      </c>
      <c r="AM236">
        <v>0</v>
      </c>
      <c r="AP236" t="s">
        <v>325</v>
      </c>
    </row>
    <row r="237" spans="1:42" customFormat="1">
      <c r="A237">
        <v>268582</v>
      </c>
      <c r="B237" t="s">
        <v>1197</v>
      </c>
      <c r="C237" t="s">
        <v>1198</v>
      </c>
      <c r="D237" s="22">
        <v>0</v>
      </c>
      <c r="E237" s="17">
        <v>42128</v>
      </c>
      <c r="F237" s="18">
        <v>0.70190972222222225</v>
      </c>
      <c r="G237" s="22">
        <v>10000</v>
      </c>
      <c r="H237">
        <v>0</v>
      </c>
      <c r="I237" s="19" t="e">
        <f>I236 + (D237-G237)</f>
        <v>#VALUE!</v>
      </c>
      <c r="M237">
        <v>122133</v>
      </c>
      <c r="N237">
        <v>60</v>
      </c>
      <c r="O237" t="s">
        <v>60</v>
      </c>
      <c r="P237">
        <v>1</v>
      </c>
      <c r="R237">
        <v>1450</v>
      </c>
      <c r="S237" s="17">
        <v>42130</v>
      </c>
      <c r="T237" s="17">
        <v>42130</v>
      </c>
      <c r="W237">
        <v>2015</v>
      </c>
      <c r="X237">
        <v>60</v>
      </c>
      <c r="AC237" t="s">
        <v>65</v>
      </c>
      <c r="AD237" t="s">
        <v>302</v>
      </c>
      <c r="AE237" t="s">
        <v>46</v>
      </c>
      <c r="AG237">
        <v>52</v>
      </c>
      <c r="AH237">
        <v>2</v>
      </c>
      <c r="AI237" t="s">
        <v>50</v>
      </c>
      <c r="AK237">
        <v>0</v>
      </c>
      <c r="AM237">
        <v>0</v>
      </c>
      <c r="AP237" t="s">
        <v>325</v>
      </c>
    </row>
    <row r="238" spans="1:42" customFormat="1">
      <c r="A238">
        <v>268678</v>
      </c>
      <c r="B238" t="s">
        <v>1283</v>
      </c>
      <c r="C238" t="s">
        <v>1284</v>
      </c>
      <c r="D238" s="22">
        <v>0</v>
      </c>
      <c r="E238" s="17">
        <v>42129</v>
      </c>
      <c r="F238" s="18">
        <v>0.40679398148148144</v>
      </c>
      <c r="G238" s="22">
        <v>4000</v>
      </c>
      <c r="H238">
        <v>0</v>
      </c>
      <c r="I238" s="19" t="e">
        <f>I237 + (D238-G238)</f>
        <v>#VALUE!</v>
      </c>
      <c r="M238">
        <v>109076</v>
      </c>
      <c r="N238">
        <v>60</v>
      </c>
      <c r="O238" t="s">
        <v>60</v>
      </c>
      <c r="P238">
        <v>1</v>
      </c>
      <c r="R238">
        <v>1450</v>
      </c>
      <c r="S238" s="17">
        <v>42131</v>
      </c>
      <c r="T238" s="17">
        <v>42131</v>
      </c>
      <c r="W238">
        <v>2015</v>
      </c>
      <c r="X238">
        <v>60</v>
      </c>
      <c r="AC238" t="s">
        <v>65</v>
      </c>
      <c r="AD238" t="s">
        <v>302</v>
      </c>
      <c r="AE238" t="s">
        <v>46</v>
      </c>
      <c r="AG238">
        <v>52</v>
      </c>
      <c r="AH238">
        <v>2</v>
      </c>
      <c r="AI238" t="s">
        <v>50</v>
      </c>
      <c r="AK238">
        <v>0</v>
      </c>
      <c r="AM238">
        <v>0</v>
      </c>
      <c r="AP238" t="s">
        <v>325</v>
      </c>
    </row>
    <row r="239" spans="1:42" customFormat="1">
      <c r="A239">
        <v>268679</v>
      </c>
      <c r="B239" t="s">
        <v>1285</v>
      </c>
      <c r="C239" t="s">
        <v>1286</v>
      </c>
      <c r="D239" s="22">
        <v>0</v>
      </c>
      <c r="E239" s="17">
        <v>42129</v>
      </c>
      <c r="F239" s="18">
        <v>0.40696759259259258</v>
      </c>
      <c r="G239" s="22">
        <v>25900</v>
      </c>
      <c r="H239">
        <v>0</v>
      </c>
      <c r="I239" s="19" t="e">
        <f>I238 + (D239-G239)</f>
        <v>#VALUE!</v>
      </c>
      <c r="M239">
        <v>111011</v>
      </c>
      <c r="N239">
        <v>60</v>
      </c>
      <c r="O239" t="s">
        <v>60</v>
      </c>
      <c r="P239">
        <v>1</v>
      </c>
      <c r="R239">
        <v>1450</v>
      </c>
      <c r="S239" s="17">
        <v>42131</v>
      </c>
      <c r="T239" s="17">
        <v>42131</v>
      </c>
      <c r="W239">
        <v>2015</v>
      </c>
      <c r="X239">
        <v>60</v>
      </c>
      <c r="AC239" t="s">
        <v>65</v>
      </c>
      <c r="AD239" t="s">
        <v>302</v>
      </c>
      <c r="AE239" t="s">
        <v>46</v>
      </c>
      <c r="AG239">
        <v>52</v>
      </c>
      <c r="AH239">
        <v>2</v>
      </c>
      <c r="AI239" t="s">
        <v>50</v>
      </c>
      <c r="AK239">
        <v>0</v>
      </c>
      <c r="AM239">
        <v>0</v>
      </c>
      <c r="AP239" t="s">
        <v>325</v>
      </c>
    </row>
    <row r="240" spans="1:42" customFormat="1">
      <c r="A240">
        <v>268680</v>
      </c>
      <c r="B240" t="s">
        <v>1287</v>
      </c>
      <c r="C240" t="s">
        <v>1288</v>
      </c>
      <c r="D240" s="22">
        <v>0</v>
      </c>
      <c r="E240" s="17">
        <v>42129</v>
      </c>
      <c r="F240" s="18">
        <v>0.40711805555555558</v>
      </c>
      <c r="G240" s="22">
        <v>67200</v>
      </c>
      <c r="H240">
        <v>0</v>
      </c>
      <c r="I240" s="19" t="e">
        <f>I239 + (D240-G240)</f>
        <v>#VALUE!</v>
      </c>
      <c r="M240">
        <v>111017</v>
      </c>
      <c r="N240">
        <v>60</v>
      </c>
      <c r="O240" t="s">
        <v>60</v>
      </c>
      <c r="P240">
        <v>1</v>
      </c>
      <c r="R240">
        <v>1450</v>
      </c>
      <c r="S240" s="17">
        <v>42131</v>
      </c>
      <c r="T240" s="17">
        <v>42131</v>
      </c>
      <c r="W240">
        <v>2015</v>
      </c>
      <c r="X240">
        <v>60</v>
      </c>
      <c r="AC240" t="s">
        <v>65</v>
      </c>
      <c r="AD240" t="s">
        <v>302</v>
      </c>
      <c r="AE240" t="s">
        <v>46</v>
      </c>
      <c r="AG240">
        <v>52</v>
      </c>
      <c r="AH240">
        <v>2</v>
      </c>
      <c r="AI240" t="s">
        <v>50</v>
      </c>
      <c r="AK240">
        <v>0</v>
      </c>
      <c r="AM240">
        <v>0</v>
      </c>
      <c r="AP240" t="s">
        <v>325</v>
      </c>
    </row>
    <row r="241" spans="1:42" customFormat="1">
      <c r="A241">
        <v>268681</v>
      </c>
      <c r="B241" t="s">
        <v>1289</v>
      </c>
      <c r="C241" t="s">
        <v>1290</v>
      </c>
      <c r="D241" s="22">
        <v>0</v>
      </c>
      <c r="E241" s="17">
        <v>42129</v>
      </c>
      <c r="F241" s="18">
        <v>0.40733796296296299</v>
      </c>
      <c r="G241" s="22">
        <v>2550</v>
      </c>
      <c r="H241">
        <v>0</v>
      </c>
      <c r="I241" s="19" t="e">
        <f>I240 + (D241-G241)</f>
        <v>#VALUE!</v>
      </c>
      <c r="M241">
        <v>111874</v>
      </c>
      <c r="N241">
        <v>60</v>
      </c>
      <c r="O241" t="s">
        <v>60</v>
      </c>
      <c r="P241">
        <v>1</v>
      </c>
      <c r="R241">
        <v>1450</v>
      </c>
      <c r="S241" s="17">
        <v>42131</v>
      </c>
      <c r="T241" s="17">
        <v>42131</v>
      </c>
      <c r="W241">
        <v>2015</v>
      </c>
      <c r="X241">
        <v>60</v>
      </c>
      <c r="AC241" t="s">
        <v>65</v>
      </c>
      <c r="AD241" t="s">
        <v>302</v>
      </c>
      <c r="AE241" t="s">
        <v>46</v>
      </c>
      <c r="AG241">
        <v>52</v>
      </c>
      <c r="AH241">
        <v>2</v>
      </c>
      <c r="AI241" t="s">
        <v>50</v>
      </c>
      <c r="AK241">
        <v>0</v>
      </c>
      <c r="AM241">
        <v>0</v>
      </c>
      <c r="AP241" t="s">
        <v>325</v>
      </c>
    </row>
    <row r="242" spans="1:42" customFormat="1">
      <c r="A242">
        <v>268682</v>
      </c>
      <c r="B242" t="s">
        <v>1291</v>
      </c>
      <c r="C242" t="s">
        <v>1292</v>
      </c>
      <c r="D242" s="22">
        <v>0</v>
      </c>
      <c r="E242" s="17">
        <v>42129</v>
      </c>
      <c r="F242" s="18">
        <v>0.40753472222222226</v>
      </c>
      <c r="G242" s="22">
        <v>3025.5</v>
      </c>
      <c r="H242">
        <v>0</v>
      </c>
      <c r="I242" s="19" t="e">
        <f>I241 + (D242-G242)</f>
        <v>#VALUE!</v>
      </c>
      <c r="M242">
        <v>110070</v>
      </c>
      <c r="N242">
        <v>60</v>
      </c>
      <c r="O242" t="s">
        <v>60</v>
      </c>
      <c r="P242">
        <v>1</v>
      </c>
      <c r="R242">
        <v>1450</v>
      </c>
      <c r="S242" s="17">
        <v>42131</v>
      </c>
      <c r="T242" s="17">
        <v>42131</v>
      </c>
      <c r="W242">
        <v>2015</v>
      </c>
      <c r="X242">
        <v>60</v>
      </c>
      <c r="AC242" t="s">
        <v>65</v>
      </c>
      <c r="AD242" t="s">
        <v>302</v>
      </c>
      <c r="AE242" t="s">
        <v>46</v>
      </c>
      <c r="AG242">
        <v>52</v>
      </c>
      <c r="AH242">
        <v>2</v>
      </c>
      <c r="AI242" t="s">
        <v>50</v>
      </c>
      <c r="AK242">
        <v>0</v>
      </c>
      <c r="AM242">
        <v>0</v>
      </c>
      <c r="AP242" t="s">
        <v>325</v>
      </c>
    </row>
    <row r="243" spans="1:42" customFormat="1">
      <c r="A243">
        <v>268583</v>
      </c>
      <c r="B243" t="s">
        <v>1579</v>
      </c>
      <c r="C243" t="s">
        <v>1580</v>
      </c>
      <c r="D243" s="22">
        <v>0</v>
      </c>
      <c r="E243" s="17">
        <v>42129</v>
      </c>
      <c r="F243" s="18">
        <v>0.70417824074074076</v>
      </c>
      <c r="G243" s="22">
        <v>26500</v>
      </c>
      <c r="H243">
        <v>0</v>
      </c>
      <c r="I243" s="19" t="e">
        <f>I242 + (D243-G243)</f>
        <v>#VALUE!</v>
      </c>
      <c r="M243">
        <v>118082</v>
      </c>
      <c r="N243">
        <v>60</v>
      </c>
      <c r="O243" t="s">
        <v>60</v>
      </c>
      <c r="P243">
        <v>1</v>
      </c>
      <c r="R243">
        <v>1450</v>
      </c>
      <c r="S243" s="17">
        <v>42130</v>
      </c>
      <c r="T243" s="17">
        <v>42130</v>
      </c>
      <c r="W243">
        <v>2015</v>
      </c>
      <c r="X243">
        <v>60</v>
      </c>
      <c r="AC243" t="s">
        <v>65</v>
      </c>
      <c r="AD243" t="s">
        <v>302</v>
      </c>
      <c r="AE243" t="s">
        <v>46</v>
      </c>
      <c r="AG243">
        <v>52</v>
      </c>
      <c r="AH243">
        <v>2</v>
      </c>
      <c r="AI243" t="s">
        <v>50</v>
      </c>
      <c r="AK243">
        <v>0</v>
      </c>
      <c r="AM243">
        <v>0</v>
      </c>
      <c r="AP243" t="s">
        <v>325</v>
      </c>
    </row>
    <row r="244" spans="1:42" customFormat="1">
      <c r="A244">
        <v>268591</v>
      </c>
      <c r="B244" t="s">
        <v>1587</v>
      </c>
      <c r="C244" t="s">
        <v>1588</v>
      </c>
      <c r="D244" s="22">
        <v>0</v>
      </c>
      <c r="E244" s="17">
        <v>42129</v>
      </c>
      <c r="F244" s="18">
        <v>0.70578703703703705</v>
      </c>
      <c r="G244" s="22">
        <v>6600</v>
      </c>
      <c r="H244">
        <v>0</v>
      </c>
      <c r="I244" s="19" t="e">
        <f>I243 + (D244-G244)</f>
        <v>#VALUE!</v>
      </c>
      <c r="M244">
        <v>122356</v>
      </c>
      <c r="N244">
        <v>60</v>
      </c>
      <c r="O244" t="s">
        <v>60</v>
      </c>
      <c r="P244">
        <v>1</v>
      </c>
      <c r="R244">
        <v>1450</v>
      </c>
      <c r="S244" s="17">
        <v>42130</v>
      </c>
      <c r="T244" s="17">
        <v>42130</v>
      </c>
      <c r="W244">
        <v>2015</v>
      </c>
      <c r="X244">
        <v>60</v>
      </c>
      <c r="AC244" t="s">
        <v>65</v>
      </c>
      <c r="AD244" t="s">
        <v>302</v>
      </c>
      <c r="AE244" t="s">
        <v>46</v>
      </c>
      <c r="AG244">
        <v>52</v>
      </c>
      <c r="AH244">
        <v>2</v>
      </c>
      <c r="AI244" t="s">
        <v>50</v>
      </c>
      <c r="AK244">
        <v>0</v>
      </c>
      <c r="AM244">
        <v>0</v>
      </c>
      <c r="AP244" t="s">
        <v>325</v>
      </c>
    </row>
    <row r="245" spans="1:42" customFormat="1">
      <c r="A245">
        <v>268592</v>
      </c>
      <c r="B245" t="s">
        <v>1589</v>
      </c>
      <c r="C245" t="s">
        <v>1590</v>
      </c>
      <c r="D245" s="22">
        <v>0</v>
      </c>
      <c r="E245" s="17">
        <v>42129</v>
      </c>
      <c r="F245" s="18">
        <v>0.70596064814814818</v>
      </c>
      <c r="G245" s="22">
        <v>1500</v>
      </c>
      <c r="H245">
        <v>0</v>
      </c>
      <c r="I245" s="19" t="e">
        <f>I244 + (D245-G245)</f>
        <v>#VALUE!</v>
      </c>
      <c r="M245">
        <v>108677</v>
      </c>
      <c r="N245">
        <v>60</v>
      </c>
      <c r="O245" t="s">
        <v>60</v>
      </c>
      <c r="P245">
        <v>1</v>
      </c>
      <c r="R245">
        <v>1450</v>
      </c>
      <c r="S245" s="17">
        <v>42130</v>
      </c>
      <c r="T245" s="17">
        <v>42130</v>
      </c>
      <c r="W245">
        <v>2015</v>
      </c>
      <c r="X245">
        <v>60</v>
      </c>
      <c r="AC245" t="s">
        <v>65</v>
      </c>
      <c r="AD245" t="s">
        <v>302</v>
      </c>
      <c r="AE245" t="s">
        <v>46</v>
      </c>
      <c r="AG245">
        <v>52</v>
      </c>
      <c r="AH245">
        <v>2</v>
      </c>
      <c r="AI245" t="s">
        <v>50</v>
      </c>
      <c r="AK245">
        <v>0</v>
      </c>
      <c r="AM245">
        <v>0</v>
      </c>
      <c r="AP245" t="s">
        <v>325</v>
      </c>
    </row>
    <row r="246" spans="1:42" customFormat="1">
      <c r="A246">
        <v>268593</v>
      </c>
      <c r="B246" t="s">
        <v>1591</v>
      </c>
      <c r="C246" t="s">
        <v>1592</v>
      </c>
      <c r="D246" s="22">
        <v>0</v>
      </c>
      <c r="E246" s="17">
        <v>42129</v>
      </c>
      <c r="F246" s="18">
        <v>0.70622685185185186</v>
      </c>
      <c r="G246" s="22">
        <v>900</v>
      </c>
      <c r="H246">
        <v>0</v>
      </c>
      <c r="I246" s="19" t="e">
        <f>I245 + (D246-G246)</f>
        <v>#VALUE!</v>
      </c>
      <c r="M246">
        <v>108627</v>
      </c>
      <c r="N246">
        <v>60</v>
      </c>
      <c r="O246" t="s">
        <v>60</v>
      </c>
      <c r="P246">
        <v>1</v>
      </c>
      <c r="R246">
        <v>1450</v>
      </c>
      <c r="S246" s="17">
        <v>42130</v>
      </c>
      <c r="T246" s="17">
        <v>42130</v>
      </c>
      <c r="W246">
        <v>2015</v>
      </c>
      <c r="X246">
        <v>60</v>
      </c>
      <c r="AC246" t="s">
        <v>65</v>
      </c>
      <c r="AD246" t="s">
        <v>302</v>
      </c>
      <c r="AE246" t="s">
        <v>46</v>
      </c>
      <c r="AG246">
        <v>52</v>
      </c>
      <c r="AH246">
        <v>2</v>
      </c>
      <c r="AI246" t="s">
        <v>50</v>
      </c>
      <c r="AK246">
        <v>0</v>
      </c>
      <c r="AM246">
        <v>0</v>
      </c>
      <c r="AP246" t="s">
        <v>325</v>
      </c>
    </row>
    <row r="247" spans="1:42" customFormat="1">
      <c r="A247">
        <v>268596</v>
      </c>
      <c r="B247" t="s">
        <v>1593</v>
      </c>
      <c r="C247" t="s">
        <v>1594</v>
      </c>
      <c r="D247" s="22">
        <v>0</v>
      </c>
      <c r="E247" s="17">
        <v>42129</v>
      </c>
      <c r="F247" s="18">
        <v>0.70680555555555558</v>
      </c>
      <c r="G247" s="22">
        <v>798</v>
      </c>
      <c r="H247">
        <v>0</v>
      </c>
      <c r="I247" s="19" t="e">
        <f>I246 + (D247-G247)</f>
        <v>#VALUE!</v>
      </c>
      <c r="M247">
        <v>122357</v>
      </c>
      <c r="N247">
        <v>60</v>
      </c>
      <c r="O247" t="s">
        <v>60</v>
      </c>
      <c r="P247">
        <v>1</v>
      </c>
      <c r="R247">
        <v>1450</v>
      </c>
      <c r="S247" s="17">
        <v>42130</v>
      </c>
      <c r="T247" s="17">
        <v>42130</v>
      </c>
      <c r="W247">
        <v>2015</v>
      </c>
      <c r="X247">
        <v>60</v>
      </c>
      <c r="AC247" t="s">
        <v>65</v>
      </c>
      <c r="AD247" t="s">
        <v>302</v>
      </c>
      <c r="AE247" t="s">
        <v>46</v>
      </c>
      <c r="AG247">
        <v>52</v>
      </c>
      <c r="AH247">
        <v>2</v>
      </c>
      <c r="AI247" t="s">
        <v>50</v>
      </c>
      <c r="AK247">
        <v>0</v>
      </c>
      <c r="AM247">
        <v>0</v>
      </c>
      <c r="AP247" t="s">
        <v>325</v>
      </c>
    </row>
    <row r="248" spans="1:42" customFormat="1">
      <c r="A248">
        <v>269861</v>
      </c>
      <c r="B248" t="s">
        <v>1623</v>
      </c>
      <c r="C248" t="s">
        <v>1624</v>
      </c>
      <c r="D248" s="22">
        <v>0</v>
      </c>
      <c r="E248" s="17">
        <v>42130</v>
      </c>
      <c r="F248" s="18">
        <v>0.35399305555555555</v>
      </c>
      <c r="G248" s="22">
        <v>3000</v>
      </c>
      <c r="H248">
        <v>0</v>
      </c>
      <c r="I248" s="19" t="e">
        <f>I247 + (D248-G248)</f>
        <v>#VALUE!</v>
      </c>
      <c r="M248">
        <v>108651</v>
      </c>
      <c r="N248">
        <v>7</v>
      </c>
      <c r="O248" t="s">
        <v>44</v>
      </c>
      <c r="P248">
        <v>1</v>
      </c>
      <c r="R248">
        <v>1450</v>
      </c>
      <c r="S248" s="17">
        <v>42138</v>
      </c>
      <c r="T248" s="17">
        <v>42138</v>
      </c>
      <c r="W248">
        <v>2015</v>
      </c>
      <c r="X248">
        <v>7</v>
      </c>
      <c r="AC248" t="s">
        <v>65</v>
      </c>
      <c r="AD248" t="s">
        <v>302</v>
      </c>
      <c r="AE248" t="s">
        <v>46</v>
      </c>
      <c r="AG248">
        <v>52</v>
      </c>
      <c r="AH248">
        <v>9</v>
      </c>
      <c r="AI248" t="s">
        <v>54</v>
      </c>
      <c r="AK248">
        <v>0</v>
      </c>
      <c r="AM248">
        <v>0</v>
      </c>
      <c r="AP248" t="s">
        <v>325</v>
      </c>
    </row>
    <row r="249" spans="1:42" customFormat="1">
      <c r="A249">
        <v>269864</v>
      </c>
      <c r="B249" t="s">
        <v>1629</v>
      </c>
      <c r="C249" t="s">
        <v>1630</v>
      </c>
      <c r="D249" s="22">
        <v>0</v>
      </c>
      <c r="E249" s="17">
        <v>42130</v>
      </c>
      <c r="F249" s="18">
        <v>0.35450231481481481</v>
      </c>
      <c r="G249" s="22">
        <v>1800</v>
      </c>
      <c r="H249">
        <v>0</v>
      </c>
      <c r="I249" s="19" t="e">
        <f>I248 + (D249-G249)</f>
        <v>#VALUE!</v>
      </c>
      <c r="M249">
        <v>110042</v>
      </c>
      <c r="N249">
        <v>7</v>
      </c>
      <c r="O249" t="s">
        <v>44</v>
      </c>
      <c r="P249">
        <v>1</v>
      </c>
      <c r="R249">
        <v>1450</v>
      </c>
      <c r="S249" s="17">
        <v>42138</v>
      </c>
      <c r="T249" s="17">
        <v>42138</v>
      </c>
      <c r="W249">
        <v>2015</v>
      </c>
      <c r="X249">
        <v>7</v>
      </c>
      <c r="AC249" t="s">
        <v>65</v>
      </c>
      <c r="AD249" t="s">
        <v>302</v>
      </c>
      <c r="AE249" t="s">
        <v>46</v>
      </c>
      <c r="AG249">
        <v>52</v>
      </c>
      <c r="AH249">
        <v>9</v>
      </c>
      <c r="AI249" t="s">
        <v>54</v>
      </c>
      <c r="AK249">
        <v>0</v>
      </c>
      <c r="AM249">
        <v>0</v>
      </c>
      <c r="AP249" t="s">
        <v>325</v>
      </c>
    </row>
    <row r="250" spans="1:42" customFormat="1">
      <c r="A250">
        <v>269409</v>
      </c>
      <c r="B250" t="s">
        <v>1653</v>
      </c>
      <c r="C250" t="s">
        <v>1654</v>
      </c>
      <c r="D250" s="22">
        <v>0</v>
      </c>
      <c r="E250" s="17">
        <v>42130</v>
      </c>
      <c r="F250" s="18">
        <v>0.41388888888888892</v>
      </c>
      <c r="G250" s="22">
        <v>1500</v>
      </c>
      <c r="H250">
        <v>0</v>
      </c>
      <c r="I250" s="19" t="e">
        <f>I249 + (D250-G250)</f>
        <v>#VALUE!</v>
      </c>
      <c r="M250">
        <v>114228</v>
      </c>
      <c r="N250">
        <v>24</v>
      </c>
      <c r="O250" t="s">
        <v>68</v>
      </c>
      <c r="P250">
        <v>1</v>
      </c>
      <c r="R250">
        <v>1450</v>
      </c>
      <c r="S250" s="17">
        <v>42136</v>
      </c>
      <c r="T250" s="17">
        <v>42136</v>
      </c>
      <c r="W250">
        <v>2015</v>
      </c>
      <c r="X250">
        <v>24</v>
      </c>
      <c r="AC250" t="s">
        <v>65</v>
      </c>
      <c r="AD250" t="s">
        <v>302</v>
      </c>
      <c r="AE250" t="s">
        <v>46</v>
      </c>
      <c r="AG250">
        <v>52</v>
      </c>
      <c r="AH250">
        <v>2</v>
      </c>
      <c r="AI250" t="s">
        <v>50</v>
      </c>
      <c r="AK250">
        <v>0</v>
      </c>
      <c r="AM250">
        <v>0</v>
      </c>
      <c r="AP250" t="s">
        <v>325</v>
      </c>
    </row>
    <row r="251" spans="1:42" customFormat="1">
      <c r="A251">
        <v>269410</v>
      </c>
      <c r="B251" t="s">
        <v>1655</v>
      </c>
      <c r="C251" t="s">
        <v>1656</v>
      </c>
      <c r="D251" s="22">
        <v>0</v>
      </c>
      <c r="E251" s="17">
        <v>42130</v>
      </c>
      <c r="F251" s="18">
        <v>0.41423611111111108</v>
      </c>
      <c r="G251" s="22">
        <v>14136</v>
      </c>
      <c r="H251">
        <v>0</v>
      </c>
      <c r="I251" s="19" t="e">
        <f>I250 + (D251-G251)</f>
        <v>#VALUE!</v>
      </c>
      <c r="M251">
        <v>114172</v>
      </c>
      <c r="N251">
        <v>24</v>
      </c>
      <c r="O251" t="s">
        <v>68</v>
      </c>
      <c r="P251">
        <v>1</v>
      </c>
      <c r="R251">
        <v>1450</v>
      </c>
      <c r="S251" s="17">
        <v>42136</v>
      </c>
      <c r="T251" s="17">
        <v>42136</v>
      </c>
      <c r="W251">
        <v>2015</v>
      </c>
      <c r="X251">
        <v>24</v>
      </c>
      <c r="AC251" t="s">
        <v>65</v>
      </c>
      <c r="AD251" t="s">
        <v>302</v>
      </c>
      <c r="AE251" t="s">
        <v>46</v>
      </c>
      <c r="AG251">
        <v>52</v>
      </c>
      <c r="AH251">
        <v>2</v>
      </c>
      <c r="AI251" t="s">
        <v>50</v>
      </c>
      <c r="AK251">
        <v>0</v>
      </c>
      <c r="AM251">
        <v>0</v>
      </c>
      <c r="AP251" t="s">
        <v>325</v>
      </c>
    </row>
    <row r="252" spans="1:42" customFormat="1">
      <c r="A252">
        <v>269412</v>
      </c>
      <c r="B252" t="s">
        <v>1657</v>
      </c>
      <c r="C252" t="s">
        <v>1658</v>
      </c>
      <c r="D252" s="22">
        <v>0</v>
      </c>
      <c r="E252" s="17">
        <v>42130</v>
      </c>
      <c r="F252" s="18">
        <v>0.41554398148148147</v>
      </c>
      <c r="G252" s="22">
        <v>11780</v>
      </c>
      <c r="H252">
        <v>0</v>
      </c>
      <c r="I252" s="19" t="e">
        <f>I251 + (D252-G252)</f>
        <v>#VALUE!</v>
      </c>
      <c r="M252">
        <v>114177</v>
      </c>
      <c r="N252">
        <v>24</v>
      </c>
      <c r="O252" t="s">
        <v>68</v>
      </c>
      <c r="P252">
        <v>1</v>
      </c>
      <c r="R252">
        <v>1450</v>
      </c>
      <c r="S252" s="17">
        <v>42136</v>
      </c>
      <c r="T252" s="17">
        <v>42136</v>
      </c>
      <c r="W252">
        <v>2015</v>
      </c>
      <c r="X252">
        <v>24</v>
      </c>
      <c r="AC252" t="s">
        <v>65</v>
      </c>
      <c r="AD252" t="s">
        <v>302</v>
      </c>
      <c r="AE252" t="s">
        <v>46</v>
      </c>
      <c r="AG252">
        <v>52</v>
      </c>
      <c r="AH252">
        <v>2</v>
      </c>
      <c r="AI252" t="s">
        <v>50</v>
      </c>
      <c r="AK252">
        <v>0</v>
      </c>
      <c r="AM252">
        <v>0</v>
      </c>
      <c r="AP252" t="s">
        <v>325</v>
      </c>
    </row>
    <row r="253" spans="1:42" customFormat="1">
      <c r="A253">
        <v>269414</v>
      </c>
      <c r="B253" t="s">
        <v>1659</v>
      </c>
      <c r="C253" t="s">
        <v>1660</v>
      </c>
      <c r="D253" s="22">
        <v>0</v>
      </c>
      <c r="E253" s="17">
        <v>42130</v>
      </c>
      <c r="F253" s="18">
        <v>0.41620370370370369</v>
      </c>
      <c r="G253" s="22">
        <v>11780</v>
      </c>
      <c r="H253">
        <v>0</v>
      </c>
      <c r="I253" s="19" t="e">
        <f>I252 + (D253-G253)</f>
        <v>#VALUE!</v>
      </c>
      <c r="M253">
        <v>114188</v>
      </c>
      <c r="N253">
        <v>24</v>
      </c>
      <c r="O253" t="s">
        <v>68</v>
      </c>
      <c r="P253">
        <v>1</v>
      </c>
      <c r="R253">
        <v>1450</v>
      </c>
      <c r="S253" s="17">
        <v>42136</v>
      </c>
      <c r="T253" s="17">
        <v>42136</v>
      </c>
      <c r="W253">
        <v>2015</v>
      </c>
      <c r="X253">
        <v>24</v>
      </c>
      <c r="AC253" t="s">
        <v>65</v>
      </c>
      <c r="AD253" t="s">
        <v>302</v>
      </c>
      <c r="AE253" t="s">
        <v>46</v>
      </c>
      <c r="AG253">
        <v>52</v>
      </c>
      <c r="AH253">
        <v>2</v>
      </c>
      <c r="AI253" t="s">
        <v>50</v>
      </c>
      <c r="AK253">
        <v>0</v>
      </c>
      <c r="AM253">
        <v>0</v>
      </c>
      <c r="AP253" t="s">
        <v>325</v>
      </c>
    </row>
    <row r="254" spans="1:42" customFormat="1">
      <c r="A254">
        <v>269415</v>
      </c>
      <c r="B254" t="s">
        <v>1661</v>
      </c>
      <c r="C254" t="s">
        <v>1662</v>
      </c>
      <c r="D254" s="22">
        <v>0</v>
      </c>
      <c r="E254" s="17">
        <v>42130</v>
      </c>
      <c r="F254" s="18">
        <v>0.41658564814814819</v>
      </c>
      <c r="G254" s="22">
        <v>7068</v>
      </c>
      <c r="H254">
        <v>0</v>
      </c>
      <c r="I254" s="19" t="e">
        <f>I253 + (D254-G254)</f>
        <v>#VALUE!</v>
      </c>
      <c r="M254">
        <v>114191</v>
      </c>
      <c r="N254">
        <v>24</v>
      </c>
      <c r="O254" t="s">
        <v>68</v>
      </c>
      <c r="P254">
        <v>1</v>
      </c>
      <c r="R254">
        <v>1450</v>
      </c>
      <c r="S254" s="17">
        <v>42136</v>
      </c>
      <c r="T254" s="17">
        <v>42136</v>
      </c>
      <c r="W254">
        <v>2015</v>
      </c>
      <c r="X254">
        <v>24</v>
      </c>
      <c r="AC254" t="s">
        <v>65</v>
      </c>
      <c r="AD254" t="s">
        <v>302</v>
      </c>
      <c r="AE254" t="s">
        <v>46</v>
      </c>
      <c r="AG254">
        <v>52</v>
      </c>
      <c r="AH254">
        <v>2</v>
      </c>
      <c r="AI254" t="s">
        <v>50</v>
      </c>
      <c r="AK254">
        <v>0</v>
      </c>
      <c r="AM254">
        <v>0</v>
      </c>
      <c r="AP254" t="s">
        <v>325</v>
      </c>
    </row>
    <row r="255" spans="1:42" customFormat="1">
      <c r="A255">
        <v>269865</v>
      </c>
      <c r="B255" t="s">
        <v>1919</v>
      </c>
      <c r="C255" t="s">
        <v>1920</v>
      </c>
      <c r="D255" s="22">
        <v>0</v>
      </c>
      <c r="E255" s="17">
        <v>42131</v>
      </c>
      <c r="F255" s="18">
        <v>0.35490740740740739</v>
      </c>
      <c r="G255" s="22">
        <v>1125</v>
      </c>
      <c r="H255">
        <v>0</v>
      </c>
      <c r="I255" s="19" t="e">
        <f>I254 + (D255-G255)</f>
        <v>#VALUE!</v>
      </c>
      <c r="M255">
        <v>110021</v>
      </c>
      <c r="N255">
        <v>7</v>
      </c>
      <c r="O255" t="s">
        <v>44</v>
      </c>
      <c r="P255">
        <v>1</v>
      </c>
      <c r="R255">
        <v>1450</v>
      </c>
      <c r="S255" s="17">
        <v>42138</v>
      </c>
      <c r="T255" s="17">
        <v>42138</v>
      </c>
      <c r="W255">
        <v>2015</v>
      </c>
      <c r="X255">
        <v>7</v>
      </c>
      <c r="AC255" t="s">
        <v>65</v>
      </c>
      <c r="AD255" t="s">
        <v>302</v>
      </c>
      <c r="AE255" t="s">
        <v>46</v>
      </c>
      <c r="AG255">
        <v>52</v>
      </c>
      <c r="AH255">
        <v>9</v>
      </c>
      <c r="AI255" t="s">
        <v>54</v>
      </c>
      <c r="AK255">
        <v>0</v>
      </c>
      <c r="AM255">
        <v>0</v>
      </c>
      <c r="AP255" t="s">
        <v>325</v>
      </c>
    </row>
    <row r="256" spans="1:42" customFormat="1">
      <c r="A256">
        <v>269867</v>
      </c>
      <c r="B256" t="s">
        <v>1921</v>
      </c>
      <c r="C256" t="s">
        <v>1922</v>
      </c>
      <c r="D256" s="22">
        <v>0</v>
      </c>
      <c r="E256" s="17">
        <v>42131</v>
      </c>
      <c r="F256" s="18">
        <v>0.35525462962962967</v>
      </c>
      <c r="G256" s="22">
        <v>2000</v>
      </c>
      <c r="H256">
        <v>0</v>
      </c>
      <c r="I256" s="19" t="e">
        <f>I255 + (D256-G256)</f>
        <v>#VALUE!</v>
      </c>
      <c r="M256">
        <v>110009</v>
      </c>
      <c r="N256">
        <v>7</v>
      </c>
      <c r="O256" t="s">
        <v>44</v>
      </c>
      <c r="P256">
        <v>1</v>
      </c>
      <c r="R256">
        <v>1450</v>
      </c>
      <c r="S256" s="17">
        <v>42138</v>
      </c>
      <c r="T256" s="17">
        <v>42138</v>
      </c>
      <c r="W256">
        <v>2015</v>
      </c>
      <c r="X256">
        <v>7</v>
      </c>
      <c r="AC256" t="s">
        <v>65</v>
      </c>
      <c r="AD256" t="s">
        <v>302</v>
      </c>
      <c r="AE256" t="s">
        <v>46</v>
      </c>
      <c r="AG256">
        <v>52</v>
      </c>
      <c r="AH256">
        <v>9</v>
      </c>
      <c r="AI256" t="s">
        <v>54</v>
      </c>
      <c r="AK256">
        <v>0</v>
      </c>
      <c r="AM256">
        <v>0</v>
      </c>
      <c r="AP256" t="s">
        <v>325</v>
      </c>
    </row>
    <row r="257" spans="1:42" customFormat="1">
      <c r="A257">
        <v>269868</v>
      </c>
      <c r="B257" t="s">
        <v>2059</v>
      </c>
      <c r="C257" t="s">
        <v>2060</v>
      </c>
      <c r="D257" s="22">
        <v>0</v>
      </c>
      <c r="E257" s="17">
        <v>42132</v>
      </c>
      <c r="F257" s="18">
        <v>0.35569444444444448</v>
      </c>
      <c r="G257" s="22">
        <v>3000</v>
      </c>
      <c r="H257">
        <v>0</v>
      </c>
      <c r="I257" s="19" t="e">
        <f>I256 + (D257-G257)</f>
        <v>#VALUE!</v>
      </c>
      <c r="M257">
        <v>110086</v>
      </c>
      <c r="N257">
        <v>7</v>
      </c>
      <c r="O257" t="s">
        <v>44</v>
      </c>
      <c r="P257">
        <v>1</v>
      </c>
      <c r="R257">
        <v>1450</v>
      </c>
      <c r="S257" s="17">
        <v>42138</v>
      </c>
      <c r="T257" s="17">
        <v>42138</v>
      </c>
      <c r="W257">
        <v>2015</v>
      </c>
      <c r="X257">
        <v>7</v>
      </c>
      <c r="AC257" t="s">
        <v>65</v>
      </c>
      <c r="AD257" t="s">
        <v>302</v>
      </c>
      <c r="AE257" t="s">
        <v>46</v>
      </c>
      <c r="AG257">
        <v>52</v>
      </c>
      <c r="AH257">
        <v>9</v>
      </c>
      <c r="AI257" t="s">
        <v>54</v>
      </c>
      <c r="AK257">
        <v>0</v>
      </c>
      <c r="AM257">
        <v>0</v>
      </c>
      <c r="AP257" t="s">
        <v>325</v>
      </c>
    </row>
    <row r="258" spans="1:42" customFormat="1">
      <c r="A258">
        <v>269869</v>
      </c>
      <c r="B258" t="s">
        <v>2061</v>
      </c>
      <c r="C258" t="s">
        <v>2062</v>
      </c>
      <c r="D258" s="22">
        <v>0</v>
      </c>
      <c r="E258" s="17">
        <v>42132</v>
      </c>
      <c r="F258" s="18">
        <v>0.35583333333333328</v>
      </c>
      <c r="G258" s="22">
        <v>5500</v>
      </c>
      <c r="H258">
        <v>0</v>
      </c>
      <c r="I258" s="19" t="e">
        <f>I257 + (D258-G258)</f>
        <v>#VALUE!</v>
      </c>
      <c r="M258">
        <v>109997</v>
      </c>
      <c r="N258">
        <v>7</v>
      </c>
      <c r="O258" t="s">
        <v>44</v>
      </c>
      <c r="P258">
        <v>1</v>
      </c>
      <c r="R258">
        <v>1450</v>
      </c>
      <c r="S258" s="17">
        <v>42138</v>
      </c>
      <c r="T258" s="17">
        <v>42138</v>
      </c>
      <c r="W258">
        <v>2015</v>
      </c>
      <c r="X258">
        <v>7</v>
      </c>
      <c r="AC258" t="s">
        <v>65</v>
      </c>
      <c r="AD258" t="s">
        <v>302</v>
      </c>
      <c r="AE258" t="s">
        <v>46</v>
      </c>
      <c r="AG258">
        <v>52</v>
      </c>
      <c r="AH258">
        <v>9</v>
      </c>
      <c r="AI258" t="s">
        <v>54</v>
      </c>
      <c r="AK258">
        <v>0</v>
      </c>
      <c r="AM258">
        <v>0</v>
      </c>
      <c r="AP258" t="s">
        <v>325</v>
      </c>
    </row>
    <row r="259" spans="1:42" customFormat="1">
      <c r="A259">
        <v>269870</v>
      </c>
      <c r="B259" t="s">
        <v>2063</v>
      </c>
      <c r="C259" t="s">
        <v>2064</v>
      </c>
      <c r="D259" s="22">
        <v>0</v>
      </c>
      <c r="E259" s="17">
        <v>42132</v>
      </c>
      <c r="F259" s="18">
        <v>0.35603009259259261</v>
      </c>
      <c r="G259" s="22">
        <v>390</v>
      </c>
      <c r="H259">
        <v>0</v>
      </c>
      <c r="I259" s="19" t="e">
        <f>I258 + (D259-G259)</f>
        <v>#VALUE!</v>
      </c>
      <c r="M259">
        <v>109937</v>
      </c>
      <c r="N259">
        <v>7</v>
      </c>
      <c r="O259" t="s">
        <v>44</v>
      </c>
      <c r="P259">
        <v>1</v>
      </c>
      <c r="R259">
        <v>1450</v>
      </c>
      <c r="S259" s="17">
        <v>42138</v>
      </c>
      <c r="T259" s="17">
        <v>42138</v>
      </c>
      <c r="W259">
        <v>2015</v>
      </c>
      <c r="X259">
        <v>7</v>
      </c>
      <c r="AC259" t="s">
        <v>65</v>
      </c>
      <c r="AD259" t="s">
        <v>302</v>
      </c>
      <c r="AE259" t="s">
        <v>46</v>
      </c>
      <c r="AG259">
        <v>52</v>
      </c>
      <c r="AH259">
        <v>9</v>
      </c>
      <c r="AI259" t="s">
        <v>54</v>
      </c>
      <c r="AK259">
        <v>0</v>
      </c>
      <c r="AM259">
        <v>0</v>
      </c>
      <c r="AP259" t="s">
        <v>325</v>
      </c>
    </row>
    <row r="260" spans="1:42" customFormat="1">
      <c r="A260">
        <v>269871</v>
      </c>
      <c r="B260" t="s">
        <v>2065</v>
      </c>
      <c r="C260" t="s">
        <v>2066</v>
      </c>
      <c r="D260" s="22">
        <v>0</v>
      </c>
      <c r="E260" s="17">
        <v>42132</v>
      </c>
      <c r="F260" s="18">
        <v>0.35715277777777782</v>
      </c>
      <c r="G260" s="22">
        <v>500</v>
      </c>
      <c r="H260">
        <v>0</v>
      </c>
      <c r="I260" s="19" t="e">
        <f>I259 + (D260-G260)</f>
        <v>#VALUE!</v>
      </c>
      <c r="M260">
        <v>110847</v>
      </c>
      <c r="N260">
        <v>7</v>
      </c>
      <c r="O260" t="s">
        <v>44</v>
      </c>
      <c r="P260">
        <v>1</v>
      </c>
      <c r="R260">
        <v>1450</v>
      </c>
      <c r="S260" s="17">
        <v>42138</v>
      </c>
      <c r="T260" s="17">
        <v>42138</v>
      </c>
      <c r="W260">
        <v>2015</v>
      </c>
      <c r="X260">
        <v>7</v>
      </c>
      <c r="AC260" t="s">
        <v>65</v>
      </c>
      <c r="AD260" t="s">
        <v>302</v>
      </c>
      <c r="AE260" t="s">
        <v>46</v>
      </c>
      <c r="AG260">
        <v>52</v>
      </c>
      <c r="AH260">
        <v>9</v>
      </c>
      <c r="AI260" t="s">
        <v>54</v>
      </c>
      <c r="AK260">
        <v>0</v>
      </c>
      <c r="AM260">
        <v>0</v>
      </c>
      <c r="AP260" t="s">
        <v>325</v>
      </c>
    </row>
    <row r="261" spans="1:42" customFormat="1">
      <c r="A261">
        <v>269496</v>
      </c>
      <c r="B261" t="s">
        <v>2174</v>
      </c>
      <c r="C261" t="s">
        <v>2175</v>
      </c>
      <c r="D261" s="22">
        <v>0</v>
      </c>
      <c r="E261" s="17">
        <v>42132</v>
      </c>
      <c r="F261" s="18">
        <v>0.44550925925925927</v>
      </c>
      <c r="G261" s="22">
        <v>14000</v>
      </c>
      <c r="H261">
        <v>0</v>
      </c>
      <c r="I261" s="19" t="e">
        <f>I260 + (D261-G261)</f>
        <v>#VALUE!</v>
      </c>
      <c r="M261">
        <v>51839</v>
      </c>
      <c r="N261">
        <v>24</v>
      </c>
      <c r="O261" t="s">
        <v>68</v>
      </c>
      <c r="P261">
        <v>1</v>
      </c>
      <c r="R261">
        <v>1450</v>
      </c>
      <c r="S261" s="17">
        <v>42136</v>
      </c>
      <c r="T261" s="17">
        <v>42136</v>
      </c>
      <c r="W261">
        <v>2015</v>
      </c>
      <c r="X261">
        <v>24</v>
      </c>
      <c r="AC261" t="s">
        <v>65</v>
      </c>
      <c r="AD261" t="s">
        <v>302</v>
      </c>
      <c r="AE261" t="s">
        <v>46</v>
      </c>
      <c r="AG261">
        <v>52</v>
      </c>
      <c r="AH261">
        <v>2</v>
      </c>
      <c r="AI261" t="s">
        <v>50</v>
      </c>
      <c r="AK261">
        <v>0</v>
      </c>
      <c r="AM261">
        <v>0</v>
      </c>
      <c r="AP261" t="s">
        <v>325</v>
      </c>
    </row>
    <row r="262" spans="1:42" customFormat="1">
      <c r="A262">
        <v>269497</v>
      </c>
      <c r="B262" t="s">
        <v>2176</v>
      </c>
      <c r="C262" t="s">
        <v>2177</v>
      </c>
      <c r="D262" s="22">
        <v>0</v>
      </c>
      <c r="E262" s="17">
        <v>42132</v>
      </c>
      <c r="F262" s="18">
        <v>0.44567129629629632</v>
      </c>
      <c r="G262" s="22">
        <v>10000</v>
      </c>
      <c r="H262">
        <v>0</v>
      </c>
      <c r="I262" s="19" t="e">
        <f>I261 + (D262-G262)</f>
        <v>#VALUE!</v>
      </c>
      <c r="M262">
        <v>114234</v>
      </c>
      <c r="N262">
        <v>24</v>
      </c>
      <c r="O262" t="s">
        <v>68</v>
      </c>
      <c r="P262">
        <v>1</v>
      </c>
      <c r="R262">
        <v>1450</v>
      </c>
      <c r="S262" s="17">
        <v>42136</v>
      </c>
      <c r="T262" s="17">
        <v>42136</v>
      </c>
      <c r="W262">
        <v>2015</v>
      </c>
      <c r="X262">
        <v>24</v>
      </c>
      <c r="AC262" t="s">
        <v>65</v>
      </c>
      <c r="AD262" t="s">
        <v>302</v>
      </c>
      <c r="AE262" t="s">
        <v>46</v>
      </c>
      <c r="AG262">
        <v>52</v>
      </c>
      <c r="AH262">
        <v>2</v>
      </c>
      <c r="AI262" t="s">
        <v>50</v>
      </c>
      <c r="AK262">
        <v>0</v>
      </c>
      <c r="AM262">
        <v>0</v>
      </c>
      <c r="AP262" t="s">
        <v>325</v>
      </c>
    </row>
    <row r="263" spans="1:42" customFormat="1">
      <c r="A263">
        <v>269498</v>
      </c>
      <c r="B263" t="s">
        <v>2178</v>
      </c>
      <c r="C263" t="s">
        <v>2179</v>
      </c>
      <c r="D263" s="22">
        <v>0</v>
      </c>
      <c r="E263" s="17">
        <v>42132</v>
      </c>
      <c r="F263" s="18">
        <v>0.4458449074074074</v>
      </c>
      <c r="G263" s="22">
        <v>2592</v>
      </c>
      <c r="H263">
        <v>0</v>
      </c>
      <c r="I263" s="19" t="e">
        <f>I262 + (D263-G263)</f>
        <v>#VALUE!</v>
      </c>
      <c r="M263">
        <v>114166</v>
      </c>
      <c r="N263">
        <v>24</v>
      </c>
      <c r="O263" t="s">
        <v>68</v>
      </c>
      <c r="P263">
        <v>1</v>
      </c>
      <c r="R263">
        <v>1450</v>
      </c>
      <c r="S263" s="17">
        <v>42136</v>
      </c>
      <c r="T263" s="17">
        <v>42136</v>
      </c>
      <c r="W263">
        <v>2015</v>
      </c>
      <c r="X263">
        <v>24</v>
      </c>
      <c r="AC263" t="s">
        <v>65</v>
      </c>
      <c r="AD263" t="s">
        <v>302</v>
      </c>
      <c r="AE263" t="s">
        <v>46</v>
      </c>
      <c r="AG263">
        <v>52</v>
      </c>
      <c r="AH263">
        <v>2</v>
      </c>
      <c r="AI263" t="s">
        <v>50</v>
      </c>
      <c r="AK263">
        <v>0</v>
      </c>
      <c r="AM263">
        <v>0</v>
      </c>
      <c r="AP263" t="s">
        <v>325</v>
      </c>
    </row>
    <row r="264" spans="1:42" customFormat="1">
      <c r="A264">
        <v>269751</v>
      </c>
      <c r="B264" t="s">
        <v>2522</v>
      </c>
      <c r="C264" t="s">
        <v>2523</v>
      </c>
      <c r="D264" s="22">
        <v>0</v>
      </c>
      <c r="E264" s="17">
        <v>42135</v>
      </c>
      <c r="F264" s="18">
        <v>0.4448611111111111</v>
      </c>
      <c r="G264" s="22">
        <v>510</v>
      </c>
      <c r="H264">
        <v>0</v>
      </c>
      <c r="I264" s="19" t="e">
        <f>I263 + (D264-G264)</f>
        <v>#VALUE!</v>
      </c>
      <c r="M264">
        <v>110883</v>
      </c>
      <c r="N264">
        <v>24</v>
      </c>
      <c r="O264" t="s">
        <v>68</v>
      </c>
      <c r="P264">
        <v>2</v>
      </c>
      <c r="R264">
        <v>1450</v>
      </c>
      <c r="S264" s="17">
        <v>42137</v>
      </c>
      <c r="T264" s="17">
        <v>42137</v>
      </c>
      <c r="W264">
        <v>2015</v>
      </c>
      <c r="X264">
        <v>24</v>
      </c>
      <c r="AC264" t="s">
        <v>65</v>
      </c>
      <c r="AD264" t="s">
        <v>302</v>
      </c>
      <c r="AE264" t="s">
        <v>46</v>
      </c>
      <c r="AG264">
        <v>4</v>
      </c>
      <c r="AH264">
        <v>8</v>
      </c>
      <c r="AI264" t="s">
        <v>52</v>
      </c>
      <c r="AK264">
        <v>0</v>
      </c>
      <c r="AM264">
        <v>0</v>
      </c>
      <c r="AP264" t="s">
        <v>389</v>
      </c>
    </row>
    <row r="265" spans="1:42" customFormat="1">
      <c r="A265">
        <v>269752</v>
      </c>
      <c r="B265" t="s">
        <v>2524</v>
      </c>
      <c r="C265" t="s">
        <v>2525</v>
      </c>
      <c r="D265" s="22">
        <v>0</v>
      </c>
      <c r="E265" s="17">
        <v>42135</v>
      </c>
      <c r="F265" s="18">
        <v>0.44662037037037039</v>
      </c>
      <c r="G265" s="22">
        <v>240</v>
      </c>
      <c r="H265">
        <v>0</v>
      </c>
      <c r="I265" s="19" t="e">
        <f>I264 + (D265-G265)</f>
        <v>#VALUE!</v>
      </c>
      <c r="M265">
        <v>110859</v>
      </c>
      <c r="N265">
        <v>24</v>
      </c>
      <c r="O265" t="s">
        <v>68</v>
      </c>
      <c r="P265">
        <v>1</v>
      </c>
      <c r="R265">
        <v>1450</v>
      </c>
      <c r="S265" s="17">
        <v>42137</v>
      </c>
      <c r="T265" s="17">
        <v>42137</v>
      </c>
      <c r="W265">
        <v>2015</v>
      </c>
      <c r="X265">
        <v>24</v>
      </c>
      <c r="AC265" t="s">
        <v>65</v>
      </c>
      <c r="AD265" t="s">
        <v>302</v>
      </c>
      <c r="AE265" t="s">
        <v>46</v>
      </c>
      <c r="AG265">
        <v>4</v>
      </c>
      <c r="AH265">
        <v>8</v>
      </c>
      <c r="AI265" t="s">
        <v>52</v>
      </c>
      <c r="AK265">
        <v>0</v>
      </c>
      <c r="AM265">
        <v>0</v>
      </c>
      <c r="AP265" t="s">
        <v>389</v>
      </c>
    </row>
    <row r="266" spans="1:42" customFormat="1">
      <c r="A266">
        <v>270070</v>
      </c>
      <c r="B266" t="s">
        <v>2735</v>
      </c>
      <c r="C266" t="s">
        <v>2736</v>
      </c>
      <c r="D266" s="22">
        <v>0</v>
      </c>
      <c r="E266" s="17">
        <v>42135</v>
      </c>
      <c r="F266" s="18">
        <v>0.68273148148148144</v>
      </c>
      <c r="G266" s="22">
        <v>3750</v>
      </c>
      <c r="H266">
        <v>0</v>
      </c>
      <c r="I266" s="19" t="e">
        <f>I265 + (D266-G266)</f>
        <v>#VALUE!</v>
      </c>
      <c r="M266">
        <v>103016</v>
      </c>
      <c r="N266">
        <v>24</v>
      </c>
      <c r="O266" t="s">
        <v>68</v>
      </c>
      <c r="P266">
        <v>1</v>
      </c>
      <c r="R266">
        <v>1450</v>
      </c>
      <c r="S266" s="17">
        <v>42139</v>
      </c>
      <c r="T266" s="17">
        <v>42139</v>
      </c>
      <c r="W266">
        <v>2015</v>
      </c>
      <c r="X266">
        <v>24</v>
      </c>
      <c r="AC266" t="s">
        <v>65</v>
      </c>
      <c r="AD266" t="s">
        <v>302</v>
      </c>
      <c r="AE266" t="s">
        <v>46</v>
      </c>
      <c r="AG266">
        <v>52</v>
      </c>
      <c r="AH266">
        <v>2</v>
      </c>
      <c r="AI266" t="s">
        <v>50</v>
      </c>
      <c r="AK266">
        <v>0</v>
      </c>
      <c r="AM266">
        <v>0</v>
      </c>
      <c r="AP266" t="s">
        <v>325</v>
      </c>
    </row>
    <row r="267" spans="1:42" customFormat="1">
      <c r="A267">
        <v>270071</v>
      </c>
      <c r="B267" t="s">
        <v>2737</v>
      </c>
      <c r="C267" t="s">
        <v>2738</v>
      </c>
      <c r="D267" s="22">
        <v>0</v>
      </c>
      <c r="E267" s="17">
        <v>42135</v>
      </c>
      <c r="F267" s="18">
        <v>0.68291666666666673</v>
      </c>
      <c r="G267" s="22">
        <v>32000</v>
      </c>
      <c r="H267">
        <v>0</v>
      </c>
      <c r="I267" s="19" t="e">
        <f>I266 + (D267-G267)</f>
        <v>#VALUE!</v>
      </c>
      <c r="M267">
        <v>111005</v>
      </c>
      <c r="N267">
        <v>24</v>
      </c>
      <c r="O267" t="s">
        <v>68</v>
      </c>
      <c r="P267">
        <v>1</v>
      </c>
      <c r="R267">
        <v>1450</v>
      </c>
      <c r="S267" s="17">
        <v>42139</v>
      </c>
      <c r="T267" s="17">
        <v>42139</v>
      </c>
      <c r="W267">
        <v>2015</v>
      </c>
      <c r="X267">
        <v>24</v>
      </c>
      <c r="AC267" t="s">
        <v>65</v>
      </c>
      <c r="AD267" t="s">
        <v>302</v>
      </c>
      <c r="AE267" t="s">
        <v>46</v>
      </c>
      <c r="AG267">
        <v>52</v>
      </c>
      <c r="AH267">
        <v>2</v>
      </c>
      <c r="AI267" t="s">
        <v>50</v>
      </c>
      <c r="AK267">
        <v>0</v>
      </c>
      <c r="AM267">
        <v>0</v>
      </c>
      <c r="AP267" t="s">
        <v>325</v>
      </c>
    </row>
    <row r="268" spans="1:42" customFormat="1">
      <c r="A268">
        <v>270074</v>
      </c>
      <c r="B268" t="s">
        <v>2743</v>
      </c>
      <c r="C268" t="s">
        <v>2744</v>
      </c>
      <c r="D268" s="22">
        <v>0</v>
      </c>
      <c r="E268" s="17">
        <v>42135</v>
      </c>
      <c r="F268" s="18">
        <v>0.68356481481481479</v>
      </c>
      <c r="G268" s="22">
        <v>300</v>
      </c>
      <c r="H268">
        <v>0</v>
      </c>
      <c r="I268" s="19" t="e">
        <f>I267 + (D268-G268)</f>
        <v>#VALUE!</v>
      </c>
      <c r="M268">
        <v>119853</v>
      </c>
      <c r="N268">
        <v>24</v>
      </c>
      <c r="O268" t="s">
        <v>68</v>
      </c>
      <c r="P268">
        <v>1</v>
      </c>
      <c r="R268">
        <v>1450</v>
      </c>
      <c r="S268" s="17">
        <v>42139</v>
      </c>
      <c r="T268" s="17">
        <v>42139</v>
      </c>
      <c r="W268">
        <v>2015</v>
      </c>
      <c r="X268">
        <v>24</v>
      </c>
      <c r="AC268" t="s">
        <v>65</v>
      </c>
      <c r="AD268" t="s">
        <v>302</v>
      </c>
      <c r="AE268" t="s">
        <v>46</v>
      </c>
      <c r="AG268">
        <v>52</v>
      </c>
      <c r="AH268">
        <v>2</v>
      </c>
      <c r="AI268" t="s">
        <v>50</v>
      </c>
      <c r="AK268">
        <v>0</v>
      </c>
      <c r="AM268">
        <v>0</v>
      </c>
      <c r="AP268" t="s">
        <v>325</v>
      </c>
    </row>
    <row r="269" spans="1:42" customFormat="1">
      <c r="A269">
        <v>270111</v>
      </c>
      <c r="B269" t="s">
        <v>2818</v>
      </c>
      <c r="C269" t="s">
        <v>2819</v>
      </c>
      <c r="D269" s="22">
        <v>0</v>
      </c>
      <c r="E269" s="17">
        <v>42135</v>
      </c>
      <c r="F269" s="18">
        <v>0.69686342592592598</v>
      </c>
      <c r="G269" s="22">
        <v>2100</v>
      </c>
      <c r="H269">
        <v>0</v>
      </c>
      <c r="I269" s="19" t="e">
        <f>I268 + (D269-G269)</f>
        <v>#VALUE!</v>
      </c>
      <c r="M269">
        <v>123222</v>
      </c>
      <c r="N269">
        <v>24</v>
      </c>
      <c r="O269" t="s">
        <v>68</v>
      </c>
      <c r="P269">
        <v>1</v>
      </c>
      <c r="R269">
        <v>1450</v>
      </c>
      <c r="S269" s="17">
        <v>42139</v>
      </c>
      <c r="T269" s="17">
        <v>42139</v>
      </c>
      <c r="W269">
        <v>2015</v>
      </c>
      <c r="X269">
        <v>24</v>
      </c>
      <c r="AC269" t="s">
        <v>65</v>
      </c>
      <c r="AD269" t="s">
        <v>302</v>
      </c>
      <c r="AE269" t="s">
        <v>46</v>
      </c>
      <c r="AG269">
        <v>52</v>
      </c>
      <c r="AH269">
        <v>2</v>
      </c>
      <c r="AI269" t="s">
        <v>50</v>
      </c>
      <c r="AK269">
        <v>0</v>
      </c>
      <c r="AM269">
        <v>0</v>
      </c>
      <c r="AP269" t="s">
        <v>325</v>
      </c>
    </row>
    <row r="270" spans="1:42" customFormat="1">
      <c r="A270">
        <v>270112</v>
      </c>
      <c r="B270" t="s">
        <v>2820</v>
      </c>
      <c r="C270" t="s">
        <v>2821</v>
      </c>
      <c r="D270" s="22">
        <v>0</v>
      </c>
      <c r="E270" s="17">
        <v>42135</v>
      </c>
      <c r="F270" s="18">
        <v>0.69703703703703701</v>
      </c>
      <c r="G270" s="22">
        <v>1200</v>
      </c>
      <c r="H270">
        <v>0</v>
      </c>
      <c r="I270" s="19" t="e">
        <f>I269 + (D270-G270)</f>
        <v>#VALUE!</v>
      </c>
      <c r="M270">
        <v>110056</v>
      </c>
      <c r="N270">
        <v>24</v>
      </c>
      <c r="O270" t="s">
        <v>68</v>
      </c>
      <c r="P270">
        <v>1</v>
      </c>
      <c r="R270">
        <v>1450</v>
      </c>
      <c r="S270" s="17">
        <v>42139</v>
      </c>
      <c r="T270" s="17">
        <v>42139</v>
      </c>
      <c r="W270">
        <v>2015</v>
      </c>
      <c r="X270">
        <v>24</v>
      </c>
      <c r="AC270" t="s">
        <v>65</v>
      </c>
      <c r="AD270" t="s">
        <v>302</v>
      </c>
      <c r="AE270" t="s">
        <v>46</v>
      </c>
      <c r="AG270">
        <v>52</v>
      </c>
      <c r="AH270">
        <v>2</v>
      </c>
      <c r="AI270" t="s">
        <v>50</v>
      </c>
      <c r="AK270">
        <v>0</v>
      </c>
      <c r="AM270">
        <v>0</v>
      </c>
      <c r="AP270" t="s">
        <v>325</v>
      </c>
    </row>
    <row r="271" spans="1:42" customFormat="1">
      <c r="A271">
        <v>270147</v>
      </c>
      <c r="B271" t="s">
        <v>2851</v>
      </c>
      <c r="C271" t="s">
        <v>2852</v>
      </c>
      <c r="D271" s="22">
        <v>0</v>
      </c>
      <c r="E271" s="17">
        <v>42136</v>
      </c>
      <c r="F271" s="18">
        <v>0.37995370370370374</v>
      </c>
      <c r="G271" s="22">
        <v>1560</v>
      </c>
      <c r="H271">
        <v>0</v>
      </c>
      <c r="I271" s="19" t="e">
        <f>I270 + (D271-G271)</f>
        <v>#VALUE!</v>
      </c>
      <c r="M271">
        <v>116500</v>
      </c>
      <c r="N271">
        <v>24</v>
      </c>
      <c r="O271" t="s">
        <v>68</v>
      </c>
      <c r="P271">
        <v>1</v>
      </c>
      <c r="R271">
        <v>1450</v>
      </c>
      <c r="S271" s="17">
        <v>42142</v>
      </c>
      <c r="T271" s="17">
        <v>42142</v>
      </c>
      <c r="W271">
        <v>2015</v>
      </c>
      <c r="X271">
        <v>24</v>
      </c>
      <c r="AC271" t="s">
        <v>65</v>
      </c>
      <c r="AD271" t="s">
        <v>302</v>
      </c>
      <c r="AE271" t="s">
        <v>46</v>
      </c>
      <c r="AG271">
        <v>52</v>
      </c>
      <c r="AH271">
        <v>2</v>
      </c>
      <c r="AI271" t="s">
        <v>50</v>
      </c>
      <c r="AK271">
        <v>0</v>
      </c>
      <c r="AM271">
        <v>0</v>
      </c>
      <c r="AP271" t="s">
        <v>325</v>
      </c>
    </row>
    <row r="272" spans="1:42" customFormat="1">
      <c r="A272">
        <v>270396</v>
      </c>
      <c r="B272" t="s">
        <v>2892</v>
      </c>
      <c r="C272" t="s">
        <v>2893</v>
      </c>
      <c r="D272" s="22">
        <v>0</v>
      </c>
      <c r="E272" s="17">
        <v>42136</v>
      </c>
      <c r="F272" s="18">
        <v>0.44429398148148147</v>
      </c>
      <c r="G272" s="22">
        <v>4800</v>
      </c>
      <c r="H272">
        <v>0</v>
      </c>
      <c r="I272" s="19" t="e">
        <f>I271 + (D272-G272)</f>
        <v>#VALUE!</v>
      </c>
      <c r="M272">
        <v>116510</v>
      </c>
      <c r="N272">
        <v>24</v>
      </c>
      <c r="O272" t="s">
        <v>68</v>
      </c>
      <c r="P272">
        <v>1</v>
      </c>
      <c r="R272">
        <v>1450</v>
      </c>
      <c r="S272" s="17">
        <v>42144</v>
      </c>
      <c r="T272" s="17">
        <v>42144</v>
      </c>
      <c r="W272">
        <v>2015</v>
      </c>
      <c r="X272">
        <v>24</v>
      </c>
      <c r="AC272" t="s">
        <v>65</v>
      </c>
      <c r="AD272" t="s">
        <v>302</v>
      </c>
      <c r="AE272" t="s">
        <v>46</v>
      </c>
      <c r="AG272">
        <v>52</v>
      </c>
      <c r="AH272">
        <v>2</v>
      </c>
      <c r="AI272" t="s">
        <v>50</v>
      </c>
      <c r="AK272">
        <v>0</v>
      </c>
      <c r="AM272">
        <v>0</v>
      </c>
      <c r="AP272" t="s">
        <v>325</v>
      </c>
    </row>
    <row r="273" spans="1:42" customFormat="1">
      <c r="A273">
        <v>270397</v>
      </c>
      <c r="B273" t="s">
        <v>2894</v>
      </c>
      <c r="C273" t="s">
        <v>2895</v>
      </c>
      <c r="D273" s="22">
        <v>0</v>
      </c>
      <c r="E273" s="17">
        <v>42136</v>
      </c>
      <c r="F273" s="18">
        <v>0.44489583333333332</v>
      </c>
      <c r="G273" s="22">
        <v>4590</v>
      </c>
      <c r="H273">
        <v>0</v>
      </c>
      <c r="I273" s="19" t="e">
        <f>I272 + (D273-G273)</f>
        <v>#VALUE!</v>
      </c>
      <c r="M273">
        <v>123526</v>
      </c>
      <c r="N273">
        <v>24</v>
      </c>
      <c r="O273" t="s">
        <v>68</v>
      </c>
      <c r="P273">
        <v>1</v>
      </c>
      <c r="R273">
        <v>1450</v>
      </c>
      <c r="S273" s="17">
        <v>42144</v>
      </c>
      <c r="T273" s="17">
        <v>42144</v>
      </c>
      <c r="W273">
        <v>2015</v>
      </c>
      <c r="X273">
        <v>24</v>
      </c>
      <c r="AC273" t="s">
        <v>65</v>
      </c>
      <c r="AD273" t="s">
        <v>302</v>
      </c>
      <c r="AE273" t="s">
        <v>46</v>
      </c>
      <c r="AG273">
        <v>52</v>
      </c>
      <c r="AH273">
        <v>2</v>
      </c>
      <c r="AI273" t="s">
        <v>50</v>
      </c>
      <c r="AK273">
        <v>0</v>
      </c>
      <c r="AM273">
        <v>0</v>
      </c>
      <c r="AP273" t="s">
        <v>325</v>
      </c>
    </row>
    <row r="274" spans="1:42" customFormat="1">
      <c r="A274">
        <v>270398</v>
      </c>
      <c r="B274" t="s">
        <v>2896</v>
      </c>
      <c r="C274" t="s">
        <v>2897</v>
      </c>
      <c r="D274" s="22">
        <v>0</v>
      </c>
      <c r="E274" s="17">
        <v>42136</v>
      </c>
      <c r="F274" s="18">
        <v>0.44541666666666663</v>
      </c>
      <c r="G274" s="22">
        <v>1500</v>
      </c>
      <c r="H274">
        <v>0</v>
      </c>
      <c r="I274" s="19" t="e">
        <f>I273 + (D274-G274)</f>
        <v>#VALUE!</v>
      </c>
      <c r="M274">
        <v>110101</v>
      </c>
      <c r="N274">
        <v>24</v>
      </c>
      <c r="O274" t="s">
        <v>68</v>
      </c>
      <c r="P274">
        <v>1</v>
      </c>
      <c r="R274">
        <v>1450</v>
      </c>
      <c r="S274" s="17">
        <v>42144</v>
      </c>
      <c r="T274" s="17">
        <v>42144</v>
      </c>
      <c r="W274">
        <v>2015</v>
      </c>
      <c r="X274">
        <v>24</v>
      </c>
      <c r="AC274" t="s">
        <v>65</v>
      </c>
      <c r="AD274" t="s">
        <v>302</v>
      </c>
      <c r="AE274" t="s">
        <v>46</v>
      </c>
      <c r="AG274">
        <v>52</v>
      </c>
      <c r="AH274">
        <v>2</v>
      </c>
      <c r="AI274" t="s">
        <v>50</v>
      </c>
      <c r="AK274">
        <v>0</v>
      </c>
      <c r="AM274">
        <v>0</v>
      </c>
      <c r="AP274" t="s">
        <v>325</v>
      </c>
    </row>
    <row r="275" spans="1:42" customFormat="1">
      <c r="A275">
        <v>270399</v>
      </c>
      <c r="B275" t="s">
        <v>2898</v>
      </c>
      <c r="C275" t="s">
        <v>2899</v>
      </c>
      <c r="D275" s="22">
        <v>0</v>
      </c>
      <c r="E275" s="17">
        <v>42136</v>
      </c>
      <c r="F275" s="18">
        <v>0.4456134259259259</v>
      </c>
      <c r="G275" s="22">
        <v>2600</v>
      </c>
      <c r="H275">
        <v>0</v>
      </c>
      <c r="I275" s="19" t="e">
        <f>I274 + (D275-G275)</f>
        <v>#VALUE!</v>
      </c>
      <c r="M275">
        <v>110920</v>
      </c>
      <c r="N275">
        <v>24</v>
      </c>
      <c r="O275" t="s">
        <v>68</v>
      </c>
      <c r="P275">
        <v>1</v>
      </c>
      <c r="R275">
        <v>1450</v>
      </c>
      <c r="S275" s="17">
        <v>42144</v>
      </c>
      <c r="T275" s="17">
        <v>42144</v>
      </c>
      <c r="W275">
        <v>2015</v>
      </c>
      <c r="X275">
        <v>24</v>
      </c>
      <c r="AC275" t="s">
        <v>65</v>
      </c>
      <c r="AD275" t="s">
        <v>302</v>
      </c>
      <c r="AE275" t="s">
        <v>46</v>
      </c>
      <c r="AG275">
        <v>52</v>
      </c>
      <c r="AH275">
        <v>2</v>
      </c>
      <c r="AI275" t="s">
        <v>50</v>
      </c>
      <c r="AK275">
        <v>0</v>
      </c>
      <c r="AM275">
        <v>0</v>
      </c>
      <c r="AP275" t="s">
        <v>325</v>
      </c>
    </row>
    <row r="276" spans="1:42" customFormat="1">
      <c r="A276">
        <v>270117</v>
      </c>
      <c r="B276" t="s">
        <v>2934</v>
      </c>
      <c r="C276" t="s">
        <v>2935</v>
      </c>
      <c r="D276" s="22">
        <v>0</v>
      </c>
      <c r="E276" s="17">
        <v>42136</v>
      </c>
      <c r="F276" s="18">
        <v>0.70641203703703714</v>
      </c>
      <c r="G276" s="22">
        <v>1400</v>
      </c>
      <c r="H276">
        <v>0</v>
      </c>
      <c r="I276" s="19" t="e">
        <f>I275 + (D276-G276)</f>
        <v>#VALUE!</v>
      </c>
      <c r="M276">
        <v>109361</v>
      </c>
      <c r="N276">
        <v>24</v>
      </c>
      <c r="O276" t="s">
        <v>68</v>
      </c>
      <c r="P276">
        <v>1</v>
      </c>
      <c r="R276">
        <v>1450</v>
      </c>
      <c r="S276" s="17">
        <v>42139</v>
      </c>
      <c r="T276" s="17">
        <v>42139</v>
      </c>
      <c r="W276">
        <v>2015</v>
      </c>
      <c r="X276">
        <v>24</v>
      </c>
      <c r="AC276" t="s">
        <v>65</v>
      </c>
      <c r="AD276" t="s">
        <v>302</v>
      </c>
      <c r="AE276" t="s">
        <v>46</v>
      </c>
      <c r="AG276">
        <v>52</v>
      </c>
      <c r="AH276">
        <v>2</v>
      </c>
      <c r="AI276" t="s">
        <v>50</v>
      </c>
      <c r="AK276">
        <v>0</v>
      </c>
      <c r="AM276">
        <v>0</v>
      </c>
      <c r="AP276" t="s">
        <v>325</v>
      </c>
    </row>
    <row r="277" spans="1:42" customFormat="1">
      <c r="A277">
        <v>270118</v>
      </c>
      <c r="B277" t="s">
        <v>2936</v>
      </c>
      <c r="C277" t="s">
        <v>2937</v>
      </c>
      <c r="D277" s="22">
        <v>0</v>
      </c>
      <c r="E277" s="17">
        <v>42136</v>
      </c>
      <c r="F277" s="18">
        <v>0.70657407407407413</v>
      </c>
      <c r="G277" s="22">
        <v>4000</v>
      </c>
      <c r="H277">
        <v>0</v>
      </c>
      <c r="I277" s="19" t="e">
        <f>I276 + (D277-G277)</f>
        <v>#VALUE!</v>
      </c>
      <c r="M277">
        <v>114223</v>
      </c>
      <c r="N277">
        <v>24</v>
      </c>
      <c r="O277" t="s">
        <v>68</v>
      </c>
      <c r="P277">
        <v>1</v>
      </c>
      <c r="R277">
        <v>1450</v>
      </c>
      <c r="S277" s="17">
        <v>42139</v>
      </c>
      <c r="T277" s="17">
        <v>42139</v>
      </c>
      <c r="W277">
        <v>2015</v>
      </c>
      <c r="X277">
        <v>24</v>
      </c>
      <c r="AC277" t="s">
        <v>65</v>
      </c>
      <c r="AD277" t="s">
        <v>302</v>
      </c>
      <c r="AE277" t="s">
        <v>46</v>
      </c>
      <c r="AG277">
        <v>52</v>
      </c>
      <c r="AH277">
        <v>2</v>
      </c>
      <c r="AI277" t="s">
        <v>50</v>
      </c>
      <c r="AK277">
        <v>0</v>
      </c>
      <c r="AM277">
        <v>0</v>
      </c>
      <c r="AP277" t="s">
        <v>325</v>
      </c>
    </row>
    <row r="278" spans="1:42" customFormat="1">
      <c r="A278">
        <v>270119</v>
      </c>
      <c r="B278" t="s">
        <v>2938</v>
      </c>
      <c r="C278" t="s">
        <v>2939</v>
      </c>
      <c r="D278" s="22">
        <v>0</v>
      </c>
      <c r="E278" s="17">
        <v>42136</v>
      </c>
      <c r="F278" s="18">
        <v>0.70966435185185184</v>
      </c>
      <c r="G278" s="22">
        <v>10837</v>
      </c>
      <c r="H278">
        <v>0</v>
      </c>
      <c r="I278" s="19" t="e">
        <f>I277 + (D278-G278)</f>
        <v>#VALUE!</v>
      </c>
      <c r="M278">
        <v>114197</v>
      </c>
      <c r="N278">
        <v>24</v>
      </c>
      <c r="O278" t="s">
        <v>68</v>
      </c>
      <c r="P278">
        <v>1</v>
      </c>
      <c r="R278">
        <v>1450</v>
      </c>
      <c r="S278" s="17">
        <v>42139</v>
      </c>
      <c r="T278" s="17">
        <v>42139</v>
      </c>
      <c r="W278">
        <v>2015</v>
      </c>
      <c r="X278">
        <v>24</v>
      </c>
      <c r="AC278" t="s">
        <v>65</v>
      </c>
      <c r="AD278" t="s">
        <v>302</v>
      </c>
      <c r="AE278" t="s">
        <v>46</v>
      </c>
      <c r="AG278">
        <v>52</v>
      </c>
      <c r="AH278">
        <v>2</v>
      </c>
      <c r="AI278" t="s">
        <v>50</v>
      </c>
      <c r="AK278">
        <v>0</v>
      </c>
      <c r="AM278">
        <v>0</v>
      </c>
      <c r="AP278" t="s">
        <v>325</v>
      </c>
    </row>
    <row r="279" spans="1:42" customFormat="1">
      <c r="A279">
        <v>270154</v>
      </c>
      <c r="B279" t="s">
        <v>2948</v>
      </c>
      <c r="C279" t="s">
        <v>2949</v>
      </c>
      <c r="D279" s="22">
        <v>0</v>
      </c>
      <c r="E279" s="17">
        <v>42137</v>
      </c>
      <c r="F279" s="18">
        <v>0.38275462962962964</v>
      </c>
      <c r="G279" s="22">
        <v>6000</v>
      </c>
      <c r="H279">
        <v>0</v>
      </c>
      <c r="I279" s="19" t="e">
        <f>I278 + (D279-G279)</f>
        <v>#VALUE!</v>
      </c>
      <c r="M279">
        <v>116412</v>
      </c>
      <c r="N279">
        <v>24</v>
      </c>
      <c r="O279" t="s">
        <v>68</v>
      </c>
      <c r="P279">
        <v>1</v>
      </c>
      <c r="R279">
        <v>1450</v>
      </c>
      <c r="S279" s="17">
        <v>42142</v>
      </c>
      <c r="T279" s="17">
        <v>42142</v>
      </c>
      <c r="W279">
        <v>2015</v>
      </c>
      <c r="X279">
        <v>24</v>
      </c>
      <c r="AC279" t="s">
        <v>65</v>
      </c>
      <c r="AD279" t="s">
        <v>302</v>
      </c>
      <c r="AE279" t="s">
        <v>46</v>
      </c>
      <c r="AG279">
        <v>52</v>
      </c>
      <c r="AH279">
        <v>2</v>
      </c>
      <c r="AI279" t="s">
        <v>50</v>
      </c>
      <c r="AK279">
        <v>0</v>
      </c>
      <c r="AM279">
        <v>0</v>
      </c>
      <c r="AP279" t="s">
        <v>325</v>
      </c>
    </row>
    <row r="280" spans="1:42" customFormat="1">
      <c r="A280">
        <v>270434</v>
      </c>
      <c r="B280" t="s">
        <v>3027</v>
      </c>
      <c r="C280" t="s">
        <v>3028</v>
      </c>
      <c r="D280" s="22">
        <v>0</v>
      </c>
      <c r="E280" s="17">
        <v>42137</v>
      </c>
      <c r="F280" s="18">
        <v>0.45717592592592587</v>
      </c>
      <c r="G280" s="22">
        <v>1800</v>
      </c>
      <c r="H280">
        <v>0</v>
      </c>
      <c r="I280" s="19" t="e">
        <f>I279 + (D280-G280)</f>
        <v>#VALUE!</v>
      </c>
      <c r="M280">
        <v>108478</v>
      </c>
      <c r="N280">
        <v>24</v>
      </c>
      <c r="O280" t="s">
        <v>68</v>
      </c>
      <c r="P280">
        <v>1</v>
      </c>
      <c r="R280">
        <v>1450</v>
      </c>
      <c r="S280" s="17">
        <v>42144</v>
      </c>
      <c r="T280" s="17">
        <v>42144</v>
      </c>
      <c r="W280">
        <v>2015</v>
      </c>
      <c r="X280">
        <v>24</v>
      </c>
      <c r="AC280" t="s">
        <v>65</v>
      </c>
      <c r="AD280" t="s">
        <v>302</v>
      </c>
      <c r="AE280" t="s">
        <v>46</v>
      </c>
      <c r="AG280">
        <v>52</v>
      </c>
      <c r="AH280">
        <v>2</v>
      </c>
      <c r="AI280" t="s">
        <v>50</v>
      </c>
      <c r="AK280">
        <v>0</v>
      </c>
      <c r="AM280">
        <v>0</v>
      </c>
      <c r="AP280" t="s">
        <v>325</v>
      </c>
    </row>
    <row r="281" spans="1:42" customFormat="1">
      <c r="A281">
        <v>270435</v>
      </c>
      <c r="B281" t="s">
        <v>3029</v>
      </c>
      <c r="C281" t="s">
        <v>3030</v>
      </c>
      <c r="D281" s="22">
        <v>0</v>
      </c>
      <c r="E281" s="17">
        <v>42137</v>
      </c>
      <c r="F281" s="18">
        <v>0.45733796296296297</v>
      </c>
      <c r="G281" s="22">
        <v>1808</v>
      </c>
      <c r="H281">
        <v>0</v>
      </c>
      <c r="I281" s="19" t="e">
        <f>I280 + (D281-G281)</f>
        <v>#VALUE!</v>
      </c>
      <c r="M281">
        <v>21323</v>
      </c>
      <c r="N281">
        <v>24</v>
      </c>
      <c r="O281" t="s">
        <v>68</v>
      </c>
      <c r="P281">
        <v>1</v>
      </c>
      <c r="R281">
        <v>1450</v>
      </c>
      <c r="S281" s="17">
        <v>42144</v>
      </c>
      <c r="T281" s="17">
        <v>42144</v>
      </c>
      <c r="W281">
        <v>2015</v>
      </c>
      <c r="X281">
        <v>24</v>
      </c>
      <c r="AC281" t="s">
        <v>65</v>
      </c>
      <c r="AD281" t="s">
        <v>302</v>
      </c>
      <c r="AE281" t="s">
        <v>46</v>
      </c>
      <c r="AG281">
        <v>52</v>
      </c>
      <c r="AH281">
        <v>2</v>
      </c>
      <c r="AI281" t="s">
        <v>50</v>
      </c>
      <c r="AK281">
        <v>0</v>
      </c>
      <c r="AM281">
        <v>0</v>
      </c>
      <c r="AP281" t="s">
        <v>325</v>
      </c>
    </row>
    <row r="282" spans="1:42" customFormat="1">
      <c r="A282">
        <v>270437</v>
      </c>
      <c r="B282" t="s">
        <v>3031</v>
      </c>
      <c r="C282" t="s">
        <v>3032</v>
      </c>
      <c r="D282" s="22">
        <v>0</v>
      </c>
      <c r="E282" s="17">
        <v>42137</v>
      </c>
      <c r="F282" s="18">
        <v>0.45748842592592592</v>
      </c>
      <c r="G282" s="22">
        <v>812</v>
      </c>
      <c r="H282">
        <v>0</v>
      </c>
      <c r="I282" s="19" t="e">
        <f>I281 + (D282-G282)</f>
        <v>#VALUE!</v>
      </c>
      <c r="M282">
        <v>110871</v>
      </c>
      <c r="N282">
        <v>24</v>
      </c>
      <c r="O282" t="s">
        <v>68</v>
      </c>
      <c r="P282">
        <v>1</v>
      </c>
      <c r="R282">
        <v>1450</v>
      </c>
      <c r="S282" s="17">
        <v>42144</v>
      </c>
      <c r="T282" s="17">
        <v>42144</v>
      </c>
      <c r="W282">
        <v>2015</v>
      </c>
      <c r="X282">
        <v>24</v>
      </c>
      <c r="AC282" t="s">
        <v>65</v>
      </c>
      <c r="AD282" t="s">
        <v>302</v>
      </c>
      <c r="AE282" t="s">
        <v>46</v>
      </c>
      <c r="AG282">
        <v>52</v>
      </c>
      <c r="AH282">
        <v>2</v>
      </c>
      <c r="AI282" t="s">
        <v>50</v>
      </c>
      <c r="AK282">
        <v>0</v>
      </c>
      <c r="AM282">
        <v>0</v>
      </c>
      <c r="AP282" t="s">
        <v>325</v>
      </c>
    </row>
    <row r="283" spans="1:42" customFormat="1">
      <c r="A283">
        <v>270438</v>
      </c>
      <c r="B283" t="s">
        <v>3033</v>
      </c>
      <c r="C283" t="s">
        <v>3034</v>
      </c>
      <c r="D283" s="22">
        <v>0</v>
      </c>
      <c r="E283" s="17">
        <v>42137</v>
      </c>
      <c r="F283" s="18">
        <v>0.45765046296296297</v>
      </c>
      <c r="G283" s="22">
        <v>1520</v>
      </c>
      <c r="H283">
        <v>0</v>
      </c>
      <c r="I283" s="19" t="e">
        <f>I282 + (D283-G283)</f>
        <v>#VALUE!</v>
      </c>
      <c r="M283">
        <v>110620</v>
      </c>
      <c r="N283">
        <v>24</v>
      </c>
      <c r="O283" t="s">
        <v>68</v>
      </c>
      <c r="P283">
        <v>1</v>
      </c>
      <c r="R283">
        <v>1450</v>
      </c>
      <c r="S283" s="17">
        <v>42144</v>
      </c>
      <c r="T283" s="17">
        <v>42144</v>
      </c>
      <c r="W283">
        <v>2015</v>
      </c>
      <c r="X283">
        <v>24</v>
      </c>
      <c r="AC283" t="s">
        <v>65</v>
      </c>
      <c r="AD283" t="s">
        <v>302</v>
      </c>
      <c r="AE283" t="s">
        <v>46</v>
      </c>
      <c r="AG283">
        <v>52</v>
      </c>
      <c r="AH283">
        <v>2</v>
      </c>
      <c r="AI283" t="s">
        <v>50</v>
      </c>
      <c r="AK283">
        <v>0</v>
      </c>
      <c r="AM283">
        <v>0</v>
      </c>
      <c r="AP283" t="s">
        <v>325</v>
      </c>
    </row>
    <row r="284" spans="1:42" customFormat="1">
      <c r="A284">
        <v>270441</v>
      </c>
      <c r="B284" t="s">
        <v>3173</v>
      </c>
      <c r="C284" t="s">
        <v>3174</v>
      </c>
      <c r="D284" s="22">
        <v>0</v>
      </c>
      <c r="E284" s="17">
        <v>42138</v>
      </c>
      <c r="F284" s="18">
        <v>0.46415509259259258</v>
      </c>
      <c r="G284" s="22">
        <v>1105</v>
      </c>
      <c r="H284">
        <v>0</v>
      </c>
      <c r="I284" s="19" t="e">
        <f>I283 + (D284-G284)</f>
        <v>#VALUE!</v>
      </c>
      <c r="M284">
        <v>110658</v>
      </c>
      <c r="N284">
        <v>24</v>
      </c>
      <c r="O284" t="s">
        <v>68</v>
      </c>
      <c r="P284">
        <v>1</v>
      </c>
      <c r="R284">
        <v>1450</v>
      </c>
      <c r="S284" s="17">
        <v>42144</v>
      </c>
      <c r="T284" s="17">
        <v>42144</v>
      </c>
      <c r="W284">
        <v>2015</v>
      </c>
      <c r="X284">
        <v>24</v>
      </c>
      <c r="AC284" t="s">
        <v>65</v>
      </c>
      <c r="AD284" t="s">
        <v>302</v>
      </c>
      <c r="AE284" t="s">
        <v>46</v>
      </c>
      <c r="AG284">
        <v>52</v>
      </c>
      <c r="AH284">
        <v>2</v>
      </c>
      <c r="AI284" t="s">
        <v>50</v>
      </c>
      <c r="AK284">
        <v>0</v>
      </c>
      <c r="AM284">
        <v>0</v>
      </c>
      <c r="AP284" t="s">
        <v>325</v>
      </c>
    </row>
    <row r="285" spans="1:42" customFormat="1">
      <c r="A285">
        <v>270442</v>
      </c>
      <c r="B285" t="s">
        <v>3175</v>
      </c>
      <c r="C285" t="s">
        <v>3176</v>
      </c>
      <c r="D285" s="22">
        <v>0</v>
      </c>
      <c r="E285" s="17">
        <v>42138</v>
      </c>
      <c r="F285" s="18">
        <v>0.46435185185185185</v>
      </c>
      <c r="G285" s="22">
        <v>595</v>
      </c>
      <c r="H285">
        <v>0</v>
      </c>
      <c r="I285" s="19" t="e">
        <f>I284 + (D285-G285)</f>
        <v>#VALUE!</v>
      </c>
      <c r="M285">
        <v>110670</v>
      </c>
      <c r="N285">
        <v>24</v>
      </c>
      <c r="O285" t="s">
        <v>68</v>
      </c>
      <c r="P285">
        <v>1</v>
      </c>
      <c r="R285">
        <v>1450</v>
      </c>
      <c r="S285" s="17">
        <v>42144</v>
      </c>
      <c r="T285" s="17">
        <v>42144</v>
      </c>
      <c r="W285">
        <v>2015</v>
      </c>
      <c r="X285">
        <v>24</v>
      </c>
      <c r="AC285" t="s">
        <v>65</v>
      </c>
      <c r="AD285" t="s">
        <v>302</v>
      </c>
      <c r="AE285" t="s">
        <v>46</v>
      </c>
      <c r="AG285">
        <v>52</v>
      </c>
      <c r="AH285">
        <v>2</v>
      </c>
      <c r="AI285" t="s">
        <v>50</v>
      </c>
      <c r="AK285">
        <v>0</v>
      </c>
      <c r="AM285">
        <v>0</v>
      </c>
      <c r="AP285" t="s">
        <v>325</v>
      </c>
    </row>
    <row r="286" spans="1:42" customFormat="1">
      <c r="A286">
        <v>270443</v>
      </c>
      <c r="B286" t="s">
        <v>3177</v>
      </c>
      <c r="C286" t="s">
        <v>3178</v>
      </c>
      <c r="D286" s="22">
        <v>0</v>
      </c>
      <c r="E286" s="17">
        <v>42138</v>
      </c>
      <c r="F286" s="18">
        <v>0.46452546296296293</v>
      </c>
      <c r="G286" s="22">
        <v>700</v>
      </c>
      <c r="H286">
        <v>0</v>
      </c>
      <c r="I286" s="19" t="e">
        <f>I285 + (D286-G286)</f>
        <v>#VALUE!</v>
      </c>
      <c r="M286">
        <v>123598</v>
      </c>
      <c r="N286">
        <v>24</v>
      </c>
      <c r="O286" t="s">
        <v>68</v>
      </c>
      <c r="P286">
        <v>1</v>
      </c>
      <c r="R286">
        <v>1450</v>
      </c>
      <c r="S286" s="17">
        <v>42144</v>
      </c>
      <c r="T286" s="17">
        <v>42144</v>
      </c>
      <c r="W286">
        <v>2015</v>
      </c>
      <c r="X286">
        <v>24</v>
      </c>
      <c r="AC286" t="s">
        <v>65</v>
      </c>
      <c r="AD286" t="s">
        <v>302</v>
      </c>
      <c r="AE286" t="s">
        <v>46</v>
      </c>
      <c r="AG286">
        <v>52</v>
      </c>
      <c r="AH286">
        <v>2</v>
      </c>
      <c r="AI286" t="s">
        <v>50</v>
      </c>
      <c r="AK286">
        <v>0</v>
      </c>
      <c r="AM286">
        <v>0</v>
      </c>
      <c r="AP286" t="s">
        <v>325</v>
      </c>
    </row>
    <row r="287" spans="1:42" customFormat="1">
      <c r="A287">
        <v>270274</v>
      </c>
      <c r="B287" t="s">
        <v>3223</v>
      </c>
      <c r="C287" t="s">
        <v>3224</v>
      </c>
      <c r="D287" s="22">
        <v>0</v>
      </c>
      <c r="E287" s="17">
        <v>42139</v>
      </c>
      <c r="F287" s="18">
        <v>0.36105324074074074</v>
      </c>
      <c r="G287" s="22">
        <v>1500</v>
      </c>
      <c r="H287">
        <v>0</v>
      </c>
      <c r="I287" s="19" t="e">
        <f>I286 + (D287-G287)</f>
        <v>#VALUE!</v>
      </c>
      <c r="M287">
        <v>110932</v>
      </c>
      <c r="N287">
        <v>24</v>
      </c>
      <c r="O287" t="s">
        <v>68</v>
      </c>
      <c r="P287">
        <v>1</v>
      </c>
      <c r="R287">
        <v>1450</v>
      </c>
      <c r="S287" s="17">
        <v>42143</v>
      </c>
      <c r="T287" s="17">
        <v>42143</v>
      </c>
      <c r="W287">
        <v>2015</v>
      </c>
      <c r="X287">
        <v>24</v>
      </c>
      <c r="AC287" t="s">
        <v>65</v>
      </c>
      <c r="AD287" t="s">
        <v>302</v>
      </c>
      <c r="AE287" t="s">
        <v>46</v>
      </c>
      <c r="AG287">
        <v>4</v>
      </c>
      <c r="AH287">
        <v>9</v>
      </c>
      <c r="AI287" t="s">
        <v>54</v>
      </c>
      <c r="AK287">
        <v>0</v>
      </c>
      <c r="AM287">
        <v>0</v>
      </c>
      <c r="AP287" t="s">
        <v>389</v>
      </c>
    </row>
    <row r="288" spans="1:42" customFormat="1">
      <c r="A288">
        <v>270530</v>
      </c>
      <c r="B288" t="s">
        <v>3365</v>
      </c>
      <c r="C288" t="s">
        <v>3366</v>
      </c>
      <c r="D288" s="22">
        <v>0</v>
      </c>
      <c r="E288" s="17">
        <v>42139</v>
      </c>
      <c r="F288" s="18">
        <v>0.40061342592592591</v>
      </c>
      <c r="G288" s="22">
        <v>245</v>
      </c>
      <c r="H288">
        <v>0</v>
      </c>
      <c r="I288" s="19" t="e">
        <f>I287 + (D288-G288)</f>
        <v>#VALUE!</v>
      </c>
      <c r="M288">
        <v>110633</v>
      </c>
      <c r="N288">
        <v>24</v>
      </c>
      <c r="O288" t="s">
        <v>68</v>
      </c>
      <c r="P288">
        <v>1</v>
      </c>
      <c r="R288">
        <v>1450</v>
      </c>
      <c r="S288" s="17">
        <v>42145</v>
      </c>
      <c r="T288" s="17">
        <v>42145</v>
      </c>
      <c r="W288">
        <v>2015</v>
      </c>
      <c r="X288">
        <v>24</v>
      </c>
      <c r="AC288" t="s">
        <v>65</v>
      </c>
      <c r="AD288" t="s">
        <v>302</v>
      </c>
      <c r="AE288" t="s">
        <v>46</v>
      </c>
      <c r="AG288">
        <v>52</v>
      </c>
      <c r="AH288">
        <v>2</v>
      </c>
      <c r="AI288" t="s">
        <v>50</v>
      </c>
      <c r="AK288">
        <v>0</v>
      </c>
      <c r="AM288">
        <v>0</v>
      </c>
      <c r="AP288" t="s">
        <v>325</v>
      </c>
    </row>
    <row r="289" spans="1:42" customFormat="1">
      <c r="A289">
        <v>270534</v>
      </c>
      <c r="B289" t="s">
        <v>3373</v>
      </c>
      <c r="C289" t="s">
        <v>3374</v>
      </c>
      <c r="D289" s="22">
        <v>0</v>
      </c>
      <c r="E289" s="17">
        <v>42139</v>
      </c>
      <c r="F289" s="18">
        <v>0.40163194444444444</v>
      </c>
      <c r="G289" s="22">
        <v>2250</v>
      </c>
      <c r="H289">
        <v>0</v>
      </c>
      <c r="I289" s="19" t="e">
        <f>I288 + (D289-G289)</f>
        <v>#VALUE!</v>
      </c>
      <c r="M289">
        <v>114999</v>
      </c>
      <c r="N289">
        <v>24</v>
      </c>
      <c r="O289" t="s">
        <v>68</v>
      </c>
      <c r="P289">
        <v>1</v>
      </c>
      <c r="R289">
        <v>1450</v>
      </c>
      <c r="S289" s="17">
        <v>42145</v>
      </c>
      <c r="T289" s="17">
        <v>42145</v>
      </c>
      <c r="W289">
        <v>2015</v>
      </c>
      <c r="X289">
        <v>24</v>
      </c>
      <c r="AC289" t="s">
        <v>65</v>
      </c>
      <c r="AD289" t="s">
        <v>302</v>
      </c>
      <c r="AE289" t="s">
        <v>46</v>
      </c>
      <c r="AG289">
        <v>52</v>
      </c>
      <c r="AH289">
        <v>2</v>
      </c>
      <c r="AI289" t="s">
        <v>50</v>
      </c>
      <c r="AK289">
        <v>0</v>
      </c>
      <c r="AM289">
        <v>0</v>
      </c>
      <c r="AP289" t="s">
        <v>325</v>
      </c>
    </row>
    <row r="290" spans="1:42" customFormat="1">
      <c r="A290">
        <v>270535</v>
      </c>
      <c r="B290" t="s">
        <v>3375</v>
      </c>
      <c r="C290" t="s">
        <v>3376</v>
      </c>
      <c r="D290" s="22">
        <v>0</v>
      </c>
      <c r="E290" s="17">
        <v>42139</v>
      </c>
      <c r="F290" s="18">
        <v>0.40182870370370366</v>
      </c>
      <c r="G290" s="22">
        <v>750</v>
      </c>
      <c r="H290">
        <v>0</v>
      </c>
      <c r="I290" s="19" t="e">
        <f>I289 + (D290-G290)</f>
        <v>#VALUE!</v>
      </c>
      <c r="M290">
        <v>114996</v>
      </c>
      <c r="N290">
        <v>24</v>
      </c>
      <c r="O290" t="s">
        <v>68</v>
      </c>
      <c r="P290">
        <v>1</v>
      </c>
      <c r="R290">
        <v>1450</v>
      </c>
      <c r="S290" s="17">
        <v>42145</v>
      </c>
      <c r="T290" s="17">
        <v>42145</v>
      </c>
      <c r="W290">
        <v>2015</v>
      </c>
      <c r="X290">
        <v>24</v>
      </c>
      <c r="AC290" t="s">
        <v>65</v>
      </c>
      <c r="AD290" t="s">
        <v>302</v>
      </c>
      <c r="AE290" t="s">
        <v>46</v>
      </c>
      <c r="AG290">
        <v>52</v>
      </c>
      <c r="AH290">
        <v>2</v>
      </c>
      <c r="AI290" t="s">
        <v>50</v>
      </c>
      <c r="AK290">
        <v>0</v>
      </c>
      <c r="AM290">
        <v>0</v>
      </c>
      <c r="AP290" t="s">
        <v>325</v>
      </c>
    </row>
    <row r="291" spans="1:42" customFormat="1">
      <c r="A291">
        <v>270536</v>
      </c>
      <c r="B291" t="s">
        <v>3377</v>
      </c>
      <c r="C291" t="s">
        <v>3378</v>
      </c>
      <c r="D291" s="22">
        <v>0</v>
      </c>
      <c r="E291" s="17">
        <v>42139</v>
      </c>
      <c r="F291" s="18">
        <v>0.4020023148148148</v>
      </c>
      <c r="G291" s="22">
        <v>350</v>
      </c>
      <c r="H291">
        <v>0</v>
      </c>
      <c r="I291" s="19" t="e">
        <f>I290 + (D291-G291)</f>
        <v>#VALUE!</v>
      </c>
      <c r="M291">
        <v>114990</v>
      </c>
      <c r="N291">
        <v>24</v>
      </c>
      <c r="O291" t="s">
        <v>68</v>
      </c>
      <c r="P291">
        <v>1</v>
      </c>
      <c r="R291">
        <v>1450</v>
      </c>
      <c r="S291" s="17">
        <v>42145</v>
      </c>
      <c r="T291" s="17">
        <v>42145</v>
      </c>
      <c r="W291">
        <v>2015</v>
      </c>
      <c r="X291">
        <v>24</v>
      </c>
      <c r="AC291" t="s">
        <v>65</v>
      </c>
      <c r="AD291" t="s">
        <v>302</v>
      </c>
      <c r="AE291" t="s">
        <v>46</v>
      </c>
      <c r="AG291">
        <v>52</v>
      </c>
      <c r="AH291">
        <v>2</v>
      </c>
      <c r="AI291" t="s">
        <v>50</v>
      </c>
      <c r="AK291">
        <v>0</v>
      </c>
      <c r="AM291">
        <v>0</v>
      </c>
      <c r="AP291" t="s">
        <v>325</v>
      </c>
    </row>
    <row r="292" spans="1:42" customFormat="1">
      <c r="A292">
        <v>270538</v>
      </c>
      <c r="B292" t="s">
        <v>3381</v>
      </c>
      <c r="C292" t="s">
        <v>3382</v>
      </c>
      <c r="D292" s="22">
        <v>0</v>
      </c>
      <c r="E292" s="17">
        <v>42139</v>
      </c>
      <c r="F292" s="18">
        <v>0.40256944444444448</v>
      </c>
      <c r="G292" s="22">
        <v>4500</v>
      </c>
      <c r="H292">
        <v>0</v>
      </c>
      <c r="I292" s="19" t="e">
        <f>I291 + (D292-G292)</f>
        <v>#VALUE!</v>
      </c>
      <c r="M292">
        <v>110895</v>
      </c>
      <c r="N292">
        <v>24</v>
      </c>
      <c r="O292" t="s">
        <v>68</v>
      </c>
      <c r="P292">
        <v>1</v>
      </c>
      <c r="R292">
        <v>1450</v>
      </c>
      <c r="S292" s="17">
        <v>42145</v>
      </c>
      <c r="T292" s="17">
        <v>42145</v>
      </c>
      <c r="W292">
        <v>2015</v>
      </c>
      <c r="X292">
        <v>24</v>
      </c>
      <c r="AC292" t="s">
        <v>65</v>
      </c>
      <c r="AD292" t="s">
        <v>302</v>
      </c>
      <c r="AE292" t="s">
        <v>46</v>
      </c>
      <c r="AG292">
        <v>52</v>
      </c>
      <c r="AH292">
        <v>2</v>
      </c>
      <c r="AI292" t="s">
        <v>50</v>
      </c>
      <c r="AK292">
        <v>0</v>
      </c>
      <c r="AM292">
        <v>0</v>
      </c>
      <c r="AP292" t="s">
        <v>325</v>
      </c>
    </row>
    <row r="293" spans="1:42" customFormat="1">
      <c r="A293">
        <v>270539</v>
      </c>
      <c r="B293" t="s">
        <v>3383</v>
      </c>
      <c r="C293" t="s">
        <v>3384</v>
      </c>
      <c r="D293" s="22">
        <v>0</v>
      </c>
      <c r="E293" s="17">
        <v>42139</v>
      </c>
      <c r="F293" s="18">
        <v>0.40274305555555556</v>
      </c>
      <c r="G293" s="22">
        <v>660</v>
      </c>
      <c r="H293">
        <v>0</v>
      </c>
      <c r="I293" s="19" t="e">
        <f>I292 + (D293-G293)</f>
        <v>#VALUE!</v>
      </c>
      <c r="M293">
        <v>110646</v>
      </c>
      <c r="N293">
        <v>24</v>
      </c>
      <c r="O293" t="s">
        <v>68</v>
      </c>
      <c r="P293">
        <v>1</v>
      </c>
      <c r="R293">
        <v>1450</v>
      </c>
      <c r="S293" s="17">
        <v>42145</v>
      </c>
      <c r="T293" s="17">
        <v>42145</v>
      </c>
      <c r="W293">
        <v>2015</v>
      </c>
      <c r="X293">
        <v>24</v>
      </c>
      <c r="AC293" t="s">
        <v>65</v>
      </c>
      <c r="AD293" t="s">
        <v>302</v>
      </c>
      <c r="AE293" t="s">
        <v>46</v>
      </c>
      <c r="AG293">
        <v>52</v>
      </c>
      <c r="AH293">
        <v>2</v>
      </c>
      <c r="AI293" t="s">
        <v>50</v>
      </c>
      <c r="AK293">
        <v>0</v>
      </c>
      <c r="AM293">
        <v>0</v>
      </c>
      <c r="AP293" t="s">
        <v>325</v>
      </c>
    </row>
    <row r="294" spans="1:42" customFormat="1">
      <c r="A294">
        <v>270540</v>
      </c>
      <c r="B294" t="s">
        <v>3386</v>
      </c>
      <c r="C294" t="s">
        <v>3387</v>
      </c>
      <c r="D294" s="22">
        <v>0</v>
      </c>
      <c r="E294" s="17">
        <v>42139</v>
      </c>
      <c r="F294" s="18">
        <v>0.40290509259259261</v>
      </c>
      <c r="G294" s="22">
        <v>1377</v>
      </c>
      <c r="H294">
        <v>0</v>
      </c>
      <c r="I294" s="19" t="e">
        <f>I293 + (D294-G294)</f>
        <v>#VALUE!</v>
      </c>
      <c r="M294">
        <v>123600</v>
      </c>
      <c r="N294">
        <v>24</v>
      </c>
      <c r="O294" t="s">
        <v>68</v>
      </c>
      <c r="P294">
        <v>1</v>
      </c>
      <c r="R294">
        <v>1450</v>
      </c>
      <c r="S294" s="17">
        <v>42145</v>
      </c>
      <c r="T294" s="17">
        <v>42145</v>
      </c>
      <c r="W294">
        <v>2015</v>
      </c>
      <c r="X294">
        <v>24</v>
      </c>
      <c r="AC294" t="s">
        <v>65</v>
      </c>
      <c r="AD294" t="s">
        <v>302</v>
      </c>
      <c r="AE294" t="s">
        <v>46</v>
      </c>
      <c r="AG294">
        <v>52</v>
      </c>
      <c r="AH294">
        <v>2</v>
      </c>
      <c r="AI294" t="s">
        <v>50</v>
      </c>
      <c r="AK294">
        <v>0</v>
      </c>
      <c r="AM294">
        <v>0</v>
      </c>
      <c r="AP294" t="s">
        <v>325</v>
      </c>
    </row>
    <row r="295" spans="1:42" customFormat="1">
      <c r="A295">
        <v>270541</v>
      </c>
      <c r="B295" t="s">
        <v>3508</v>
      </c>
      <c r="C295" t="s">
        <v>3509</v>
      </c>
      <c r="D295" s="22">
        <v>0</v>
      </c>
      <c r="E295" s="17">
        <v>42142</v>
      </c>
      <c r="F295" s="18">
        <v>0.40325231481481483</v>
      </c>
      <c r="G295" s="22">
        <v>1000</v>
      </c>
      <c r="H295">
        <v>0</v>
      </c>
      <c r="I295" s="19" t="e">
        <f>I294 + (D295-G295)</f>
        <v>#VALUE!</v>
      </c>
      <c r="M295">
        <v>116481</v>
      </c>
      <c r="N295">
        <v>24</v>
      </c>
      <c r="O295" t="s">
        <v>68</v>
      </c>
      <c r="P295">
        <v>1</v>
      </c>
      <c r="R295">
        <v>1450</v>
      </c>
      <c r="S295" s="17">
        <v>42145</v>
      </c>
      <c r="T295" s="17">
        <v>42145</v>
      </c>
      <c r="W295">
        <v>2015</v>
      </c>
      <c r="X295">
        <v>24</v>
      </c>
      <c r="AC295" t="s">
        <v>65</v>
      </c>
      <c r="AD295" t="s">
        <v>302</v>
      </c>
      <c r="AE295" t="s">
        <v>46</v>
      </c>
      <c r="AG295">
        <v>52</v>
      </c>
      <c r="AH295">
        <v>2</v>
      </c>
      <c r="AI295" t="s">
        <v>50</v>
      </c>
      <c r="AK295">
        <v>0</v>
      </c>
      <c r="AM295">
        <v>0</v>
      </c>
      <c r="AP295" t="s">
        <v>325</v>
      </c>
    </row>
    <row r="296" spans="1:42" customFormat="1">
      <c r="A296">
        <v>270542</v>
      </c>
      <c r="B296" t="s">
        <v>3510</v>
      </c>
      <c r="C296" t="s">
        <v>3511</v>
      </c>
      <c r="D296" s="22">
        <v>0</v>
      </c>
      <c r="E296" s="17">
        <v>42142</v>
      </c>
      <c r="F296" s="18">
        <v>0.40342592592592591</v>
      </c>
      <c r="G296" s="22">
        <v>1080</v>
      </c>
      <c r="H296">
        <v>0</v>
      </c>
      <c r="I296" s="19" t="e">
        <f>I295 + (D296-G296)</f>
        <v>#VALUE!</v>
      </c>
      <c r="M296">
        <v>117812</v>
      </c>
      <c r="N296">
        <v>24</v>
      </c>
      <c r="O296" t="s">
        <v>68</v>
      </c>
      <c r="P296">
        <v>1</v>
      </c>
      <c r="R296">
        <v>1450</v>
      </c>
      <c r="S296" s="17">
        <v>42145</v>
      </c>
      <c r="T296" s="17">
        <v>42145</v>
      </c>
      <c r="W296">
        <v>2015</v>
      </c>
      <c r="X296">
        <v>24</v>
      </c>
      <c r="AC296" t="s">
        <v>65</v>
      </c>
      <c r="AD296" t="s">
        <v>302</v>
      </c>
      <c r="AE296" t="s">
        <v>46</v>
      </c>
      <c r="AG296">
        <v>52</v>
      </c>
      <c r="AH296">
        <v>2</v>
      </c>
      <c r="AI296" t="s">
        <v>50</v>
      </c>
      <c r="AK296">
        <v>0</v>
      </c>
      <c r="AM296">
        <v>0</v>
      </c>
      <c r="AP296" t="s">
        <v>325</v>
      </c>
    </row>
    <row r="297" spans="1:42" customFormat="1">
      <c r="A297">
        <v>270543</v>
      </c>
      <c r="B297" t="s">
        <v>3512</v>
      </c>
      <c r="C297" t="s">
        <v>3513</v>
      </c>
      <c r="D297" s="22">
        <v>0</v>
      </c>
      <c r="E297" s="17">
        <v>42142</v>
      </c>
      <c r="F297" s="18">
        <v>0.40365740740740735</v>
      </c>
      <c r="G297" s="22">
        <v>780</v>
      </c>
      <c r="H297">
        <v>0</v>
      </c>
      <c r="I297" s="19" t="e">
        <f>I296 + (D297-G297)</f>
        <v>#VALUE!</v>
      </c>
      <c r="M297">
        <v>117807</v>
      </c>
      <c r="N297">
        <v>24</v>
      </c>
      <c r="O297" t="s">
        <v>68</v>
      </c>
      <c r="P297">
        <v>1</v>
      </c>
      <c r="R297">
        <v>1450</v>
      </c>
      <c r="S297" s="17">
        <v>42145</v>
      </c>
      <c r="T297" s="17">
        <v>42145</v>
      </c>
      <c r="W297">
        <v>2015</v>
      </c>
      <c r="X297">
        <v>24</v>
      </c>
      <c r="AC297" t="s">
        <v>65</v>
      </c>
      <c r="AD297" t="s">
        <v>302</v>
      </c>
      <c r="AE297" t="s">
        <v>46</v>
      </c>
      <c r="AG297">
        <v>52</v>
      </c>
      <c r="AH297">
        <v>2</v>
      </c>
      <c r="AI297" t="s">
        <v>50</v>
      </c>
      <c r="AK297">
        <v>0</v>
      </c>
      <c r="AM297">
        <v>0</v>
      </c>
      <c r="AP297" t="s">
        <v>325</v>
      </c>
    </row>
    <row r="298" spans="1:42" customFormat="1">
      <c r="A298">
        <v>270546</v>
      </c>
      <c r="B298" t="s">
        <v>3514</v>
      </c>
      <c r="C298" t="s">
        <v>3515</v>
      </c>
      <c r="D298" s="22">
        <v>0</v>
      </c>
      <c r="E298" s="17">
        <v>42142</v>
      </c>
      <c r="F298" s="18">
        <v>0.40501157407407407</v>
      </c>
      <c r="G298" s="22">
        <v>300</v>
      </c>
      <c r="H298">
        <v>0</v>
      </c>
      <c r="I298" s="19" t="e">
        <f>I297 + (D298-G298)</f>
        <v>#VALUE!</v>
      </c>
      <c r="M298">
        <v>119854</v>
      </c>
      <c r="N298">
        <v>24</v>
      </c>
      <c r="O298" t="s">
        <v>68</v>
      </c>
      <c r="P298">
        <v>1</v>
      </c>
      <c r="R298">
        <v>1450</v>
      </c>
      <c r="S298" s="17">
        <v>42145</v>
      </c>
      <c r="T298" s="17">
        <v>42145</v>
      </c>
      <c r="W298">
        <v>2015</v>
      </c>
      <c r="X298">
        <v>24</v>
      </c>
      <c r="AC298" t="s">
        <v>65</v>
      </c>
      <c r="AD298" t="s">
        <v>302</v>
      </c>
      <c r="AE298" t="s">
        <v>46</v>
      </c>
      <c r="AG298">
        <v>52</v>
      </c>
      <c r="AH298">
        <v>2</v>
      </c>
      <c r="AI298" t="s">
        <v>50</v>
      </c>
      <c r="AK298">
        <v>0</v>
      </c>
      <c r="AM298">
        <v>0</v>
      </c>
      <c r="AP298" t="s">
        <v>325</v>
      </c>
    </row>
    <row r="299" spans="1:42" customFormat="1">
      <c r="A299">
        <v>270549</v>
      </c>
      <c r="B299" t="s">
        <v>3518</v>
      </c>
      <c r="C299" t="s">
        <v>3519</v>
      </c>
      <c r="D299" s="22">
        <v>0</v>
      </c>
      <c r="E299" s="17">
        <v>42142</v>
      </c>
      <c r="F299" s="18">
        <v>0.40560185185185182</v>
      </c>
      <c r="G299" s="22">
        <v>2070</v>
      </c>
      <c r="H299">
        <v>0</v>
      </c>
      <c r="I299" s="19" t="e">
        <f>I298 + (D299-G299)</f>
        <v>#VALUE!</v>
      </c>
      <c r="M299">
        <v>110683</v>
      </c>
      <c r="N299">
        <v>24</v>
      </c>
      <c r="O299" t="s">
        <v>68</v>
      </c>
      <c r="P299">
        <v>1</v>
      </c>
      <c r="R299">
        <v>1450</v>
      </c>
      <c r="S299" s="17">
        <v>42145</v>
      </c>
      <c r="T299" s="17">
        <v>42145</v>
      </c>
      <c r="W299">
        <v>2015</v>
      </c>
      <c r="X299">
        <v>24</v>
      </c>
      <c r="AC299" t="s">
        <v>65</v>
      </c>
      <c r="AD299" t="s">
        <v>302</v>
      </c>
      <c r="AE299" t="s">
        <v>46</v>
      </c>
      <c r="AG299">
        <v>52</v>
      </c>
      <c r="AH299">
        <v>2</v>
      </c>
      <c r="AI299" t="s">
        <v>50</v>
      </c>
      <c r="AK299">
        <v>0</v>
      </c>
      <c r="AM299">
        <v>0</v>
      </c>
      <c r="AP299" t="s">
        <v>325</v>
      </c>
    </row>
    <row r="300" spans="1:42" customFormat="1">
      <c r="A300">
        <v>270550</v>
      </c>
      <c r="B300" t="s">
        <v>3520</v>
      </c>
      <c r="C300" t="s">
        <v>3521</v>
      </c>
      <c r="D300" s="22">
        <v>0</v>
      </c>
      <c r="E300" s="17">
        <v>42142</v>
      </c>
      <c r="F300" s="18">
        <v>0.40577546296296302</v>
      </c>
      <c r="G300" s="22">
        <v>3000</v>
      </c>
      <c r="H300">
        <v>0</v>
      </c>
      <c r="I300" s="19" t="e">
        <f>I299 + (D300-G300)</f>
        <v>#VALUE!</v>
      </c>
      <c r="M300">
        <v>114749</v>
      </c>
      <c r="N300">
        <v>24</v>
      </c>
      <c r="O300" t="s">
        <v>68</v>
      </c>
      <c r="P300">
        <v>1</v>
      </c>
      <c r="R300">
        <v>1450</v>
      </c>
      <c r="S300" s="17">
        <v>42145</v>
      </c>
      <c r="T300" s="17">
        <v>42145</v>
      </c>
      <c r="W300">
        <v>2015</v>
      </c>
      <c r="X300">
        <v>24</v>
      </c>
      <c r="AC300" t="s">
        <v>65</v>
      </c>
      <c r="AD300" t="s">
        <v>302</v>
      </c>
      <c r="AE300" t="s">
        <v>46</v>
      </c>
      <c r="AG300">
        <v>52</v>
      </c>
      <c r="AH300">
        <v>2</v>
      </c>
      <c r="AI300" t="s">
        <v>50</v>
      </c>
      <c r="AK300">
        <v>0</v>
      </c>
      <c r="AM300">
        <v>0</v>
      </c>
      <c r="AP300" t="s">
        <v>325</v>
      </c>
    </row>
    <row r="301" spans="1:42" customFormat="1">
      <c r="A301">
        <v>270907</v>
      </c>
      <c r="B301" t="s">
        <v>3581</v>
      </c>
      <c r="C301" t="s">
        <v>3582</v>
      </c>
      <c r="D301" s="22">
        <v>0</v>
      </c>
      <c r="E301" s="17">
        <v>42142</v>
      </c>
      <c r="F301" s="18">
        <v>0.70554398148148145</v>
      </c>
      <c r="G301" s="22">
        <v>190</v>
      </c>
      <c r="H301">
        <v>0</v>
      </c>
      <c r="I301" s="19" t="e">
        <f>I300 + (D301-G301)</f>
        <v>#VALUE!</v>
      </c>
      <c r="M301">
        <v>110580</v>
      </c>
      <c r="N301">
        <v>24</v>
      </c>
      <c r="O301" t="s">
        <v>68</v>
      </c>
      <c r="P301">
        <v>1</v>
      </c>
      <c r="R301">
        <v>1450</v>
      </c>
      <c r="S301" s="17">
        <v>42146</v>
      </c>
      <c r="T301" s="17">
        <v>42146</v>
      </c>
      <c r="W301">
        <v>2015</v>
      </c>
      <c r="X301">
        <v>24</v>
      </c>
      <c r="AC301" t="s">
        <v>65</v>
      </c>
      <c r="AD301" t="s">
        <v>302</v>
      </c>
      <c r="AE301" t="s">
        <v>46</v>
      </c>
      <c r="AG301">
        <v>56</v>
      </c>
      <c r="AH301">
        <v>1</v>
      </c>
      <c r="AI301" t="s">
        <v>58</v>
      </c>
      <c r="AK301">
        <v>0</v>
      </c>
      <c r="AM301">
        <v>0</v>
      </c>
      <c r="AP301" t="s">
        <v>59</v>
      </c>
    </row>
    <row r="302" spans="1:42" customFormat="1">
      <c r="A302">
        <v>270601</v>
      </c>
      <c r="B302" t="s">
        <v>3710</v>
      </c>
      <c r="C302" t="s">
        <v>3711</v>
      </c>
      <c r="D302" s="22">
        <v>0</v>
      </c>
      <c r="E302" s="17">
        <v>42143</v>
      </c>
      <c r="F302" s="18">
        <v>0.41586805555555556</v>
      </c>
      <c r="G302" s="22">
        <v>1665</v>
      </c>
      <c r="H302">
        <v>0</v>
      </c>
      <c r="I302" s="19" t="e">
        <f>I301 + (D302-G302)</f>
        <v>#VALUE!</v>
      </c>
      <c r="M302">
        <v>116473</v>
      </c>
      <c r="N302">
        <v>24</v>
      </c>
      <c r="O302" t="s">
        <v>68</v>
      </c>
      <c r="P302">
        <v>1</v>
      </c>
      <c r="R302">
        <v>1450</v>
      </c>
      <c r="S302" s="17">
        <v>42145</v>
      </c>
      <c r="T302" s="17">
        <v>42145</v>
      </c>
      <c r="W302">
        <v>2015</v>
      </c>
      <c r="X302">
        <v>24</v>
      </c>
      <c r="AC302" t="s">
        <v>65</v>
      </c>
      <c r="AD302" t="s">
        <v>302</v>
      </c>
      <c r="AE302" t="s">
        <v>46</v>
      </c>
      <c r="AG302">
        <v>52</v>
      </c>
      <c r="AH302">
        <v>2</v>
      </c>
      <c r="AI302" t="s">
        <v>50</v>
      </c>
      <c r="AK302">
        <v>0</v>
      </c>
      <c r="AM302">
        <v>0</v>
      </c>
      <c r="AP302" t="s">
        <v>325</v>
      </c>
    </row>
    <row r="303" spans="1:42" customFormat="1">
      <c r="A303">
        <v>273131</v>
      </c>
      <c r="B303" t="s">
        <v>3719</v>
      </c>
      <c r="C303" t="s">
        <v>3720</v>
      </c>
      <c r="D303" s="22">
        <v>0</v>
      </c>
      <c r="E303" s="17">
        <v>42143</v>
      </c>
      <c r="F303" s="18">
        <v>0.4256597222222222</v>
      </c>
      <c r="G303" s="22">
        <v>8174.1</v>
      </c>
      <c r="H303">
        <v>0</v>
      </c>
      <c r="I303" s="19" t="e">
        <f>I302 + (D303-G303)</f>
        <v>#VALUE!</v>
      </c>
      <c r="M303">
        <v>126936</v>
      </c>
      <c r="N303">
        <v>24</v>
      </c>
      <c r="O303" t="s">
        <v>68</v>
      </c>
      <c r="P303">
        <v>1</v>
      </c>
      <c r="R303">
        <v>1450</v>
      </c>
      <c r="S303" s="17">
        <v>42171</v>
      </c>
      <c r="T303" s="17">
        <v>42171</v>
      </c>
      <c r="W303">
        <v>2015</v>
      </c>
      <c r="X303">
        <v>24</v>
      </c>
      <c r="AC303" t="s">
        <v>65</v>
      </c>
      <c r="AD303" t="s">
        <v>302</v>
      </c>
      <c r="AE303" t="s">
        <v>46</v>
      </c>
      <c r="AG303">
        <v>8</v>
      </c>
      <c r="AH303">
        <v>9</v>
      </c>
      <c r="AI303" t="s">
        <v>54</v>
      </c>
      <c r="AK303">
        <v>0</v>
      </c>
      <c r="AM303">
        <v>0</v>
      </c>
      <c r="AP303" t="s">
        <v>1201</v>
      </c>
    </row>
    <row r="304" spans="1:42" customFormat="1">
      <c r="A304">
        <v>270977</v>
      </c>
      <c r="B304" t="s">
        <v>3842</v>
      </c>
      <c r="C304" t="s">
        <v>3843</v>
      </c>
      <c r="D304" s="22">
        <v>0</v>
      </c>
      <c r="E304" s="17">
        <v>42144</v>
      </c>
      <c r="F304" s="18">
        <v>0.47744212962962962</v>
      </c>
      <c r="G304" s="22">
        <v>4500</v>
      </c>
      <c r="H304">
        <v>0</v>
      </c>
      <c r="I304" s="19" t="e">
        <f>I303 + (D304-G304)</f>
        <v>#VALUE!</v>
      </c>
      <c r="M304">
        <v>110944</v>
      </c>
      <c r="N304">
        <v>7</v>
      </c>
      <c r="O304" t="s">
        <v>44</v>
      </c>
      <c r="P304">
        <v>1</v>
      </c>
      <c r="R304">
        <v>1450</v>
      </c>
      <c r="S304" s="17">
        <v>42149</v>
      </c>
      <c r="T304" s="17">
        <v>42149</v>
      </c>
      <c r="W304">
        <v>2015</v>
      </c>
      <c r="X304">
        <v>7</v>
      </c>
      <c r="AC304" t="s">
        <v>65</v>
      </c>
      <c r="AD304" t="s">
        <v>302</v>
      </c>
      <c r="AE304" t="s">
        <v>46</v>
      </c>
      <c r="AG304">
        <v>2</v>
      </c>
      <c r="AH304">
        <v>8</v>
      </c>
      <c r="AI304" t="s">
        <v>52</v>
      </c>
      <c r="AK304">
        <v>0</v>
      </c>
      <c r="AM304">
        <v>0</v>
      </c>
      <c r="AP304" t="s">
        <v>2544</v>
      </c>
    </row>
    <row r="305" spans="1:42" customFormat="1">
      <c r="A305">
        <v>270795</v>
      </c>
      <c r="B305" t="s">
        <v>3849</v>
      </c>
      <c r="C305" t="s">
        <v>3850</v>
      </c>
      <c r="D305" s="22">
        <v>0</v>
      </c>
      <c r="E305" s="17">
        <v>42144</v>
      </c>
      <c r="F305" s="18">
        <v>0.54320601851851846</v>
      </c>
      <c r="G305" s="22">
        <v>1200</v>
      </c>
      <c r="H305">
        <v>0</v>
      </c>
      <c r="I305" s="19" t="e">
        <f>I304 + (D305-G305)</f>
        <v>#VALUE!</v>
      </c>
      <c r="M305">
        <v>107881</v>
      </c>
      <c r="N305">
        <v>24</v>
      </c>
      <c r="O305" t="s">
        <v>68</v>
      </c>
      <c r="P305">
        <v>1</v>
      </c>
      <c r="R305">
        <v>1450</v>
      </c>
      <c r="S305" s="17">
        <v>42146</v>
      </c>
      <c r="T305" s="17">
        <v>42146</v>
      </c>
      <c r="W305">
        <v>2015</v>
      </c>
      <c r="X305">
        <v>24</v>
      </c>
      <c r="AC305" t="s">
        <v>65</v>
      </c>
      <c r="AD305" t="s">
        <v>302</v>
      </c>
      <c r="AE305" t="s">
        <v>46</v>
      </c>
      <c r="AG305">
        <v>52</v>
      </c>
      <c r="AH305">
        <v>2</v>
      </c>
      <c r="AI305" t="s">
        <v>50</v>
      </c>
      <c r="AK305">
        <v>0</v>
      </c>
      <c r="AM305">
        <v>0</v>
      </c>
      <c r="AP305" t="s">
        <v>325</v>
      </c>
    </row>
    <row r="306" spans="1:42" customFormat="1">
      <c r="A306">
        <v>270798</v>
      </c>
      <c r="B306" t="s">
        <v>3853</v>
      </c>
      <c r="C306" t="s">
        <v>3854</v>
      </c>
      <c r="D306" s="22">
        <v>0</v>
      </c>
      <c r="E306" s="17">
        <v>42144</v>
      </c>
      <c r="F306" s="18">
        <v>0.54468749999999999</v>
      </c>
      <c r="G306" s="22">
        <v>8000</v>
      </c>
      <c r="H306">
        <v>0</v>
      </c>
      <c r="I306" s="19" t="e">
        <f>I305 + (D306-G306)</f>
        <v>#VALUE!</v>
      </c>
      <c r="M306">
        <v>123582</v>
      </c>
      <c r="N306">
        <v>24</v>
      </c>
      <c r="O306" t="s">
        <v>68</v>
      </c>
      <c r="P306">
        <v>1</v>
      </c>
      <c r="R306">
        <v>1450</v>
      </c>
      <c r="S306" s="17">
        <v>42146</v>
      </c>
      <c r="T306" s="17">
        <v>42146</v>
      </c>
      <c r="W306">
        <v>2015</v>
      </c>
      <c r="X306">
        <v>24</v>
      </c>
      <c r="AC306" t="s">
        <v>65</v>
      </c>
      <c r="AD306" t="s">
        <v>302</v>
      </c>
      <c r="AE306" t="s">
        <v>46</v>
      </c>
      <c r="AG306">
        <v>52</v>
      </c>
      <c r="AH306">
        <v>2</v>
      </c>
      <c r="AI306" t="s">
        <v>50</v>
      </c>
      <c r="AK306">
        <v>0</v>
      </c>
      <c r="AM306">
        <v>0</v>
      </c>
      <c r="AP306" t="s">
        <v>325</v>
      </c>
    </row>
    <row r="307" spans="1:42" customFormat="1">
      <c r="A307">
        <v>272235</v>
      </c>
      <c r="B307" t="s">
        <v>3869</v>
      </c>
      <c r="C307" t="s">
        <v>3870</v>
      </c>
      <c r="D307" s="22">
        <v>0</v>
      </c>
      <c r="E307" s="17">
        <v>42144</v>
      </c>
      <c r="F307" s="18">
        <v>0.56732638888888887</v>
      </c>
      <c r="G307" s="22">
        <v>300</v>
      </c>
      <c r="H307">
        <v>0</v>
      </c>
      <c r="I307" s="19" t="e">
        <f>I306 + (D307-G307)</f>
        <v>#VALUE!</v>
      </c>
      <c r="M307">
        <v>124874</v>
      </c>
      <c r="N307">
        <v>24</v>
      </c>
      <c r="O307" t="s">
        <v>68</v>
      </c>
      <c r="P307">
        <v>1</v>
      </c>
      <c r="R307">
        <v>1450</v>
      </c>
      <c r="S307" s="17">
        <v>42163</v>
      </c>
      <c r="T307" s="17">
        <v>42163</v>
      </c>
      <c r="W307">
        <v>2010</v>
      </c>
      <c r="X307">
        <v>24</v>
      </c>
      <c r="AC307" t="s">
        <v>65</v>
      </c>
      <c r="AD307" t="s">
        <v>302</v>
      </c>
      <c r="AE307" t="s">
        <v>46</v>
      </c>
      <c r="AG307">
        <v>56</v>
      </c>
      <c r="AH307">
        <v>1</v>
      </c>
      <c r="AI307" t="s">
        <v>58</v>
      </c>
      <c r="AK307">
        <v>0</v>
      </c>
      <c r="AM307">
        <v>0</v>
      </c>
      <c r="AP307" t="s">
        <v>59</v>
      </c>
    </row>
    <row r="308" spans="1:42" customFormat="1">
      <c r="A308">
        <v>274854</v>
      </c>
      <c r="B308" t="s">
        <v>3912</v>
      </c>
      <c r="C308" t="s">
        <v>3913</v>
      </c>
      <c r="D308" s="22">
        <v>0</v>
      </c>
      <c r="E308" s="17">
        <v>42144</v>
      </c>
      <c r="F308" s="18">
        <v>0.79369212962962965</v>
      </c>
      <c r="G308" s="22">
        <v>10000</v>
      </c>
      <c r="H308">
        <v>0</v>
      </c>
      <c r="I308" s="19" t="e">
        <f>I307 + (D308-G308)</f>
        <v>#VALUE!</v>
      </c>
      <c r="M308">
        <v>127733</v>
      </c>
      <c r="N308">
        <v>7</v>
      </c>
      <c r="O308" t="s">
        <v>44</v>
      </c>
      <c r="P308">
        <v>1</v>
      </c>
      <c r="R308">
        <v>1450</v>
      </c>
      <c r="S308" s="17">
        <v>42185</v>
      </c>
      <c r="T308" s="17">
        <v>42185</v>
      </c>
      <c r="W308">
        <v>2015</v>
      </c>
      <c r="X308">
        <v>7</v>
      </c>
      <c r="AC308" t="s">
        <v>65</v>
      </c>
      <c r="AD308" t="s">
        <v>302</v>
      </c>
      <c r="AE308" t="s">
        <v>46</v>
      </c>
      <c r="AG308">
        <v>4</v>
      </c>
      <c r="AH308">
        <v>8</v>
      </c>
      <c r="AI308" t="s">
        <v>52</v>
      </c>
      <c r="AK308">
        <v>0</v>
      </c>
      <c r="AM308">
        <v>0</v>
      </c>
      <c r="AP308" t="s">
        <v>389</v>
      </c>
    </row>
    <row r="309" spans="1:42" customFormat="1">
      <c r="A309">
        <v>274857</v>
      </c>
      <c r="B309" t="s">
        <v>3914</v>
      </c>
      <c r="C309" t="s">
        <v>3915</v>
      </c>
      <c r="D309" s="22">
        <v>0</v>
      </c>
      <c r="E309" s="17">
        <v>42144</v>
      </c>
      <c r="F309" s="18">
        <v>0.79408564814814808</v>
      </c>
      <c r="G309" s="22">
        <v>4000</v>
      </c>
      <c r="H309">
        <v>0</v>
      </c>
      <c r="I309" s="19" t="e">
        <f>I308 + (D309-G309)</f>
        <v>#VALUE!</v>
      </c>
      <c r="M309">
        <v>127734</v>
      </c>
      <c r="N309">
        <v>7</v>
      </c>
      <c r="O309" t="s">
        <v>44</v>
      </c>
      <c r="P309">
        <v>1</v>
      </c>
      <c r="R309">
        <v>1450</v>
      </c>
      <c r="S309" s="17">
        <v>42185</v>
      </c>
      <c r="T309" s="17">
        <v>42185</v>
      </c>
      <c r="W309">
        <v>2015</v>
      </c>
      <c r="X309">
        <v>7</v>
      </c>
      <c r="AC309" t="s">
        <v>65</v>
      </c>
      <c r="AD309" t="s">
        <v>302</v>
      </c>
      <c r="AE309" t="s">
        <v>46</v>
      </c>
      <c r="AG309">
        <v>4</v>
      </c>
      <c r="AH309">
        <v>8</v>
      </c>
      <c r="AI309" t="s">
        <v>52</v>
      </c>
      <c r="AK309">
        <v>0</v>
      </c>
      <c r="AM309">
        <v>0</v>
      </c>
      <c r="AP309" t="s">
        <v>389</v>
      </c>
    </row>
    <row r="310" spans="1:42" customFormat="1">
      <c r="A310">
        <v>271014</v>
      </c>
      <c r="B310" t="s">
        <v>3985</v>
      </c>
      <c r="C310" t="s">
        <v>3986</v>
      </c>
      <c r="D310" s="22">
        <v>0</v>
      </c>
      <c r="E310" s="17">
        <v>42145</v>
      </c>
      <c r="F310" s="18">
        <v>0.42027777777777775</v>
      </c>
      <c r="G310" s="22">
        <v>300</v>
      </c>
      <c r="H310">
        <v>0</v>
      </c>
      <c r="I310" s="19" t="e">
        <f>I309 + (D310-G310)</f>
        <v>#VALUE!</v>
      </c>
      <c r="M310">
        <v>110743</v>
      </c>
      <c r="N310">
        <v>7</v>
      </c>
      <c r="O310" t="s">
        <v>44</v>
      </c>
      <c r="P310">
        <v>1</v>
      </c>
      <c r="R310">
        <v>1450</v>
      </c>
      <c r="S310" s="17">
        <v>42150</v>
      </c>
      <c r="T310" s="17">
        <v>42150</v>
      </c>
      <c r="W310">
        <v>2015</v>
      </c>
      <c r="X310">
        <v>7</v>
      </c>
      <c r="AC310" t="s">
        <v>65</v>
      </c>
      <c r="AD310" t="s">
        <v>302</v>
      </c>
      <c r="AE310" t="s">
        <v>46</v>
      </c>
      <c r="AG310">
        <v>2</v>
      </c>
      <c r="AH310">
        <v>9</v>
      </c>
      <c r="AI310" t="s">
        <v>54</v>
      </c>
      <c r="AK310">
        <v>0</v>
      </c>
      <c r="AM310">
        <v>0</v>
      </c>
      <c r="AP310" t="s">
        <v>2544</v>
      </c>
    </row>
    <row r="311" spans="1:42" customFormat="1">
      <c r="A311">
        <v>271016</v>
      </c>
      <c r="B311" t="s">
        <v>3989</v>
      </c>
      <c r="C311" t="s">
        <v>3990</v>
      </c>
      <c r="D311" s="22">
        <v>0</v>
      </c>
      <c r="E311" s="17">
        <v>42145</v>
      </c>
      <c r="F311" s="18">
        <v>0.42060185185185189</v>
      </c>
      <c r="G311" s="22">
        <v>1500</v>
      </c>
      <c r="H311">
        <v>0</v>
      </c>
      <c r="I311" s="19" t="e">
        <f>I310 + (D311-G311)</f>
        <v>#VALUE!</v>
      </c>
      <c r="M311">
        <v>110731</v>
      </c>
      <c r="N311">
        <v>7</v>
      </c>
      <c r="O311" t="s">
        <v>44</v>
      </c>
      <c r="P311">
        <v>1</v>
      </c>
      <c r="R311">
        <v>1450</v>
      </c>
      <c r="S311" s="17">
        <v>42150</v>
      </c>
      <c r="T311" s="17">
        <v>42150</v>
      </c>
      <c r="W311">
        <v>2015</v>
      </c>
      <c r="X311">
        <v>7</v>
      </c>
      <c r="AC311" t="s">
        <v>65</v>
      </c>
      <c r="AD311" t="s">
        <v>302</v>
      </c>
      <c r="AE311" t="s">
        <v>46</v>
      </c>
      <c r="AG311">
        <v>2</v>
      </c>
      <c r="AH311">
        <v>9</v>
      </c>
      <c r="AI311" t="s">
        <v>54</v>
      </c>
      <c r="AK311">
        <v>0</v>
      </c>
      <c r="AM311">
        <v>0</v>
      </c>
      <c r="AP311" t="s">
        <v>2544</v>
      </c>
    </row>
    <row r="312" spans="1:42" customFormat="1">
      <c r="A312">
        <v>270834</v>
      </c>
      <c r="B312" t="s">
        <v>4095</v>
      </c>
      <c r="C312" t="s">
        <v>4096</v>
      </c>
      <c r="D312" s="22">
        <v>0</v>
      </c>
      <c r="E312" s="17">
        <v>42145</v>
      </c>
      <c r="F312" s="18">
        <v>0.54939814814814814</v>
      </c>
      <c r="G312" s="22">
        <v>1750</v>
      </c>
      <c r="H312">
        <v>0</v>
      </c>
      <c r="I312" s="19" t="e">
        <f>I311 + (D312-G312)</f>
        <v>#VALUE!</v>
      </c>
      <c r="M312">
        <v>110523</v>
      </c>
      <c r="N312">
        <v>24</v>
      </c>
      <c r="O312" t="s">
        <v>68</v>
      </c>
      <c r="P312">
        <v>1</v>
      </c>
      <c r="R312">
        <v>1450</v>
      </c>
      <c r="S312" s="17">
        <v>42146</v>
      </c>
      <c r="T312" s="17">
        <v>42146</v>
      </c>
      <c r="W312">
        <v>2015</v>
      </c>
      <c r="X312">
        <v>24</v>
      </c>
      <c r="AC312" t="s">
        <v>65</v>
      </c>
      <c r="AD312" t="s">
        <v>302</v>
      </c>
      <c r="AE312" t="s">
        <v>46</v>
      </c>
      <c r="AG312">
        <v>52</v>
      </c>
      <c r="AH312">
        <v>2</v>
      </c>
      <c r="AI312" t="s">
        <v>50</v>
      </c>
      <c r="AK312">
        <v>0</v>
      </c>
      <c r="AM312">
        <v>0</v>
      </c>
      <c r="AP312" t="s">
        <v>325</v>
      </c>
    </row>
    <row r="313" spans="1:42" customFormat="1">
      <c r="A313">
        <v>274858</v>
      </c>
      <c r="B313" t="s">
        <v>4111</v>
      </c>
      <c r="C313" t="s">
        <v>4112</v>
      </c>
      <c r="D313" s="22">
        <v>0</v>
      </c>
      <c r="E313" s="17">
        <v>42145</v>
      </c>
      <c r="F313" s="18">
        <v>0.7944444444444444</v>
      </c>
      <c r="G313" s="22">
        <v>6000</v>
      </c>
      <c r="H313">
        <v>0</v>
      </c>
      <c r="I313" s="19" t="e">
        <f>I312 + (D313-G313)</f>
        <v>#VALUE!</v>
      </c>
      <c r="M313">
        <v>127735</v>
      </c>
      <c r="N313">
        <v>7</v>
      </c>
      <c r="O313" t="s">
        <v>44</v>
      </c>
      <c r="P313">
        <v>1</v>
      </c>
      <c r="R313">
        <v>1450</v>
      </c>
      <c r="S313" s="17">
        <v>42185</v>
      </c>
      <c r="T313" s="17">
        <v>42185</v>
      </c>
      <c r="W313">
        <v>2015</v>
      </c>
      <c r="X313">
        <v>7</v>
      </c>
      <c r="AC313" t="s">
        <v>65</v>
      </c>
      <c r="AD313" t="s">
        <v>302</v>
      </c>
      <c r="AE313" t="s">
        <v>46</v>
      </c>
      <c r="AG313">
        <v>4</v>
      </c>
      <c r="AH313">
        <v>8</v>
      </c>
      <c r="AI313" t="s">
        <v>52</v>
      </c>
      <c r="AK313">
        <v>0</v>
      </c>
      <c r="AM313">
        <v>0</v>
      </c>
      <c r="AP313" t="s">
        <v>389</v>
      </c>
    </row>
    <row r="314" spans="1:42" customFormat="1">
      <c r="A314">
        <v>274080</v>
      </c>
      <c r="B314" t="s">
        <v>102</v>
      </c>
      <c r="C314" t="s">
        <v>4239</v>
      </c>
      <c r="D314" s="22">
        <v>0</v>
      </c>
      <c r="E314" s="17">
        <v>42146</v>
      </c>
      <c r="F314" s="18">
        <v>0.58296296296296302</v>
      </c>
      <c r="G314" s="22">
        <v>11389</v>
      </c>
      <c r="H314">
        <v>0</v>
      </c>
      <c r="I314" s="19" t="e">
        <f>I313 + (D314-G314)</f>
        <v>#VALUE!</v>
      </c>
      <c r="N314">
        <v>60</v>
      </c>
      <c r="O314" t="s">
        <v>60</v>
      </c>
      <c r="P314">
        <v>1</v>
      </c>
      <c r="R314">
        <v>1450</v>
      </c>
      <c r="S314" s="17">
        <v>42180</v>
      </c>
      <c r="T314" s="17">
        <v>42180</v>
      </c>
      <c r="W314">
        <v>2015</v>
      </c>
      <c r="X314">
        <v>60</v>
      </c>
      <c r="AC314" t="s">
        <v>65</v>
      </c>
      <c r="AD314" t="s">
        <v>302</v>
      </c>
      <c r="AE314" t="s">
        <v>46</v>
      </c>
      <c r="AG314">
        <v>52</v>
      </c>
      <c r="AH314">
        <v>2</v>
      </c>
      <c r="AI314" t="s">
        <v>50</v>
      </c>
      <c r="AM314">
        <v>0</v>
      </c>
      <c r="AP314" t="s">
        <v>325</v>
      </c>
    </row>
    <row r="315" spans="1:42" customFormat="1">
      <c r="A315">
        <v>274081</v>
      </c>
      <c r="B315" t="s">
        <v>102</v>
      </c>
      <c r="C315" t="s">
        <v>4240</v>
      </c>
      <c r="D315" s="22">
        <v>0</v>
      </c>
      <c r="E315" s="17">
        <v>42146</v>
      </c>
      <c r="F315" s="18">
        <v>0.58384259259259264</v>
      </c>
      <c r="G315" s="22">
        <v>5560</v>
      </c>
      <c r="H315">
        <v>0</v>
      </c>
      <c r="I315" s="19" t="e">
        <f>I314 + (D315-G315)</f>
        <v>#VALUE!</v>
      </c>
      <c r="N315">
        <v>60</v>
      </c>
      <c r="O315" t="s">
        <v>60</v>
      </c>
      <c r="P315">
        <v>1</v>
      </c>
      <c r="R315">
        <v>1450</v>
      </c>
      <c r="S315" s="17">
        <v>42180</v>
      </c>
      <c r="T315" s="17">
        <v>42180</v>
      </c>
      <c r="W315">
        <v>2015</v>
      </c>
      <c r="X315">
        <v>60</v>
      </c>
      <c r="AC315" t="s">
        <v>65</v>
      </c>
      <c r="AD315" t="s">
        <v>302</v>
      </c>
      <c r="AE315" t="s">
        <v>46</v>
      </c>
      <c r="AG315">
        <v>52</v>
      </c>
      <c r="AH315">
        <v>2</v>
      </c>
      <c r="AI315" t="s">
        <v>50</v>
      </c>
      <c r="AM315">
        <v>0</v>
      </c>
      <c r="AP315" t="s">
        <v>325</v>
      </c>
    </row>
    <row r="316" spans="1:42" customFormat="1">
      <c r="A316">
        <v>274082</v>
      </c>
      <c r="B316" t="s">
        <v>3162</v>
      </c>
      <c r="C316" t="s">
        <v>4241</v>
      </c>
      <c r="D316" s="22">
        <v>0</v>
      </c>
      <c r="E316" s="17">
        <v>42146</v>
      </c>
      <c r="F316" s="18">
        <v>0.58452546296296293</v>
      </c>
      <c r="G316" s="22">
        <v>6570</v>
      </c>
      <c r="H316">
        <v>0</v>
      </c>
      <c r="I316" s="19" t="e">
        <f>I315 + (D316-G316)</f>
        <v>#VALUE!</v>
      </c>
      <c r="N316">
        <v>60</v>
      </c>
      <c r="O316" t="s">
        <v>60</v>
      </c>
      <c r="P316">
        <v>1</v>
      </c>
      <c r="R316">
        <v>1450</v>
      </c>
      <c r="S316" s="17">
        <v>42180</v>
      </c>
      <c r="T316" s="17">
        <v>42180</v>
      </c>
      <c r="W316">
        <v>2015</v>
      </c>
      <c r="X316">
        <v>60</v>
      </c>
      <c r="AC316" t="s">
        <v>65</v>
      </c>
      <c r="AD316" t="s">
        <v>302</v>
      </c>
      <c r="AE316" t="s">
        <v>46</v>
      </c>
      <c r="AG316">
        <v>52</v>
      </c>
      <c r="AH316">
        <v>2</v>
      </c>
      <c r="AI316" t="s">
        <v>50</v>
      </c>
      <c r="AM316">
        <v>0</v>
      </c>
      <c r="AP316" t="s">
        <v>325</v>
      </c>
    </row>
    <row r="317" spans="1:42" customFormat="1">
      <c r="A317">
        <v>274083</v>
      </c>
      <c r="B317" t="s">
        <v>102</v>
      </c>
      <c r="C317" t="s">
        <v>4242</v>
      </c>
      <c r="D317" s="22">
        <v>0</v>
      </c>
      <c r="E317" s="17">
        <v>42146</v>
      </c>
      <c r="F317" s="18">
        <v>0.58519675925925929</v>
      </c>
      <c r="G317" s="22">
        <v>25000</v>
      </c>
      <c r="H317">
        <v>0</v>
      </c>
      <c r="I317" s="19" t="e">
        <f>I316 + (D317-G317)</f>
        <v>#VALUE!</v>
      </c>
      <c r="N317">
        <v>60</v>
      </c>
      <c r="O317" t="s">
        <v>60</v>
      </c>
      <c r="P317">
        <v>1</v>
      </c>
      <c r="R317">
        <v>1450</v>
      </c>
      <c r="S317" s="17">
        <v>42180</v>
      </c>
      <c r="T317" s="17">
        <v>42180</v>
      </c>
      <c r="W317">
        <v>2015</v>
      </c>
      <c r="X317">
        <v>60</v>
      </c>
      <c r="AC317" t="s">
        <v>65</v>
      </c>
      <c r="AD317" t="s">
        <v>302</v>
      </c>
      <c r="AE317" t="s">
        <v>46</v>
      </c>
      <c r="AG317">
        <v>52</v>
      </c>
      <c r="AH317">
        <v>2</v>
      </c>
      <c r="AI317" t="s">
        <v>50</v>
      </c>
      <c r="AM317">
        <v>0</v>
      </c>
      <c r="AP317" t="s">
        <v>325</v>
      </c>
    </row>
    <row r="318" spans="1:42" customFormat="1">
      <c r="A318">
        <v>273092</v>
      </c>
      <c r="B318" t="s">
        <v>4493</v>
      </c>
      <c r="C318" t="s">
        <v>4494</v>
      </c>
      <c r="D318" s="22">
        <v>0</v>
      </c>
      <c r="E318" s="17">
        <v>42146</v>
      </c>
      <c r="F318" s="18">
        <v>0.75730324074074085</v>
      </c>
      <c r="G318" s="22">
        <v>7600</v>
      </c>
      <c r="H318">
        <v>0</v>
      </c>
      <c r="I318" s="19" t="e">
        <f>I317 + (D318-G318)</f>
        <v>#VALUE!</v>
      </c>
      <c r="M318">
        <v>110774</v>
      </c>
      <c r="N318">
        <v>24</v>
      </c>
      <c r="O318" t="s">
        <v>68</v>
      </c>
      <c r="P318">
        <v>1</v>
      </c>
      <c r="R318">
        <v>1450</v>
      </c>
      <c r="S318" s="17">
        <v>42170</v>
      </c>
      <c r="T318" s="17">
        <v>42170</v>
      </c>
      <c r="W318">
        <v>2015</v>
      </c>
      <c r="X318">
        <v>24</v>
      </c>
      <c r="AC318" t="s">
        <v>65</v>
      </c>
      <c r="AD318" t="s">
        <v>302</v>
      </c>
      <c r="AE318" t="s">
        <v>46</v>
      </c>
      <c r="AG318">
        <v>2</v>
      </c>
      <c r="AH318">
        <v>2</v>
      </c>
      <c r="AI318" t="s">
        <v>50</v>
      </c>
      <c r="AK318">
        <v>0</v>
      </c>
      <c r="AM318">
        <v>0</v>
      </c>
      <c r="AP318" t="s">
        <v>2544</v>
      </c>
    </row>
    <row r="319" spans="1:42" customFormat="1">
      <c r="A319">
        <v>273097</v>
      </c>
      <c r="B319" t="s">
        <v>4503</v>
      </c>
      <c r="C319" t="s">
        <v>4504</v>
      </c>
      <c r="D319" s="22">
        <v>0</v>
      </c>
      <c r="E319" s="17">
        <v>42149</v>
      </c>
      <c r="F319" s="18">
        <v>0.37253472222222223</v>
      </c>
      <c r="G319" s="22">
        <v>2300</v>
      </c>
      <c r="H319">
        <v>0</v>
      </c>
      <c r="I319" s="19" t="e">
        <f>I318 + (D319-G319)</f>
        <v>#VALUE!</v>
      </c>
      <c r="M319">
        <v>110808</v>
      </c>
      <c r="N319">
        <v>24</v>
      </c>
      <c r="O319" t="s">
        <v>68</v>
      </c>
      <c r="P319">
        <v>1</v>
      </c>
      <c r="R319">
        <v>1450</v>
      </c>
      <c r="S319" s="17">
        <v>42171</v>
      </c>
      <c r="T319" s="17">
        <v>42171</v>
      </c>
      <c r="W319">
        <v>2015</v>
      </c>
      <c r="X319">
        <v>24</v>
      </c>
      <c r="AC319" t="s">
        <v>65</v>
      </c>
      <c r="AD319" t="s">
        <v>302</v>
      </c>
      <c r="AE319" t="s">
        <v>46</v>
      </c>
      <c r="AG319">
        <v>2</v>
      </c>
      <c r="AH319">
        <v>2</v>
      </c>
      <c r="AI319" t="s">
        <v>50</v>
      </c>
      <c r="AK319">
        <v>0</v>
      </c>
      <c r="AM319">
        <v>0</v>
      </c>
      <c r="AP319" t="s">
        <v>2544</v>
      </c>
    </row>
    <row r="320" spans="1:42" customFormat="1">
      <c r="A320">
        <v>273098</v>
      </c>
      <c r="B320" t="s">
        <v>4505</v>
      </c>
      <c r="C320" t="s">
        <v>4506</v>
      </c>
      <c r="D320" s="22">
        <v>0</v>
      </c>
      <c r="E320" s="17">
        <v>42149</v>
      </c>
      <c r="F320" s="18">
        <v>0.3727314814814815</v>
      </c>
      <c r="G320" s="22">
        <v>4500</v>
      </c>
      <c r="H320">
        <v>0</v>
      </c>
      <c r="I320" s="19" t="e">
        <f>I319 + (D320-G320)</f>
        <v>#VALUE!</v>
      </c>
      <c r="M320">
        <v>111863</v>
      </c>
      <c r="N320">
        <v>24</v>
      </c>
      <c r="O320" t="s">
        <v>68</v>
      </c>
      <c r="P320">
        <v>1</v>
      </c>
      <c r="R320">
        <v>1450</v>
      </c>
      <c r="S320" s="17">
        <v>42171</v>
      </c>
      <c r="T320" s="17">
        <v>42171</v>
      </c>
      <c r="W320">
        <v>2015</v>
      </c>
      <c r="X320">
        <v>24</v>
      </c>
      <c r="AC320" t="s">
        <v>65</v>
      </c>
      <c r="AD320" t="s">
        <v>302</v>
      </c>
      <c r="AE320" t="s">
        <v>46</v>
      </c>
      <c r="AG320">
        <v>2</v>
      </c>
      <c r="AH320">
        <v>2</v>
      </c>
      <c r="AI320" t="s">
        <v>50</v>
      </c>
      <c r="AK320">
        <v>0</v>
      </c>
      <c r="AM320">
        <v>0</v>
      </c>
      <c r="AP320" t="s">
        <v>2544</v>
      </c>
    </row>
    <row r="321" spans="1:42" customFormat="1">
      <c r="A321">
        <v>271419</v>
      </c>
      <c r="B321" t="s">
        <v>4522</v>
      </c>
      <c r="C321" t="s">
        <v>4523</v>
      </c>
      <c r="D321" s="22">
        <v>0</v>
      </c>
      <c r="E321" s="17">
        <v>42149</v>
      </c>
      <c r="F321" s="18">
        <v>0.39541666666666669</v>
      </c>
      <c r="G321" s="22">
        <v>200</v>
      </c>
      <c r="H321">
        <v>0</v>
      </c>
      <c r="I321" s="19" t="e">
        <f>I320 + (D321-G321)</f>
        <v>#VALUE!</v>
      </c>
      <c r="M321">
        <v>111470</v>
      </c>
      <c r="N321">
        <v>24</v>
      </c>
      <c r="O321" t="s">
        <v>68</v>
      </c>
      <c r="P321">
        <v>1</v>
      </c>
      <c r="R321">
        <v>1450</v>
      </c>
      <c r="S321" s="17">
        <v>42152</v>
      </c>
      <c r="T321" s="17">
        <v>42152</v>
      </c>
      <c r="W321">
        <v>2015</v>
      </c>
      <c r="X321">
        <v>24</v>
      </c>
      <c r="AC321" t="s">
        <v>65</v>
      </c>
      <c r="AD321" t="s">
        <v>302</v>
      </c>
      <c r="AE321" t="s">
        <v>46</v>
      </c>
      <c r="AG321">
        <v>56</v>
      </c>
      <c r="AH321">
        <v>1</v>
      </c>
      <c r="AI321" t="s">
        <v>58</v>
      </c>
      <c r="AK321">
        <v>0</v>
      </c>
      <c r="AM321">
        <v>0</v>
      </c>
      <c r="AP321" t="s">
        <v>59</v>
      </c>
    </row>
    <row r="322" spans="1:42" customFormat="1">
      <c r="A322">
        <v>272821</v>
      </c>
      <c r="B322" t="s">
        <v>4558</v>
      </c>
      <c r="C322" t="s">
        <v>4559</v>
      </c>
      <c r="D322" s="22">
        <v>0</v>
      </c>
      <c r="E322" s="17">
        <v>42149</v>
      </c>
      <c r="F322" s="18">
        <v>0.54383101851851856</v>
      </c>
      <c r="G322" s="22">
        <v>9000</v>
      </c>
      <c r="H322">
        <v>0</v>
      </c>
      <c r="I322" s="19" t="e">
        <f>I321 + (D322-G322)</f>
        <v>#VALUE!</v>
      </c>
      <c r="M322">
        <v>103031</v>
      </c>
      <c r="N322">
        <v>60</v>
      </c>
      <c r="O322" t="s">
        <v>60</v>
      </c>
      <c r="P322">
        <v>1</v>
      </c>
      <c r="R322">
        <v>1450</v>
      </c>
      <c r="S322" s="17">
        <v>42166</v>
      </c>
      <c r="T322" s="17">
        <v>42166</v>
      </c>
      <c r="W322">
        <v>2015</v>
      </c>
      <c r="X322">
        <v>60</v>
      </c>
      <c r="AC322" t="s">
        <v>65</v>
      </c>
      <c r="AD322" t="s">
        <v>302</v>
      </c>
      <c r="AE322" t="s">
        <v>46</v>
      </c>
      <c r="AG322">
        <v>52</v>
      </c>
      <c r="AH322">
        <v>2</v>
      </c>
      <c r="AI322" t="s">
        <v>50</v>
      </c>
      <c r="AK322">
        <v>0</v>
      </c>
      <c r="AM322">
        <v>0</v>
      </c>
      <c r="AP322" t="s">
        <v>325</v>
      </c>
    </row>
    <row r="323" spans="1:42" customFormat="1">
      <c r="A323">
        <v>272822</v>
      </c>
      <c r="B323" t="s">
        <v>4560</v>
      </c>
      <c r="C323" t="s">
        <v>4561</v>
      </c>
      <c r="D323" s="22">
        <v>0</v>
      </c>
      <c r="E323" s="17">
        <v>42149</v>
      </c>
      <c r="F323" s="18">
        <v>0.54407407407407404</v>
      </c>
      <c r="G323" s="22">
        <v>4000</v>
      </c>
      <c r="H323">
        <v>0</v>
      </c>
      <c r="I323" s="19" t="e">
        <f>I322 + (D323-G323)</f>
        <v>#VALUE!</v>
      </c>
      <c r="M323">
        <v>116405</v>
      </c>
      <c r="N323">
        <v>60</v>
      </c>
      <c r="O323" t="s">
        <v>60</v>
      </c>
      <c r="P323">
        <v>1</v>
      </c>
      <c r="R323">
        <v>1450</v>
      </c>
      <c r="S323" s="17">
        <v>42166</v>
      </c>
      <c r="T323" s="17">
        <v>42166</v>
      </c>
      <c r="W323">
        <v>2015</v>
      </c>
      <c r="X323">
        <v>60</v>
      </c>
      <c r="AC323" t="s">
        <v>65</v>
      </c>
      <c r="AD323" t="s">
        <v>302</v>
      </c>
      <c r="AE323" t="s">
        <v>46</v>
      </c>
      <c r="AG323">
        <v>52</v>
      </c>
      <c r="AH323">
        <v>2</v>
      </c>
      <c r="AI323" t="s">
        <v>50</v>
      </c>
      <c r="AK323">
        <v>0</v>
      </c>
      <c r="AM323">
        <v>0</v>
      </c>
      <c r="AP323" t="s">
        <v>325</v>
      </c>
    </row>
    <row r="324" spans="1:42" customFormat="1">
      <c r="A324">
        <v>272823</v>
      </c>
      <c r="B324" t="s">
        <v>4562</v>
      </c>
      <c r="C324" t="s">
        <v>4563</v>
      </c>
      <c r="D324" s="22">
        <v>0</v>
      </c>
      <c r="E324" s="17">
        <v>42149</v>
      </c>
      <c r="F324" s="18">
        <v>0.54438657407407409</v>
      </c>
      <c r="G324" s="22">
        <v>2700</v>
      </c>
      <c r="H324">
        <v>0</v>
      </c>
      <c r="I324" s="19" t="e">
        <f>I323 + (D324-G324)</f>
        <v>#VALUE!</v>
      </c>
      <c r="M324">
        <v>119639</v>
      </c>
      <c r="N324">
        <v>60</v>
      </c>
      <c r="O324" t="s">
        <v>60</v>
      </c>
      <c r="P324">
        <v>1</v>
      </c>
      <c r="R324">
        <v>1450</v>
      </c>
      <c r="S324" s="17">
        <v>42166</v>
      </c>
      <c r="T324" s="17">
        <v>42166</v>
      </c>
      <c r="W324">
        <v>2015</v>
      </c>
      <c r="X324">
        <v>60</v>
      </c>
      <c r="AC324" t="s">
        <v>65</v>
      </c>
      <c r="AD324" t="s">
        <v>302</v>
      </c>
      <c r="AE324" t="s">
        <v>46</v>
      </c>
      <c r="AG324">
        <v>52</v>
      </c>
      <c r="AH324">
        <v>2</v>
      </c>
      <c r="AI324" t="s">
        <v>50</v>
      </c>
      <c r="AK324">
        <v>0</v>
      </c>
      <c r="AM324">
        <v>0</v>
      </c>
      <c r="AP324" t="s">
        <v>325</v>
      </c>
    </row>
    <row r="325" spans="1:42" customFormat="1">
      <c r="A325">
        <v>272826</v>
      </c>
      <c r="B325" t="s">
        <v>4566</v>
      </c>
      <c r="C325" t="s">
        <v>4567</v>
      </c>
      <c r="D325" s="22">
        <v>0</v>
      </c>
      <c r="E325" s="17">
        <v>42149</v>
      </c>
      <c r="F325" s="18">
        <v>0.54498842592592589</v>
      </c>
      <c r="G325" s="22">
        <v>8000</v>
      </c>
      <c r="H325">
        <v>0</v>
      </c>
      <c r="I325" s="19" t="e">
        <f>I324 + (D325-G325)</f>
        <v>#VALUE!</v>
      </c>
      <c r="M325">
        <v>123584</v>
      </c>
      <c r="N325">
        <v>60</v>
      </c>
      <c r="O325" t="s">
        <v>60</v>
      </c>
      <c r="P325">
        <v>1</v>
      </c>
      <c r="R325">
        <v>1450</v>
      </c>
      <c r="S325" s="17">
        <v>42166</v>
      </c>
      <c r="T325" s="17">
        <v>42166</v>
      </c>
      <c r="W325">
        <v>2015</v>
      </c>
      <c r="X325">
        <v>60</v>
      </c>
      <c r="AC325" t="s">
        <v>65</v>
      </c>
      <c r="AD325" t="s">
        <v>302</v>
      </c>
      <c r="AE325" t="s">
        <v>46</v>
      </c>
      <c r="AG325">
        <v>52</v>
      </c>
      <c r="AH325">
        <v>2</v>
      </c>
      <c r="AI325" t="s">
        <v>50</v>
      </c>
      <c r="AK325">
        <v>0</v>
      </c>
      <c r="AM325">
        <v>0</v>
      </c>
      <c r="AP325" t="s">
        <v>325</v>
      </c>
    </row>
    <row r="326" spans="1:42" customFormat="1">
      <c r="A326">
        <v>272827</v>
      </c>
      <c r="B326" t="s">
        <v>4568</v>
      </c>
      <c r="C326" t="s">
        <v>4569</v>
      </c>
      <c r="D326" s="22">
        <v>0</v>
      </c>
      <c r="E326" s="17">
        <v>42149</v>
      </c>
      <c r="F326" s="18">
        <v>0.54543981481481485</v>
      </c>
      <c r="G326" s="22">
        <v>21182</v>
      </c>
      <c r="H326">
        <v>0</v>
      </c>
      <c r="I326" s="19" t="e">
        <f>I325 + (D326-G326)</f>
        <v>#VALUE!</v>
      </c>
      <c r="M326">
        <v>123604</v>
      </c>
      <c r="N326">
        <v>60</v>
      </c>
      <c r="O326" t="s">
        <v>60</v>
      </c>
      <c r="P326">
        <v>1</v>
      </c>
      <c r="R326">
        <v>1450</v>
      </c>
      <c r="S326" s="17">
        <v>42166</v>
      </c>
      <c r="T326" s="17">
        <v>42166</v>
      </c>
      <c r="W326">
        <v>2015</v>
      </c>
      <c r="X326">
        <v>60</v>
      </c>
      <c r="AC326" t="s">
        <v>65</v>
      </c>
      <c r="AD326" t="s">
        <v>302</v>
      </c>
      <c r="AE326" t="s">
        <v>46</v>
      </c>
      <c r="AG326">
        <v>52</v>
      </c>
      <c r="AH326">
        <v>2</v>
      </c>
      <c r="AI326" t="s">
        <v>50</v>
      </c>
      <c r="AK326">
        <v>0</v>
      </c>
      <c r="AM326">
        <v>0</v>
      </c>
      <c r="AP326" t="s">
        <v>325</v>
      </c>
    </row>
    <row r="327" spans="1:42" customFormat="1">
      <c r="A327">
        <v>273106</v>
      </c>
      <c r="B327" t="s">
        <v>4695</v>
      </c>
      <c r="C327" t="s">
        <v>4696</v>
      </c>
      <c r="D327" s="22">
        <v>0</v>
      </c>
      <c r="E327" s="17">
        <v>42150</v>
      </c>
      <c r="F327" s="18">
        <v>0.37813657407407408</v>
      </c>
      <c r="G327" s="22">
        <v>360</v>
      </c>
      <c r="H327">
        <v>0</v>
      </c>
      <c r="I327" s="19" t="e">
        <f>I326 + (D327-G327)</f>
        <v>#VALUE!</v>
      </c>
      <c r="M327">
        <v>111448</v>
      </c>
      <c r="N327">
        <v>24</v>
      </c>
      <c r="O327" t="s">
        <v>68</v>
      </c>
      <c r="P327">
        <v>1</v>
      </c>
      <c r="R327">
        <v>1450</v>
      </c>
      <c r="S327" s="17">
        <v>42171</v>
      </c>
      <c r="T327" s="17">
        <v>42171</v>
      </c>
      <c r="W327">
        <v>2015</v>
      </c>
      <c r="X327">
        <v>24</v>
      </c>
      <c r="AC327" t="s">
        <v>65</v>
      </c>
      <c r="AD327" t="s">
        <v>302</v>
      </c>
      <c r="AE327" t="s">
        <v>46</v>
      </c>
      <c r="AG327">
        <v>2</v>
      </c>
      <c r="AH327">
        <v>2</v>
      </c>
      <c r="AI327" t="s">
        <v>50</v>
      </c>
      <c r="AK327">
        <v>0</v>
      </c>
      <c r="AM327">
        <v>0</v>
      </c>
      <c r="AP327" t="s">
        <v>2544</v>
      </c>
    </row>
    <row r="328" spans="1:42" customFormat="1">
      <c r="A328">
        <v>273107</v>
      </c>
      <c r="B328" t="s">
        <v>4697</v>
      </c>
      <c r="C328" t="s">
        <v>4698</v>
      </c>
      <c r="D328" s="22">
        <v>0</v>
      </c>
      <c r="E328" s="17">
        <v>42150</v>
      </c>
      <c r="F328" s="18">
        <v>0.37831018518518517</v>
      </c>
      <c r="G328" s="22">
        <v>1101.5999999999999</v>
      </c>
      <c r="H328">
        <v>0</v>
      </c>
      <c r="I328" s="19" t="e">
        <f>I327 + (D328-G328)</f>
        <v>#VALUE!</v>
      </c>
      <c r="M328">
        <v>111483</v>
      </c>
      <c r="N328">
        <v>24</v>
      </c>
      <c r="O328" t="s">
        <v>68</v>
      </c>
      <c r="P328">
        <v>1</v>
      </c>
      <c r="R328">
        <v>1450</v>
      </c>
      <c r="S328" s="17">
        <v>42171</v>
      </c>
      <c r="T328" s="17">
        <v>42171</v>
      </c>
      <c r="W328">
        <v>2015</v>
      </c>
      <c r="X328">
        <v>24</v>
      </c>
      <c r="AC328" t="s">
        <v>65</v>
      </c>
      <c r="AD328" t="s">
        <v>302</v>
      </c>
      <c r="AE328" t="s">
        <v>46</v>
      </c>
      <c r="AG328">
        <v>2</v>
      </c>
      <c r="AH328">
        <v>2</v>
      </c>
      <c r="AI328" t="s">
        <v>50</v>
      </c>
      <c r="AK328">
        <v>0</v>
      </c>
      <c r="AM328">
        <v>0</v>
      </c>
      <c r="AP328" t="s">
        <v>2544</v>
      </c>
    </row>
    <row r="329" spans="1:42" customFormat="1">
      <c r="A329">
        <v>273108</v>
      </c>
      <c r="B329" t="s">
        <v>4699</v>
      </c>
      <c r="C329" t="s">
        <v>4700</v>
      </c>
      <c r="D329" s="22">
        <v>0</v>
      </c>
      <c r="E329" s="17">
        <v>42150</v>
      </c>
      <c r="F329" s="18">
        <v>0.3784837962962963</v>
      </c>
      <c r="G329" s="22">
        <v>3000</v>
      </c>
      <c r="H329">
        <v>0</v>
      </c>
      <c r="I329" s="19" t="e">
        <f>I328 + (D329-G329)</f>
        <v>#VALUE!</v>
      </c>
      <c r="M329">
        <v>111924</v>
      </c>
      <c r="N329">
        <v>24</v>
      </c>
      <c r="O329" t="s">
        <v>68</v>
      </c>
      <c r="P329">
        <v>1</v>
      </c>
      <c r="R329">
        <v>1450</v>
      </c>
      <c r="S329" s="17">
        <v>42171</v>
      </c>
      <c r="T329" s="17">
        <v>42171</v>
      </c>
      <c r="W329">
        <v>2015</v>
      </c>
      <c r="X329">
        <v>24</v>
      </c>
      <c r="AC329" t="s">
        <v>65</v>
      </c>
      <c r="AD329" t="s">
        <v>302</v>
      </c>
      <c r="AE329" t="s">
        <v>46</v>
      </c>
      <c r="AG329">
        <v>2</v>
      </c>
      <c r="AH329">
        <v>2</v>
      </c>
      <c r="AI329" t="s">
        <v>50</v>
      </c>
      <c r="AK329">
        <v>0</v>
      </c>
      <c r="AM329">
        <v>0</v>
      </c>
      <c r="AP329" t="s">
        <v>2544</v>
      </c>
    </row>
    <row r="330" spans="1:42" customFormat="1">
      <c r="A330">
        <v>273109</v>
      </c>
      <c r="B330" t="s">
        <v>4701</v>
      </c>
      <c r="C330" t="s">
        <v>4702</v>
      </c>
      <c r="D330" s="22">
        <v>0</v>
      </c>
      <c r="E330" s="17">
        <v>42150</v>
      </c>
      <c r="F330" s="18">
        <v>0.37864583333333335</v>
      </c>
      <c r="G330" s="22">
        <v>900</v>
      </c>
      <c r="H330">
        <v>0</v>
      </c>
      <c r="I330" s="19" t="e">
        <f>I329 + (D330-G330)</f>
        <v>#VALUE!</v>
      </c>
      <c r="M330">
        <v>111495</v>
      </c>
      <c r="N330">
        <v>24</v>
      </c>
      <c r="O330" t="s">
        <v>68</v>
      </c>
      <c r="P330">
        <v>1</v>
      </c>
      <c r="R330">
        <v>1450</v>
      </c>
      <c r="S330" s="17">
        <v>42171</v>
      </c>
      <c r="T330" s="17">
        <v>42171</v>
      </c>
      <c r="W330">
        <v>2015</v>
      </c>
      <c r="X330">
        <v>24</v>
      </c>
      <c r="AC330" t="s">
        <v>65</v>
      </c>
      <c r="AD330" t="s">
        <v>302</v>
      </c>
      <c r="AE330" t="s">
        <v>46</v>
      </c>
      <c r="AG330">
        <v>2</v>
      </c>
      <c r="AH330">
        <v>2</v>
      </c>
      <c r="AI330" t="s">
        <v>50</v>
      </c>
      <c r="AK330">
        <v>0</v>
      </c>
      <c r="AM330">
        <v>0</v>
      </c>
      <c r="AP330" t="s">
        <v>2544</v>
      </c>
    </row>
    <row r="331" spans="1:42" customFormat="1">
      <c r="A331">
        <v>272895</v>
      </c>
      <c r="B331" t="s">
        <v>4859</v>
      </c>
      <c r="C331" t="s">
        <v>4860</v>
      </c>
      <c r="D331" s="22">
        <v>0</v>
      </c>
      <c r="E331" s="17">
        <v>42150</v>
      </c>
      <c r="F331" s="18">
        <v>0.61371527777777779</v>
      </c>
      <c r="G331" s="22">
        <v>11389</v>
      </c>
      <c r="H331">
        <v>0</v>
      </c>
      <c r="I331" s="19" t="e">
        <f>I330 + (D331-G331)</f>
        <v>#VALUE!</v>
      </c>
      <c r="M331">
        <v>114182</v>
      </c>
      <c r="N331">
        <v>60</v>
      </c>
      <c r="O331" t="s">
        <v>60</v>
      </c>
      <c r="P331">
        <v>1</v>
      </c>
      <c r="R331">
        <v>1450</v>
      </c>
      <c r="S331" s="17">
        <v>42166</v>
      </c>
      <c r="T331" s="17">
        <v>42166</v>
      </c>
      <c r="W331">
        <v>2015</v>
      </c>
      <c r="X331">
        <v>60</v>
      </c>
      <c r="AC331" t="s">
        <v>65</v>
      </c>
      <c r="AD331" t="s">
        <v>302</v>
      </c>
      <c r="AE331" t="s">
        <v>46</v>
      </c>
      <c r="AG331">
        <v>52</v>
      </c>
      <c r="AH331">
        <v>2</v>
      </c>
      <c r="AI331" t="s">
        <v>50</v>
      </c>
      <c r="AK331">
        <v>0</v>
      </c>
      <c r="AM331">
        <v>0</v>
      </c>
      <c r="AP331" t="s">
        <v>325</v>
      </c>
    </row>
    <row r="332" spans="1:42" customFormat="1">
      <c r="A332">
        <v>272896</v>
      </c>
      <c r="B332" t="s">
        <v>4861</v>
      </c>
      <c r="C332" t="s">
        <v>4862</v>
      </c>
      <c r="D332" s="22">
        <v>0</v>
      </c>
      <c r="E332" s="17">
        <v>42150</v>
      </c>
      <c r="F332" s="18">
        <v>0.61456018518518518</v>
      </c>
      <c r="G332" s="22">
        <v>5560</v>
      </c>
      <c r="H332">
        <v>0</v>
      </c>
      <c r="I332" s="19" t="e">
        <f>I331 + (D332-G332)</f>
        <v>#VALUE!</v>
      </c>
      <c r="M332">
        <v>114194</v>
      </c>
      <c r="N332">
        <v>60</v>
      </c>
      <c r="O332" t="s">
        <v>60</v>
      </c>
      <c r="P332">
        <v>1</v>
      </c>
      <c r="R332">
        <v>1450</v>
      </c>
      <c r="S332" s="17">
        <v>42166</v>
      </c>
      <c r="T332" s="17">
        <v>42166</v>
      </c>
      <c r="W332">
        <v>2015</v>
      </c>
      <c r="X332">
        <v>60</v>
      </c>
      <c r="AC332" t="s">
        <v>65</v>
      </c>
      <c r="AD332" t="s">
        <v>302</v>
      </c>
      <c r="AE332" t="s">
        <v>46</v>
      </c>
      <c r="AG332">
        <v>52</v>
      </c>
      <c r="AH332">
        <v>2</v>
      </c>
      <c r="AI332" t="s">
        <v>50</v>
      </c>
      <c r="AK332">
        <v>0</v>
      </c>
      <c r="AM332">
        <v>0</v>
      </c>
      <c r="AP332" t="s">
        <v>325</v>
      </c>
    </row>
    <row r="333" spans="1:42" customFormat="1">
      <c r="A333">
        <v>272897</v>
      </c>
      <c r="B333" t="s">
        <v>4863</v>
      </c>
      <c r="C333" t="s">
        <v>4864</v>
      </c>
      <c r="D333" s="22">
        <v>0</v>
      </c>
      <c r="E333" s="17">
        <v>42150</v>
      </c>
      <c r="F333" s="18">
        <v>0.61483796296296289</v>
      </c>
      <c r="G333" s="22">
        <v>6570</v>
      </c>
      <c r="H333">
        <v>0</v>
      </c>
      <c r="I333" s="19" t="e">
        <f>I332 + (D333-G333)</f>
        <v>#VALUE!</v>
      </c>
      <c r="M333">
        <v>119846</v>
      </c>
      <c r="N333">
        <v>60</v>
      </c>
      <c r="O333" t="s">
        <v>60</v>
      </c>
      <c r="P333">
        <v>1</v>
      </c>
      <c r="R333">
        <v>1450</v>
      </c>
      <c r="S333" s="17">
        <v>42166</v>
      </c>
      <c r="T333" s="17">
        <v>42166</v>
      </c>
      <c r="W333">
        <v>2015</v>
      </c>
      <c r="X333">
        <v>60</v>
      </c>
      <c r="AC333" t="s">
        <v>65</v>
      </c>
      <c r="AD333" t="s">
        <v>302</v>
      </c>
      <c r="AE333" t="s">
        <v>46</v>
      </c>
      <c r="AG333">
        <v>52</v>
      </c>
      <c r="AH333">
        <v>2</v>
      </c>
      <c r="AI333" t="s">
        <v>50</v>
      </c>
      <c r="AK333">
        <v>0</v>
      </c>
      <c r="AM333">
        <v>0</v>
      </c>
      <c r="AP333" t="s">
        <v>325</v>
      </c>
    </row>
    <row r="334" spans="1:42" customFormat="1">
      <c r="A334">
        <v>273112</v>
      </c>
      <c r="B334" t="s">
        <v>4938</v>
      </c>
      <c r="C334" t="s">
        <v>4939</v>
      </c>
      <c r="D334" s="22">
        <v>0</v>
      </c>
      <c r="E334" s="17">
        <v>42151</v>
      </c>
      <c r="F334" s="18">
        <v>0.38038194444444445</v>
      </c>
      <c r="G334" s="22">
        <v>5750</v>
      </c>
      <c r="H334">
        <v>0</v>
      </c>
      <c r="I334" s="19" t="e">
        <f>I333 + (D334-G334)</f>
        <v>#VALUE!</v>
      </c>
      <c r="M334">
        <v>111912</v>
      </c>
      <c r="N334">
        <v>24</v>
      </c>
      <c r="O334" t="s">
        <v>68</v>
      </c>
      <c r="P334">
        <v>1</v>
      </c>
      <c r="R334">
        <v>1450</v>
      </c>
      <c r="S334" s="17">
        <v>42171</v>
      </c>
      <c r="T334" s="17">
        <v>42171</v>
      </c>
      <c r="W334">
        <v>2015</v>
      </c>
      <c r="X334">
        <v>24</v>
      </c>
      <c r="AC334" t="s">
        <v>65</v>
      </c>
      <c r="AD334" t="s">
        <v>302</v>
      </c>
      <c r="AE334" t="s">
        <v>46</v>
      </c>
      <c r="AG334">
        <v>2</v>
      </c>
      <c r="AH334">
        <v>2</v>
      </c>
      <c r="AI334" t="s">
        <v>50</v>
      </c>
      <c r="AK334">
        <v>0</v>
      </c>
      <c r="AM334">
        <v>0</v>
      </c>
      <c r="AP334" t="s">
        <v>2544</v>
      </c>
    </row>
    <row r="335" spans="1:42" customFormat="1">
      <c r="A335">
        <v>272900</v>
      </c>
      <c r="B335" t="s">
        <v>5004</v>
      </c>
      <c r="C335" t="s">
        <v>5005</v>
      </c>
      <c r="D335" s="22">
        <v>0</v>
      </c>
      <c r="E335" s="17">
        <v>42151</v>
      </c>
      <c r="F335" s="18">
        <v>0.61935185185185182</v>
      </c>
      <c r="G335" s="22">
        <v>3000</v>
      </c>
      <c r="H335">
        <v>0</v>
      </c>
      <c r="I335" s="19" t="e">
        <f>I334 + (D335-G335)</f>
        <v>#VALUE!</v>
      </c>
      <c r="M335">
        <v>119459</v>
      </c>
      <c r="N335">
        <v>60</v>
      </c>
      <c r="O335" t="s">
        <v>60</v>
      </c>
      <c r="P335">
        <v>1</v>
      </c>
      <c r="R335">
        <v>1450</v>
      </c>
      <c r="S335" s="17">
        <v>42166</v>
      </c>
      <c r="T335" s="17">
        <v>42166</v>
      </c>
      <c r="W335">
        <v>2015</v>
      </c>
      <c r="X335">
        <v>60</v>
      </c>
      <c r="AC335" t="s">
        <v>65</v>
      </c>
      <c r="AD335" t="s">
        <v>302</v>
      </c>
      <c r="AE335" t="s">
        <v>46</v>
      </c>
      <c r="AG335">
        <v>52</v>
      </c>
      <c r="AH335">
        <v>2</v>
      </c>
      <c r="AI335" t="s">
        <v>50</v>
      </c>
      <c r="AK335">
        <v>0</v>
      </c>
      <c r="AM335">
        <v>0</v>
      </c>
      <c r="AP335" t="s">
        <v>325</v>
      </c>
    </row>
    <row r="336" spans="1:42" customFormat="1">
      <c r="A336">
        <v>272901</v>
      </c>
      <c r="B336" t="s">
        <v>5006</v>
      </c>
      <c r="C336" t="s">
        <v>5007</v>
      </c>
      <c r="D336" s="22">
        <v>0</v>
      </c>
      <c r="E336" s="17">
        <v>42151</v>
      </c>
      <c r="F336" s="18">
        <v>0.6205208333333333</v>
      </c>
      <c r="G336" s="22">
        <v>25000</v>
      </c>
      <c r="H336">
        <v>0</v>
      </c>
      <c r="I336" s="19" t="e">
        <f>I335 + (D336-G336)</f>
        <v>#VALUE!</v>
      </c>
      <c r="M336">
        <v>124013</v>
      </c>
      <c r="N336">
        <v>60</v>
      </c>
      <c r="O336" t="s">
        <v>60</v>
      </c>
      <c r="P336">
        <v>1</v>
      </c>
      <c r="R336">
        <v>1450</v>
      </c>
      <c r="S336" s="17">
        <v>42166</v>
      </c>
      <c r="T336" s="17">
        <v>42166</v>
      </c>
      <c r="W336">
        <v>2015</v>
      </c>
      <c r="X336">
        <v>60</v>
      </c>
      <c r="AC336" t="s">
        <v>65</v>
      </c>
      <c r="AD336" t="s">
        <v>302</v>
      </c>
      <c r="AE336" t="s">
        <v>46</v>
      </c>
      <c r="AG336">
        <v>52</v>
      </c>
      <c r="AH336">
        <v>2</v>
      </c>
      <c r="AI336" t="s">
        <v>50</v>
      </c>
      <c r="AK336">
        <v>0</v>
      </c>
      <c r="AM336">
        <v>0</v>
      </c>
      <c r="AP336" t="s">
        <v>325</v>
      </c>
    </row>
    <row r="337" spans="1:42" customFormat="1">
      <c r="A337">
        <v>273115</v>
      </c>
      <c r="B337" t="s">
        <v>5027</v>
      </c>
      <c r="C337" t="s">
        <v>5028</v>
      </c>
      <c r="D337" s="22">
        <v>0</v>
      </c>
      <c r="E337" s="17">
        <v>42152</v>
      </c>
      <c r="F337" s="18">
        <v>0.3825925925925926</v>
      </c>
      <c r="G337" s="22">
        <v>5754</v>
      </c>
      <c r="H337">
        <v>0</v>
      </c>
      <c r="I337" s="19" t="e">
        <f>I336 + (D337-G337)</f>
        <v>#VALUE!</v>
      </c>
      <c r="M337">
        <v>124350</v>
      </c>
      <c r="N337">
        <v>24</v>
      </c>
      <c r="O337" t="s">
        <v>68</v>
      </c>
      <c r="P337">
        <v>1</v>
      </c>
      <c r="R337">
        <v>1450</v>
      </c>
      <c r="S337" s="17">
        <v>42171</v>
      </c>
      <c r="T337" s="17">
        <v>42171</v>
      </c>
      <c r="W337">
        <v>2015</v>
      </c>
      <c r="X337">
        <v>24</v>
      </c>
      <c r="AC337" t="s">
        <v>65</v>
      </c>
      <c r="AD337" t="s">
        <v>302</v>
      </c>
      <c r="AE337" t="s">
        <v>46</v>
      </c>
      <c r="AG337">
        <v>2</v>
      </c>
      <c r="AH337">
        <v>2</v>
      </c>
      <c r="AI337" t="s">
        <v>50</v>
      </c>
      <c r="AK337">
        <v>0</v>
      </c>
      <c r="AM337">
        <v>0</v>
      </c>
      <c r="AP337" t="s">
        <v>2544</v>
      </c>
    </row>
    <row r="338" spans="1:42" customFormat="1">
      <c r="A338">
        <v>271692</v>
      </c>
      <c r="B338" t="s">
        <v>5130</v>
      </c>
      <c r="C338" t="s">
        <v>5131</v>
      </c>
      <c r="D338" s="22">
        <v>0</v>
      </c>
      <c r="E338" s="17">
        <v>42152</v>
      </c>
      <c r="F338" s="18">
        <v>0.58590277777777777</v>
      </c>
      <c r="G338" s="22">
        <v>10100</v>
      </c>
      <c r="H338">
        <v>0</v>
      </c>
      <c r="I338" s="19" t="e">
        <f>I337 + (D338-G338)</f>
        <v>#VALUE!</v>
      </c>
      <c r="M338">
        <v>107874</v>
      </c>
      <c r="N338">
        <v>24</v>
      </c>
      <c r="O338" t="s">
        <v>68</v>
      </c>
      <c r="P338">
        <v>1</v>
      </c>
      <c r="R338">
        <v>1450</v>
      </c>
      <c r="S338" s="17">
        <v>42158</v>
      </c>
      <c r="T338" s="17">
        <v>42158</v>
      </c>
      <c r="W338">
        <v>2015</v>
      </c>
      <c r="X338">
        <v>24</v>
      </c>
      <c r="AC338" t="s">
        <v>65</v>
      </c>
      <c r="AD338" t="s">
        <v>302</v>
      </c>
      <c r="AE338" t="s">
        <v>46</v>
      </c>
      <c r="AG338">
        <v>52</v>
      </c>
      <c r="AH338">
        <v>2</v>
      </c>
      <c r="AI338" t="s">
        <v>50</v>
      </c>
      <c r="AK338">
        <v>0</v>
      </c>
      <c r="AM338">
        <v>0</v>
      </c>
      <c r="AP338" t="s">
        <v>325</v>
      </c>
    </row>
    <row r="339" spans="1:42" customFormat="1">
      <c r="A339">
        <v>271510</v>
      </c>
      <c r="B339" t="s">
        <v>5159</v>
      </c>
      <c r="C339" t="s">
        <v>5160</v>
      </c>
      <c r="D339" s="22">
        <v>0</v>
      </c>
      <c r="E339" s="17">
        <v>42152</v>
      </c>
      <c r="F339" s="18">
        <v>0.68130787037037033</v>
      </c>
      <c r="G339" s="22">
        <v>240</v>
      </c>
      <c r="H339">
        <v>0</v>
      </c>
      <c r="I339" s="19" t="e">
        <f>I338 + (D339-G339)</f>
        <v>#VALUE!</v>
      </c>
      <c r="M339">
        <v>111898</v>
      </c>
      <c r="N339">
        <v>24</v>
      </c>
      <c r="O339" t="s">
        <v>68</v>
      </c>
      <c r="P339">
        <v>1</v>
      </c>
      <c r="R339">
        <v>1450</v>
      </c>
      <c r="S339" s="17">
        <v>42156</v>
      </c>
      <c r="T339" s="17">
        <v>42156</v>
      </c>
      <c r="W339">
        <v>2015</v>
      </c>
      <c r="X339">
        <v>24</v>
      </c>
      <c r="AC339" t="s">
        <v>65</v>
      </c>
      <c r="AD339" t="s">
        <v>302</v>
      </c>
      <c r="AE339" t="s">
        <v>46</v>
      </c>
      <c r="AG339">
        <v>56</v>
      </c>
      <c r="AH339">
        <v>1</v>
      </c>
      <c r="AI339" t="s">
        <v>58</v>
      </c>
      <c r="AK339">
        <v>0</v>
      </c>
      <c r="AM339">
        <v>0</v>
      </c>
      <c r="AP339" t="s">
        <v>59</v>
      </c>
    </row>
    <row r="340" spans="1:42" customFormat="1">
      <c r="A340">
        <v>271511</v>
      </c>
      <c r="B340" t="s">
        <v>5161</v>
      </c>
      <c r="C340" t="s">
        <v>5162</v>
      </c>
      <c r="D340" s="22">
        <v>0</v>
      </c>
      <c r="E340" s="17">
        <v>42152</v>
      </c>
      <c r="F340" s="18">
        <v>0.68216435185185187</v>
      </c>
      <c r="G340" s="22">
        <v>330</v>
      </c>
      <c r="H340">
        <v>0</v>
      </c>
      <c r="I340" s="19" t="e">
        <f>I339 + (D340-G340)</f>
        <v>#VALUE!</v>
      </c>
      <c r="M340">
        <v>111538</v>
      </c>
      <c r="N340">
        <v>24</v>
      </c>
      <c r="O340" t="s">
        <v>68</v>
      </c>
      <c r="P340">
        <v>1</v>
      </c>
      <c r="R340">
        <v>1450</v>
      </c>
      <c r="S340" s="17">
        <v>42156</v>
      </c>
      <c r="T340" s="17">
        <v>42156</v>
      </c>
      <c r="W340">
        <v>2015</v>
      </c>
      <c r="X340">
        <v>24</v>
      </c>
      <c r="AC340" t="s">
        <v>65</v>
      </c>
      <c r="AD340" t="s">
        <v>302</v>
      </c>
      <c r="AE340" t="s">
        <v>46</v>
      </c>
      <c r="AG340">
        <v>56</v>
      </c>
      <c r="AH340">
        <v>1</v>
      </c>
      <c r="AI340" t="s">
        <v>58</v>
      </c>
      <c r="AK340">
        <v>0</v>
      </c>
      <c r="AM340">
        <v>0</v>
      </c>
      <c r="AP340" t="s">
        <v>59</v>
      </c>
    </row>
    <row r="341" spans="1:42" customFormat="1">
      <c r="A341">
        <v>273127</v>
      </c>
      <c r="B341" t="s">
        <v>5215</v>
      </c>
      <c r="C341" t="s">
        <v>5216</v>
      </c>
      <c r="D341" s="22">
        <v>0</v>
      </c>
      <c r="E341" s="17">
        <v>42153</v>
      </c>
      <c r="F341" s="18">
        <v>0.38664351851851847</v>
      </c>
      <c r="G341" s="22">
        <v>3900</v>
      </c>
      <c r="H341">
        <v>0</v>
      </c>
      <c r="I341" s="19" t="e">
        <f>I340 + (D341-G341)</f>
        <v>#VALUE!</v>
      </c>
      <c r="M341">
        <v>111886</v>
      </c>
      <c r="N341">
        <v>24</v>
      </c>
      <c r="O341" t="s">
        <v>68</v>
      </c>
      <c r="P341">
        <v>1</v>
      </c>
      <c r="R341">
        <v>1450</v>
      </c>
      <c r="S341" s="17">
        <v>42171</v>
      </c>
      <c r="T341" s="17">
        <v>42171</v>
      </c>
      <c r="W341">
        <v>2015</v>
      </c>
      <c r="X341">
        <v>24</v>
      </c>
      <c r="AC341" t="s">
        <v>65</v>
      </c>
      <c r="AD341" t="s">
        <v>302</v>
      </c>
      <c r="AE341" t="s">
        <v>46</v>
      </c>
      <c r="AG341">
        <v>2</v>
      </c>
      <c r="AH341">
        <v>2</v>
      </c>
      <c r="AI341" t="s">
        <v>50</v>
      </c>
      <c r="AK341">
        <v>0</v>
      </c>
      <c r="AM341">
        <v>0</v>
      </c>
      <c r="AP341" t="s">
        <v>2544</v>
      </c>
    </row>
    <row r="342" spans="1:42" customFormat="1">
      <c r="A342">
        <v>271704</v>
      </c>
      <c r="B342" t="s">
        <v>5492</v>
      </c>
      <c r="C342" t="s">
        <v>5493</v>
      </c>
      <c r="D342" s="22">
        <v>0</v>
      </c>
      <c r="E342" s="17">
        <v>42153</v>
      </c>
      <c r="F342" s="18">
        <v>0.58935185185185179</v>
      </c>
      <c r="G342" s="22">
        <v>16700</v>
      </c>
      <c r="H342">
        <v>0</v>
      </c>
      <c r="I342" s="19" t="e">
        <f>I341 + (D342-G342)</f>
        <v>#VALUE!</v>
      </c>
      <c r="M342">
        <v>124010</v>
      </c>
      <c r="N342">
        <v>24</v>
      </c>
      <c r="O342" t="s">
        <v>68</v>
      </c>
      <c r="P342">
        <v>1</v>
      </c>
      <c r="R342">
        <v>1450</v>
      </c>
      <c r="S342" s="17">
        <v>42158</v>
      </c>
      <c r="T342" s="17">
        <v>42158</v>
      </c>
      <c r="W342">
        <v>2015</v>
      </c>
      <c r="X342">
        <v>24</v>
      </c>
      <c r="AC342" t="s">
        <v>65</v>
      </c>
      <c r="AD342" t="s">
        <v>302</v>
      </c>
      <c r="AE342" t="s">
        <v>46</v>
      </c>
      <c r="AG342">
        <v>52</v>
      </c>
      <c r="AH342">
        <v>2</v>
      </c>
      <c r="AI342" t="s">
        <v>50</v>
      </c>
      <c r="AK342">
        <v>0</v>
      </c>
      <c r="AM342">
        <v>0</v>
      </c>
      <c r="AP342" t="s">
        <v>325</v>
      </c>
    </row>
    <row r="343" spans="1:42" customFormat="1">
      <c r="A343">
        <v>271705</v>
      </c>
      <c r="B343" t="s">
        <v>5494</v>
      </c>
      <c r="C343" t="s">
        <v>5495</v>
      </c>
      <c r="D343" s="22">
        <v>0</v>
      </c>
      <c r="E343" s="17">
        <v>42153</v>
      </c>
      <c r="F343" s="18">
        <v>0.58954861111111112</v>
      </c>
      <c r="G343" s="22">
        <v>880</v>
      </c>
      <c r="H343">
        <v>0</v>
      </c>
      <c r="I343" s="19" t="e">
        <f>I342 + (D343-G343)</f>
        <v>#VALUE!</v>
      </c>
      <c r="M343">
        <v>124285</v>
      </c>
      <c r="N343">
        <v>24</v>
      </c>
      <c r="O343" t="s">
        <v>68</v>
      </c>
      <c r="P343">
        <v>2</v>
      </c>
      <c r="R343">
        <v>1450</v>
      </c>
      <c r="S343" s="17">
        <v>42158</v>
      </c>
      <c r="T343" s="17">
        <v>42158</v>
      </c>
      <c r="W343">
        <v>2015</v>
      </c>
      <c r="X343">
        <v>24</v>
      </c>
      <c r="AC343" t="s">
        <v>65</v>
      </c>
      <c r="AD343" t="s">
        <v>302</v>
      </c>
      <c r="AE343" t="s">
        <v>46</v>
      </c>
      <c r="AG343">
        <v>52</v>
      </c>
      <c r="AH343">
        <v>2</v>
      </c>
      <c r="AI343" t="s">
        <v>50</v>
      </c>
      <c r="AK343">
        <v>0</v>
      </c>
      <c r="AM343">
        <v>0</v>
      </c>
      <c r="AP343" t="s">
        <v>325</v>
      </c>
    </row>
    <row r="344" spans="1:42" customFormat="1">
      <c r="A344">
        <v>274092</v>
      </c>
      <c r="B344" t="s">
        <v>102</v>
      </c>
      <c r="C344" t="s">
        <v>5528</v>
      </c>
      <c r="D344" s="22">
        <v>0</v>
      </c>
      <c r="E344" s="17">
        <v>42153</v>
      </c>
      <c r="F344" s="18">
        <v>0.59256944444444448</v>
      </c>
      <c r="G344" s="22">
        <v>42167</v>
      </c>
      <c r="H344">
        <v>0</v>
      </c>
      <c r="I344" s="19" t="e">
        <f>I343 + (D344-G344)</f>
        <v>#VALUE!</v>
      </c>
      <c r="N344">
        <v>60</v>
      </c>
      <c r="O344" t="s">
        <v>60</v>
      </c>
      <c r="P344">
        <v>1</v>
      </c>
      <c r="R344">
        <v>1450</v>
      </c>
      <c r="S344" s="17">
        <v>42180</v>
      </c>
      <c r="T344" s="17">
        <v>42180</v>
      </c>
      <c r="W344">
        <v>2015</v>
      </c>
      <c r="X344">
        <v>60</v>
      </c>
      <c r="AC344" t="s">
        <v>65</v>
      </c>
      <c r="AD344" t="s">
        <v>302</v>
      </c>
      <c r="AE344" t="s">
        <v>46</v>
      </c>
      <c r="AG344">
        <v>52</v>
      </c>
      <c r="AH344">
        <v>2</v>
      </c>
      <c r="AI344" t="s">
        <v>50</v>
      </c>
      <c r="AM344">
        <v>0</v>
      </c>
      <c r="AP344" t="s">
        <v>325</v>
      </c>
    </row>
    <row r="345" spans="1:42" customFormat="1">
      <c r="A345">
        <v>271512</v>
      </c>
      <c r="B345" t="s">
        <v>5556</v>
      </c>
      <c r="C345" t="s">
        <v>5557</v>
      </c>
      <c r="D345" s="22">
        <v>0</v>
      </c>
      <c r="E345" s="17">
        <v>42153</v>
      </c>
      <c r="F345" s="18">
        <v>0.68260416666666668</v>
      </c>
      <c r="G345" s="22">
        <v>400</v>
      </c>
      <c r="H345">
        <v>0</v>
      </c>
      <c r="I345" s="19" t="e">
        <f>I344 + (D345-G345)</f>
        <v>#VALUE!</v>
      </c>
      <c r="M345">
        <v>111564</v>
      </c>
      <c r="N345">
        <v>24</v>
      </c>
      <c r="O345" t="s">
        <v>68</v>
      </c>
      <c r="P345">
        <v>1</v>
      </c>
      <c r="R345">
        <v>1450</v>
      </c>
      <c r="S345" s="17">
        <v>42156</v>
      </c>
      <c r="T345" s="17">
        <v>42156</v>
      </c>
      <c r="W345">
        <v>2015</v>
      </c>
      <c r="X345">
        <v>24</v>
      </c>
      <c r="AC345" t="s">
        <v>65</v>
      </c>
      <c r="AD345" t="s">
        <v>302</v>
      </c>
      <c r="AE345" t="s">
        <v>46</v>
      </c>
      <c r="AG345">
        <v>56</v>
      </c>
      <c r="AH345">
        <v>1</v>
      </c>
      <c r="AI345" t="s">
        <v>58</v>
      </c>
      <c r="AK345">
        <v>0</v>
      </c>
      <c r="AM345">
        <v>0</v>
      </c>
      <c r="AP345" t="s">
        <v>59</v>
      </c>
    </row>
    <row r="346" spans="1:42" customFormat="1">
      <c r="A346">
        <v>271513</v>
      </c>
      <c r="B346" t="s">
        <v>5558</v>
      </c>
      <c r="C346" t="s">
        <v>5559</v>
      </c>
      <c r="D346" s="22">
        <v>0</v>
      </c>
      <c r="E346" s="17">
        <v>42153</v>
      </c>
      <c r="F346" s="18">
        <v>0.6831018518518519</v>
      </c>
      <c r="G346" s="22">
        <v>360</v>
      </c>
      <c r="H346">
        <v>0</v>
      </c>
      <c r="I346" s="19" t="e">
        <f>I345 + (D346-G346)</f>
        <v>#VALUE!</v>
      </c>
      <c r="M346">
        <v>111552</v>
      </c>
      <c r="N346">
        <v>24</v>
      </c>
      <c r="O346" t="s">
        <v>68</v>
      </c>
      <c r="P346">
        <v>1</v>
      </c>
      <c r="R346">
        <v>1450</v>
      </c>
      <c r="S346" s="17">
        <v>42156</v>
      </c>
      <c r="T346" s="17">
        <v>42156</v>
      </c>
      <c r="W346">
        <v>2015</v>
      </c>
      <c r="X346">
        <v>24</v>
      </c>
      <c r="AC346" t="s">
        <v>65</v>
      </c>
      <c r="AD346" t="s">
        <v>302</v>
      </c>
      <c r="AE346" t="s">
        <v>46</v>
      </c>
      <c r="AG346">
        <v>56</v>
      </c>
      <c r="AH346">
        <v>1</v>
      </c>
      <c r="AI346" t="s">
        <v>58</v>
      </c>
      <c r="AK346">
        <v>0</v>
      </c>
      <c r="AM346">
        <v>0</v>
      </c>
      <c r="AP346" t="s">
        <v>59</v>
      </c>
    </row>
    <row r="347" spans="1:42" customFormat="1">
      <c r="A347">
        <v>269747</v>
      </c>
      <c r="B347" t="s">
        <v>2340</v>
      </c>
      <c r="C347" t="s">
        <v>2341</v>
      </c>
      <c r="D347" s="22">
        <v>0</v>
      </c>
      <c r="E347" s="17">
        <v>42134</v>
      </c>
      <c r="F347" s="18">
        <v>0.44259259259259259</v>
      </c>
      <c r="G347" s="22">
        <v>150</v>
      </c>
      <c r="H347">
        <v>0</v>
      </c>
      <c r="I347" s="19" t="e">
        <f>I346 + (D347-G347)</f>
        <v>#VALUE!</v>
      </c>
      <c r="M347">
        <v>123247</v>
      </c>
      <c r="N347">
        <v>24</v>
      </c>
      <c r="O347" t="s">
        <v>68</v>
      </c>
      <c r="P347">
        <v>1</v>
      </c>
      <c r="R347">
        <v>547</v>
      </c>
      <c r="S347" s="17">
        <v>42137</v>
      </c>
      <c r="T347" s="17">
        <v>42137</v>
      </c>
      <c r="W347">
        <v>2015</v>
      </c>
      <c r="X347">
        <v>24</v>
      </c>
      <c r="AC347" t="s">
        <v>2342</v>
      </c>
      <c r="AD347" t="s">
        <v>301</v>
      </c>
      <c r="AE347" t="s">
        <v>46</v>
      </c>
      <c r="AG347">
        <v>56</v>
      </c>
      <c r="AH347">
        <v>1</v>
      </c>
      <c r="AI347" t="s">
        <v>58</v>
      </c>
      <c r="AK347">
        <v>0</v>
      </c>
      <c r="AM347">
        <v>0</v>
      </c>
      <c r="AP347" t="s">
        <v>59</v>
      </c>
    </row>
    <row r="348" spans="1:42" customFormat="1">
      <c r="A348">
        <v>271338</v>
      </c>
      <c r="B348" t="s">
        <v>5014</v>
      </c>
      <c r="C348" t="s">
        <v>5015</v>
      </c>
      <c r="D348" s="22">
        <v>0</v>
      </c>
      <c r="E348" s="17">
        <v>42151</v>
      </c>
      <c r="F348" s="18">
        <v>0.65664351851851854</v>
      </c>
      <c r="G348" s="22">
        <v>2000</v>
      </c>
      <c r="H348">
        <v>0</v>
      </c>
      <c r="I348" s="19" t="e">
        <f>I347 + (D348-G348)</f>
        <v>#VALUE!</v>
      </c>
      <c r="M348">
        <v>124264</v>
      </c>
      <c r="N348">
        <v>24</v>
      </c>
      <c r="O348" t="s">
        <v>68</v>
      </c>
      <c r="P348">
        <v>1</v>
      </c>
      <c r="R348">
        <v>549</v>
      </c>
      <c r="S348" s="17">
        <v>42151</v>
      </c>
      <c r="T348" s="17">
        <v>42151</v>
      </c>
      <c r="W348">
        <v>2015</v>
      </c>
      <c r="X348">
        <v>24</v>
      </c>
      <c r="AC348" t="s">
        <v>155</v>
      </c>
      <c r="AD348" t="s">
        <v>301</v>
      </c>
      <c r="AE348" t="s">
        <v>46</v>
      </c>
      <c r="AG348">
        <v>8</v>
      </c>
      <c r="AH348">
        <v>9</v>
      </c>
      <c r="AI348" t="s">
        <v>54</v>
      </c>
      <c r="AK348">
        <v>0</v>
      </c>
      <c r="AM348">
        <v>0</v>
      </c>
      <c r="AP348" t="s">
        <v>1201</v>
      </c>
    </row>
    <row r="349" spans="1:42" customFormat="1">
      <c r="A349">
        <v>273003</v>
      </c>
      <c r="B349" t="s">
        <v>102</v>
      </c>
      <c r="C349" t="s">
        <v>5029</v>
      </c>
      <c r="D349" s="22">
        <v>46.5</v>
      </c>
      <c r="E349" s="17">
        <v>42152</v>
      </c>
      <c r="F349" s="18">
        <v>0.39871527777777777</v>
      </c>
      <c r="G349" s="22">
        <v>0</v>
      </c>
      <c r="H349">
        <v>0</v>
      </c>
      <c r="I349" s="19" t="e">
        <f>I348 + (D349-G349)</f>
        <v>#VALUE!</v>
      </c>
      <c r="N349">
        <v>24</v>
      </c>
      <c r="O349" t="s">
        <v>68</v>
      </c>
      <c r="P349">
        <v>1</v>
      </c>
      <c r="R349">
        <v>549</v>
      </c>
      <c r="S349" s="17">
        <v>42167</v>
      </c>
      <c r="T349" s="17">
        <v>42167</v>
      </c>
      <c r="W349">
        <v>2015</v>
      </c>
      <c r="X349">
        <v>24</v>
      </c>
      <c r="AC349" t="s">
        <v>155</v>
      </c>
      <c r="AD349" t="s">
        <v>301</v>
      </c>
      <c r="AE349" t="s">
        <v>46</v>
      </c>
      <c r="AG349">
        <v>8</v>
      </c>
      <c r="AH349">
        <v>9</v>
      </c>
      <c r="AI349" t="s">
        <v>54</v>
      </c>
      <c r="AM349">
        <v>0</v>
      </c>
      <c r="AP349" t="s">
        <v>1201</v>
      </c>
    </row>
    <row r="350" spans="1:42" customFormat="1">
      <c r="A350">
        <v>270209</v>
      </c>
      <c r="B350" t="s">
        <v>3570</v>
      </c>
      <c r="C350" t="s">
        <v>3571</v>
      </c>
      <c r="D350" s="22">
        <v>0</v>
      </c>
      <c r="E350" s="17">
        <v>42142</v>
      </c>
      <c r="F350" s="18">
        <v>0.66228009259259257</v>
      </c>
      <c r="G350" s="22">
        <v>679.94</v>
      </c>
      <c r="H350">
        <v>0</v>
      </c>
      <c r="I350" s="19" t="e">
        <f>I349 + (D350-G350)</f>
        <v>#VALUE!</v>
      </c>
      <c r="M350">
        <v>121420</v>
      </c>
      <c r="N350">
        <v>24</v>
      </c>
      <c r="O350" t="s">
        <v>68</v>
      </c>
      <c r="P350">
        <v>1</v>
      </c>
      <c r="R350">
        <v>552</v>
      </c>
      <c r="S350" s="17">
        <v>42142</v>
      </c>
      <c r="T350" s="17">
        <v>42142</v>
      </c>
      <c r="W350">
        <v>2015</v>
      </c>
      <c r="X350">
        <v>24</v>
      </c>
      <c r="AC350" t="s">
        <v>120</v>
      </c>
      <c r="AD350" t="s">
        <v>301</v>
      </c>
      <c r="AE350" t="s">
        <v>46</v>
      </c>
      <c r="AG350">
        <v>56</v>
      </c>
      <c r="AH350">
        <v>1</v>
      </c>
      <c r="AI350" t="s">
        <v>58</v>
      </c>
      <c r="AK350">
        <v>0</v>
      </c>
      <c r="AM350">
        <v>0</v>
      </c>
      <c r="AP350" t="s">
        <v>59</v>
      </c>
    </row>
    <row r="351" spans="1:42" customFormat="1">
      <c r="A351">
        <v>271247</v>
      </c>
      <c r="B351" t="s">
        <v>4764</v>
      </c>
      <c r="C351" t="s">
        <v>4765</v>
      </c>
      <c r="D351" s="22">
        <v>0</v>
      </c>
      <c r="E351" s="17">
        <v>42150</v>
      </c>
      <c r="F351" s="18">
        <v>0.44142361111111111</v>
      </c>
      <c r="G351" s="22">
        <v>570</v>
      </c>
      <c r="H351">
        <v>0</v>
      </c>
      <c r="I351" s="19" t="e">
        <f>I350 + (D351-G351)</f>
        <v>#VALUE!</v>
      </c>
      <c r="M351">
        <v>123573</v>
      </c>
      <c r="N351">
        <v>24</v>
      </c>
      <c r="O351" t="s">
        <v>68</v>
      </c>
      <c r="P351">
        <v>1</v>
      </c>
      <c r="R351">
        <v>552</v>
      </c>
      <c r="S351" s="17">
        <v>42151</v>
      </c>
      <c r="T351" s="17">
        <v>42151</v>
      </c>
      <c r="W351">
        <v>2015</v>
      </c>
      <c r="X351">
        <v>24</v>
      </c>
      <c r="AC351" t="s">
        <v>120</v>
      </c>
      <c r="AD351" t="s">
        <v>301</v>
      </c>
      <c r="AE351" t="s">
        <v>46</v>
      </c>
      <c r="AG351">
        <v>8</v>
      </c>
      <c r="AH351">
        <v>9</v>
      </c>
      <c r="AI351" t="s">
        <v>54</v>
      </c>
      <c r="AK351">
        <v>0</v>
      </c>
      <c r="AM351">
        <v>0</v>
      </c>
      <c r="AP351" t="s">
        <v>1201</v>
      </c>
    </row>
    <row r="352" spans="1:42" customFormat="1">
      <c r="A352">
        <v>270692</v>
      </c>
      <c r="B352" t="s">
        <v>3823</v>
      </c>
      <c r="C352" t="s">
        <v>3824</v>
      </c>
      <c r="D352" s="22">
        <v>0</v>
      </c>
      <c r="E352" s="17">
        <v>42144</v>
      </c>
      <c r="F352" s="18">
        <v>0.3805324074074074</v>
      </c>
      <c r="G352" s="22">
        <v>313.11</v>
      </c>
      <c r="H352">
        <v>0</v>
      </c>
      <c r="I352" s="19" t="e">
        <f>I351 + (D352-G352)</f>
        <v>#VALUE!</v>
      </c>
      <c r="M352">
        <v>119709</v>
      </c>
      <c r="N352">
        <v>24</v>
      </c>
      <c r="O352" t="s">
        <v>68</v>
      </c>
      <c r="P352">
        <v>2</v>
      </c>
      <c r="R352">
        <v>555</v>
      </c>
      <c r="S352" s="17">
        <v>42146</v>
      </c>
      <c r="T352" s="17">
        <v>42146</v>
      </c>
      <c r="W352">
        <v>2015</v>
      </c>
      <c r="X352">
        <v>24</v>
      </c>
      <c r="AC352" t="s">
        <v>3825</v>
      </c>
      <c r="AD352" t="s">
        <v>301</v>
      </c>
      <c r="AE352" t="s">
        <v>46</v>
      </c>
      <c r="AG352">
        <v>4</v>
      </c>
      <c r="AH352">
        <v>9</v>
      </c>
      <c r="AI352" t="s">
        <v>54</v>
      </c>
      <c r="AK352">
        <v>0</v>
      </c>
      <c r="AM352">
        <v>0</v>
      </c>
      <c r="AP352" t="s">
        <v>389</v>
      </c>
    </row>
    <row r="353" spans="1:42" customFormat="1">
      <c r="A353">
        <v>270134</v>
      </c>
      <c r="B353" t="s">
        <v>2355</v>
      </c>
      <c r="C353" t="s">
        <v>2356</v>
      </c>
      <c r="D353" s="22">
        <v>0</v>
      </c>
      <c r="E353" s="17">
        <v>42135</v>
      </c>
      <c r="F353" s="18">
        <v>0.375</v>
      </c>
      <c r="G353" s="22">
        <v>463.73</v>
      </c>
      <c r="H353">
        <v>0</v>
      </c>
      <c r="I353" s="19" t="e">
        <f>I352 + (D353-G353)</f>
        <v>#VALUE!</v>
      </c>
      <c r="M353">
        <v>123480</v>
      </c>
      <c r="N353">
        <v>24</v>
      </c>
      <c r="O353" t="s">
        <v>68</v>
      </c>
      <c r="P353">
        <v>1</v>
      </c>
      <c r="R353">
        <v>578</v>
      </c>
      <c r="S353" s="17">
        <v>42142</v>
      </c>
      <c r="T353" s="17">
        <v>42142</v>
      </c>
      <c r="W353">
        <v>2015</v>
      </c>
      <c r="X353">
        <v>24</v>
      </c>
      <c r="AC353" t="s">
        <v>90</v>
      </c>
      <c r="AD353" t="s">
        <v>301</v>
      </c>
      <c r="AE353" t="s">
        <v>46</v>
      </c>
      <c r="AG353">
        <v>52</v>
      </c>
      <c r="AH353">
        <v>2</v>
      </c>
      <c r="AI353" t="s">
        <v>50</v>
      </c>
      <c r="AK353">
        <v>0</v>
      </c>
      <c r="AM353">
        <v>0</v>
      </c>
      <c r="AP353" t="s">
        <v>325</v>
      </c>
    </row>
    <row r="354" spans="1:42" customFormat="1">
      <c r="A354">
        <v>270152</v>
      </c>
      <c r="B354" t="s">
        <v>2861</v>
      </c>
      <c r="C354" t="s">
        <v>2862</v>
      </c>
      <c r="D354" s="22">
        <v>0</v>
      </c>
      <c r="E354" s="17">
        <v>42136</v>
      </c>
      <c r="F354" s="18">
        <v>0.38101851851851848</v>
      </c>
      <c r="G354" s="22">
        <v>8547</v>
      </c>
      <c r="H354">
        <v>0</v>
      </c>
      <c r="I354" s="19" t="e">
        <f>I353 + (D354-G354)</f>
        <v>#VALUE!</v>
      </c>
      <c r="M354">
        <v>122911</v>
      </c>
      <c r="N354">
        <v>24</v>
      </c>
      <c r="O354" t="s">
        <v>68</v>
      </c>
      <c r="P354">
        <v>1</v>
      </c>
      <c r="R354">
        <v>578</v>
      </c>
      <c r="S354" s="17">
        <v>42142</v>
      </c>
      <c r="T354" s="17">
        <v>42142</v>
      </c>
      <c r="W354">
        <v>2015</v>
      </c>
      <c r="X354">
        <v>24</v>
      </c>
      <c r="AC354" t="s">
        <v>90</v>
      </c>
      <c r="AD354" t="s">
        <v>301</v>
      </c>
      <c r="AE354" t="s">
        <v>46</v>
      </c>
      <c r="AG354">
        <v>52</v>
      </c>
      <c r="AH354">
        <v>2</v>
      </c>
      <c r="AI354" t="s">
        <v>50</v>
      </c>
      <c r="AK354">
        <v>0</v>
      </c>
      <c r="AM354">
        <v>0</v>
      </c>
      <c r="AP354" t="s">
        <v>325</v>
      </c>
    </row>
    <row r="355" spans="1:42" customFormat="1">
      <c r="A355">
        <v>270408</v>
      </c>
      <c r="B355" t="s">
        <v>2984</v>
      </c>
      <c r="C355" t="s">
        <v>2985</v>
      </c>
      <c r="D355" s="22">
        <v>0</v>
      </c>
      <c r="E355" s="17">
        <v>42137</v>
      </c>
      <c r="F355" s="18">
        <v>0.45162037037037034</v>
      </c>
      <c r="G355" s="22">
        <v>4273.5</v>
      </c>
      <c r="H355">
        <v>0</v>
      </c>
      <c r="I355" s="19" t="e">
        <f>I354 + (D355-G355)</f>
        <v>#VALUE!</v>
      </c>
      <c r="M355">
        <v>122909</v>
      </c>
      <c r="N355">
        <v>24</v>
      </c>
      <c r="O355" t="s">
        <v>68</v>
      </c>
      <c r="P355">
        <v>1</v>
      </c>
      <c r="R355">
        <v>578</v>
      </c>
      <c r="S355" s="17">
        <v>42144</v>
      </c>
      <c r="T355" s="17">
        <v>42144</v>
      </c>
      <c r="W355">
        <v>2015</v>
      </c>
      <c r="X355">
        <v>24</v>
      </c>
      <c r="AC355" t="s">
        <v>90</v>
      </c>
      <c r="AD355" t="s">
        <v>301</v>
      </c>
      <c r="AE355" t="s">
        <v>46</v>
      </c>
      <c r="AG355">
        <v>52</v>
      </c>
      <c r="AH355">
        <v>2</v>
      </c>
      <c r="AI355" t="s">
        <v>50</v>
      </c>
      <c r="AK355">
        <v>0</v>
      </c>
      <c r="AM355">
        <v>0</v>
      </c>
      <c r="AP355" t="s">
        <v>325</v>
      </c>
    </row>
    <row r="356" spans="1:42" customFormat="1">
      <c r="A356">
        <v>270409</v>
      </c>
      <c r="B356" t="s">
        <v>2986</v>
      </c>
      <c r="C356" t="s">
        <v>2987</v>
      </c>
      <c r="D356" s="22">
        <v>0</v>
      </c>
      <c r="E356" s="17">
        <v>42137</v>
      </c>
      <c r="F356" s="18">
        <v>0.45184027777777774</v>
      </c>
      <c r="G356" s="22">
        <v>2576.6999999999998</v>
      </c>
      <c r="H356">
        <v>0</v>
      </c>
      <c r="I356" s="19" t="e">
        <f>I355 + (D356-G356)</f>
        <v>#VALUE!</v>
      </c>
      <c r="M356">
        <v>122915</v>
      </c>
      <c r="N356">
        <v>24</v>
      </c>
      <c r="O356" t="s">
        <v>68</v>
      </c>
      <c r="P356">
        <v>1</v>
      </c>
      <c r="R356">
        <v>578</v>
      </c>
      <c r="S356" s="17">
        <v>42144</v>
      </c>
      <c r="T356" s="17">
        <v>42144</v>
      </c>
      <c r="W356">
        <v>2015</v>
      </c>
      <c r="X356">
        <v>24</v>
      </c>
      <c r="AC356" t="s">
        <v>90</v>
      </c>
      <c r="AD356" t="s">
        <v>301</v>
      </c>
      <c r="AE356" t="s">
        <v>46</v>
      </c>
      <c r="AG356">
        <v>52</v>
      </c>
      <c r="AH356">
        <v>2</v>
      </c>
      <c r="AI356" t="s">
        <v>50</v>
      </c>
      <c r="AK356">
        <v>0</v>
      </c>
      <c r="AM356">
        <v>0</v>
      </c>
      <c r="AP356" t="s">
        <v>325</v>
      </c>
    </row>
    <row r="357" spans="1:42" customFormat="1">
      <c r="A357">
        <v>270412</v>
      </c>
      <c r="B357" t="s">
        <v>2990</v>
      </c>
      <c r="C357" t="s">
        <v>2991</v>
      </c>
      <c r="D357" s="22">
        <v>0</v>
      </c>
      <c r="E357" s="17">
        <v>42137</v>
      </c>
      <c r="F357" s="18">
        <v>0.45241898148148146</v>
      </c>
      <c r="G357" s="22">
        <v>2704.07</v>
      </c>
      <c r="H357">
        <v>0</v>
      </c>
      <c r="I357" s="19" t="e">
        <f>I356 + (D357-G357)</f>
        <v>#VALUE!</v>
      </c>
      <c r="M357">
        <v>122912</v>
      </c>
      <c r="N357">
        <v>24</v>
      </c>
      <c r="O357" t="s">
        <v>68</v>
      </c>
      <c r="P357">
        <v>1</v>
      </c>
      <c r="R357">
        <v>578</v>
      </c>
      <c r="S357" s="17">
        <v>42144</v>
      </c>
      <c r="T357" s="17">
        <v>42144</v>
      </c>
      <c r="W357">
        <v>2015</v>
      </c>
      <c r="X357">
        <v>24</v>
      </c>
      <c r="AC357" t="s">
        <v>90</v>
      </c>
      <c r="AD357" t="s">
        <v>301</v>
      </c>
      <c r="AE357" t="s">
        <v>46</v>
      </c>
      <c r="AG357">
        <v>52</v>
      </c>
      <c r="AH357">
        <v>2</v>
      </c>
      <c r="AI357" t="s">
        <v>50</v>
      </c>
      <c r="AK357">
        <v>0</v>
      </c>
      <c r="AM357">
        <v>0</v>
      </c>
      <c r="AP357" t="s">
        <v>325</v>
      </c>
    </row>
    <row r="358" spans="1:42" customFormat="1">
      <c r="A358">
        <v>270413</v>
      </c>
      <c r="B358" t="s">
        <v>2992</v>
      </c>
      <c r="C358" t="s">
        <v>2993</v>
      </c>
      <c r="D358" s="22">
        <v>0</v>
      </c>
      <c r="E358" s="17">
        <v>42137</v>
      </c>
      <c r="F358" s="18">
        <v>0.45258101851851856</v>
      </c>
      <c r="G358" s="22">
        <v>3246</v>
      </c>
      <c r="H358">
        <v>0</v>
      </c>
      <c r="I358" s="19" t="e">
        <f>I357 + (D358-G358)</f>
        <v>#VALUE!</v>
      </c>
      <c r="M358">
        <v>122906</v>
      </c>
      <c r="N358">
        <v>24</v>
      </c>
      <c r="O358" t="s">
        <v>68</v>
      </c>
      <c r="P358">
        <v>1</v>
      </c>
      <c r="R358">
        <v>578</v>
      </c>
      <c r="S358" s="17">
        <v>42144</v>
      </c>
      <c r="T358" s="17">
        <v>42144</v>
      </c>
      <c r="W358">
        <v>2015</v>
      </c>
      <c r="X358">
        <v>24</v>
      </c>
      <c r="AC358" t="s">
        <v>90</v>
      </c>
      <c r="AD358" t="s">
        <v>301</v>
      </c>
      <c r="AE358" t="s">
        <v>46</v>
      </c>
      <c r="AG358">
        <v>52</v>
      </c>
      <c r="AH358">
        <v>2</v>
      </c>
      <c r="AI358" t="s">
        <v>50</v>
      </c>
      <c r="AK358">
        <v>0</v>
      </c>
      <c r="AM358">
        <v>0</v>
      </c>
      <c r="AP358" t="s">
        <v>325</v>
      </c>
    </row>
    <row r="359" spans="1:42" customFormat="1">
      <c r="A359">
        <v>270417</v>
      </c>
      <c r="B359" t="s">
        <v>2996</v>
      </c>
      <c r="C359" t="s">
        <v>2997</v>
      </c>
      <c r="D359" s="22">
        <v>0</v>
      </c>
      <c r="E359" s="17">
        <v>42137</v>
      </c>
      <c r="F359" s="18">
        <v>0.45350694444444445</v>
      </c>
      <c r="G359" s="22">
        <v>3630</v>
      </c>
      <c r="H359">
        <v>0</v>
      </c>
      <c r="I359" s="19" t="e">
        <f>I358 + (D359-G359)</f>
        <v>#VALUE!</v>
      </c>
      <c r="M359">
        <v>122902</v>
      </c>
      <c r="N359">
        <v>24</v>
      </c>
      <c r="O359" t="s">
        <v>68</v>
      </c>
      <c r="P359">
        <v>1</v>
      </c>
      <c r="R359">
        <v>578</v>
      </c>
      <c r="S359" s="17">
        <v>42144</v>
      </c>
      <c r="T359" s="17">
        <v>42144</v>
      </c>
      <c r="W359">
        <v>2015</v>
      </c>
      <c r="X359">
        <v>24</v>
      </c>
      <c r="AC359" t="s">
        <v>90</v>
      </c>
      <c r="AD359" t="s">
        <v>301</v>
      </c>
      <c r="AE359" t="s">
        <v>46</v>
      </c>
      <c r="AG359">
        <v>52</v>
      </c>
      <c r="AH359">
        <v>2</v>
      </c>
      <c r="AI359" t="s">
        <v>50</v>
      </c>
      <c r="AK359">
        <v>0</v>
      </c>
      <c r="AM359">
        <v>0</v>
      </c>
      <c r="AP359" t="s">
        <v>325</v>
      </c>
    </row>
    <row r="360" spans="1:42" customFormat="1">
      <c r="A360">
        <v>270419</v>
      </c>
      <c r="B360" t="s">
        <v>3000</v>
      </c>
      <c r="C360" t="s">
        <v>3001</v>
      </c>
      <c r="D360" s="22">
        <v>0</v>
      </c>
      <c r="E360" s="17">
        <v>42137</v>
      </c>
      <c r="F360" s="18">
        <v>0.4539583333333333</v>
      </c>
      <c r="G360" s="22">
        <v>6492</v>
      </c>
      <c r="H360">
        <v>0</v>
      </c>
      <c r="I360" s="19" t="e">
        <f>I359 + (D360-G360)</f>
        <v>#VALUE!</v>
      </c>
      <c r="M360">
        <v>122913</v>
      </c>
      <c r="N360">
        <v>24</v>
      </c>
      <c r="O360" t="s">
        <v>68</v>
      </c>
      <c r="P360">
        <v>1</v>
      </c>
      <c r="R360">
        <v>578</v>
      </c>
      <c r="S360" s="17">
        <v>42144</v>
      </c>
      <c r="T360" s="17">
        <v>42144</v>
      </c>
      <c r="W360">
        <v>2015</v>
      </c>
      <c r="X360">
        <v>24</v>
      </c>
      <c r="AC360" t="s">
        <v>90</v>
      </c>
      <c r="AD360" t="s">
        <v>301</v>
      </c>
      <c r="AE360" t="s">
        <v>46</v>
      </c>
      <c r="AG360">
        <v>52</v>
      </c>
      <c r="AH360">
        <v>2</v>
      </c>
      <c r="AI360" t="s">
        <v>50</v>
      </c>
      <c r="AK360">
        <v>0</v>
      </c>
      <c r="AM360">
        <v>0</v>
      </c>
      <c r="AP360" t="s">
        <v>325</v>
      </c>
    </row>
    <row r="361" spans="1:42" customFormat="1">
      <c r="A361">
        <v>270423</v>
      </c>
      <c r="B361" t="s">
        <v>3008</v>
      </c>
      <c r="C361" t="s">
        <v>3009</v>
      </c>
      <c r="D361" s="22">
        <v>0</v>
      </c>
      <c r="E361" s="17">
        <v>42137</v>
      </c>
      <c r="F361" s="18">
        <v>0.45461805555555551</v>
      </c>
      <c r="G361" s="22">
        <v>930.66</v>
      </c>
      <c r="H361">
        <v>0</v>
      </c>
      <c r="I361" s="19" t="e">
        <f>I360 + (D361-G361)</f>
        <v>#VALUE!</v>
      </c>
      <c r="M361">
        <v>123546</v>
      </c>
      <c r="N361">
        <v>24</v>
      </c>
      <c r="O361" t="s">
        <v>68</v>
      </c>
      <c r="P361">
        <v>1</v>
      </c>
      <c r="R361">
        <v>578</v>
      </c>
      <c r="S361" s="17">
        <v>42144</v>
      </c>
      <c r="T361" s="17">
        <v>42144</v>
      </c>
      <c r="W361">
        <v>2015</v>
      </c>
      <c r="X361">
        <v>24</v>
      </c>
      <c r="AC361" t="s">
        <v>90</v>
      </c>
      <c r="AD361" t="s">
        <v>301</v>
      </c>
      <c r="AE361" t="s">
        <v>46</v>
      </c>
      <c r="AG361">
        <v>52</v>
      </c>
      <c r="AH361">
        <v>2</v>
      </c>
      <c r="AI361" t="s">
        <v>50</v>
      </c>
      <c r="AK361">
        <v>0</v>
      </c>
      <c r="AM361">
        <v>0</v>
      </c>
      <c r="AP361" t="s">
        <v>325</v>
      </c>
    </row>
    <row r="362" spans="1:42" customFormat="1">
      <c r="A362">
        <v>270432</v>
      </c>
      <c r="B362" t="s">
        <v>3025</v>
      </c>
      <c r="C362" t="s">
        <v>3026</v>
      </c>
      <c r="D362" s="22">
        <v>0</v>
      </c>
      <c r="E362" s="17">
        <v>42137</v>
      </c>
      <c r="F362" s="18">
        <v>0.45681712962962967</v>
      </c>
      <c r="G362" s="22">
        <v>4500</v>
      </c>
      <c r="H362">
        <v>0</v>
      </c>
      <c r="I362" s="19" t="e">
        <f>I361 + (D362-G362)</f>
        <v>#VALUE!</v>
      </c>
      <c r="M362">
        <v>123589</v>
      </c>
      <c r="N362">
        <v>24</v>
      </c>
      <c r="O362" t="s">
        <v>68</v>
      </c>
      <c r="P362">
        <v>1</v>
      </c>
      <c r="R362">
        <v>578</v>
      </c>
      <c r="S362" s="17">
        <v>42144</v>
      </c>
      <c r="T362" s="17">
        <v>42144</v>
      </c>
      <c r="W362">
        <v>2015</v>
      </c>
      <c r="X362">
        <v>24</v>
      </c>
      <c r="AC362" t="s">
        <v>90</v>
      </c>
      <c r="AD362" t="s">
        <v>301</v>
      </c>
      <c r="AE362" t="s">
        <v>46</v>
      </c>
      <c r="AG362">
        <v>52</v>
      </c>
      <c r="AH362">
        <v>2</v>
      </c>
      <c r="AI362" t="s">
        <v>50</v>
      </c>
      <c r="AK362">
        <v>0</v>
      </c>
      <c r="AM362">
        <v>0</v>
      </c>
      <c r="AP362" t="s">
        <v>325</v>
      </c>
    </row>
    <row r="363" spans="1:42" customFormat="1">
      <c r="A363">
        <v>270537</v>
      </c>
      <c r="B363" t="s">
        <v>3379</v>
      </c>
      <c r="C363" t="s">
        <v>3380</v>
      </c>
      <c r="D363" s="22">
        <v>0</v>
      </c>
      <c r="E363" s="17">
        <v>42139</v>
      </c>
      <c r="F363" s="18">
        <v>0.40226851851851847</v>
      </c>
      <c r="G363" s="22">
        <v>10000</v>
      </c>
      <c r="H363">
        <v>0</v>
      </c>
      <c r="I363" s="19" t="e">
        <f>I362 + (D363-G363)</f>
        <v>#VALUE!</v>
      </c>
      <c r="M363">
        <v>119659</v>
      </c>
      <c r="N363">
        <v>24</v>
      </c>
      <c r="O363" t="s">
        <v>68</v>
      </c>
      <c r="P363">
        <v>1</v>
      </c>
      <c r="R363">
        <v>578</v>
      </c>
      <c r="S363" s="17">
        <v>42145</v>
      </c>
      <c r="T363" s="17">
        <v>42145</v>
      </c>
      <c r="W363">
        <v>2015</v>
      </c>
      <c r="X363">
        <v>24</v>
      </c>
      <c r="AC363" t="s">
        <v>90</v>
      </c>
      <c r="AD363" t="s">
        <v>301</v>
      </c>
      <c r="AE363" t="s">
        <v>46</v>
      </c>
      <c r="AG363">
        <v>52</v>
      </c>
      <c r="AH363">
        <v>2</v>
      </c>
      <c r="AI363" t="s">
        <v>50</v>
      </c>
      <c r="AK363">
        <v>0</v>
      </c>
      <c r="AM363">
        <v>0</v>
      </c>
      <c r="AP363" t="s">
        <v>325</v>
      </c>
    </row>
    <row r="364" spans="1:42" customFormat="1">
      <c r="A364">
        <v>273129</v>
      </c>
      <c r="B364" t="s">
        <v>3394</v>
      </c>
      <c r="C364" t="s">
        <v>3395</v>
      </c>
      <c r="D364" s="22">
        <v>0</v>
      </c>
      <c r="E364" s="17">
        <v>42139</v>
      </c>
      <c r="F364" s="18">
        <v>0.4223958333333333</v>
      </c>
      <c r="G364" s="22">
        <v>4000</v>
      </c>
      <c r="H364">
        <v>0</v>
      </c>
      <c r="I364" s="19" t="e">
        <f>I363 + (D364-G364)</f>
        <v>#VALUE!</v>
      </c>
      <c r="M364">
        <v>126934</v>
      </c>
      <c r="N364">
        <v>24</v>
      </c>
      <c r="O364" t="s">
        <v>68</v>
      </c>
      <c r="P364">
        <v>1</v>
      </c>
      <c r="R364">
        <v>578</v>
      </c>
      <c r="S364" s="17">
        <v>42171</v>
      </c>
      <c r="T364" s="17">
        <v>42171</v>
      </c>
      <c r="W364">
        <v>2015</v>
      </c>
      <c r="X364">
        <v>24</v>
      </c>
      <c r="AC364" t="s">
        <v>90</v>
      </c>
      <c r="AD364" t="s">
        <v>301</v>
      </c>
      <c r="AE364" t="s">
        <v>46</v>
      </c>
      <c r="AG364">
        <v>8</v>
      </c>
      <c r="AH364">
        <v>8</v>
      </c>
      <c r="AI364" t="s">
        <v>52</v>
      </c>
      <c r="AK364">
        <v>0</v>
      </c>
      <c r="AM364">
        <v>0</v>
      </c>
      <c r="AP364" t="s">
        <v>1201</v>
      </c>
    </row>
    <row r="365" spans="1:42" customFormat="1">
      <c r="A365">
        <v>270267</v>
      </c>
      <c r="B365" t="s">
        <v>3494</v>
      </c>
      <c r="C365" t="s">
        <v>3495</v>
      </c>
      <c r="D365" s="22">
        <v>0</v>
      </c>
      <c r="E365" s="17">
        <v>42139</v>
      </c>
      <c r="F365" s="18">
        <v>0.68307870370370372</v>
      </c>
      <c r="G365" s="22">
        <v>17521.349999999999</v>
      </c>
      <c r="H365">
        <v>0</v>
      </c>
      <c r="I365" s="19" t="e">
        <f>I364 + (D365-G365)</f>
        <v>#VALUE!</v>
      </c>
      <c r="M365">
        <v>122916</v>
      </c>
      <c r="N365">
        <v>12</v>
      </c>
      <c r="O365" t="s">
        <v>214</v>
      </c>
      <c r="P365">
        <v>1</v>
      </c>
      <c r="R365">
        <v>578</v>
      </c>
      <c r="S365" s="17">
        <v>42142</v>
      </c>
      <c r="T365" s="17">
        <v>42142</v>
      </c>
      <c r="W365">
        <v>2015</v>
      </c>
      <c r="X365">
        <v>12</v>
      </c>
      <c r="AC365" t="s">
        <v>90</v>
      </c>
      <c r="AD365" t="s">
        <v>301</v>
      </c>
      <c r="AE365" t="s">
        <v>46</v>
      </c>
      <c r="AG365">
        <v>26</v>
      </c>
      <c r="AH365">
        <v>8</v>
      </c>
      <c r="AI365" t="s">
        <v>52</v>
      </c>
      <c r="AK365">
        <v>0</v>
      </c>
      <c r="AM365">
        <v>0</v>
      </c>
      <c r="AP365" t="s">
        <v>501</v>
      </c>
    </row>
    <row r="366" spans="1:42" customFormat="1">
      <c r="A366">
        <v>273132</v>
      </c>
      <c r="B366" t="s">
        <v>3721</v>
      </c>
      <c r="C366" t="s">
        <v>3722</v>
      </c>
      <c r="D366" s="22">
        <v>0</v>
      </c>
      <c r="E366" s="17">
        <v>42143</v>
      </c>
      <c r="F366" s="18">
        <v>0.42673611111111115</v>
      </c>
      <c r="G366" s="22">
        <v>2500</v>
      </c>
      <c r="H366">
        <v>0</v>
      </c>
      <c r="I366" s="19" t="e">
        <f>I365 + (D366-G366)</f>
        <v>#VALUE!</v>
      </c>
      <c r="M366">
        <v>126937</v>
      </c>
      <c r="N366">
        <v>24</v>
      </c>
      <c r="O366" t="s">
        <v>68</v>
      </c>
      <c r="P366">
        <v>1</v>
      </c>
      <c r="R366">
        <v>578</v>
      </c>
      <c r="S366" s="17">
        <v>42171</v>
      </c>
      <c r="T366" s="17">
        <v>42171</v>
      </c>
      <c r="W366">
        <v>2015</v>
      </c>
      <c r="X366">
        <v>24</v>
      </c>
      <c r="AC366" t="s">
        <v>90</v>
      </c>
      <c r="AD366" t="s">
        <v>301</v>
      </c>
      <c r="AE366" t="s">
        <v>46</v>
      </c>
      <c r="AG366">
        <v>8</v>
      </c>
      <c r="AH366">
        <v>8</v>
      </c>
      <c r="AI366" t="s">
        <v>52</v>
      </c>
      <c r="AK366">
        <v>0</v>
      </c>
      <c r="AM366">
        <v>0</v>
      </c>
      <c r="AP366" t="s">
        <v>1201</v>
      </c>
    </row>
    <row r="367" spans="1:42" customFormat="1">
      <c r="A367">
        <v>273138</v>
      </c>
      <c r="B367" t="s">
        <v>3748</v>
      </c>
      <c r="C367" t="s">
        <v>3749</v>
      </c>
      <c r="D367" s="22">
        <v>0</v>
      </c>
      <c r="E367" s="17">
        <v>42143</v>
      </c>
      <c r="F367" s="18">
        <v>0.4400810185185185</v>
      </c>
      <c r="G367" s="22">
        <v>4500</v>
      </c>
      <c r="H367">
        <v>0</v>
      </c>
      <c r="I367" s="19" t="e">
        <f>I366 + (D367-G367)</f>
        <v>#VALUE!</v>
      </c>
      <c r="M367">
        <v>126938</v>
      </c>
      <c r="N367">
        <v>24</v>
      </c>
      <c r="O367" t="s">
        <v>68</v>
      </c>
      <c r="P367">
        <v>1</v>
      </c>
      <c r="R367">
        <v>578</v>
      </c>
      <c r="S367" s="17">
        <v>42171</v>
      </c>
      <c r="T367" s="17">
        <v>42171</v>
      </c>
      <c r="W367">
        <v>2015</v>
      </c>
      <c r="X367">
        <v>24</v>
      </c>
      <c r="AC367" t="s">
        <v>90</v>
      </c>
      <c r="AD367" t="s">
        <v>301</v>
      </c>
      <c r="AE367" t="s">
        <v>46</v>
      </c>
      <c r="AG367">
        <v>8</v>
      </c>
      <c r="AH367">
        <v>8</v>
      </c>
      <c r="AI367" t="s">
        <v>52</v>
      </c>
      <c r="AK367">
        <v>0</v>
      </c>
      <c r="AM367">
        <v>0</v>
      </c>
      <c r="AP367" t="s">
        <v>1201</v>
      </c>
    </row>
    <row r="368" spans="1:42" customFormat="1">
      <c r="A368">
        <v>276040</v>
      </c>
      <c r="B368" t="s">
        <v>3787</v>
      </c>
      <c r="C368" t="s">
        <v>3788</v>
      </c>
      <c r="D368" s="22">
        <v>0</v>
      </c>
      <c r="E368" s="17">
        <v>42143</v>
      </c>
      <c r="F368" s="18">
        <v>0.62055555555555553</v>
      </c>
      <c r="G368" s="22">
        <v>15067.5</v>
      </c>
      <c r="H368">
        <v>0</v>
      </c>
      <c r="I368" s="19" t="e">
        <f>I367 + (D368-G368)</f>
        <v>#VALUE!</v>
      </c>
      <c r="M368">
        <v>128609</v>
      </c>
      <c r="N368">
        <v>12</v>
      </c>
      <c r="O368" t="s">
        <v>214</v>
      </c>
      <c r="P368">
        <v>1</v>
      </c>
      <c r="R368">
        <v>578</v>
      </c>
      <c r="S368" s="17">
        <v>42188</v>
      </c>
      <c r="T368" s="17">
        <v>42188</v>
      </c>
      <c r="W368">
        <v>2015</v>
      </c>
      <c r="X368">
        <v>12</v>
      </c>
      <c r="AC368" t="s">
        <v>90</v>
      </c>
      <c r="AD368" t="s">
        <v>301</v>
      </c>
      <c r="AE368" t="s">
        <v>46</v>
      </c>
      <c r="AG368">
        <v>56</v>
      </c>
      <c r="AH368">
        <v>1</v>
      </c>
      <c r="AI368" t="s">
        <v>58</v>
      </c>
      <c r="AK368">
        <v>0</v>
      </c>
      <c r="AM368">
        <v>0</v>
      </c>
      <c r="AP368" t="s">
        <v>59</v>
      </c>
    </row>
    <row r="369" spans="1:42" customFormat="1">
      <c r="A369">
        <v>276042</v>
      </c>
      <c r="B369" t="s">
        <v>3789</v>
      </c>
      <c r="C369" t="s">
        <v>3790</v>
      </c>
      <c r="D369" s="22">
        <v>0</v>
      </c>
      <c r="E369" s="17">
        <v>42143</v>
      </c>
      <c r="F369" s="18">
        <v>0.6256828703703704</v>
      </c>
      <c r="G369" s="22">
        <v>13675.2</v>
      </c>
      <c r="H369">
        <v>0</v>
      </c>
      <c r="I369" s="19" t="e">
        <f>I368 + (D369-G369)</f>
        <v>#VALUE!</v>
      </c>
      <c r="M369">
        <v>128613</v>
      </c>
      <c r="N369">
        <v>12</v>
      </c>
      <c r="O369" t="s">
        <v>214</v>
      </c>
      <c r="P369">
        <v>1</v>
      </c>
      <c r="R369">
        <v>578</v>
      </c>
      <c r="S369" s="17">
        <v>42188</v>
      </c>
      <c r="T369" s="17">
        <v>42188</v>
      </c>
      <c r="W369">
        <v>2015</v>
      </c>
      <c r="X369">
        <v>12</v>
      </c>
      <c r="AC369" t="s">
        <v>90</v>
      </c>
      <c r="AD369" t="s">
        <v>301</v>
      </c>
      <c r="AE369" t="s">
        <v>46</v>
      </c>
      <c r="AG369">
        <v>56</v>
      </c>
      <c r="AH369">
        <v>1</v>
      </c>
      <c r="AI369" t="s">
        <v>58</v>
      </c>
      <c r="AK369">
        <v>0</v>
      </c>
      <c r="AM369">
        <v>0</v>
      </c>
      <c r="AP369" t="s">
        <v>59</v>
      </c>
    </row>
    <row r="370" spans="1:42" customFormat="1">
      <c r="A370">
        <v>276047</v>
      </c>
      <c r="B370" t="s">
        <v>3791</v>
      </c>
      <c r="C370" t="s">
        <v>3792</v>
      </c>
      <c r="D370" s="22">
        <v>0</v>
      </c>
      <c r="E370" s="17">
        <v>42143</v>
      </c>
      <c r="F370" s="18">
        <v>0.63993055555555556</v>
      </c>
      <c r="G370" s="22">
        <v>8174.1</v>
      </c>
      <c r="H370">
        <v>0</v>
      </c>
      <c r="I370" s="19" t="e">
        <f>I369 + (D370-G370)</f>
        <v>#VALUE!</v>
      </c>
      <c r="M370">
        <v>128620</v>
      </c>
      <c r="N370">
        <v>12</v>
      </c>
      <c r="O370" t="s">
        <v>214</v>
      </c>
      <c r="P370">
        <v>1</v>
      </c>
      <c r="R370">
        <v>578</v>
      </c>
      <c r="S370" s="17">
        <v>42188</v>
      </c>
      <c r="T370" s="17">
        <v>42188</v>
      </c>
      <c r="W370">
        <v>2015</v>
      </c>
      <c r="X370">
        <v>12</v>
      </c>
      <c r="AC370" t="s">
        <v>90</v>
      </c>
      <c r="AD370" t="s">
        <v>301</v>
      </c>
      <c r="AE370" t="s">
        <v>46</v>
      </c>
      <c r="AG370">
        <v>8</v>
      </c>
      <c r="AH370">
        <v>8</v>
      </c>
      <c r="AI370" t="s">
        <v>52</v>
      </c>
      <c r="AK370">
        <v>0</v>
      </c>
      <c r="AM370">
        <v>0</v>
      </c>
      <c r="AP370" t="s">
        <v>1201</v>
      </c>
    </row>
    <row r="371" spans="1:42" customFormat="1">
      <c r="A371">
        <v>274078</v>
      </c>
      <c r="B371" t="s">
        <v>3873</v>
      </c>
      <c r="C371" t="s">
        <v>3874</v>
      </c>
      <c r="D371" s="22">
        <v>0</v>
      </c>
      <c r="E371" s="17">
        <v>42144</v>
      </c>
      <c r="F371" s="18">
        <v>0.57456018518518526</v>
      </c>
      <c r="G371" s="22">
        <v>7175.7</v>
      </c>
      <c r="H371">
        <v>0</v>
      </c>
      <c r="I371" s="19" t="e">
        <f>I370 + (D371-G371)</f>
        <v>#VALUE!</v>
      </c>
      <c r="M371">
        <v>127361</v>
      </c>
      <c r="N371">
        <v>24</v>
      </c>
      <c r="O371" t="s">
        <v>68</v>
      </c>
      <c r="P371">
        <v>1</v>
      </c>
      <c r="R371">
        <v>578</v>
      </c>
      <c r="S371" s="17">
        <v>42180</v>
      </c>
      <c r="T371" s="17">
        <v>42180</v>
      </c>
      <c r="W371">
        <v>2015</v>
      </c>
      <c r="X371">
        <v>24</v>
      </c>
      <c r="AC371" t="s">
        <v>90</v>
      </c>
      <c r="AD371" t="s">
        <v>301</v>
      </c>
      <c r="AE371" t="s">
        <v>46</v>
      </c>
      <c r="AG371">
        <v>26</v>
      </c>
      <c r="AH371">
        <v>8</v>
      </c>
      <c r="AI371" t="s">
        <v>52</v>
      </c>
      <c r="AK371">
        <v>0</v>
      </c>
      <c r="AM371">
        <v>0</v>
      </c>
      <c r="AP371" t="s">
        <v>501</v>
      </c>
    </row>
    <row r="372" spans="1:42" customFormat="1">
      <c r="A372">
        <v>271403</v>
      </c>
      <c r="B372" t="s">
        <v>4715</v>
      </c>
      <c r="C372" t="s">
        <v>4716</v>
      </c>
      <c r="D372" s="22">
        <v>0</v>
      </c>
      <c r="E372" s="17">
        <v>42150</v>
      </c>
      <c r="F372" s="18">
        <v>0.38261574074074073</v>
      </c>
      <c r="G372" s="22">
        <v>463.4</v>
      </c>
      <c r="H372">
        <v>0</v>
      </c>
      <c r="I372" s="19" t="e">
        <f>I371 + (D372-G372)</f>
        <v>#VALUE!</v>
      </c>
      <c r="M372">
        <v>121227</v>
      </c>
      <c r="N372">
        <v>24</v>
      </c>
      <c r="O372" t="s">
        <v>68</v>
      </c>
      <c r="P372">
        <v>1</v>
      </c>
      <c r="R372">
        <v>557</v>
      </c>
      <c r="S372" s="17">
        <v>42152</v>
      </c>
      <c r="T372" s="17">
        <v>42152</v>
      </c>
      <c r="W372">
        <v>2015</v>
      </c>
      <c r="X372">
        <v>24</v>
      </c>
      <c r="AC372" t="s">
        <v>255</v>
      </c>
      <c r="AD372" t="s">
        <v>301</v>
      </c>
      <c r="AE372" t="s">
        <v>46</v>
      </c>
      <c r="AG372">
        <v>8</v>
      </c>
      <c r="AH372">
        <v>9</v>
      </c>
      <c r="AI372" t="s">
        <v>54</v>
      </c>
      <c r="AK372">
        <v>0</v>
      </c>
      <c r="AM372">
        <v>0</v>
      </c>
      <c r="AP372" t="s">
        <v>1201</v>
      </c>
    </row>
    <row r="373" spans="1:42" customFormat="1">
      <c r="A373">
        <v>270966</v>
      </c>
      <c r="B373" t="s">
        <v>2917</v>
      </c>
      <c r="C373" t="s">
        <v>2918</v>
      </c>
      <c r="D373" s="22">
        <v>0</v>
      </c>
      <c r="E373" s="17">
        <v>42136</v>
      </c>
      <c r="F373" s="18">
        <v>0.4694444444444445</v>
      </c>
      <c r="G373" s="22">
        <v>760.63</v>
      </c>
      <c r="H373">
        <v>0</v>
      </c>
      <c r="I373" s="19" t="e">
        <f>I372 + (D373-G373)</f>
        <v>#VALUE!</v>
      </c>
      <c r="M373">
        <v>124016</v>
      </c>
      <c r="N373">
        <v>7</v>
      </c>
      <c r="O373" t="s">
        <v>44</v>
      </c>
      <c r="P373">
        <v>2</v>
      </c>
      <c r="R373">
        <v>1577</v>
      </c>
      <c r="S373" s="17">
        <v>42149</v>
      </c>
      <c r="T373" s="17">
        <v>42149</v>
      </c>
      <c r="W373">
        <v>2015</v>
      </c>
      <c r="X373">
        <v>7</v>
      </c>
      <c r="AC373" t="s">
        <v>175</v>
      </c>
      <c r="AD373" t="s">
        <v>301</v>
      </c>
      <c r="AE373" t="s">
        <v>46</v>
      </c>
      <c r="AG373">
        <v>2</v>
      </c>
      <c r="AH373">
        <v>9</v>
      </c>
      <c r="AI373" t="s">
        <v>54</v>
      </c>
      <c r="AK373">
        <v>0</v>
      </c>
      <c r="AM373">
        <v>0</v>
      </c>
      <c r="AP373" t="s">
        <v>2544</v>
      </c>
    </row>
    <row r="374" spans="1:42" customFormat="1">
      <c r="A374">
        <v>273099</v>
      </c>
      <c r="B374" t="s">
        <v>4507</v>
      </c>
      <c r="C374" t="s">
        <v>4508</v>
      </c>
      <c r="D374" s="22">
        <v>0</v>
      </c>
      <c r="E374" s="17">
        <v>42149</v>
      </c>
      <c r="F374" s="18">
        <v>0.37434027777777779</v>
      </c>
      <c r="G374" s="22">
        <v>760.63</v>
      </c>
      <c r="H374">
        <v>0</v>
      </c>
      <c r="I374" s="19" t="e">
        <f>I373 + (D374-G374)</f>
        <v>#VALUE!</v>
      </c>
      <c r="M374">
        <v>126924</v>
      </c>
      <c r="N374">
        <v>24</v>
      </c>
      <c r="O374" t="s">
        <v>68</v>
      </c>
      <c r="P374">
        <v>1</v>
      </c>
      <c r="R374">
        <v>1577</v>
      </c>
      <c r="S374" s="17">
        <v>42171</v>
      </c>
      <c r="T374" s="17">
        <v>42171</v>
      </c>
      <c r="W374">
        <v>2015</v>
      </c>
      <c r="X374">
        <v>24</v>
      </c>
      <c r="AC374" t="s">
        <v>175</v>
      </c>
      <c r="AD374" t="s">
        <v>301</v>
      </c>
      <c r="AE374" t="s">
        <v>46</v>
      </c>
      <c r="AG374">
        <v>2</v>
      </c>
      <c r="AH374">
        <v>9</v>
      </c>
      <c r="AI374" t="s">
        <v>54</v>
      </c>
      <c r="AK374">
        <v>0</v>
      </c>
      <c r="AM374">
        <v>0</v>
      </c>
      <c r="AP374" t="s">
        <v>2544</v>
      </c>
    </row>
    <row r="375" spans="1:42" customFormat="1">
      <c r="A375">
        <v>267688</v>
      </c>
      <c r="B375" t="s">
        <v>1261</v>
      </c>
      <c r="C375" t="s">
        <v>1262</v>
      </c>
      <c r="D375" s="22">
        <v>0</v>
      </c>
      <c r="E375" s="17">
        <v>42128</v>
      </c>
      <c r="F375" s="18">
        <v>0.75768518518518524</v>
      </c>
      <c r="G375" s="22">
        <v>255.3</v>
      </c>
      <c r="H375">
        <v>0</v>
      </c>
      <c r="I375" s="19" t="e">
        <f>I374 + (D375-G375)</f>
        <v>#VALUE!</v>
      </c>
      <c r="M375">
        <v>118060</v>
      </c>
      <c r="N375">
        <v>24</v>
      </c>
      <c r="O375" t="s">
        <v>68</v>
      </c>
      <c r="P375">
        <v>1</v>
      </c>
      <c r="R375">
        <v>561</v>
      </c>
      <c r="S375" s="17">
        <v>42129</v>
      </c>
      <c r="T375" s="17">
        <v>42129</v>
      </c>
      <c r="W375">
        <v>2015</v>
      </c>
      <c r="X375">
        <v>24</v>
      </c>
      <c r="AC375" t="s">
        <v>1263</v>
      </c>
      <c r="AD375" t="s">
        <v>301</v>
      </c>
      <c r="AE375" t="s">
        <v>46</v>
      </c>
      <c r="AG375">
        <v>26</v>
      </c>
      <c r="AH375">
        <v>9</v>
      </c>
      <c r="AI375" t="s">
        <v>54</v>
      </c>
      <c r="AK375">
        <v>0</v>
      </c>
      <c r="AM375">
        <v>0</v>
      </c>
      <c r="AP375" t="s">
        <v>501</v>
      </c>
    </row>
    <row r="376" spans="1:42" customFormat="1">
      <c r="A376">
        <v>271558</v>
      </c>
      <c r="B376" t="s">
        <v>5275</v>
      </c>
      <c r="C376" t="s">
        <v>5276</v>
      </c>
      <c r="D376" s="22">
        <v>0</v>
      </c>
      <c r="E376" s="17">
        <v>42153</v>
      </c>
      <c r="F376" s="18">
        <v>0.41446759259259264</v>
      </c>
      <c r="G376" s="22">
        <v>2471.29</v>
      </c>
      <c r="H376">
        <v>0</v>
      </c>
      <c r="I376" s="19" t="e">
        <f>I375 + (D376-G376)</f>
        <v>#VALUE!</v>
      </c>
      <c r="M376">
        <v>119661</v>
      </c>
      <c r="N376">
        <v>24</v>
      </c>
      <c r="O376" t="s">
        <v>68</v>
      </c>
      <c r="P376">
        <v>1</v>
      </c>
      <c r="R376">
        <v>563</v>
      </c>
      <c r="S376" s="17">
        <v>42157</v>
      </c>
      <c r="T376" s="17">
        <v>42157</v>
      </c>
      <c r="W376">
        <v>2015</v>
      </c>
      <c r="X376">
        <v>24</v>
      </c>
      <c r="AC376" t="s">
        <v>5277</v>
      </c>
      <c r="AD376" t="s">
        <v>301</v>
      </c>
      <c r="AE376" t="s">
        <v>46</v>
      </c>
      <c r="AG376">
        <v>5</v>
      </c>
      <c r="AH376">
        <v>9</v>
      </c>
      <c r="AI376" t="s">
        <v>54</v>
      </c>
      <c r="AK376">
        <v>0</v>
      </c>
      <c r="AM376">
        <v>0</v>
      </c>
      <c r="AP376" t="s">
        <v>312</v>
      </c>
    </row>
    <row r="377" spans="1:42" customFormat="1">
      <c r="A377">
        <v>271566</v>
      </c>
      <c r="B377" t="s">
        <v>5299</v>
      </c>
      <c r="C377" t="s">
        <v>5300</v>
      </c>
      <c r="D377" s="22">
        <v>0</v>
      </c>
      <c r="E377" s="17">
        <v>42153</v>
      </c>
      <c r="F377" s="18">
        <v>0.41770833333333335</v>
      </c>
      <c r="G377" s="22">
        <v>1283.48</v>
      </c>
      <c r="H377">
        <v>0</v>
      </c>
      <c r="I377" s="19" t="e">
        <f>I376 + (D377-G377)</f>
        <v>#VALUE!</v>
      </c>
      <c r="M377">
        <v>121418</v>
      </c>
      <c r="N377">
        <v>24</v>
      </c>
      <c r="O377" t="s">
        <v>68</v>
      </c>
      <c r="P377">
        <v>1</v>
      </c>
      <c r="R377">
        <v>563</v>
      </c>
      <c r="S377" s="17">
        <v>42157</v>
      </c>
      <c r="T377" s="17">
        <v>42157</v>
      </c>
      <c r="W377">
        <v>2015</v>
      </c>
      <c r="X377">
        <v>24</v>
      </c>
      <c r="AC377" t="s">
        <v>5277</v>
      </c>
      <c r="AD377" t="s">
        <v>301</v>
      </c>
      <c r="AE377" t="s">
        <v>46</v>
      </c>
      <c r="AG377">
        <v>5</v>
      </c>
      <c r="AH377">
        <v>9</v>
      </c>
      <c r="AI377" t="s">
        <v>54</v>
      </c>
      <c r="AK377">
        <v>0</v>
      </c>
      <c r="AM377">
        <v>0</v>
      </c>
      <c r="AP377" t="s">
        <v>312</v>
      </c>
    </row>
    <row r="378" spans="1:42" customFormat="1">
      <c r="A378">
        <v>272863</v>
      </c>
      <c r="B378" t="s">
        <v>235</v>
      </c>
      <c r="C378" t="s">
        <v>3867</v>
      </c>
      <c r="D378" s="22">
        <v>40000</v>
      </c>
      <c r="E378" s="17">
        <v>42144</v>
      </c>
      <c r="F378" s="18">
        <v>0.56481481481481477</v>
      </c>
      <c r="G378" s="22">
        <v>0</v>
      </c>
      <c r="H378">
        <v>0</v>
      </c>
      <c r="I378" s="19" t="e">
        <f>I377 + (D378-G378)</f>
        <v>#VALUE!</v>
      </c>
      <c r="N378">
        <v>24</v>
      </c>
      <c r="O378" t="s">
        <v>68</v>
      </c>
      <c r="P378">
        <v>1</v>
      </c>
      <c r="R378">
        <v>1437</v>
      </c>
      <c r="S378" s="17">
        <v>42166</v>
      </c>
      <c r="T378" s="17">
        <v>42180</v>
      </c>
      <c r="W378">
        <v>2015</v>
      </c>
      <c r="X378">
        <v>24</v>
      </c>
      <c r="AC378" t="s">
        <v>3868</v>
      </c>
      <c r="AD378" t="s">
        <v>302</v>
      </c>
      <c r="AE378" t="s">
        <v>46</v>
      </c>
      <c r="AG378">
        <v>12</v>
      </c>
      <c r="AH378">
        <v>8</v>
      </c>
      <c r="AI378" t="s">
        <v>52</v>
      </c>
      <c r="AM378">
        <v>0</v>
      </c>
      <c r="AP378" t="s">
        <v>392</v>
      </c>
    </row>
    <row r="379" spans="1:42" customFormat="1">
      <c r="A379">
        <v>270949</v>
      </c>
      <c r="B379" t="s">
        <v>4126</v>
      </c>
      <c r="C379" t="s">
        <v>4127</v>
      </c>
      <c r="D379" s="22">
        <v>0</v>
      </c>
      <c r="E379" s="17">
        <v>42146</v>
      </c>
      <c r="F379" s="18">
        <v>0.41853009259259261</v>
      </c>
      <c r="G379" s="22">
        <v>200</v>
      </c>
      <c r="H379">
        <v>0</v>
      </c>
      <c r="I379" s="19" t="e">
        <f>I378 + (D379-G379)</f>
        <v>#VALUE!</v>
      </c>
      <c r="M379">
        <v>123993</v>
      </c>
      <c r="N379">
        <v>24</v>
      </c>
      <c r="O379" t="s">
        <v>68</v>
      </c>
      <c r="P379">
        <v>1</v>
      </c>
      <c r="R379">
        <v>564</v>
      </c>
      <c r="S379" s="17">
        <v>42149</v>
      </c>
      <c r="T379" s="17">
        <v>42149</v>
      </c>
      <c r="W379">
        <v>2015</v>
      </c>
      <c r="X379">
        <v>24</v>
      </c>
      <c r="AC379" t="s">
        <v>236</v>
      </c>
      <c r="AD379" t="s">
        <v>301</v>
      </c>
      <c r="AE379" t="s">
        <v>46</v>
      </c>
      <c r="AG379">
        <v>56</v>
      </c>
      <c r="AH379">
        <v>1</v>
      </c>
      <c r="AI379" t="s">
        <v>58</v>
      </c>
      <c r="AK379">
        <v>0</v>
      </c>
      <c r="AM379">
        <v>0</v>
      </c>
      <c r="AP379" t="s">
        <v>59</v>
      </c>
    </row>
    <row r="380" spans="1:42" customFormat="1">
      <c r="A380">
        <v>270533</v>
      </c>
      <c r="B380" t="s">
        <v>3371</v>
      </c>
      <c r="C380" t="s">
        <v>3372</v>
      </c>
      <c r="D380" s="22">
        <v>0</v>
      </c>
      <c r="E380" s="17">
        <v>42139</v>
      </c>
      <c r="F380" s="18">
        <v>0.40142361111111113</v>
      </c>
      <c r="G380" s="22">
        <v>4477</v>
      </c>
      <c r="H380">
        <v>0</v>
      </c>
      <c r="I380" s="19" t="e">
        <f>I379 + (D380-G380)</f>
        <v>#VALUE!</v>
      </c>
      <c r="M380">
        <v>115706</v>
      </c>
      <c r="N380">
        <v>24</v>
      </c>
      <c r="O380" t="s">
        <v>68</v>
      </c>
      <c r="P380">
        <v>1</v>
      </c>
      <c r="R380">
        <v>566</v>
      </c>
      <c r="S380" s="17">
        <v>42145</v>
      </c>
      <c r="T380" s="17">
        <v>42145</v>
      </c>
      <c r="W380">
        <v>2015</v>
      </c>
      <c r="X380">
        <v>24</v>
      </c>
      <c r="AC380" t="s">
        <v>72</v>
      </c>
      <c r="AD380" t="s">
        <v>301</v>
      </c>
      <c r="AE380" t="s">
        <v>46</v>
      </c>
      <c r="AG380">
        <v>52</v>
      </c>
      <c r="AH380">
        <v>2</v>
      </c>
      <c r="AI380" t="s">
        <v>50</v>
      </c>
      <c r="AK380">
        <v>0</v>
      </c>
      <c r="AM380">
        <v>0</v>
      </c>
      <c r="AP380" t="s">
        <v>325</v>
      </c>
    </row>
    <row r="381" spans="1:42" customFormat="1">
      <c r="A381">
        <v>276291</v>
      </c>
      <c r="B381" t="s">
        <v>3997</v>
      </c>
      <c r="C381" t="s">
        <v>3998</v>
      </c>
      <c r="D381" s="22">
        <v>0</v>
      </c>
      <c r="E381" s="17">
        <v>42145</v>
      </c>
      <c r="F381" s="18">
        <v>0.44127314814814816</v>
      </c>
      <c r="G381" s="22">
        <v>840</v>
      </c>
      <c r="H381">
        <v>0</v>
      </c>
      <c r="I381" s="19" t="e">
        <f>I380 + (D381-G381)</f>
        <v>#VALUE!</v>
      </c>
      <c r="M381">
        <v>128719</v>
      </c>
      <c r="N381">
        <v>7</v>
      </c>
      <c r="O381" t="s">
        <v>44</v>
      </c>
      <c r="P381">
        <v>1</v>
      </c>
      <c r="R381">
        <v>568</v>
      </c>
      <c r="S381" s="17">
        <v>42191</v>
      </c>
      <c r="T381" s="17">
        <v>42191</v>
      </c>
      <c r="W381">
        <v>2015</v>
      </c>
      <c r="X381">
        <v>7</v>
      </c>
      <c r="AC381" t="s">
        <v>206</v>
      </c>
      <c r="AD381" t="s">
        <v>301</v>
      </c>
      <c r="AE381" t="s">
        <v>46</v>
      </c>
      <c r="AG381">
        <v>107</v>
      </c>
      <c r="AH381">
        <v>9</v>
      </c>
      <c r="AI381" t="s">
        <v>54</v>
      </c>
      <c r="AK381">
        <v>0</v>
      </c>
      <c r="AM381">
        <v>0</v>
      </c>
      <c r="AP381" t="s">
        <v>1121</v>
      </c>
    </row>
    <row r="382" spans="1:42" customFormat="1">
      <c r="A382">
        <v>268615</v>
      </c>
      <c r="B382" t="s">
        <v>315</v>
      </c>
      <c r="C382" t="s">
        <v>316</v>
      </c>
      <c r="D382" s="22">
        <v>0</v>
      </c>
      <c r="E382" s="17">
        <v>42128</v>
      </c>
      <c r="F382" s="18">
        <v>0.36171296296296296</v>
      </c>
      <c r="G382" s="22">
        <v>1880.42</v>
      </c>
      <c r="H382">
        <v>0</v>
      </c>
      <c r="I382" s="19" t="e">
        <f>I381 + (D382-G382)</f>
        <v>#VALUE!</v>
      </c>
      <c r="M382">
        <v>122869</v>
      </c>
      <c r="N382">
        <v>7</v>
      </c>
      <c r="O382" t="s">
        <v>44</v>
      </c>
      <c r="P382">
        <v>1</v>
      </c>
      <c r="R382">
        <v>569</v>
      </c>
      <c r="S382" s="17">
        <v>42131</v>
      </c>
      <c r="T382" s="17">
        <v>42131</v>
      </c>
      <c r="W382">
        <v>2015</v>
      </c>
      <c r="X382">
        <v>7</v>
      </c>
      <c r="AC382" t="s">
        <v>107</v>
      </c>
      <c r="AD382" t="s">
        <v>301</v>
      </c>
      <c r="AE382" t="s">
        <v>46</v>
      </c>
      <c r="AG382">
        <v>5</v>
      </c>
      <c r="AH382">
        <v>9</v>
      </c>
      <c r="AI382" t="s">
        <v>54</v>
      </c>
      <c r="AK382">
        <v>0</v>
      </c>
      <c r="AM382">
        <v>0</v>
      </c>
      <c r="AP382" t="s">
        <v>312</v>
      </c>
    </row>
    <row r="383" spans="1:42" customFormat="1">
      <c r="A383">
        <v>268279</v>
      </c>
      <c r="B383" t="s">
        <v>855</v>
      </c>
      <c r="C383" t="s">
        <v>856</v>
      </c>
      <c r="D383" s="22">
        <v>0</v>
      </c>
      <c r="E383" s="17">
        <v>42128</v>
      </c>
      <c r="F383" s="18">
        <v>0.64855324074074072</v>
      </c>
      <c r="G383" s="22">
        <v>840.8</v>
      </c>
      <c r="H383">
        <v>0</v>
      </c>
      <c r="I383" s="19" t="e">
        <f>I382 + (D383-G383)</f>
        <v>#VALUE!</v>
      </c>
      <c r="M383">
        <v>122723</v>
      </c>
      <c r="N383">
        <v>7</v>
      </c>
      <c r="O383" t="s">
        <v>44</v>
      </c>
      <c r="P383">
        <v>1</v>
      </c>
      <c r="R383">
        <v>569</v>
      </c>
      <c r="S383" s="17">
        <v>42130</v>
      </c>
      <c r="T383" s="17">
        <v>42130</v>
      </c>
      <c r="W383">
        <v>2015</v>
      </c>
      <c r="X383">
        <v>7</v>
      </c>
      <c r="AC383" t="s">
        <v>107</v>
      </c>
      <c r="AD383" t="s">
        <v>301</v>
      </c>
      <c r="AE383" t="s">
        <v>46</v>
      </c>
      <c r="AG383">
        <v>12</v>
      </c>
      <c r="AH383">
        <v>10</v>
      </c>
      <c r="AI383" t="s">
        <v>95</v>
      </c>
      <c r="AK383">
        <v>0</v>
      </c>
      <c r="AM383">
        <v>0</v>
      </c>
      <c r="AP383" t="s">
        <v>392</v>
      </c>
    </row>
    <row r="384" spans="1:42" customFormat="1">
      <c r="A384">
        <v>268283</v>
      </c>
      <c r="B384" t="s">
        <v>869</v>
      </c>
      <c r="C384" t="s">
        <v>870</v>
      </c>
      <c r="D384" s="22">
        <v>0</v>
      </c>
      <c r="E384" s="17">
        <v>42128</v>
      </c>
      <c r="F384" s="18">
        <v>0.64856481481481476</v>
      </c>
      <c r="G384" s="22">
        <v>1316.7</v>
      </c>
      <c r="H384">
        <v>0</v>
      </c>
      <c r="I384" s="19" t="e">
        <f>I383 + (D384-G384)</f>
        <v>#VALUE!</v>
      </c>
      <c r="M384">
        <v>122724</v>
      </c>
      <c r="N384">
        <v>7</v>
      </c>
      <c r="O384" t="s">
        <v>44</v>
      </c>
      <c r="P384">
        <v>1</v>
      </c>
      <c r="R384">
        <v>569</v>
      </c>
      <c r="S384" s="17">
        <v>42130</v>
      </c>
      <c r="T384" s="17">
        <v>42130</v>
      </c>
      <c r="W384">
        <v>2015</v>
      </c>
      <c r="X384">
        <v>7</v>
      </c>
      <c r="AC384" t="s">
        <v>107</v>
      </c>
      <c r="AD384" t="s">
        <v>301</v>
      </c>
      <c r="AE384" t="s">
        <v>46</v>
      </c>
      <c r="AG384">
        <v>12</v>
      </c>
      <c r="AH384">
        <v>10</v>
      </c>
      <c r="AI384" t="s">
        <v>95</v>
      </c>
      <c r="AK384">
        <v>0</v>
      </c>
      <c r="AM384">
        <v>0</v>
      </c>
      <c r="AP384" t="s">
        <v>392</v>
      </c>
    </row>
    <row r="385" spans="1:42" customFormat="1">
      <c r="A385">
        <v>268286</v>
      </c>
      <c r="B385" t="s">
        <v>871</v>
      </c>
      <c r="C385" t="s">
        <v>872</v>
      </c>
      <c r="D385" s="22">
        <v>0</v>
      </c>
      <c r="E385" s="17">
        <v>42128</v>
      </c>
      <c r="F385" s="18">
        <v>0.64856481481481476</v>
      </c>
      <c r="G385" s="22">
        <v>328.7</v>
      </c>
      <c r="H385">
        <v>0</v>
      </c>
      <c r="I385" s="19" t="e">
        <f>I384 + (D385-G385)</f>
        <v>#VALUE!</v>
      </c>
      <c r="M385">
        <v>122725</v>
      </c>
      <c r="N385">
        <v>7</v>
      </c>
      <c r="O385" t="s">
        <v>44</v>
      </c>
      <c r="P385">
        <v>1</v>
      </c>
      <c r="R385">
        <v>569</v>
      </c>
      <c r="S385" s="17">
        <v>42130</v>
      </c>
      <c r="T385" s="17">
        <v>42130</v>
      </c>
      <c r="W385">
        <v>2015</v>
      </c>
      <c r="X385">
        <v>7</v>
      </c>
      <c r="AC385" t="s">
        <v>107</v>
      </c>
      <c r="AD385" t="s">
        <v>301</v>
      </c>
      <c r="AE385" t="s">
        <v>46</v>
      </c>
      <c r="AG385">
        <v>12</v>
      </c>
      <c r="AH385">
        <v>10</v>
      </c>
      <c r="AI385" t="s">
        <v>95</v>
      </c>
      <c r="AK385">
        <v>0</v>
      </c>
      <c r="AM385">
        <v>0</v>
      </c>
      <c r="AP385" t="s">
        <v>392</v>
      </c>
    </row>
    <row r="386" spans="1:42" customFormat="1">
      <c r="A386">
        <v>269561</v>
      </c>
      <c r="B386" t="s">
        <v>1707</v>
      </c>
      <c r="C386" t="s">
        <v>1708</v>
      </c>
      <c r="D386" s="22">
        <v>0</v>
      </c>
      <c r="E386" s="17">
        <v>42130</v>
      </c>
      <c r="F386" s="18">
        <v>0.48689814814814819</v>
      </c>
      <c r="G386" s="22">
        <v>1880.42</v>
      </c>
      <c r="H386">
        <v>0</v>
      </c>
      <c r="I386" s="19" t="e">
        <f>I385 + (D386-G386)</f>
        <v>#VALUE!</v>
      </c>
      <c r="M386">
        <v>123197</v>
      </c>
      <c r="N386">
        <v>24</v>
      </c>
      <c r="O386" t="s">
        <v>68</v>
      </c>
      <c r="P386">
        <v>1</v>
      </c>
      <c r="R386">
        <v>569</v>
      </c>
      <c r="S386" s="17">
        <v>42136</v>
      </c>
      <c r="T386" s="17">
        <v>42136</v>
      </c>
      <c r="W386">
        <v>2015</v>
      </c>
      <c r="X386">
        <v>24</v>
      </c>
      <c r="AC386" t="s">
        <v>107</v>
      </c>
      <c r="AD386" t="s">
        <v>301</v>
      </c>
      <c r="AE386" t="s">
        <v>46</v>
      </c>
      <c r="AG386">
        <v>5</v>
      </c>
      <c r="AH386">
        <v>9</v>
      </c>
      <c r="AI386" t="s">
        <v>54</v>
      </c>
      <c r="AK386">
        <v>0</v>
      </c>
      <c r="AM386">
        <v>0</v>
      </c>
      <c r="AP386" t="s">
        <v>312</v>
      </c>
    </row>
    <row r="387" spans="1:42" customFormat="1">
      <c r="A387">
        <v>269562</v>
      </c>
      <c r="B387" t="s">
        <v>1709</v>
      </c>
      <c r="C387" t="s">
        <v>1710</v>
      </c>
      <c r="D387" s="22">
        <v>0</v>
      </c>
      <c r="E387" s="17">
        <v>42130</v>
      </c>
      <c r="F387" s="18">
        <v>0.48689814814814819</v>
      </c>
      <c r="G387" s="22">
        <v>1386</v>
      </c>
      <c r="H387">
        <v>0</v>
      </c>
      <c r="I387" s="19" t="e">
        <f>I386 + (D387-G387)</f>
        <v>#VALUE!</v>
      </c>
      <c r="M387">
        <v>123198</v>
      </c>
      <c r="N387">
        <v>24</v>
      </c>
      <c r="O387" t="s">
        <v>68</v>
      </c>
      <c r="P387">
        <v>1</v>
      </c>
      <c r="R387">
        <v>569</v>
      </c>
      <c r="S387" s="17">
        <v>42136</v>
      </c>
      <c r="T387" s="17">
        <v>42136</v>
      </c>
      <c r="W387">
        <v>2015</v>
      </c>
      <c r="X387">
        <v>24</v>
      </c>
      <c r="AC387" t="s">
        <v>107</v>
      </c>
      <c r="AD387" t="s">
        <v>301</v>
      </c>
      <c r="AE387" t="s">
        <v>46</v>
      </c>
      <c r="AG387">
        <v>5</v>
      </c>
      <c r="AH387">
        <v>9</v>
      </c>
      <c r="AI387" t="s">
        <v>54</v>
      </c>
      <c r="AK387">
        <v>0</v>
      </c>
      <c r="AM387">
        <v>0</v>
      </c>
      <c r="AP387" t="s">
        <v>312</v>
      </c>
    </row>
    <row r="388" spans="1:42" customFormat="1">
      <c r="A388">
        <v>268925</v>
      </c>
      <c r="B388" t="s">
        <v>1723</v>
      </c>
      <c r="C388" t="s">
        <v>1724</v>
      </c>
      <c r="D388" s="22">
        <v>0</v>
      </c>
      <c r="E388" s="17">
        <v>42130</v>
      </c>
      <c r="F388" s="18">
        <v>0.61663194444444447</v>
      </c>
      <c r="G388" s="22">
        <v>1316.7</v>
      </c>
      <c r="H388">
        <v>0</v>
      </c>
      <c r="I388" s="19" t="e">
        <f>I387 + (D388-G388)</f>
        <v>#VALUE!</v>
      </c>
      <c r="M388">
        <v>122960</v>
      </c>
      <c r="N388">
        <v>24</v>
      </c>
      <c r="O388" t="s">
        <v>68</v>
      </c>
      <c r="P388">
        <v>1</v>
      </c>
      <c r="R388">
        <v>569</v>
      </c>
      <c r="S388" s="17">
        <v>42135</v>
      </c>
      <c r="T388" s="17">
        <v>42135</v>
      </c>
      <c r="W388">
        <v>2015</v>
      </c>
      <c r="X388">
        <v>24</v>
      </c>
      <c r="AC388" t="s">
        <v>107</v>
      </c>
      <c r="AD388" t="s">
        <v>301</v>
      </c>
      <c r="AE388" t="s">
        <v>46</v>
      </c>
      <c r="AG388">
        <v>12</v>
      </c>
      <c r="AH388">
        <v>2</v>
      </c>
      <c r="AI388" t="s">
        <v>50</v>
      </c>
      <c r="AK388">
        <v>0</v>
      </c>
      <c r="AM388">
        <v>0</v>
      </c>
      <c r="AP388" t="s">
        <v>392</v>
      </c>
    </row>
    <row r="389" spans="1:42" customFormat="1">
      <c r="A389">
        <v>268924</v>
      </c>
      <c r="B389" t="s">
        <v>1725</v>
      </c>
      <c r="C389" t="s">
        <v>1726</v>
      </c>
      <c r="D389" s="22">
        <v>0</v>
      </c>
      <c r="E389" s="17">
        <v>42130</v>
      </c>
      <c r="F389" s="18">
        <v>0.61663194444444447</v>
      </c>
      <c r="G389" s="22">
        <v>328.7</v>
      </c>
      <c r="H389">
        <v>0</v>
      </c>
      <c r="I389" s="19" t="e">
        <f>I388 + (D389-G389)</f>
        <v>#VALUE!</v>
      </c>
      <c r="M389">
        <v>122959</v>
      </c>
      <c r="N389">
        <v>24</v>
      </c>
      <c r="O389" t="s">
        <v>68</v>
      </c>
      <c r="P389">
        <v>1</v>
      </c>
      <c r="R389">
        <v>569</v>
      </c>
      <c r="S389" s="17">
        <v>42135</v>
      </c>
      <c r="T389" s="17">
        <v>42135</v>
      </c>
      <c r="W389">
        <v>2015</v>
      </c>
      <c r="X389">
        <v>24</v>
      </c>
      <c r="AC389" t="s">
        <v>107</v>
      </c>
      <c r="AD389" t="s">
        <v>301</v>
      </c>
      <c r="AE389" t="s">
        <v>46</v>
      </c>
      <c r="AG389">
        <v>12</v>
      </c>
      <c r="AH389">
        <v>2</v>
      </c>
      <c r="AI389" t="s">
        <v>50</v>
      </c>
      <c r="AK389">
        <v>0</v>
      </c>
      <c r="AM389">
        <v>0</v>
      </c>
      <c r="AP389" t="s">
        <v>392</v>
      </c>
    </row>
    <row r="390" spans="1:42" customFormat="1">
      <c r="A390">
        <v>270146</v>
      </c>
      <c r="B390" t="s">
        <v>1923</v>
      </c>
      <c r="C390" t="s">
        <v>1924</v>
      </c>
      <c r="D390" s="22">
        <v>0</v>
      </c>
      <c r="E390" s="17">
        <v>42131</v>
      </c>
      <c r="F390" s="18">
        <v>0.37950231481481483</v>
      </c>
      <c r="G390" s="22">
        <v>1560</v>
      </c>
      <c r="H390">
        <v>0</v>
      </c>
      <c r="I390" s="19" t="e">
        <f>I389 + (D390-G390)</f>
        <v>#VALUE!</v>
      </c>
      <c r="M390">
        <v>123504</v>
      </c>
      <c r="N390">
        <v>24</v>
      </c>
      <c r="O390" t="s">
        <v>68</v>
      </c>
      <c r="P390">
        <v>1</v>
      </c>
      <c r="R390">
        <v>569</v>
      </c>
      <c r="S390" s="17">
        <v>42142</v>
      </c>
      <c r="T390" s="17">
        <v>42142</v>
      </c>
      <c r="W390">
        <v>2015</v>
      </c>
      <c r="X390">
        <v>24</v>
      </c>
      <c r="AC390" t="s">
        <v>107</v>
      </c>
      <c r="AD390" t="s">
        <v>301</v>
      </c>
      <c r="AE390" t="s">
        <v>46</v>
      </c>
      <c r="AG390">
        <v>52</v>
      </c>
      <c r="AH390">
        <v>2</v>
      </c>
      <c r="AI390" t="s">
        <v>50</v>
      </c>
      <c r="AK390">
        <v>0</v>
      </c>
      <c r="AM390">
        <v>0</v>
      </c>
      <c r="AP390" t="s">
        <v>325</v>
      </c>
    </row>
    <row r="391" spans="1:42" customFormat="1">
      <c r="A391">
        <v>270602</v>
      </c>
      <c r="B391" t="s">
        <v>1929</v>
      </c>
      <c r="C391" t="s">
        <v>1930</v>
      </c>
      <c r="D391" s="22">
        <v>0</v>
      </c>
      <c r="E391" s="17">
        <v>42131</v>
      </c>
      <c r="F391" s="18">
        <v>0.41648148148148145</v>
      </c>
      <c r="G391" s="22">
        <v>2999</v>
      </c>
      <c r="H391">
        <v>0</v>
      </c>
      <c r="I391" s="19" t="e">
        <f>I390 + (D391-G391)</f>
        <v>#VALUE!</v>
      </c>
      <c r="M391">
        <v>123779</v>
      </c>
      <c r="N391">
        <v>24</v>
      </c>
      <c r="O391" t="s">
        <v>68</v>
      </c>
      <c r="P391">
        <v>1</v>
      </c>
      <c r="R391">
        <v>569</v>
      </c>
      <c r="S391" s="17">
        <v>42145</v>
      </c>
      <c r="T391" s="17">
        <v>42145</v>
      </c>
      <c r="W391">
        <v>2015</v>
      </c>
      <c r="X391">
        <v>24</v>
      </c>
      <c r="AC391" t="s">
        <v>107</v>
      </c>
      <c r="AD391" t="s">
        <v>301</v>
      </c>
      <c r="AE391" t="s">
        <v>46</v>
      </c>
      <c r="AG391">
        <v>52</v>
      </c>
      <c r="AH391">
        <v>2</v>
      </c>
      <c r="AI391" t="s">
        <v>50</v>
      </c>
      <c r="AK391">
        <v>0</v>
      </c>
      <c r="AM391">
        <v>0</v>
      </c>
      <c r="AP391" t="s">
        <v>325</v>
      </c>
    </row>
    <row r="392" spans="1:42" customFormat="1">
      <c r="A392">
        <v>270076</v>
      </c>
      <c r="B392" t="s">
        <v>2055</v>
      </c>
      <c r="C392" t="s">
        <v>2056</v>
      </c>
      <c r="D392" s="22">
        <v>0</v>
      </c>
      <c r="E392" s="17">
        <v>42131</v>
      </c>
      <c r="F392" s="18">
        <v>0.68560185185185185</v>
      </c>
      <c r="G392" s="22">
        <v>15378</v>
      </c>
      <c r="H392">
        <v>0</v>
      </c>
      <c r="I392" s="19" t="e">
        <f>I391 + (D392-G392)</f>
        <v>#VALUE!</v>
      </c>
      <c r="M392">
        <v>123477</v>
      </c>
      <c r="N392">
        <v>24</v>
      </c>
      <c r="O392" t="s">
        <v>68</v>
      </c>
      <c r="P392">
        <v>1</v>
      </c>
      <c r="R392">
        <v>569</v>
      </c>
      <c r="S392" s="17">
        <v>42139</v>
      </c>
      <c r="T392" s="17">
        <v>42139</v>
      </c>
      <c r="W392">
        <v>2015</v>
      </c>
      <c r="X392">
        <v>24</v>
      </c>
      <c r="AC392" t="s">
        <v>107</v>
      </c>
      <c r="AD392" t="s">
        <v>301</v>
      </c>
      <c r="AE392" t="s">
        <v>46</v>
      </c>
      <c r="AG392">
        <v>52</v>
      </c>
      <c r="AH392">
        <v>2</v>
      </c>
      <c r="AI392" t="s">
        <v>50</v>
      </c>
      <c r="AK392">
        <v>0</v>
      </c>
      <c r="AM392">
        <v>0</v>
      </c>
      <c r="AP392" t="s">
        <v>325</v>
      </c>
    </row>
    <row r="393" spans="1:42" customFormat="1">
      <c r="A393">
        <v>269563</v>
      </c>
      <c r="B393" t="s">
        <v>2209</v>
      </c>
      <c r="C393" t="s">
        <v>2210</v>
      </c>
      <c r="D393" s="22">
        <v>0</v>
      </c>
      <c r="E393" s="17">
        <v>42132</v>
      </c>
      <c r="F393" s="18">
        <v>0.48730324074074072</v>
      </c>
      <c r="G393" s="22">
        <v>1386</v>
      </c>
      <c r="H393">
        <v>0</v>
      </c>
      <c r="I393" s="19" t="e">
        <f>I392 + (D393-G393)</f>
        <v>#VALUE!</v>
      </c>
      <c r="M393">
        <v>123199</v>
      </c>
      <c r="N393">
        <v>24</v>
      </c>
      <c r="O393" t="s">
        <v>68</v>
      </c>
      <c r="P393">
        <v>1</v>
      </c>
      <c r="R393">
        <v>569</v>
      </c>
      <c r="S393" s="17">
        <v>42136</v>
      </c>
      <c r="T393" s="17">
        <v>42136</v>
      </c>
      <c r="W393">
        <v>2015</v>
      </c>
      <c r="X393">
        <v>24</v>
      </c>
      <c r="AC393" t="s">
        <v>107</v>
      </c>
      <c r="AD393" t="s">
        <v>301</v>
      </c>
      <c r="AE393" t="s">
        <v>46</v>
      </c>
      <c r="AG393">
        <v>5</v>
      </c>
      <c r="AH393">
        <v>9</v>
      </c>
      <c r="AI393" t="s">
        <v>54</v>
      </c>
      <c r="AK393">
        <v>0</v>
      </c>
      <c r="AM393">
        <v>0</v>
      </c>
      <c r="AP393" t="s">
        <v>312</v>
      </c>
    </row>
    <row r="394" spans="1:42" customFormat="1">
      <c r="A394">
        <v>270043</v>
      </c>
      <c r="B394" t="s">
        <v>2930</v>
      </c>
      <c r="C394" t="s">
        <v>2931</v>
      </c>
      <c r="D394" s="22">
        <v>0</v>
      </c>
      <c r="E394" s="17">
        <v>42136</v>
      </c>
      <c r="F394" s="18">
        <v>0.63714120370370375</v>
      </c>
      <c r="G394" s="22">
        <v>1386</v>
      </c>
      <c r="H394">
        <v>0</v>
      </c>
      <c r="I394" s="19" t="e">
        <f>I393 + (D394-G394)</f>
        <v>#VALUE!</v>
      </c>
      <c r="M394">
        <v>123452</v>
      </c>
      <c r="N394">
        <v>24</v>
      </c>
      <c r="O394" t="s">
        <v>68</v>
      </c>
      <c r="P394">
        <v>1</v>
      </c>
      <c r="R394">
        <v>569</v>
      </c>
      <c r="S394" s="17">
        <v>42139</v>
      </c>
      <c r="T394" s="17">
        <v>42139</v>
      </c>
      <c r="W394">
        <v>2015</v>
      </c>
      <c r="X394">
        <v>24</v>
      </c>
      <c r="AC394" t="s">
        <v>107</v>
      </c>
      <c r="AD394" t="s">
        <v>301</v>
      </c>
      <c r="AE394" t="s">
        <v>46</v>
      </c>
      <c r="AG394">
        <v>5</v>
      </c>
      <c r="AH394">
        <v>9</v>
      </c>
      <c r="AI394" t="s">
        <v>54</v>
      </c>
      <c r="AK394">
        <v>0</v>
      </c>
      <c r="AM394">
        <v>0</v>
      </c>
      <c r="AP394" t="s">
        <v>312</v>
      </c>
    </row>
    <row r="395" spans="1:42" customFormat="1">
      <c r="A395">
        <v>271057</v>
      </c>
      <c r="B395" t="s">
        <v>3045</v>
      </c>
      <c r="C395" t="s">
        <v>3046</v>
      </c>
      <c r="D395" s="22">
        <v>0</v>
      </c>
      <c r="E395" s="17">
        <v>42137</v>
      </c>
      <c r="F395" s="18">
        <v>0.48803240740740739</v>
      </c>
      <c r="G395" s="22">
        <v>17521.349999999999</v>
      </c>
      <c r="H395">
        <v>0</v>
      </c>
      <c r="I395" s="19" t="e">
        <f>I394 + (D395-G395)</f>
        <v>#VALUE!</v>
      </c>
      <c r="M395">
        <v>124037</v>
      </c>
      <c r="N395">
        <v>24</v>
      </c>
      <c r="O395" t="s">
        <v>68</v>
      </c>
      <c r="P395">
        <v>1</v>
      </c>
      <c r="R395">
        <v>569</v>
      </c>
      <c r="S395" s="17">
        <v>42150</v>
      </c>
      <c r="T395" s="17">
        <v>42150</v>
      </c>
      <c r="W395">
        <v>2015</v>
      </c>
      <c r="X395">
        <v>24</v>
      </c>
      <c r="AC395" t="s">
        <v>107</v>
      </c>
      <c r="AD395" t="s">
        <v>301</v>
      </c>
      <c r="AE395" t="s">
        <v>46</v>
      </c>
      <c r="AG395">
        <v>52</v>
      </c>
      <c r="AH395">
        <v>2</v>
      </c>
      <c r="AI395" t="s">
        <v>50</v>
      </c>
      <c r="AK395">
        <v>0</v>
      </c>
      <c r="AM395">
        <v>0</v>
      </c>
      <c r="AP395" t="s">
        <v>325</v>
      </c>
    </row>
    <row r="396" spans="1:42" customFormat="1">
      <c r="A396">
        <v>276039</v>
      </c>
      <c r="B396" t="s">
        <v>3051</v>
      </c>
      <c r="C396" t="s">
        <v>3052</v>
      </c>
      <c r="D396" s="22">
        <v>0</v>
      </c>
      <c r="E396" s="17">
        <v>42137</v>
      </c>
      <c r="F396" s="18">
        <v>0.61949074074074073</v>
      </c>
      <c r="G396" s="22">
        <v>15067.5</v>
      </c>
      <c r="H396">
        <v>0</v>
      </c>
      <c r="I396" s="19" t="e">
        <f>I395 + (D396-G396)</f>
        <v>#VALUE!</v>
      </c>
      <c r="M396">
        <v>128608</v>
      </c>
      <c r="N396">
        <v>24</v>
      </c>
      <c r="O396" t="s">
        <v>68</v>
      </c>
      <c r="P396">
        <v>1</v>
      </c>
      <c r="R396">
        <v>569</v>
      </c>
      <c r="S396" s="17">
        <v>42188</v>
      </c>
      <c r="T396" s="17">
        <v>42188</v>
      </c>
      <c r="W396">
        <v>2015</v>
      </c>
      <c r="X396">
        <v>24</v>
      </c>
      <c r="AC396" t="s">
        <v>107</v>
      </c>
      <c r="AD396" t="s">
        <v>301</v>
      </c>
      <c r="AE396" t="s">
        <v>46</v>
      </c>
      <c r="AG396">
        <v>52</v>
      </c>
      <c r="AH396">
        <v>2</v>
      </c>
      <c r="AI396" t="s">
        <v>50</v>
      </c>
      <c r="AK396">
        <v>0</v>
      </c>
      <c r="AM396">
        <v>0</v>
      </c>
      <c r="AP396" t="s">
        <v>325</v>
      </c>
    </row>
    <row r="397" spans="1:42" customFormat="1">
      <c r="A397">
        <v>270045</v>
      </c>
      <c r="B397" t="s">
        <v>3069</v>
      </c>
      <c r="C397" t="s">
        <v>3070</v>
      </c>
      <c r="D397" s="22">
        <v>0</v>
      </c>
      <c r="E397" s="17">
        <v>42137</v>
      </c>
      <c r="F397" s="18">
        <v>0.63929398148148142</v>
      </c>
      <c r="G397" s="22">
        <v>220</v>
      </c>
      <c r="H397">
        <v>0</v>
      </c>
      <c r="I397" s="19" t="e">
        <f>I396 + (D397-G397)</f>
        <v>#VALUE!</v>
      </c>
      <c r="M397">
        <v>123454</v>
      </c>
      <c r="N397">
        <v>24</v>
      </c>
      <c r="O397" t="s">
        <v>68</v>
      </c>
      <c r="P397">
        <v>1</v>
      </c>
      <c r="R397">
        <v>569</v>
      </c>
      <c r="S397" s="17">
        <v>42139</v>
      </c>
      <c r="T397" s="17">
        <v>42139</v>
      </c>
      <c r="W397">
        <v>2015</v>
      </c>
      <c r="X397">
        <v>24</v>
      </c>
      <c r="AC397" t="s">
        <v>107</v>
      </c>
      <c r="AD397" t="s">
        <v>301</v>
      </c>
      <c r="AE397" t="s">
        <v>46</v>
      </c>
      <c r="AG397">
        <v>5</v>
      </c>
      <c r="AH397">
        <v>9</v>
      </c>
      <c r="AI397" t="s">
        <v>54</v>
      </c>
      <c r="AK397">
        <v>0</v>
      </c>
      <c r="AM397">
        <v>0</v>
      </c>
      <c r="AP397" t="s">
        <v>312</v>
      </c>
    </row>
    <row r="398" spans="1:42" customFormat="1">
      <c r="A398">
        <v>270046</v>
      </c>
      <c r="B398" t="s">
        <v>3071</v>
      </c>
      <c r="C398" t="s">
        <v>3072</v>
      </c>
      <c r="D398" s="22">
        <v>0</v>
      </c>
      <c r="E398" s="17">
        <v>42137</v>
      </c>
      <c r="F398" s="18">
        <v>0.63929398148148142</v>
      </c>
      <c r="G398" s="22">
        <v>220</v>
      </c>
      <c r="H398">
        <v>0</v>
      </c>
      <c r="I398" s="19" t="e">
        <f>I397 + (D398-G398)</f>
        <v>#VALUE!</v>
      </c>
      <c r="M398">
        <v>123455</v>
      </c>
      <c r="N398">
        <v>24</v>
      </c>
      <c r="O398" t="s">
        <v>68</v>
      </c>
      <c r="P398">
        <v>1</v>
      </c>
      <c r="R398">
        <v>569</v>
      </c>
      <c r="S398" s="17">
        <v>42139</v>
      </c>
      <c r="T398" s="17">
        <v>42139</v>
      </c>
      <c r="W398">
        <v>2015</v>
      </c>
      <c r="X398">
        <v>24</v>
      </c>
      <c r="AC398" t="s">
        <v>107</v>
      </c>
      <c r="AD398" t="s">
        <v>301</v>
      </c>
      <c r="AE398" t="s">
        <v>46</v>
      </c>
      <c r="AG398">
        <v>5</v>
      </c>
      <c r="AH398">
        <v>9</v>
      </c>
      <c r="AI398" t="s">
        <v>54</v>
      </c>
      <c r="AK398">
        <v>0</v>
      </c>
      <c r="AM398">
        <v>0</v>
      </c>
      <c r="AP398" t="s">
        <v>312</v>
      </c>
    </row>
    <row r="399" spans="1:42" customFormat="1">
      <c r="A399">
        <v>276056</v>
      </c>
      <c r="B399" t="s">
        <v>3073</v>
      </c>
      <c r="C399" t="s">
        <v>3074</v>
      </c>
      <c r="D399" s="22">
        <v>0</v>
      </c>
      <c r="E399" s="17">
        <v>42137</v>
      </c>
      <c r="F399" s="18">
        <v>0.65069444444444446</v>
      </c>
      <c r="G399" s="22">
        <v>4720.3</v>
      </c>
      <c r="H399">
        <v>0</v>
      </c>
      <c r="I399" s="19" t="e">
        <f>I398 + (D399-G399)</f>
        <v>#VALUE!</v>
      </c>
      <c r="M399">
        <v>128640</v>
      </c>
      <c r="N399">
        <v>24</v>
      </c>
      <c r="O399" t="s">
        <v>68</v>
      </c>
      <c r="P399">
        <v>1</v>
      </c>
      <c r="R399">
        <v>569</v>
      </c>
      <c r="S399" s="17">
        <v>42188</v>
      </c>
      <c r="T399" s="17">
        <v>42188</v>
      </c>
      <c r="W399">
        <v>2015</v>
      </c>
      <c r="X399">
        <v>24</v>
      </c>
      <c r="AC399" t="s">
        <v>107</v>
      </c>
      <c r="AD399" t="s">
        <v>301</v>
      </c>
      <c r="AE399" t="s">
        <v>46</v>
      </c>
      <c r="AG399">
        <v>12</v>
      </c>
      <c r="AH399">
        <v>2</v>
      </c>
      <c r="AI399" t="s">
        <v>50</v>
      </c>
      <c r="AK399">
        <v>0</v>
      </c>
      <c r="AM399">
        <v>0</v>
      </c>
      <c r="AP399" t="s">
        <v>392</v>
      </c>
    </row>
    <row r="400" spans="1:42" customFormat="1">
      <c r="A400">
        <v>276057</v>
      </c>
      <c r="B400" t="s">
        <v>3075</v>
      </c>
      <c r="C400" t="s">
        <v>3076</v>
      </c>
      <c r="D400" s="22">
        <v>0</v>
      </c>
      <c r="E400" s="17">
        <v>42137</v>
      </c>
      <c r="F400" s="18">
        <v>0.65178240740740734</v>
      </c>
      <c r="G400" s="22">
        <v>5555.55</v>
      </c>
      <c r="H400">
        <v>0</v>
      </c>
      <c r="I400" s="19" t="e">
        <f>I399 + (D400-G400)</f>
        <v>#VALUE!</v>
      </c>
      <c r="M400">
        <v>128641</v>
      </c>
      <c r="N400">
        <v>24</v>
      </c>
      <c r="O400" t="s">
        <v>68</v>
      </c>
      <c r="P400">
        <v>1</v>
      </c>
      <c r="R400">
        <v>569</v>
      </c>
      <c r="S400" s="17">
        <v>42188</v>
      </c>
      <c r="T400" s="17">
        <v>42188</v>
      </c>
      <c r="W400">
        <v>2015</v>
      </c>
      <c r="X400">
        <v>24</v>
      </c>
      <c r="AC400" t="s">
        <v>107</v>
      </c>
      <c r="AD400" t="s">
        <v>301</v>
      </c>
      <c r="AE400" t="s">
        <v>46</v>
      </c>
      <c r="AG400">
        <v>52</v>
      </c>
      <c r="AH400">
        <v>2</v>
      </c>
      <c r="AI400" t="s">
        <v>50</v>
      </c>
      <c r="AK400">
        <v>0</v>
      </c>
      <c r="AM400">
        <v>0</v>
      </c>
      <c r="AP400" t="s">
        <v>325</v>
      </c>
    </row>
    <row r="401" spans="1:42" customFormat="1">
      <c r="A401">
        <v>276059</v>
      </c>
      <c r="B401" t="s">
        <v>3077</v>
      </c>
      <c r="C401" t="s">
        <v>3078</v>
      </c>
      <c r="D401" s="22">
        <v>0</v>
      </c>
      <c r="E401" s="17">
        <v>42137</v>
      </c>
      <c r="F401" s="18">
        <v>0.6526967592592593</v>
      </c>
      <c r="G401" s="22">
        <v>2618.5500000000002</v>
      </c>
      <c r="H401">
        <v>0</v>
      </c>
      <c r="I401" s="19" t="e">
        <f>I400 + (D401-G401)</f>
        <v>#VALUE!</v>
      </c>
      <c r="M401">
        <v>128642</v>
      </c>
      <c r="N401">
        <v>24</v>
      </c>
      <c r="O401" t="s">
        <v>68</v>
      </c>
      <c r="P401">
        <v>1</v>
      </c>
      <c r="R401">
        <v>569</v>
      </c>
      <c r="S401" s="17">
        <v>42188</v>
      </c>
      <c r="T401" s="17">
        <v>42188</v>
      </c>
      <c r="W401">
        <v>2015</v>
      </c>
      <c r="X401">
        <v>24</v>
      </c>
      <c r="AC401" t="s">
        <v>107</v>
      </c>
      <c r="AD401" t="s">
        <v>301</v>
      </c>
      <c r="AE401" t="s">
        <v>46</v>
      </c>
      <c r="AG401">
        <v>12</v>
      </c>
      <c r="AH401">
        <v>2</v>
      </c>
      <c r="AI401" t="s">
        <v>50</v>
      </c>
      <c r="AK401">
        <v>0</v>
      </c>
      <c r="AM401">
        <v>0</v>
      </c>
      <c r="AP401" t="s">
        <v>392</v>
      </c>
    </row>
    <row r="402" spans="1:42" customFormat="1">
      <c r="A402">
        <v>276060</v>
      </c>
      <c r="B402" t="s">
        <v>3079</v>
      </c>
      <c r="C402" t="s">
        <v>3080</v>
      </c>
      <c r="D402" s="22">
        <v>0</v>
      </c>
      <c r="E402" s="17">
        <v>42137</v>
      </c>
      <c r="F402" s="18">
        <v>0.65436342592592589</v>
      </c>
      <c r="G402" s="22">
        <v>13675.2</v>
      </c>
      <c r="H402">
        <v>0</v>
      </c>
      <c r="I402" s="19" t="e">
        <f>I401 + (D402-G402)</f>
        <v>#VALUE!</v>
      </c>
      <c r="M402">
        <v>128643</v>
      </c>
      <c r="N402">
        <v>24</v>
      </c>
      <c r="O402" t="s">
        <v>68</v>
      </c>
      <c r="P402">
        <v>1</v>
      </c>
      <c r="R402">
        <v>569</v>
      </c>
      <c r="S402" s="17">
        <v>42188</v>
      </c>
      <c r="T402" s="17">
        <v>42188</v>
      </c>
      <c r="W402">
        <v>2015</v>
      </c>
      <c r="X402">
        <v>24</v>
      </c>
      <c r="AC402" t="s">
        <v>107</v>
      </c>
      <c r="AD402" t="s">
        <v>301</v>
      </c>
      <c r="AE402" t="s">
        <v>46</v>
      </c>
      <c r="AG402">
        <v>52</v>
      </c>
      <c r="AH402">
        <v>2</v>
      </c>
      <c r="AI402" t="s">
        <v>50</v>
      </c>
      <c r="AK402">
        <v>0</v>
      </c>
      <c r="AM402">
        <v>0</v>
      </c>
      <c r="AP402" t="s">
        <v>325</v>
      </c>
    </row>
    <row r="403" spans="1:42" customFormat="1">
      <c r="A403">
        <v>276063</v>
      </c>
      <c r="B403" t="s">
        <v>3081</v>
      </c>
      <c r="C403" t="s">
        <v>3082</v>
      </c>
      <c r="D403" s="22">
        <v>0</v>
      </c>
      <c r="E403" s="17">
        <v>42137</v>
      </c>
      <c r="F403" s="18">
        <v>0.65604166666666663</v>
      </c>
      <c r="G403" s="22">
        <v>18388.98</v>
      </c>
      <c r="H403">
        <v>0</v>
      </c>
      <c r="I403" s="19" t="e">
        <f>I402 + (D403-G403)</f>
        <v>#VALUE!</v>
      </c>
      <c r="M403">
        <v>128645</v>
      </c>
      <c r="N403">
        <v>24</v>
      </c>
      <c r="O403" t="s">
        <v>68</v>
      </c>
      <c r="P403">
        <v>1</v>
      </c>
      <c r="R403">
        <v>569</v>
      </c>
      <c r="S403" s="17">
        <v>42188</v>
      </c>
      <c r="T403" s="17">
        <v>42188</v>
      </c>
      <c r="W403">
        <v>2015</v>
      </c>
      <c r="X403">
        <v>24</v>
      </c>
      <c r="AC403" t="s">
        <v>107</v>
      </c>
      <c r="AD403" t="s">
        <v>301</v>
      </c>
      <c r="AE403" t="s">
        <v>46</v>
      </c>
      <c r="AG403">
        <v>52</v>
      </c>
      <c r="AH403">
        <v>2</v>
      </c>
      <c r="AI403" t="s">
        <v>50</v>
      </c>
      <c r="AK403">
        <v>0</v>
      </c>
      <c r="AM403">
        <v>0</v>
      </c>
      <c r="AP403" t="s">
        <v>325</v>
      </c>
    </row>
    <row r="404" spans="1:42" customFormat="1">
      <c r="A404">
        <v>276087</v>
      </c>
      <c r="B404" t="s">
        <v>3083</v>
      </c>
      <c r="C404" t="s">
        <v>3084</v>
      </c>
      <c r="D404" s="22">
        <v>0</v>
      </c>
      <c r="E404" s="17">
        <v>42137</v>
      </c>
      <c r="F404" s="18">
        <v>0.65878472222222217</v>
      </c>
      <c r="G404" s="22">
        <v>7175.7</v>
      </c>
      <c r="H404">
        <v>0</v>
      </c>
      <c r="I404" s="19" t="e">
        <f>I403 + (D404-G404)</f>
        <v>#VALUE!</v>
      </c>
      <c r="M404">
        <v>128647</v>
      </c>
      <c r="N404">
        <v>24</v>
      </c>
      <c r="O404" t="s">
        <v>68</v>
      </c>
      <c r="P404">
        <v>1</v>
      </c>
      <c r="R404">
        <v>569</v>
      </c>
      <c r="S404" s="17">
        <v>42188</v>
      </c>
      <c r="T404" s="17">
        <v>42188</v>
      </c>
      <c r="W404">
        <v>2015</v>
      </c>
      <c r="X404">
        <v>24</v>
      </c>
      <c r="AC404" t="s">
        <v>107</v>
      </c>
      <c r="AD404" t="s">
        <v>301</v>
      </c>
      <c r="AE404" t="s">
        <v>46</v>
      </c>
      <c r="AG404">
        <v>52</v>
      </c>
      <c r="AH404">
        <v>2</v>
      </c>
      <c r="AI404" t="s">
        <v>50</v>
      </c>
      <c r="AK404">
        <v>0</v>
      </c>
      <c r="AM404">
        <v>0</v>
      </c>
      <c r="AP404" t="s">
        <v>325</v>
      </c>
    </row>
    <row r="405" spans="1:42" customFormat="1">
      <c r="A405">
        <v>270544</v>
      </c>
      <c r="B405" t="s">
        <v>3136</v>
      </c>
      <c r="C405" t="s">
        <v>3137</v>
      </c>
      <c r="D405" s="22">
        <v>0</v>
      </c>
      <c r="E405" s="17">
        <v>42138</v>
      </c>
      <c r="F405" s="18">
        <v>0.4045138888888889</v>
      </c>
      <c r="G405" s="22">
        <v>157068</v>
      </c>
      <c r="H405">
        <v>0</v>
      </c>
      <c r="I405" s="19" t="e">
        <f>I404 + (D405-G405)</f>
        <v>#VALUE!</v>
      </c>
      <c r="M405">
        <v>123732</v>
      </c>
      <c r="N405">
        <v>24</v>
      </c>
      <c r="O405" t="s">
        <v>68</v>
      </c>
      <c r="P405">
        <v>1</v>
      </c>
      <c r="R405">
        <v>569</v>
      </c>
      <c r="S405" s="17">
        <v>42145</v>
      </c>
      <c r="T405" s="17">
        <v>42145</v>
      </c>
      <c r="W405">
        <v>2015</v>
      </c>
      <c r="X405">
        <v>24</v>
      </c>
      <c r="AC405" t="s">
        <v>107</v>
      </c>
      <c r="AD405" t="s">
        <v>301</v>
      </c>
      <c r="AE405" t="s">
        <v>46</v>
      </c>
      <c r="AG405">
        <v>52</v>
      </c>
      <c r="AH405">
        <v>2</v>
      </c>
      <c r="AI405" t="s">
        <v>50</v>
      </c>
      <c r="AK405">
        <v>0</v>
      </c>
      <c r="AM405">
        <v>0</v>
      </c>
      <c r="AP405" t="s">
        <v>325</v>
      </c>
    </row>
    <row r="406" spans="1:42" customFormat="1">
      <c r="A406">
        <v>270945</v>
      </c>
      <c r="B406" t="s">
        <v>3142</v>
      </c>
      <c r="C406" t="s">
        <v>3143</v>
      </c>
      <c r="D406" s="22">
        <v>0</v>
      </c>
      <c r="E406" s="17">
        <v>42138</v>
      </c>
      <c r="F406" s="18">
        <v>0.41726851851851854</v>
      </c>
      <c r="G406" s="22">
        <v>1386</v>
      </c>
      <c r="H406">
        <v>0</v>
      </c>
      <c r="I406" s="19" t="e">
        <f>I405 + (D406-G406)</f>
        <v>#VALUE!</v>
      </c>
      <c r="M406">
        <v>123988</v>
      </c>
      <c r="N406">
        <v>7</v>
      </c>
      <c r="O406" t="s">
        <v>44</v>
      </c>
      <c r="P406">
        <v>2</v>
      </c>
      <c r="R406">
        <v>569</v>
      </c>
      <c r="S406" s="17">
        <v>42149</v>
      </c>
      <c r="T406" s="17">
        <v>42149</v>
      </c>
      <c r="W406">
        <v>2015</v>
      </c>
      <c r="X406">
        <v>7</v>
      </c>
      <c r="AC406" t="s">
        <v>107</v>
      </c>
      <c r="AD406" t="s">
        <v>301</v>
      </c>
      <c r="AE406" t="s">
        <v>46</v>
      </c>
      <c r="AG406">
        <v>5</v>
      </c>
      <c r="AH406">
        <v>9</v>
      </c>
      <c r="AI406" t="s">
        <v>54</v>
      </c>
      <c r="AK406">
        <v>0</v>
      </c>
      <c r="AM406">
        <v>0</v>
      </c>
      <c r="AP406" t="s">
        <v>312</v>
      </c>
    </row>
    <row r="407" spans="1:42" customFormat="1">
      <c r="A407">
        <v>272786</v>
      </c>
      <c r="B407" t="s">
        <v>3158</v>
      </c>
      <c r="C407" t="s">
        <v>3159</v>
      </c>
      <c r="D407" s="22">
        <v>0</v>
      </c>
      <c r="E407" s="17">
        <v>42138</v>
      </c>
      <c r="F407" s="18">
        <v>0.43192129629629633</v>
      </c>
      <c r="G407" s="22">
        <v>1386</v>
      </c>
      <c r="H407">
        <v>0</v>
      </c>
      <c r="I407" s="19" t="e">
        <f>I406 + (D407-G407)</f>
        <v>#VALUE!</v>
      </c>
      <c r="M407">
        <v>123435</v>
      </c>
      <c r="N407">
        <v>24</v>
      </c>
      <c r="O407" t="s">
        <v>68</v>
      </c>
      <c r="P407">
        <v>1</v>
      </c>
      <c r="R407">
        <v>569</v>
      </c>
      <c r="S407" s="17">
        <v>42166</v>
      </c>
      <c r="T407" s="17">
        <v>42166</v>
      </c>
      <c r="W407">
        <v>2015</v>
      </c>
      <c r="X407">
        <v>24</v>
      </c>
      <c r="AC407" t="s">
        <v>107</v>
      </c>
      <c r="AD407" t="s">
        <v>301</v>
      </c>
      <c r="AE407" t="s">
        <v>46</v>
      </c>
      <c r="AG407">
        <v>12</v>
      </c>
      <c r="AH407">
        <v>2</v>
      </c>
      <c r="AI407" t="s">
        <v>50</v>
      </c>
      <c r="AK407">
        <v>0</v>
      </c>
      <c r="AM407">
        <v>0</v>
      </c>
      <c r="AP407" t="s">
        <v>392</v>
      </c>
    </row>
    <row r="408" spans="1:42" customFormat="1">
      <c r="A408">
        <v>272787</v>
      </c>
      <c r="B408" t="s">
        <v>3160</v>
      </c>
      <c r="C408" t="s">
        <v>3161</v>
      </c>
      <c r="D408" s="22">
        <v>0</v>
      </c>
      <c r="E408" s="17">
        <v>42138</v>
      </c>
      <c r="F408" s="18">
        <v>0.43210648148148145</v>
      </c>
      <c r="G408" s="22">
        <v>1350</v>
      </c>
      <c r="H408">
        <v>0</v>
      </c>
      <c r="I408" s="19" t="e">
        <f>I407 + (D408-G408)</f>
        <v>#VALUE!</v>
      </c>
      <c r="M408">
        <v>123437</v>
      </c>
      <c r="N408">
        <v>24</v>
      </c>
      <c r="O408" t="s">
        <v>68</v>
      </c>
      <c r="P408">
        <v>1</v>
      </c>
      <c r="R408">
        <v>569</v>
      </c>
      <c r="S408" s="17">
        <v>42166</v>
      </c>
      <c r="T408" s="17">
        <v>42166</v>
      </c>
      <c r="W408">
        <v>2015</v>
      </c>
      <c r="X408">
        <v>24</v>
      </c>
      <c r="AC408" t="s">
        <v>107</v>
      </c>
      <c r="AD408" t="s">
        <v>301</v>
      </c>
      <c r="AE408" t="s">
        <v>46</v>
      </c>
      <c r="AG408">
        <v>12</v>
      </c>
      <c r="AH408">
        <v>2</v>
      </c>
      <c r="AI408" t="s">
        <v>50</v>
      </c>
      <c r="AK408">
        <v>0</v>
      </c>
      <c r="AM408">
        <v>0</v>
      </c>
      <c r="AP408" t="s">
        <v>392</v>
      </c>
    </row>
    <row r="409" spans="1:42" customFormat="1">
      <c r="A409">
        <v>272807</v>
      </c>
      <c r="B409" t="s">
        <v>102</v>
      </c>
      <c r="C409" t="s">
        <v>3446</v>
      </c>
      <c r="D409" s="22">
        <v>999</v>
      </c>
      <c r="E409" s="17">
        <v>42139</v>
      </c>
      <c r="F409" s="18">
        <v>0.44436342592592593</v>
      </c>
      <c r="G409" s="22">
        <v>0</v>
      </c>
      <c r="H409">
        <v>0</v>
      </c>
      <c r="I409" s="19" t="e">
        <f>I408 + (D409-G409)</f>
        <v>#VALUE!</v>
      </c>
      <c r="N409">
        <v>24</v>
      </c>
      <c r="O409" t="s">
        <v>68</v>
      </c>
      <c r="P409">
        <v>1</v>
      </c>
      <c r="R409">
        <v>569</v>
      </c>
      <c r="S409" s="17">
        <v>42166</v>
      </c>
      <c r="T409" s="17">
        <v>42166</v>
      </c>
      <c r="W409">
        <v>2015</v>
      </c>
      <c r="X409">
        <v>24</v>
      </c>
      <c r="AC409" t="s">
        <v>107</v>
      </c>
      <c r="AD409" t="s">
        <v>301</v>
      </c>
      <c r="AE409" t="s">
        <v>46</v>
      </c>
      <c r="AG409">
        <v>12</v>
      </c>
      <c r="AH409">
        <v>2</v>
      </c>
      <c r="AI409" t="s">
        <v>50</v>
      </c>
      <c r="AM409">
        <v>0</v>
      </c>
      <c r="AP409" t="s">
        <v>392</v>
      </c>
    </row>
    <row r="410" spans="1:42" customFormat="1">
      <c r="A410">
        <v>270554</v>
      </c>
      <c r="B410" t="s">
        <v>102</v>
      </c>
      <c r="C410" t="s">
        <v>3528</v>
      </c>
      <c r="D410" s="22">
        <v>157068</v>
      </c>
      <c r="E410" s="17">
        <v>42142</v>
      </c>
      <c r="F410" s="18">
        <v>0.41070601851851851</v>
      </c>
      <c r="G410" s="22">
        <v>0</v>
      </c>
      <c r="H410">
        <v>0</v>
      </c>
      <c r="I410" s="19" t="e">
        <f>I409 + (D410-G410)</f>
        <v>#VALUE!</v>
      </c>
      <c r="N410">
        <v>24</v>
      </c>
      <c r="O410" t="s">
        <v>68</v>
      </c>
      <c r="P410">
        <v>1</v>
      </c>
      <c r="R410">
        <v>569</v>
      </c>
      <c r="S410" s="17">
        <v>42145</v>
      </c>
      <c r="T410" s="17">
        <v>42145</v>
      </c>
      <c r="W410">
        <v>2015</v>
      </c>
      <c r="X410">
        <v>24</v>
      </c>
      <c r="AC410" t="s">
        <v>107</v>
      </c>
      <c r="AD410" t="s">
        <v>301</v>
      </c>
      <c r="AE410" t="s">
        <v>46</v>
      </c>
      <c r="AG410">
        <v>52</v>
      </c>
      <c r="AH410">
        <v>2</v>
      </c>
      <c r="AI410" t="s">
        <v>50</v>
      </c>
      <c r="AM410">
        <v>0</v>
      </c>
      <c r="AP410" t="s">
        <v>325</v>
      </c>
    </row>
    <row r="411" spans="1:42" customFormat="1">
      <c r="A411">
        <v>274616</v>
      </c>
      <c r="B411" t="s">
        <v>3533</v>
      </c>
      <c r="C411" t="s">
        <v>3534</v>
      </c>
      <c r="D411" s="22">
        <v>0</v>
      </c>
      <c r="E411" s="17">
        <v>42142</v>
      </c>
      <c r="F411" s="18">
        <v>0.42423611111111109</v>
      </c>
      <c r="G411" s="22">
        <v>157068</v>
      </c>
      <c r="H411">
        <v>0</v>
      </c>
      <c r="I411" s="19" t="e">
        <f>I410 + (D411-G411)</f>
        <v>#VALUE!</v>
      </c>
      <c r="M411">
        <v>127658</v>
      </c>
      <c r="N411">
        <v>24</v>
      </c>
      <c r="O411" t="s">
        <v>68</v>
      </c>
      <c r="P411">
        <v>1</v>
      </c>
      <c r="R411">
        <v>569</v>
      </c>
      <c r="S411" s="17">
        <v>42185</v>
      </c>
      <c r="T411" s="17">
        <v>42185</v>
      </c>
      <c r="W411">
        <v>2015</v>
      </c>
      <c r="X411">
        <v>24</v>
      </c>
      <c r="AC411" t="s">
        <v>107</v>
      </c>
      <c r="AD411" t="s">
        <v>301</v>
      </c>
      <c r="AE411" t="s">
        <v>46</v>
      </c>
      <c r="AG411">
        <v>52</v>
      </c>
      <c r="AH411">
        <v>2</v>
      </c>
      <c r="AI411" t="s">
        <v>50</v>
      </c>
      <c r="AK411">
        <v>0</v>
      </c>
      <c r="AM411">
        <v>0</v>
      </c>
      <c r="AP411" t="s">
        <v>325</v>
      </c>
    </row>
    <row r="412" spans="1:42" customFormat="1">
      <c r="A412">
        <v>272819</v>
      </c>
      <c r="B412" t="s">
        <v>102</v>
      </c>
      <c r="C412" t="s">
        <v>3553</v>
      </c>
      <c r="D412" s="22">
        <v>0</v>
      </c>
      <c r="E412" s="17">
        <v>42142</v>
      </c>
      <c r="F412" s="18">
        <v>0.46726851851851853</v>
      </c>
      <c r="G412" s="22">
        <v>1386</v>
      </c>
      <c r="H412">
        <v>0</v>
      </c>
      <c r="I412" s="19" t="e">
        <f>I411 + (D412-G412)</f>
        <v>#VALUE!</v>
      </c>
      <c r="N412">
        <v>24</v>
      </c>
      <c r="O412" t="s">
        <v>68</v>
      </c>
      <c r="P412">
        <v>1</v>
      </c>
      <c r="R412">
        <v>569</v>
      </c>
      <c r="S412" s="17">
        <v>42166</v>
      </c>
      <c r="T412" s="17">
        <v>42166</v>
      </c>
      <c r="W412">
        <v>2015</v>
      </c>
      <c r="X412">
        <v>24</v>
      </c>
      <c r="AC412" t="s">
        <v>107</v>
      </c>
      <c r="AD412" t="s">
        <v>301</v>
      </c>
      <c r="AE412" t="s">
        <v>46</v>
      </c>
      <c r="AG412">
        <v>12</v>
      </c>
      <c r="AH412">
        <v>2</v>
      </c>
      <c r="AI412" t="s">
        <v>50</v>
      </c>
      <c r="AM412">
        <v>0</v>
      </c>
      <c r="AP412" t="s">
        <v>392</v>
      </c>
    </row>
    <row r="413" spans="1:42" customFormat="1">
      <c r="A413">
        <v>270797</v>
      </c>
      <c r="B413" t="s">
        <v>3556</v>
      </c>
      <c r="C413" t="s">
        <v>3557</v>
      </c>
      <c r="D413" s="22">
        <v>0</v>
      </c>
      <c r="E413" s="17">
        <v>42142</v>
      </c>
      <c r="F413" s="18">
        <v>0.54450231481481481</v>
      </c>
      <c r="G413" s="22">
        <v>8000</v>
      </c>
      <c r="H413">
        <v>0</v>
      </c>
      <c r="I413" s="19" t="e">
        <f>I412 + (D413-G413)</f>
        <v>#VALUE!</v>
      </c>
      <c r="M413">
        <v>123900</v>
      </c>
      <c r="N413">
        <v>24</v>
      </c>
      <c r="O413" t="s">
        <v>68</v>
      </c>
      <c r="P413">
        <v>1</v>
      </c>
      <c r="R413">
        <v>569</v>
      </c>
      <c r="S413" s="17">
        <v>42146</v>
      </c>
      <c r="T413" s="17">
        <v>42146</v>
      </c>
      <c r="W413">
        <v>2015</v>
      </c>
      <c r="X413">
        <v>24</v>
      </c>
      <c r="AC413" t="s">
        <v>107</v>
      </c>
      <c r="AD413" t="s">
        <v>301</v>
      </c>
      <c r="AE413" t="s">
        <v>46</v>
      </c>
      <c r="AG413">
        <v>52</v>
      </c>
      <c r="AH413">
        <v>2</v>
      </c>
      <c r="AI413" t="s">
        <v>50</v>
      </c>
      <c r="AK413">
        <v>0</v>
      </c>
      <c r="AM413">
        <v>0</v>
      </c>
      <c r="AP413" t="s">
        <v>325</v>
      </c>
    </row>
    <row r="414" spans="1:42" customFormat="1">
      <c r="A414">
        <v>270458</v>
      </c>
      <c r="B414" t="s">
        <v>3604</v>
      </c>
      <c r="C414" t="s">
        <v>3605</v>
      </c>
      <c r="D414" s="22">
        <v>0</v>
      </c>
      <c r="E414" s="17">
        <v>42143</v>
      </c>
      <c r="F414" s="18">
        <v>0.37049768518518517</v>
      </c>
      <c r="G414" s="22">
        <v>1068.8800000000001</v>
      </c>
      <c r="H414">
        <v>0</v>
      </c>
      <c r="I414" s="19" t="e">
        <f>I413 + (D414-G414)</f>
        <v>#VALUE!</v>
      </c>
      <c r="M414">
        <v>123660</v>
      </c>
      <c r="N414">
        <v>24</v>
      </c>
      <c r="O414" t="s">
        <v>68</v>
      </c>
      <c r="P414">
        <v>1</v>
      </c>
      <c r="R414">
        <v>569</v>
      </c>
      <c r="S414" s="17">
        <v>42145</v>
      </c>
      <c r="T414" s="17">
        <v>42145</v>
      </c>
      <c r="W414">
        <v>2015</v>
      </c>
      <c r="X414">
        <v>24</v>
      </c>
      <c r="AC414" t="s">
        <v>107</v>
      </c>
      <c r="AD414" t="s">
        <v>301</v>
      </c>
      <c r="AE414" t="s">
        <v>46</v>
      </c>
      <c r="AG414">
        <v>74</v>
      </c>
      <c r="AH414">
        <v>2</v>
      </c>
      <c r="AI414" t="s">
        <v>50</v>
      </c>
      <c r="AK414">
        <v>0</v>
      </c>
      <c r="AM414">
        <v>0</v>
      </c>
      <c r="AP414" t="s">
        <v>506</v>
      </c>
    </row>
    <row r="415" spans="1:42" customFormat="1">
      <c r="A415">
        <v>270457</v>
      </c>
      <c r="B415" t="s">
        <v>3606</v>
      </c>
      <c r="C415" t="s">
        <v>3607</v>
      </c>
      <c r="D415" s="22">
        <v>0</v>
      </c>
      <c r="E415" s="17">
        <v>42143</v>
      </c>
      <c r="F415" s="18">
        <v>0.37049768518518517</v>
      </c>
      <c r="G415" s="22">
        <v>1325.7</v>
      </c>
      <c r="H415">
        <v>0</v>
      </c>
      <c r="I415" s="19" t="e">
        <f>I414 + (D415-G415)</f>
        <v>#VALUE!</v>
      </c>
      <c r="M415">
        <v>123659</v>
      </c>
      <c r="N415">
        <v>24</v>
      </c>
      <c r="O415" t="s">
        <v>68</v>
      </c>
      <c r="P415">
        <v>1</v>
      </c>
      <c r="R415">
        <v>569</v>
      </c>
      <c r="S415" s="17">
        <v>42145</v>
      </c>
      <c r="T415" s="17">
        <v>42145</v>
      </c>
      <c r="W415">
        <v>2015</v>
      </c>
      <c r="X415">
        <v>24</v>
      </c>
      <c r="AC415" t="s">
        <v>107</v>
      </c>
      <c r="AD415" t="s">
        <v>301</v>
      </c>
      <c r="AE415" t="s">
        <v>46</v>
      </c>
      <c r="AG415">
        <v>74</v>
      </c>
      <c r="AH415">
        <v>2</v>
      </c>
      <c r="AI415" t="s">
        <v>50</v>
      </c>
      <c r="AK415">
        <v>0</v>
      </c>
      <c r="AM415">
        <v>0</v>
      </c>
      <c r="AP415" t="s">
        <v>506</v>
      </c>
    </row>
    <row r="416" spans="1:42" customFormat="1">
      <c r="A416">
        <v>270605</v>
      </c>
      <c r="B416" t="s">
        <v>3717</v>
      </c>
      <c r="C416" t="s">
        <v>3718</v>
      </c>
      <c r="D416" s="22">
        <v>0</v>
      </c>
      <c r="E416" s="17">
        <v>42143</v>
      </c>
      <c r="F416" s="18">
        <v>0.41968749999999999</v>
      </c>
      <c r="G416" s="22">
        <v>1567.25</v>
      </c>
      <c r="H416">
        <v>0</v>
      </c>
      <c r="I416" s="19" t="e">
        <f>I415 + (D416-G416)</f>
        <v>#VALUE!</v>
      </c>
      <c r="M416">
        <v>123780</v>
      </c>
      <c r="N416">
        <v>7</v>
      </c>
      <c r="O416" t="s">
        <v>44</v>
      </c>
      <c r="P416">
        <v>1</v>
      </c>
      <c r="R416">
        <v>569</v>
      </c>
      <c r="S416" s="17">
        <v>42145</v>
      </c>
      <c r="T416" s="17">
        <v>42145</v>
      </c>
      <c r="W416">
        <v>2015</v>
      </c>
      <c r="X416">
        <v>7</v>
      </c>
      <c r="AC416" t="s">
        <v>107</v>
      </c>
      <c r="AD416" t="s">
        <v>301</v>
      </c>
      <c r="AE416" t="s">
        <v>46</v>
      </c>
      <c r="AG416">
        <v>7</v>
      </c>
      <c r="AH416">
        <v>9</v>
      </c>
      <c r="AI416" t="s">
        <v>54</v>
      </c>
      <c r="AK416">
        <v>0</v>
      </c>
      <c r="AM416">
        <v>0</v>
      </c>
      <c r="AP416" t="s">
        <v>220</v>
      </c>
    </row>
    <row r="417" spans="1:42" customFormat="1">
      <c r="A417">
        <v>270832</v>
      </c>
      <c r="B417" t="s">
        <v>3767</v>
      </c>
      <c r="C417" t="s">
        <v>3768</v>
      </c>
      <c r="D417" s="22">
        <v>0</v>
      </c>
      <c r="E417" s="17">
        <v>42143</v>
      </c>
      <c r="F417" s="18">
        <v>0.54901620370370374</v>
      </c>
      <c r="G417" s="22">
        <v>27500</v>
      </c>
      <c r="H417">
        <v>0</v>
      </c>
      <c r="I417" s="19" t="e">
        <f>I416 + (D417-G417)</f>
        <v>#VALUE!</v>
      </c>
      <c r="M417">
        <v>123933</v>
      </c>
      <c r="N417">
        <v>24</v>
      </c>
      <c r="O417" t="s">
        <v>68</v>
      </c>
      <c r="P417">
        <v>1</v>
      </c>
      <c r="R417">
        <v>569</v>
      </c>
      <c r="S417" s="17">
        <v>42146</v>
      </c>
      <c r="T417" s="17">
        <v>42146</v>
      </c>
      <c r="W417">
        <v>2015</v>
      </c>
      <c r="X417">
        <v>24</v>
      </c>
      <c r="AC417" t="s">
        <v>107</v>
      </c>
      <c r="AD417" t="s">
        <v>301</v>
      </c>
      <c r="AE417" t="s">
        <v>46</v>
      </c>
      <c r="AG417">
        <v>52</v>
      </c>
      <c r="AH417">
        <v>2</v>
      </c>
      <c r="AI417" t="s">
        <v>50</v>
      </c>
      <c r="AK417">
        <v>0</v>
      </c>
      <c r="AM417">
        <v>0</v>
      </c>
      <c r="AP417" t="s">
        <v>325</v>
      </c>
    </row>
    <row r="418" spans="1:42" customFormat="1">
      <c r="A418">
        <v>273031</v>
      </c>
      <c r="B418" t="s">
        <v>4749</v>
      </c>
      <c r="C418" t="s">
        <v>4750</v>
      </c>
      <c r="D418" s="22">
        <v>0</v>
      </c>
      <c r="E418" s="17">
        <v>42150</v>
      </c>
      <c r="F418" s="18">
        <v>0.42331018518518521</v>
      </c>
      <c r="G418" s="22">
        <v>1444</v>
      </c>
      <c r="H418">
        <v>0</v>
      </c>
      <c r="I418" s="19" t="e">
        <f>I417 + (D418-G418)</f>
        <v>#VALUE!</v>
      </c>
      <c r="M418">
        <v>125178</v>
      </c>
      <c r="N418">
        <v>24</v>
      </c>
      <c r="O418" t="s">
        <v>68</v>
      </c>
      <c r="P418">
        <v>1</v>
      </c>
      <c r="R418">
        <v>569</v>
      </c>
      <c r="S418" s="17">
        <v>42167</v>
      </c>
      <c r="T418" s="17">
        <v>42167</v>
      </c>
      <c r="W418">
        <v>2015</v>
      </c>
      <c r="X418">
        <v>24</v>
      </c>
      <c r="AC418" t="s">
        <v>107</v>
      </c>
      <c r="AD418" t="s">
        <v>301</v>
      </c>
      <c r="AE418" t="s">
        <v>46</v>
      </c>
      <c r="AG418">
        <v>5</v>
      </c>
      <c r="AH418">
        <v>9</v>
      </c>
      <c r="AI418" t="s">
        <v>54</v>
      </c>
      <c r="AK418">
        <v>0</v>
      </c>
      <c r="AM418">
        <v>0</v>
      </c>
      <c r="AP418" t="s">
        <v>312</v>
      </c>
    </row>
    <row r="419" spans="1:42" customFormat="1">
      <c r="A419">
        <v>273032</v>
      </c>
      <c r="B419" t="s">
        <v>4751</v>
      </c>
      <c r="C419" t="s">
        <v>4752</v>
      </c>
      <c r="D419" s="22">
        <v>0</v>
      </c>
      <c r="E419" s="17">
        <v>42150</v>
      </c>
      <c r="F419" s="18">
        <v>0.42331018518518521</v>
      </c>
      <c r="G419" s="22">
        <v>2166</v>
      </c>
      <c r="H419">
        <v>0</v>
      </c>
      <c r="I419" s="19" t="e">
        <f>I418 + (D419-G419)</f>
        <v>#VALUE!</v>
      </c>
      <c r="M419">
        <v>125179</v>
      </c>
      <c r="N419">
        <v>24</v>
      </c>
      <c r="O419" t="s">
        <v>68</v>
      </c>
      <c r="P419">
        <v>1</v>
      </c>
      <c r="R419">
        <v>569</v>
      </c>
      <c r="S419" s="17">
        <v>42167</v>
      </c>
      <c r="T419" s="17">
        <v>42167</v>
      </c>
      <c r="W419">
        <v>2015</v>
      </c>
      <c r="X419">
        <v>24</v>
      </c>
      <c r="AC419" t="s">
        <v>107</v>
      </c>
      <c r="AD419" t="s">
        <v>301</v>
      </c>
      <c r="AE419" t="s">
        <v>46</v>
      </c>
      <c r="AG419">
        <v>5</v>
      </c>
      <c r="AH419">
        <v>9</v>
      </c>
      <c r="AI419" t="s">
        <v>54</v>
      </c>
      <c r="AK419">
        <v>0</v>
      </c>
      <c r="AM419">
        <v>0</v>
      </c>
      <c r="AP419" t="s">
        <v>312</v>
      </c>
    </row>
    <row r="420" spans="1:42" customFormat="1">
      <c r="A420">
        <v>273033</v>
      </c>
      <c r="B420" t="s">
        <v>4753</v>
      </c>
      <c r="C420" t="s">
        <v>4754</v>
      </c>
      <c r="D420" s="22">
        <v>0</v>
      </c>
      <c r="E420" s="17">
        <v>42150</v>
      </c>
      <c r="F420" s="18">
        <v>0.42331018518518521</v>
      </c>
      <c r="G420" s="22">
        <v>831.6</v>
      </c>
      <c r="H420">
        <v>0</v>
      </c>
      <c r="I420" s="19" t="e">
        <f>I419 + (D420-G420)</f>
        <v>#VALUE!</v>
      </c>
      <c r="M420">
        <v>125180</v>
      </c>
      <c r="N420">
        <v>24</v>
      </c>
      <c r="O420" t="s">
        <v>68</v>
      </c>
      <c r="P420">
        <v>1</v>
      </c>
      <c r="R420">
        <v>569</v>
      </c>
      <c r="S420" s="17">
        <v>42167</v>
      </c>
      <c r="T420" s="17">
        <v>42167</v>
      </c>
      <c r="W420">
        <v>2015</v>
      </c>
      <c r="X420">
        <v>24</v>
      </c>
      <c r="AC420" t="s">
        <v>107</v>
      </c>
      <c r="AD420" t="s">
        <v>301</v>
      </c>
      <c r="AE420" t="s">
        <v>46</v>
      </c>
      <c r="AG420">
        <v>5</v>
      </c>
      <c r="AH420">
        <v>9</v>
      </c>
      <c r="AI420" t="s">
        <v>54</v>
      </c>
      <c r="AK420">
        <v>0</v>
      </c>
      <c r="AM420">
        <v>0</v>
      </c>
      <c r="AP420" t="s">
        <v>312</v>
      </c>
    </row>
    <row r="421" spans="1:42" customFormat="1">
      <c r="A421">
        <v>273034</v>
      </c>
      <c r="B421" t="s">
        <v>4755</v>
      </c>
      <c r="C421" t="s">
        <v>4756</v>
      </c>
      <c r="D421" s="22">
        <v>0</v>
      </c>
      <c r="E421" s="17">
        <v>42150</v>
      </c>
      <c r="F421" s="18">
        <v>0.42331018518518521</v>
      </c>
      <c r="G421" s="22">
        <v>1386</v>
      </c>
      <c r="H421">
        <v>0</v>
      </c>
      <c r="I421" s="19" t="e">
        <f>I420 + (D421-G421)</f>
        <v>#VALUE!</v>
      </c>
      <c r="M421">
        <v>125181</v>
      </c>
      <c r="N421">
        <v>24</v>
      </c>
      <c r="O421" t="s">
        <v>68</v>
      </c>
      <c r="P421">
        <v>1</v>
      </c>
      <c r="R421">
        <v>569</v>
      </c>
      <c r="S421" s="17">
        <v>42167</v>
      </c>
      <c r="T421" s="17">
        <v>42167</v>
      </c>
      <c r="W421">
        <v>2015</v>
      </c>
      <c r="X421">
        <v>24</v>
      </c>
      <c r="AC421" t="s">
        <v>107</v>
      </c>
      <c r="AD421" t="s">
        <v>301</v>
      </c>
      <c r="AE421" t="s">
        <v>46</v>
      </c>
      <c r="AG421">
        <v>5</v>
      </c>
      <c r="AH421">
        <v>9</v>
      </c>
      <c r="AI421" t="s">
        <v>54</v>
      </c>
      <c r="AK421">
        <v>0</v>
      </c>
      <c r="AM421">
        <v>0</v>
      </c>
      <c r="AP421" t="s">
        <v>312</v>
      </c>
    </row>
    <row r="422" spans="1:42" customFormat="1">
      <c r="A422">
        <v>273035</v>
      </c>
      <c r="B422" t="s">
        <v>4757</v>
      </c>
      <c r="C422" t="s">
        <v>4758</v>
      </c>
      <c r="D422" s="22">
        <v>0</v>
      </c>
      <c r="E422" s="17">
        <v>42150</v>
      </c>
      <c r="F422" s="18">
        <v>0.42331018518518521</v>
      </c>
      <c r="G422" s="22">
        <v>693</v>
      </c>
      <c r="H422">
        <v>0</v>
      </c>
      <c r="I422" s="19" t="e">
        <f>I421 + (D422-G422)</f>
        <v>#VALUE!</v>
      </c>
      <c r="M422">
        <v>125182</v>
      </c>
      <c r="N422">
        <v>24</v>
      </c>
      <c r="O422" t="s">
        <v>68</v>
      </c>
      <c r="P422">
        <v>1</v>
      </c>
      <c r="R422">
        <v>569</v>
      </c>
      <c r="S422" s="17">
        <v>42167</v>
      </c>
      <c r="T422" s="17">
        <v>42167</v>
      </c>
      <c r="W422">
        <v>2015</v>
      </c>
      <c r="X422">
        <v>24</v>
      </c>
      <c r="AC422" t="s">
        <v>107</v>
      </c>
      <c r="AD422" t="s">
        <v>301</v>
      </c>
      <c r="AE422" t="s">
        <v>46</v>
      </c>
      <c r="AG422">
        <v>5</v>
      </c>
      <c r="AH422">
        <v>9</v>
      </c>
      <c r="AI422" t="s">
        <v>54</v>
      </c>
      <c r="AK422">
        <v>0</v>
      </c>
      <c r="AM422">
        <v>0</v>
      </c>
      <c r="AP422" t="s">
        <v>312</v>
      </c>
    </row>
    <row r="423" spans="1:42" customFormat="1">
      <c r="A423">
        <v>274088</v>
      </c>
      <c r="B423" t="s">
        <v>102</v>
      </c>
      <c r="C423" t="s">
        <v>4985</v>
      </c>
      <c r="D423" s="22">
        <v>0</v>
      </c>
      <c r="E423" s="17">
        <v>42151</v>
      </c>
      <c r="F423" s="18">
        <v>0.58859953703703705</v>
      </c>
      <c r="G423" s="22">
        <v>29900</v>
      </c>
      <c r="H423">
        <v>0</v>
      </c>
      <c r="I423" s="19" t="e">
        <f>I422 + (D423-G423)</f>
        <v>#VALUE!</v>
      </c>
      <c r="N423">
        <v>60</v>
      </c>
      <c r="O423" t="s">
        <v>60</v>
      </c>
      <c r="P423">
        <v>2</v>
      </c>
      <c r="R423">
        <v>569</v>
      </c>
      <c r="S423" s="17">
        <v>42180</v>
      </c>
      <c r="T423" s="17">
        <v>42180</v>
      </c>
      <c r="W423">
        <v>2015</v>
      </c>
      <c r="X423">
        <v>60</v>
      </c>
      <c r="AC423" t="s">
        <v>107</v>
      </c>
      <c r="AD423" t="s">
        <v>301</v>
      </c>
      <c r="AE423" t="s">
        <v>46</v>
      </c>
      <c r="AG423">
        <v>52</v>
      </c>
      <c r="AH423">
        <v>2</v>
      </c>
      <c r="AI423" t="s">
        <v>50</v>
      </c>
      <c r="AM423">
        <v>0</v>
      </c>
      <c r="AP423" t="s">
        <v>325</v>
      </c>
    </row>
    <row r="424" spans="1:42" customFormat="1">
      <c r="A424">
        <v>274089</v>
      </c>
      <c r="B424" t="s">
        <v>102</v>
      </c>
      <c r="C424" t="s">
        <v>4986</v>
      </c>
      <c r="D424" s="22">
        <v>0</v>
      </c>
      <c r="E424" s="17">
        <v>42151</v>
      </c>
      <c r="F424" s="18">
        <v>0.58910879629629631</v>
      </c>
      <c r="G424" s="22">
        <v>16700</v>
      </c>
      <c r="H424">
        <v>0</v>
      </c>
      <c r="I424" s="19" t="e">
        <f>I423 + (D424-G424)</f>
        <v>#VALUE!</v>
      </c>
      <c r="N424">
        <v>60</v>
      </c>
      <c r="O424" t="s">
        <v>60</v>
      </c>
      <c r="P424">
        <v>2</v>
      </c>
      <c r="R424">
        <v>569</v>
      </c>
      <c r="S424" s="17">
        <v>42180</v>
      </c>
      <c r="T424" s="17">
        <v>42180</v>
      </c>
      <c r="W424">
        <v>2015</v>
      </c>
      <c r="X424">
        <v>60</v>
      </c>
      <c r="AC424" t="s">
        <v>107</v>
      </c>
      <c r="AD424" t="s">
        <v>301</v>
      </c>
      <c r="AE424" t="s">
        <v>46</v>
      </c>
      <c r="AG424">
        <v>52</v>
      </c>
      <c r="AH424">
        <v>2</v>
      </c>
      <c r="AI424" t="s">
        <v>50</v>
      </c>
      <c r="AM424">
        <v>0</v>
      </c>
      <c r="AP424" t="s">
        <v>325</v>
      </c>
    </row>
    <row r="425" spans="1:42" customFormat="1">
      <c r="A425">
        <v>274090</v>
      </c>
      <c r="B425" t="s">
        <v>102</v>
      </c>
      <c r="C425" t="s">
        <v>4987</v>
      </c>
      <c r="D425" s="22">
        <v>0</v>
      </c>
      <c r="E425" s="17">
        <v>42151</v>
      </c>
      <c r="F425" s="18">
        <v>0.5895717592592592</v>
      </c>
      <c r="G425" s="22">
        <v>20000</v>
      </c>
      <c r="H425">
        <v>0</v>
      </c>
      <c r="I425" s="19" t="e">
        <f>I424 + (D425-G425)</f>
        <v>#VALUE!</v>
      </c>
      <c r="N425">
        <v>60</v>
      </c>
      <c r="O425" t="s">
        <v>60</v>
      </c>
      <c r="P425">
        <v>2</v>
      </c>
      <c r="R425">
        <v>569</v>
      </c>
      <c r="S425" s="17">
        <v>42180</v>
      </c>
      <c r="T425" s="17">
        <v>42180</v>
      </c>
      <c r="W425">
        <v>2015</v>
      </c>
      <c r="X425">
        <v>60</v>
      </c>
      <c r="AC425" t="s">
        <v>107</v>
      </c>
      <c r="AD425" t="s">
        <v>301</v>
      </c>
      <c r="AE425" t="s">
        <v>46</v>
      </c>
      <c r="AG425">
        <v>52</v>
      </c>
      <c r="AH425">
        <v>2</v>
      </c>
      <c r="AI425" t="s">
        <v>50</v>
      </c>
      <c r="AM425">
        <v>0</v>
      </c>
      <c r="AP425" t="s">
        <v>325</v>
      </c>
    </row>
    <row r="426" spans="1:42" customFormat="1">
      <c r="A426">
        <v>274091</v>
      </c>
      <c r="B426" t="s">
        <v>102</v>
      </c>
      <c r="C426" t="s">
        <v>4988</v>
      </c>
      <c r="D426" s="22">
        <v>0</v>
      </c>
      <c r="E426" s="17">
        <v>42151</v>
      </c>
      <c r="F426" s="18">
        <v>0.59023148148148141</v>
      </c>
      <c r="G426" s="22">
        <v>7400</v>
      </c>
      <c r="H426">
        <v>0</v>
      </c>
      <c r="I426" s="19" t="e">
        <f>I425 + (D426-G426)</f>
        <v>#VALUE!</v>
      </c>
      <c r="N426">
        <v>60</v>
      </c>
      <c r="O426" t="s">
        <v>60</v>
      </c>
      <c r="P426">
        <v>2</v>
      </c>
      <c r="R426">
        <v>569</v>
      </c>
      <c r="S426" s="17">
        <v>42180</v>
      </c>
      <c r="T426" s="17">
        <v>42180</v>
      </c>
      <c r="W426">
        <v>2015</v>
      </c>
      <c r="X426">
        <v>60</v>
      </c>
      <c r="AC426" t="s">
        <v>107</v>
      </c>
      <c r="AD426" t="s">
        <v>301</v>
      </c>
      <c r="AE426" t="s">
        <v>46</v>
      </c>
      <c r="AG426">
        <v>52</v>
      </c>
      <c r="AH426">
        <v>2</v>
      </c>
      <c r="AI426" t="s">
        <v>50</v>
      </c>
      <c r="AM426">
        <v>0</v>
      </c>
      <c r="AP426" t="s">
        <v>325</v>
      </c>
    </row>
    <row r="427" spans="1:42" customFormat="1">
      <c r="A427">
        <v>273037</v>
      </c>
      <c r="B427" t="s">
        <v>5048</v>
      </c>
      <c r="C427" t="s">
        <v>5049</v>
      </c>
      <c r="D427" s="22">
        <v>0</v>
      </c>
      <c r="E427" s="17">
        <v>42152</v>
      </c>
      <c r="F427" s="18">
        <v>0.42496527777777776</v>
      </c>
      <c r="G427" s="22">
        <v>2166</v>
      </c>
      <c r="H427">
        <v>0</v>
      </c>
      <c r="I427" s="19" t="e">
        <f>I426 + (D427-G427)</f>
        <v>#VALUE!</v>
      </c>
      <c r="M427">
        <v>125184</v>
      </c>
      <c r="N427">
        <v>24</v>
      </c>
      <c r="O427" t="s">
        <v>68</v>
      </c>
      <c r="P427">
        <v>1</v>
      </c>
      <c r="R427">
        <v>569</v>
      </c>
      <c r="S427" s="17">
        <v>42167</v>
      </c>
      <c r="T427" s="17">
        <v>42167</v>
      </c>
      <c r="W427">
        <v>2015</v>
      </c>
      <c r="X427">
        <v>24</v>
      </c>
      <c r="AC427" t="s">
        <v>107</v>
      </c>
      <c r="AD427" t="s">
        <v>301</v>
      </c>
      <c r="AE427" t="s">
        <v>46</v>
      </c>
      <c r="AG427">
        <v>5</v>
      </c>
      <c r="AH427">
        <v>9</v>
      </c>
      <c r="AI427" t="s">
        <v>54</v>
      </c>
      <c r="AK427">
        <v>0</v>
      </c>
      <c r="AM427">
        <v>0</v>
      </c>
      <c r="AP427" t="s">
        <v>312</v>
      </c>
    </row>
    <row r="428" spans="1:42" customFormat="1">
      <c r="A428">
        <v>270685</v>
      </c>
      <c r="B428" t="s">
        <v>3898</v>
      </c>
      <c r="C428" t="s">
        <v>3899</v>
      </c>
      <c r="D428" s="22">
        <v>0</v>
      </c>
      <c r="E428" s="17">
        <v>42144</v>
      </c>
      <c r="F428" s="18">
        <v>0.71637731481481481</v>
      </c>
      <c r="G428" s="22">
        <v>1130.25</v>
      </c>
      <c r="H428">
        <v>0</v>
      </c>
      <c r="I428" s="19" t="e">
        <f>I427 + (D428-G428)</f>
        <v>#VALUE!</v>
      </c>
      <c r="M428">
        <v>122236</v>
      </c>
      <c r="N428">
        <v>24</v>
      </c>
      <c r="O428" t="s">
        <v>68</v>
      </c>
      <c r="P428">
        <v>1</v>
      </c>
      <c r="R428">
        <v>571</v>
      </c>
      <c r="S428" s="17">
        <v>42145</v>
      </c>
      <c r="T428" s="17">
        <v>42145</v>
      </c>
      <c r="W428">
        <v>2015</v>
      </c>
      <c r="X428">
        <v>24</v>
      </c>
      <c r="AC428" t="s">
        <v>3900</v>
      </c>
      <c r="AD428" t="s">
        <v>301</v>
      </c>
      <c r="AE428" t="s">
        <v>46</v>
      </c>
      <c r="AG428">
        <v>4</v>
      </c>
      <c r="AH428">
        <v>9</v>
      </c>
      <c r="AI428" t="s">
        <v>54</v>
      </c>
      <c r="AK428">
        <v>0</v>
      </c>
      <c r="AM428">
        <v>0</v>
      </c>
      <c r="AP428" t="s">
        <v>389</v>
      </c>
    </row>
    <row r="429" spans="1:42" customFormat="1">
      <c r="A429">
        <v>276178</v>
      </c>
      <c r="B429" t="s">
        <v>2057</v>
      </c>
      <c r="C429" t="s">
        <v>2058</v>
      </c>
      <c r="D429" s="22">
        <v>0</v>
      </c>
      <c r="E429" s="17">
        <v>42131</v>
      </c>
      <c r="F429" s="18">
        <v>0.69456018518518514</v>
      </c>
      <c r="G429" s="22">
        <v>497.58</v>
      </c>
      <c r="H429">
        <v>0</v>
      </c>
      <c r="I429" s="19" t="e">
        <f>I428 + (D429-G429)</f>
        <v>#VALUE!</v>
      </c>
      <c r="M429">
        <v>128708</v>
      </c>
      <c r="N429">
        <v>24</v>
      </c>
      <c r="O429" t="s">
        <v>68</v>
      </c>
      <c r="P429">
        <v>1</v>
      </c>
      <c r="R429">
        <v>572</v>
      </c>
      <c r="S429" s="17">
        <v>42188</v>
      </c>
      <c r="T429" s="17">
        <v>42188</v>
      </c>
      <c r="W429">
        <v>2015</v>
      </c>
      <c r="X429">
        <v>24</v>
      </c>
      <c r="AC429" t="s">
        <v>240</v>
      </c>
      <c r="AD429" t="s">
        <v>301</v>
      </c>
      <c r="AE429" t="s">
        <v>46</v>
      </c>
      <c r="AG429">
        <v>107</v>
      </c>
      <c r="AH429">
        <v>9</v>
      </c>
      <c r="AI429" t="s">
        <v>54</v>
      </c>
      <c r="AK429">
        <v>0</v>
      </c>
      <c r="AM429">
        <v>0</v>
      </c>
      <c r="AP429" t="s">
        <v>1121</v>
      </c>
    </row>
    <row r="430" spans="1:42" customFormat="1">
      <c r="A430">
        <v>276179</v>
      </c>
      <c r="B430" t="s">
        <v>3116</v>
      </c>
      <c r="C430" t="s">
        <v>3117</v>
      </c>
      <c r="D430" s="22">
        <v>0</v>
      </c>
      <c r="E430" s="17">
        <v>42137</v>
      </c>
      <c r="F430" s="18">
        <v>0.694849537037037</v>
      </c>
      <c r="G430" s="22">
        <v>533.86</v>
      </c>
      <c r="H430">
        <v>0</v>
      </c>
      <c r="I430" s="19" t="e">
        <f>I429 + (D430-G430)</f>
        <v>#VALUE!</v>
      </c>
      <c r="M430">
        <v>128709</v>
      </c>
      <c r="N430">
        <v>24</v>
      </c>
      <c r="O430" t="s">
        <v>68</v>
      </c>
      <c r="P430">
        <v>1</v>
      </c>
      <c r="R430">
        <v>572</v>
      </c>
      <c r="S430" s="17">
        <v>42188</v>
      </c>
      <c r="T430" s="17">
        <v>42188</v>
      </c>
      <c r="W430">
        <v>2015</v>
      </c>
      <c r="X430">
        <v>24</v>
      </c>
      <c r="AC430" t="s">
        <v>240</v>
      </c>
      <c r="AD430" t="s">
        <v>301</v>
      </c>
      <c r="AE430" t="s">
        <v>46</v>
      </c>
      <c r="AG430">
        <v>107</v>
      </c>
      <c r="AH430">
        <v>9</v>
      </c>
      <c r="AI430" t="s">
        <v>54</v>
      </c>
      <c r="AK430">
        <v>0</v>
      </c>
      <c r="AM430">
        <v>0</v>
      </c>
      <c r="AP430" t="s">
        <v>1121</v>
      </c>
    </row>
    <row r="431" spans="1:42" customFormat="1">
      <c r="A431">
        <v>270616</v>
      </c>
      <c r="B431" t="s">
        <v>3405</v>
      </c>
      <c r="C431" t="s">
        <v>3406</v>
      </c>
      <c r="D431" s="22">
        <v>0</v>
      </c>
      <c r="E431" s="17">
        <v>42139</v>
      </c>
      <c r="F431" s="18">
        <v>0.42884259259259255</v>
      </c>
      <c r="G431" s="22">
        <v>238.3</v>
      </c>
      <c r="H431">
        <v>0</v>
      </c>
      <c r="I431" s="19" t="e">
        <f>I430 + (D431-G431)</f>
        <v>#VALUE!</v>
      </c>
      <c r="M431">
        <v>123785</v>
      </c>
      <c r="N431">
        <v>24</v>
      </c>
      <c r="O431" t="s">
        <v>68</v>
      </c>
      <c r="P431">
        <v>1</v>
      </c>
      <c r="R431">
        <v>572</v>
      </c>
      <c r="S431" s="17">
        <v>42145</v>
      </c>
      <c r="T431" s="17">
        <v>42145</v>
      </c>
      <c r="W431">
        <v>2015</v>
      </c>
      <c r="X431">
        <v>24</v>
      </c>
      <c r="AC431" t="s">
        <v>240</v>
      </c>
      <c r="AD431" t="s">
        <v>301</v>
      </c>
      <c r="AE431" t="s">
        <v>46</v>
      </c>
      <c r="AG431">
        <v>4</v>
      </c>
      <c r="AH431">
        <v>9</v>
      </c>
      <c r="AI431" t="s">
        <v>54</v>
      </c>
      <c r="AK431">
        <v>0</v>
      </c>
      <c r="AM431">
        <v>0</v>
      </c>
      <c r="AP431" t="s">
        <v>389</v>
      </c>
    </row>
    <row r="432" spans="1:42" customFormat="1">
      <c r="A432">
        <v>270951</v>
      </c>
      <c r="B432" t="s">
        <v>4130</v>
      </c>
      <c r="C432" t="s">
        <v>4131</v>
      </c>
      <c r="D432" s="22">
        <v>0</v>
      </c>
      <c r="E432" s="17">
        <v>42146</v>
      </c>
      <c r="F432" s="18">
        <v>0.42020833333333335</v>
      </c>
      <c r="G432" s="22">
        <v>263.60000000000002</v>
      </c>
      <c r="H432">
        <v>0</v>
      </c>
      <c r="I432" s="19" t="e">
        <f>I431 + (D432-G432)</f>
        <v>#VALUE!</v>
      </c>
      <c r="M432">
        <v>123995</v>
      </c>
      <c r="N432">
        <v>24</v>
      </c>
      <c r="O432" t="s">
        <v>68</v>
      </c>
      <c r="P432">
        <v>1</v>
      </c>
      <c r="R432">
        <v>572</v>
      </c>
      <c r="S432" s="17">
        <v>42149</v>
      </c>
      <c r="T432" s="17">
        <v>42149</v>
      </c>
      <c r="W432">
        <v>2015</v>
      </c>
      <c r="X432">
        <v>24</v>
      </c>
      <c r="AC432" t="s">
        <v>240</v>
      </c>
      <c r="AD432" t="s">
        <v>301</v>
      </c>
      <c r="AE432" t="s">
        <v>46</v>
      </c>
      <c r="AG432">
        <v>4</v>
      </c>
      <c r="AH432">
        <v>9</v>
      </c>
      <c r="AI432" t="s">
        <v>54</v>
      </c>
      <c r="AK432">
        <v>0</v>
      </c>
      <c r="AM432">
        <v>0</v>
      </c>
      <c r="AP432" t="s">
        <v>389</v>
      </c>
    </row>
    <row r="433" spans="1:42" customFormat="1">
      <c r="A433">
        <v>270688</v>
      </c>
      <c r="B433" t="s">
        <v>3905</v>
      </c>
      <c r="C433" t="s">
        <v>3906</v>
      </c>
      <c r="D433" s="22">
        <v>0</v>
      </c>
      <c r="E433" s="17">
        <v>42144</v>
      </c>
      <c r="F433" s="18">
        <v>0.72267361111111106</v>
      </c>
      <c r="G433" s="22">
        <v>252.92</v>
      </c>
      <c r="H433">
        <v>0</v>
      </c>
      <c r="I433" s="19" t="e">
        <f>I432 + (D433-G433)</f>
        <v>#VALUE!</v>
      </c>
      <c r="M433">
        <v>121224</v>
      </c>
      <c r="N433">
        <v>24</v>
      </c>
      <c r="O433" t="s">
        <v>68</v>
      </c>
      <c r="P433">
        <v>1</v>
      </c>
      <c r="R433">
        <v>573</v>
      </c>
      <c r="S433" s="17">
        <v>42145</v>
      </c>
      <c r="T433" s="17">
        <v>42145</v>
      </c>
      <c r="W433">
        <v>2015</v>
      </c>
      <c r="X433">
        <v>24</v>
      </c>
      <c r="AC433" t="s">
        <v>186</v>
      </c>
      <c r="AD433" t="s">
        <v>301</v>
      </c>
      <c r="AE433" t="s">
        <v>46</v>
      </c>
      <c r="AG433">
        <v>4</v>
      </c>
      <c r="AH433">
        <v>9</v>
      </c>
      <c r="AI433" t="s">
        <v>54</v>
      </c>
      <c r="AK433">
        <v>0</v>
      </c>
      <c r="AM433">
        <v>0</v>
      </c>
      <c r="AP433" t="s">
        <v>389</v>
      </c>
    </row>
    <row r="434" spans="1:42" customFormat="1">
      <c r="A434">
        <v>268616</v>
      </c>
      <c r="B434" t="s">
        <v>317</v>
      </c>
      <c r="C434" t="s">
        <v>318</v>
      </c>
      <c r="D434" s="22">
        <v>0</v>
      </c>
      <c r="E434" s="17">
        <v>42128</v>
      </c>
      <c r="F434" s="18">
        <v>0.36171296296296296</v>
      </c>
      <c r="G434" s="22">
        <v>139</v>
      </c>
      <c r="H434">
        <v>0</v>
      </c>
      <c r="I434" s="19" t="e">
        <f>I433 + (D434-G434)</f>
        <v>#VALUE!</v>
      </c>
      <c r="M434">
        <v>122870</v>
      </c>
      <c r="N434">
        <v>7</v>
      </c>
      <c r="O434" t="s">
        <v>44</v>
      </c>
      <c r="P434">
        <v>1</v>
      </c>
      <c r="R434">
        <v>575</v>
      </c>
      <c r="S434" s="17">
        <v>42131</v>
      </c>
      <c r="T434" s="17">
        <v>42131</v>
      </c>
      <c r="W434">
        <v>2015</v>
      </c>
      <c r="X434">
        <v>7</v>
      </c>
      <c r="AC434" t="s">
        <v>61</v>
      </c>
      <c r="AD434" t="s">
        <v>302</v>
      </c>
      <c r="AE434" t="s">
        <v>46</v>
      </c>
      <c r="AG434">
        <v>5</v>
      </c>
      <c r="AH434">
        <v>9</v>
      </c>
      <c r="AI434" t="s">
        <v>54</v>
      </c>
      <c r="AK434">
        <v>0</v>
      </c>
      <c r="AM434">
        <v>0</v>
      </c>
      <c r="AP434" t="s">
        <v>312</v>
      </c>
    </row>
    <row r="435" spans="1:42" customFormat="1">
      <c r="A435">
        <v>268648</v>
      </c>
      <c r="B435" t="s">
        <v>350</v>
      </c>
      <c r="C435" t="s">
        <v>351</v>
      </c>
      <c r="D435" s="22">
        <v>0</v>
      </c>
      <c r="E435" s="17">
        <v>42128</v>
      </c>
      <c r="F435" s="18">
        <v>0.38848379629629631</v>
      </c>
      <c r="G435" s="22">
        <v>2</v>
      </c>
      <c r="H435">
        <v>0</v>
      </c>
      <c r="I435" s="19" t="e">
        <f>I434 + (D435-G435)</f>
        <v>#VALUE!</v>
      </c>
      <c r="M435">
        <v>122886</v>
      </c>
      <c r="N435">
        <v>7</v>
      </c>
      <c r="O435" t="s">
        <v>44</v>
      </c>
      <c r="P435">
        <v>1</v>
      </c>
      <c r="R435">
        <v>575</v>
      </c>
      <c r="S435" s="17">
        <v>42131</v>
      </c>
      <c r="T435" s="17">
        <v>42131</v>
      </c>
      <c r="W435">
        <v>2015</v>
      </c>
      <c r="X435">
        <v>7</v>
      </c>
      <c r="AC435" t="s">
        <v>61</v>
      </c>
      <c r="AD435" t="s">
        <v>302</v>
      </c>
      <c r="AE435" t="s">
        <v>46</v>
      </c>
      <c r="AG435">
        <v>59</v>
      </c>
      <c r="AH435">
        <v>9</v>
      </c>
      <c r="AI435" t="s">
        <v>54</v>
      </c>
      <c r="AK435">
        <v>0</v>
      </c>
      <c r="AM435">
        <v>0</v>
      </c>
      <c r="AP435" t="s">
        <v>341</v>
      </c>
    </row>
    <row r="436" spans="1:42" customFormat="1">
      <c r="A436">
        <v>268649</v>
      </c>
      <c r="B436" t="s">
        <v>352</v>
      </c>
      <c r="C436" t="s">
        <v>353</v>
      </c>
      <c r="D436" s="22">
        <v>0</v>
      </c>
      <c r="E436" s="17">
        <v>42128</v>
      </c>
      <c r="F436" s="18">
        <v>0.38848379629629631</v>
      </c>
      <c r="G436" s="22">
        <v>3.9</v>
      </c>
      <c r="H436">
        <v>0</v>
      </c>
      <c r="I436" s="19" t="e">
        <f>I435 + (D436-G436)</f>
        <v>#VALUE!</v>
      </c>
      <c r="M436">
        <v>122887</v>
      </c>
      <c r="N436">
        <v>7</v>
      </c>
      <c r="O436" t="s">
        <v>44</v>
      </c>
      <c r="P436">
        <v>1</v>
      </c>
      <c r="R436">
        <v>575</v>
      </c>
      <c r="S436" s="17">
        <v>42131</v>
      </c>
      <c r="T436" s="17">
        <v>42131</v>
      </c>
      <c r="W436">
        <v>2015</v>
      </c>
      <c r="X436">
        <v>7</v>
      </c>
      <c r="AC436" t="s">
        <v>61</v>
      </c>
      <c r="AD436" t="s">
        <v>302</v>
      </c>
      <c r="AE436" t="s">
        <v>46</v>
      </c>
      <c r="AG436">
        <v>59</v>
      </c>
      <c r="AH436">
        <v>9</v>
      </c>
      <c r="AI436" t="s">
        <v>54</v>
      </c>
      <c r="AK436">
        <v>0</v>
      </c>
      <c r="AM436">
        <v>0</v>
      </c>
      <c r="AP436" t="s">
        <v>341</v>
      </c>
    </row>
    <row r="437" spans="1:42" customFormat="1">
      <c r="A437">
        <v>268651</v>
      </c>
      <c r="B437" t="s">
        <v>356</v>
      </c>
      <c r="C437" t="s">
        <v>357</v>
      </c>
      <c r="D437" s="22">
        <v>0</v>
      </c>
      <c r="E437" s="17">
        <v>42128</v>
      </c>
      <c r="F437" s="18">
        <v>0.38848379629629631</v>
      </c>
      <c r="G437" s="22">
        <v>74.400000000000006</v>
      </c>
      <c r="H437">
        <v>0</v>
      </c>
      <c r="I437" s="19" t="e">
        <f>I436 + (D437-G437)</f>
        <v>#VALUE!</v>
      </c>
      <c r="M437">
        <v>122888</v>
      </c>
      <c r="N437">
        <v>7</v>
      </c>
      <c r="O437" t="s">
        <v>44</v>
      </c>
      <c r="P437">
        <v>1</v>
      </c>
      <c r="R437">
        <v>575</v>
      </c>
      <c r="S437" s="17">
        <v>42131</v>
      </c>
      <c r="T437" s="17">
        <v>42131</v>
      </c>
      <c r="W437">
        <v>2015</v>
      </c>
      <c r="X437">
        <v>7</v>
      </c>
      <c r="AC437" t="s">
        <v>61</v>
      </c>
      <c r="AD437" t="s">
        <v>302</v>
      </c>
      <c r="AE437" t="s">
        <v>46</v>
      </c>
      <c r="AG437">
        <v>59</v>
      </c>
      <c r="AH437">
        <v>9</v>
      </c>
      <c r="AI437" t="s">
        <v>54</v>
      </c>
      <c r="AK437">
        <v>0</v>
      </c>
      <c r="AM437">
        <v>0</v>
      </c>
      <c r="AP437" t="s">
        <v>341</v>
      </c>
    </row>
    <row r="438" spans="1:42" customFormat="1">
      <c r="A438">
        <v>268654</v>
      </c>
      <c r="B438" t="s">
        <v>360</v>
      </c>
      <c r="C438" t="s">
        <v>361</v>
      </c>
      <c r="D438" s="22">
        <v>0</v>
      </c>
      <c r="E438" s="17">
        <v>42128</v>
      </c>
      <c r="F438" s="18">
        <v>0.38848379629629631</v>
      </c>
      <c r="G438" s="22">
        <v>58.46</v>
      </c>
      <c r="H438">
        <v>0</v>
      </c>
      <c r="I438" s="19" t="e">
        <f>I437 + (D438-G438)</f>
        <v>#VALUE!</v>
      </c>
      <c r="M438">
        <v>122889</v>
      </c>
      <c r="N438">
        <v>7</v>
      </c>
      <c r="O438" t="s">
        <v>44</v>
      </c>
      <c r="P438">
        <v>1</v>
      </c>
      <c r="R438">
        <v>575</v>
      </c>
      <c r="S438" s="17">
        <v>42131</v>
      </c>
      <c r="T438" s="17">
        <v>42131</v>
      </c>
      <c r="W438">
        <v>2015</v>
      </c>
      <c r="X438">
        <v>7</v>
      </c>
      <c r="AC438" t="s">
        <v>61</v>
      </c>
      <c r="AD438" t="s">
        <v>302</v>
      </c>
      <c r="AE438" t="s">
        <v>46</v>
      </c>
      <c r="AG438">
        <v>59</v>
      </c>
      <c r="AH438">
        <v>9</v>
      </c>
      <c r="AI438" t="s">
        <v>54</v>
      </c>
      <c r="AK438">
        <v>0</v>
      </c>
      <c r="AM438">
        <v>0</v>
      </c>
      <c r="AP438" t="s">
        <v>341</v>
      </c>
    </row>
    <row r="439" spans="1:42" customFormat="1">
      <c r="A439">
        <v>268664</v>
      </c>
      <c r="B439" t="s">
        <v>376</v>
      </c>
      <c r="C439" t="s">
        <v>377</v>
      </c>
      <c r="D439" s="22">
        <v>0</v>
      </c>
      <c r="E439" s="17">
        <v>42128</v>
      </c>
      <c r="F439" s="18">
        <v>0.39231481481481478</v>
      </c>
      <c r="G439" s="22">
        <v>15</v>
      </c>
      <c r="H439">
        <v>0</v>
      </c>
      <c r="I439" s="19" t="e">
        <f>I438 + (D439-G439)</f>
        <v>#VALUE!</v>
      </c>
      <c r="M439">
        <v>122898</v>
      </c>
      <c r="N439">
        <v>60</v>
      </c>
      <c r="O439" t="s">
        <v>60</v>
      </c>
      <c r="P439">
        <v>1</v>
      </c>
      <c r="R439">
        <v>575</v>
      </c>
      <c r="S439" s="17">
        <v>42131</v>
      </c>
      <c r="T439" s="17">
        <v>42131</v>
      </c>
      <c r="W439">
        <v>2015</v>
      </c>
      <c r="X439">
        <v>60</v>
      </c>
      <c r="AC439" t="s">
        <v>61</v>
      </c>
      <c r="AD439" t="s">
        <v>302</v>
      </c>
      <c r="AE439" t="s">
        <v>46</v>
      </c>
      <c r="AG439">
        <v>52</v>
      </c>
      <c r="AH439">
        <v>9</v>
      </c>
      <c r="AI439" t="s">
        <v>54</v>
      </c>
      <c r="AK439">
        <v>0</v>
      </c>
      <c r="AM439">
        <v>0</v>
      </c>
      <c r="AP439" t="s">
        <v>325</v>
      </c>
    </row>
    <row r="440" spans="1:42" customFormat="1">
      <c r="A440">
        <v>268665</v>
      </c>
      <c r="B440" t="s">
        <v>378</v>
      </c>
      <c r="C440" t="s">
        <v>379</v>
      </c>
      <c r="D440" s="22">
        <v>0</v>
      </c>
      <c r="E440" s="17">
        <v>42128</v>
      </c>
      <c r="F440" s="18">
        <v>0.39231481481481478</v>
      </c>
      <c r="G440" s="22">
        <v>15</v>
      </c>
      <c r="H440">
        <v>0</v>
      </c>
      <c r="I440" s="19" t="e">
        <f>I439 + (D440-G440)</f>
        <v>#VALUE!</v>
      </c>
      <c r="M440">
        <v>122899</v>
      </c>
      <c r="N440">
        <v>60</v>
      </c>
      <c r="O440" t="s">
        <v>60</v>
      </c>
      <c r="P440">
        <v>1</v>
      </c>
      <c r="R440">
        <v>575</v>
      </c>
      <c r="S440" s="17">
        <v>42131</v>
      </c>
      <c r="T440" s="17">
        <v>42131</v>
      </c>
      <c r="W440">
        <v>2015</v>
      </c>
      <c r="X440">
        <v>60</v>
      </c>
      <c r="AC440" t="s">
        <v>61</v>
      </c>
      <c r="AD440" t="s">
        <v>302</v>
      </c>
      <c r="AE440" t="s">
        <v>46</v>
      </c>
      <c r="AG440">
        <v>52</v>
      </c>
      <c r="AH440">
        <v>9</v>
      </c>
      <c r="AI440" t="s">
        <v>54</v>
      </c>
      <c r="AK440">
        <v>0</v>
      </c>
      <c r="AM440">
        <v>0</v>
      </c>
      <c r="AP440" t="s">
        <v>325</v>
      </c>
    </row>
    <row r="441" spans="1:42" customFormat="1">
      <c r="A441">
        <v>268670</v>
      </c>
      <c r="B441" t="s">
        <v>380</v>
      </c>
      <c r="C441" t="s">
        <v>381</v>
      </c>
      <c r="D441" s="22">
        <v>0</v>
      </c>
      <c r="E441" s="17">
        <v>42128</v>
      </c>
      <c r="F441" s="18">
        <v>0.39877314814814818</v>
      </c>
      <c r="G441" s="22">
        <v>15</v>
      </c>
      <c r="H441">
        <v>0</v>
      </c>
      <c r="I441" s="19" t="e">
        <f>I440 + (D441-G441)</f>
        <v>#VALUE!</v>
      </c>
      <c r="M441">
        <v>122900</v>
      </c>
      <c r="N441">
        <v>60</v>
      </c>
      <c r="O441" t="s">
        <v>60</v>
      </c>
      <c r="P441">
        <v>1</v>
      </c>
      <c r="R441">
        <v>575</v>
      </c>
      <c r="S441" s="17">
        <v>42131</v>
      </c>
      <c r="T441" s="17">
        <v>42131</v>
      </c>
      <c r="W441">
        <v>2015</v>
      </c>
      <c r="X441">
        <v>60</v>
      </c>
      <c r="AC441" t="s">
        <v>61</v>
      </c>
      <c r="AD441" t="s">
        <v>302</v>
      </c>
      <c r="AE441" t="s">
        <v>46</v>
      </c>
      <c r="AG441">
        <v>52</v>
      </c>
      <c r="AH441">
        <v>9</v>
      </c>
      <c r="AI441" t="s">
        <v>54</v>
      </c>
      <c r="AK441">
        <v>0</v>
      </c>
      <c r="AM441">
        <v>0</v>
      </c>
      <c r="AP441" t="s">
        <v>325</v>
      </c>
    </row>
    <row r="442" spans="1:42" customFormat="1">
      <c r="A442">
        <v>268671</v>
      </c>
      <c r="B442" t="s">
        <v>382</v>
      </c>
      <c r="C442" t="s">
        <v>383</v>
      </c>
      <c r="D442" s="22">
        <v>0</v>
      </c>
      <c r="E442" s="17">
        <v>42128</v>
      </c>
      <c r="F442" s="18">
        <v>0.39878472222222222</v>
      </c>
      <c r="G442" s="22">
        <v>15</v>
      </c>
      <c r="H442">
        <v>0</v>
      </c>
      <c r="I442" s="19" t="e">
        <f>I441 + (D442-G442)</f>
        <v>#VALUE!</v>
      </c>
      <c r="M442">
        <v>122901</v>
      </c>
      <c r="N442">
        <v>60</v>
      </c>
      <c r="O442" t="s">
        <v>60</v>
      </c>
      <c r="P442">
        <v>1</v>
      </c>
      <c r="R442">
        <v>575</v>
      </c>
      <c r="S442" s="17">
        <v>42131</v>
      </c>
      <c r="T442" s="17">
        <v>42131</v>
      </c>
      <c r="W442">
        <v>2015</v>
      </c>
      <c r="X442">
        <v>60</v>
      </c>
      <c r="AC442" t="s">
        <v>61</v>
      </c>
      <c r="AD442" t="s">
        <v>302</v>
      </c>
      <c r="AE442" t="s">
        <v>46</v>
      </c>
      <c r="AG442">
        <v>52</v>
      </c>
      <c r="AH442">
        <v>9</v>
      </c>
      <c r="AI442" t="s">
        <v>54</v>
      </c>
      <c r="AK442">
        <v>0</v>
      </c>
      <c r="AM442">
        <v>0</v>
      </c>
      <c r="AP442" t="s">
        <v>325</v>
      </c>
    </row>
    <row r="443" spans="1:42" customFormat="1">
      <c r="A443">
        <v>268675</v>
      </c>
      <c r="B443" t="s">
        <v>390</v>
      </c>
      <c r="C443" t="s">
        <v>391</v>
      </c>
      <c r="D443" s="22">
        <v>0</v>
      </c>
      <c r="E443" s="17">
        <v>42128</v>
      </c>
      <c r="F443" s="18">
        <v>0.4052546296296296</v>
      </c>
      <c r="G443" s="22">
        <v>15</v>
      </c>
      <c r="H443">
        <v>0</v>
      </c>
      <c r="I443" s="19" t="e">
        <f>I442 + (D443-G443)</f>
        <v>#VALUE!</v>
      </c>
      <c r="M443">
        <v>122460</v>
      </c>
      <c r="N443">
        <v>60</v>
      </c>
      <c r="O443" t="s">
        <v>60</v>
      </c>
      <c r="P443">
        <v>1</v>
      </c>
      <c r="R443">
        <v>575</v>
      </c>
      <c r="S443" s="17">
        <v>42131</v>
      </c>
      <c r="T443" s="17">
        <v>42131</v>
      </c>
      <c r="W443">
        <v>2015</v>
      </c>
      <c r="X443">
        <v>60</v>
      </c>
      <c r="AC443" t="s">
        <v>61</v>
      </c>
      <c r="AD443" t="s">
        <v>302</v>
      </c>
      <c r="AE443" t="s">
        <v>46</v>
      </c>
      <c r="AG443">
        <v>12</v>
      </c>
      <c r="AH443">
        <v>9</v>
      </c>
      <c r="AI443" t="s">
        <v>54</v>
      </c>
      <c r="AK443">
        <v>0</v>
      </c>
      <c r="AM443">
        <v>0</v>
      </c>
      <c r="AP443" t="s">
        <v>392</v>
      </c>
    </row>
    <row r="444" spans="1:42" customFormat="1">
      <c r="A444">
        <v>268676</v>
      </c>
      <c r="B444" t="s">
        <v>393</v>
      </c>
      <c r="C444" t="s">
        <v>394</v>
      </c>
      <c r="D444" s="22">
        <v>0</v>
      </c>
      <c r="E444" s="17">
        <v>42128</v>
      </c>
      <c r="F444" s="18">
        <v>0.4052546296296296</v>
      </c>
      <c r="G444" s="22">
        <v>15</v>
      </c>
      <c r="H444">
        <v>0</v>
      </c>
      <c r="I444" s="19" t="e">
        <f>I443 + (D444-G444)</f>
        <v>#VALUE!</v>
      </c>
      <c r="M444">
        <v>122461</v>
      </c>
      <c r="N444">
        <v>60</v>
      </c>
      <c r="O444" t="s">
        <v>60</v>
      </c>
      <c r="P444">
        <v>1</v>
      </c>
      <c r="R444">
        <v>575</v>
      </c>
      <c r="S444" s="17">
        <v>42131</v>
      </c>
      <c r="T444" s="17">
        <v>42131</v>
      </c>
      <c r="W444">
        <v>2015</v>
      </c>
      <c r="X444">
        <v>60</v>
      </c>
      <c r="AC444" t="s">
        <v>61</v>
      </c>
      <c r="AD444" t="s">
        <v>302</v>
      </c>
      <c r="AE444" t="s">
        <v>46</v>
      </c>
      <c r="AG444">
        <v>12</v>
      </c>
      <c r="AH444">
        <v>9</v>
      </c>
      <c r="AI444" t="s">
        <v>54</v>
      </c>
      <c r="AK444">
        <v>0</v>
      </c>
      <c r="AM444">
        <v>0</v>
      </c>
      <c r="AP444" t="s">
        <v>392</v>
      </c>
    </row>
    <row r="445" spans="1:42" customFormat="1">
      <c r="A445">
        <v>268672</v>
      </c>
      <c r="B445" t="s">
        <v>395</v>
      </c>
      <c r="C445" t="s">
        <v>396</v>
      </c>
      <c r="D445" s="22">
        <v>0</v>
      </c>
      <c r="E445" s="17">
        <v>42128</v>
      </c>
      <c r="F445" s="18">
        <v>0.4052546296296296</v>
      </c>
      <c r="G445" s="22">
        <v>15</v>
      </c>
      <c r="H445">
        <v>0</v>
      </c>
      <c r="I445" s="19" t="e">
        <f>I444 + (D445-G445)</f>
        <v>#VALUE!</v>
      </c>
      <c r="M445">
        <v>122457</v>
      </c>
      <c r="N445">
        <v>60</v>
      </c>
      <c r="O445" t="s">
        <v>60</v>
      </c>
      <c r="P445">
        <v>1</v>
      </c>
      <c r="R445">
        <v>575</v>
      </c>
      <c r="S445" s="17">
        <v>42131</v>
      </c>
      <c r="T445" s="17">
        <v>42131</v>
      </c>
      <c r="W445">
        <v>2015</v>
      </c>
      <c r="X445">
        <v>60</v>
      </c>
      <c r="AC445" t="s">
        <v>61</v>
      </c>
      <c r="AD445" t="s">
        <v>302</v>
      </c>
      <c r="AE445" t="s">
        <v>46</v>
      </c>
      <c r="AG445">
        <v>12</v>
      </c>
      <c r="AH445">
        <v>9</v>
      </c>
      <c r="AI445" t="s">
        <v>54</v>
      </c>
      <c r="AK445">
        <v>0</v>
      </c>
      <c r="AM445">
        <v>0</v>
      </c>
      <c r="AP445" t="s">
        <v>392</v>
      </c>
    </row>
    <row r="446" spans="1:42" customFormat="1">
      <c r="A446">
        <v>268673</v>
      </c>
      <c r="B446" t="s">
        <v>397</v>
      </c>
      <c r="C446" t="s">
        <v>398</v>
      </c>
      <c r="D446" s="22">
        <v>0</v>
      </c>
      <c r="E446" s="17">
        <v>42128</v>
      </c>
      <c r="F446" s="18">
        <v>0.4052546296296296</v>
      </c>
      <c r="G446" s="22">
        <v>15</v>
      </c>
      <c r="H446">
        <v>0</v>
      </c>
      <c r="I446" s="19" t="e">
        <f>I445 + (D446-G446)</f>
        <v>#VALUE!</v>
      </c>
      <c r="M446">
        <v>122458</v>
      </c>
      <c r="N446">
        <v>60</v>
      </c>
      <c r="O446" t="s">
        <v>60</v>
      </c>
      <c r="P446">
        <v>1</v>
      </c>
      <c r="R446">
        <v>575</v>
      </c>
      <c r="S446" s="17">
        <v>42131</v>
      </c>
      <c r="T446" s="17">
        <v>42131</v>
      </c>
      <c r="W446">
        <v>2015</v>
      </c>
      <c r="X446">
        <v>60</v>
      </c>
      <c r="AC446" t="s">
        <v>61</v>
      </c>
      <c r="AD446" t="s">
        <v>302</v>
      </c>
      <c r="AE446" t="s">
        <v>46</v>
      </c>
      <c r="AG446">
        <v>12</v>
      </c>
      <c r="AH446">
        <v>9</v>
      </c>
      <c r="AI446" t="s">
        <v>54</v>
      </c>
      <c r="AK446">
        <v>0</v>
      </c>
      <c r="AM446">
        <v>0</v>
      </c>
      <c r="AP446" t="s">
        <v>392</v>
      </c>
    </row>
    <row r="447" spans="1:42" customFormat="1">
      <c r="A447">
        <v>268674</v>
      </c>
      <c r="B447" t="s">
        <v>399</v>
      </c>
      <c r="C447" t="s">
        <v>400</v>
      </c>
      <c r="D447" s="22">
        <v>0</v>
      </c>
      <c r="E447" s="17">
        <v>42128</v>
      </c>
      <c r="F447" s="18">
        <v>0.4052546296296296</v>
      </c>
      <c r="G447" s="22">
        <v>15</v>
      </c>
      <c r="H447">
        <v>0</v>
      </c>
      <c r="I447" s="19" t="e">
        <f>I446 + (D447-G447)</f>
        <v>#VALUE!</v>
      </c>
      <c r="M447">
        <v>122459</v>
      </c>
      <c r="N447">
        <v>60</v>
      </c>
      <c r="O447" t="s">
        <v>60</v>
      </c>
      <c r="P447">
        <v>1</v>
      </c>
      <c r="R447">
        <v>575</v>
      </c>
      <c r="S447" s="17">
        <v>42131</v>
      </c>
      <c r="T447" s="17">
        <v>42131</v>
      </c>
      <c r="W447">
        <v>2015</v>
      </c>
      <c r="X447">
        <v>60</v>
      </c>
      <c r="AC447" t="s">
        <v>61</v>
      </c>
      <c r="AD447" t="s">
        <v>302</v>
      </c>
      <c r="AE447" t="s">
        <v>46</v>
      </c>
      <c r="AG447">
        <v>12</v>
      </c>
      <c r="AH447">
        <v>9</v>
      </c>
      <c r="AI447" t="s">
        <v>54</v>
      </c>
      <c r="AK447">
        <v>0</v>
      </c>
      <c r="AM447">
        <v>0</v>
      </c>
      <c r="AP447" t="s">
        <v>392</v>
      </c>
    </row>
    <row r="448" spans="1:42" customFormat="1">
      <c r="A448">
        <v>268750</v>
      </c>
      <c r="B448" t="s">
        <v>408</v>
      </c>
      <c r="C448" t="s">
        <v>409</v>
      </c>
      <c r="D448" s="22">
        <v>0</v>
      </c>
      <c r="E448" s="17">
        <v>42128</v>
      </c>
      <c r="F448" s="18">
        <v>0.44810185185185186</v>
      </c>
      <c r="G448" s="22">
        <v>15</v>
      </c>
      <c r="H448">
        <v>0</v>
      </c>
      <c r="I448" s="19" t="e">
        <f>I447 + (D448-G448)</f>
        <v>#VALUE!</v>
      </c>
      <c r="M448">
        <v>122462</v>
      </c>
      <c r="N448">
        <v>60</v>
      </c>
      <c r="O448" t="s">
        <v>60</v>
      </c>
      <c r="P448">
        <v>1</v>
      </c>
      <c r="R448">
        <v>575</v>
      </c>
      <c r="S448" s="17">
        <v>42131</v>
      </c>
      <c r="T448" s="17">
        <v>42131</v>
      </c>
      <c r="W448">
        <v>2015</v>
      </c>
      <c r="X448">
        <v>60</v>
      </c>
      <c r="AC448" t="s">
        <v>61</v>
      </c>
      <c r="AD448" t="s">
        <v>302</v>
      </c>
      <c r="AE448" t="s">
        <v>46</v>
      </c>
      <c r="AG448">
        <v>12</v>
      </c>
      <c r="AH448">
        <v>9</v>
      </c>
      <c r="AI448" t="s">
        <v>54</v>
      </c>
      <c r="AK448">
        <v>0</v>
      </c>
      <c r="AM448">
        <v>0</v>
      </c>
      <c r="AP448" t="s">
        <v>392</v>
      </c>
    </row>
    <row r="449" spans="1:42" customFormat="1">
      <c r="A449">
        <v>268751</v>
      </c>
      <c r="B449" t="s">
        <v>410</v>
      </c>
      <c r="C449" t="s">
        <v>411</v>
      </c>
      <c r="D449" s="22">
        <v>0</v>
      </c>
      <c r="E449" s="17">
        <v>42128</v>
      </c>
      <c r="F449" s="18">
        <v>0.44810185185185186</v>
      </c>
      <c r="G449" s="22">
        <v>15</v>
      </c>
      <c r="H449">
        <v>0</v>
      </c>
      <c r="I449" s="19" t="e">
        <f>I448 + (D449-G449)</f>
        <v>#VALUE!</v>
      </c>
      <c r="M449">
        <v>122463</v>
      </c>
      <c r="N449">
        <v>60</v>
      </c>
      <c r="O449" t="s">
        <v>60</v>
      </c>
      <c r="P449">
        <v>1</v>
      </c>
      <c r="R449">
        <v>575</v>
      </c>
      <c r="S449" s="17">
        <v>42131</v>
      </c>
      <c r="T449" s="17">
        <v>42131</v>
      </c>
      <c r="W449">
        <v>2015</v>
      </c>
      <c r="X449">
        <v>60</v>
      </c>
      <c r="AC449" t="s">
        <v>61</v>
      </c>
      <c r="AD449" t="s">
        <v>302</v>
      </c>
      <c r="AE449" t="s">
        <v>46</v>
      </c>
      <c r="AG449">
        <v>12</v>
      </c>
      <c r="AH449">
        <v>9</v>
      </c>
      <c r="AI449" t="s">
        <v>54</v>
      </c>
      <c r="AK449">
        <v>0</v>
      </c>
      <c r="AM449">
        <v>0</v>
      </c>
      <c r="AP449" t="s">
        <v>392</v>
      </c>
    </row>
    <row r="450" spans="1:42" customFormat="1">
      <c r="A450">
        <v>268752</v>
      </c>
      <c r="B450" t="s">
        <v>412</v>
      </c>
      <c r="C450" t="s">
        <v>413</v>
      </c>
      <c r="D450" s="22">
        <v>0</v>
      </c>
      <c r="E450" s="17">
        <v>42128</v>
      </c>
      <c r="F450" s="18">
        <v>0.44896990740740739</v>
      </c>
      <c r="G450" s="22">
        <v>15</v>
      </c>
      <c r="H450">
        <v>0</v>
      </c>
      <c r="I450" s="19" t="e">
        <f>I449 + (D450-G450)</f>
        <v>#VALUE!</v>
      </c>
      <c r="M450">
        <v>122464</v>
      </c>
      <c r="N450">
        <v>60</v>
      </c>
      <c r="O450" t="s">
        <v>60</v>
      </c>
      <c r="P450">
        <v>1</v>
      </c>
      <c r="R450">
        <v>575</v>
      </c>
      <c r="S450" s="17">
        <v>42131</v>
      </c>
      <c r="T450" s="17">
        <v>42131</v>
      </c>
      <c r="W450">
        <v>2015</v>
      </c>
      <c r="X450">
        <v>60</v>
      </c>
      <c r="AC450" t="s">
        <v>61</v>
      </c>
      <c r="AD450" t="s">
        <v>302</v>
      </c>
      <c r="AE450" t="s">
        <v>46</v>
      </c>
      <c r="AG450">
        <v>12</v>
      </c>
      <c r="AH450">
        <v>9</v>
      </c>
      <c r="AI450" t="s">
        <v>54</v>
      </c>
      <c r="AK450">
        <v>0</v>
      </c>
      <c r="AM450">
        <v>0</v>
      </c>
      <c r="AP450" t="s">
        <v>392</v>
      </c>
    </row>
    <row r="451" spans="1:42" customFormat="1">
      <c r="A451">
        <v>268753</v>
      </c>
      <c r="B451" t="s">
        <v>414</v>
      </c>
      <c r="C451" t="s">
        <v>415</v>
      </c>
      <c r="D451" s="22">
        <v>0</v>
      </c>
      <c r="E451" s="17">
        <v>42128</v>
      </c>
      <c r="F451" s="18">
        <v>0.44896990740740739</v>
      </c>
      <c r="G451" s="22">
        <v>15</v>
      </c>
      <c r="H451">
        <v>0</v>
      </c>
      <c r="I451" s="19" t="e">
        <f>I450 + (D451-G451)</f>
        <v>#VALUE!</v>
      </c>
      <c r="M451">
        <v>122456</v>
      </c>
      <c r="N451">
        <v>60</v>
      </c>
      <c r="O451" t="s">
        <v>60</v>
      </c>
      <c r="P451">
        <v>1</v>
      </c>
      <c r="R451">
        <v>575</v>
      </c>
      <c r="S451" s="17">
        <v>42131</v>
      </c>
      <c r="T451" s="17">
        <v>42131</v>
      </c>
      <c r="W451">
        <v>2015</v>
      </c>
      <c r="X451">
        <v>60</v>
      </c>
      <c r="AC451" t="s">
        <v>61</v>
      </c>
      <c r="AD451" t="s">
        <v>302</v>
      </c>
      <c r="AE451" t="s">
        <v>46</v>
      </c>
      <c r="AG451">
        <v>12</v>
      </c>
      <c r="AH451">
        <v>9</v>
      </c>
      <c r="AI451" t="s">
        <v>54</v>
      </c>
      <c r="AK451">
        <v>0</v>
      </c>
      <c r="AM451">
        <v>0</v>
      </c>
      <c r="AP451" t="s">
        <v>392</v>
      </c>
    </row>
    <row r="452" spans="1:42" customFormat="1">
      <c r="A452">
        <v>269516</v>
      </c>
      <c r="B452" t="s">
        <v>416</v>
      </c>
      <c r="C452" t="s">
        <v>417</v>
      </c>
      <c r="D452" s="22">
        <v>0</v>
      </c>
      <c r="E452" s="17">
        <v>42128</v>
      </c>
      <c r="F452" s="18">
        <v>0.45297453703703705</v>
      </c>
      <c r="G452" s="22">
        <v>9.3000000000000007</v>
      </c>
      <c r="H452">
        <v>0</v>
      </c>
      <c r="I452" s="19" t="e">
        <f>I451 + (D452-G452)</f>
        <v>#VALUE!</v>
      </c>
      <c r="M452">
        <v>123171</v>
      </c>
      <c r="N452">
        <v>24</v>
      </c>
      <c r="O452" t="s">
        <v>68</v>
      </c>
      <c r="P452">
        <v>1</v>
      </c>
      <c r="R452">
        <v>575</v>
      </c>
      <c r="S452" s="17">
        <v>42136</v>
      </c>
      <c r="T452" s="17">
        <v>42136</v>
      </c>
      <c r="W452">
        <v>2015</v>
      </c>
      <c r="X452">
        <v>24</v>
      </c>
      <c r="AC452" t="s">
        <v>61</v>
      </c>
      <c r="AD452" t="s">
        <v>302</v>
      </c>
      <c r="AE452" t="s">
        <v>46</v>
      </c>
      <c r="AG452">
        <v>118</v>
      </c>
      <c r="AH452">
        <v>9</v>
      </c>
      <c r="AI452" t="s">
        <v>54</v>
      </c>
      <c r="AK452">
        <v>0</v>
      </c>
      <c r="AM452">
        <v>0</v>
      </c>
      <c r="AP452" t="s">
        <v>418</v>
      </c>
    </row>
    <row r="453" spans="1:42" customFormat="1">
      <c r="A453">
        <v>269517</v>
      </c>
      <c r="B453" t="s">
        <v>419</v>
      </c>
      <c r="C453" t="s">
        <v>420</v>
      </c>
      <c r="D453" s="22">
        <v>0</v>
      </c>
      <c r="E453" s="17">
        <v>42128</v>
      </c>
      <c r="F453" s="18">
        <v>0.45297453703703705</v>
      </c>
      <c r="G453" s="22">
        <v>5.9</v>
      </c>
      <c r="H453">
        <v>0</v>
      </c>
      <c r="I453" s="19" t="e">
        <f>I452 + (D453-G453)</f>
        <v>#VALUE!</v>
      </c>
      <c r="M453">
        <v>123172</v>
      </c>
      <c r="N453">
        <v>24</v>
      </c>
      <c r="O453" t="s">
        <v>68</v>
      </c>
      <c r="P453">
        <v>1</v>
      </c>
      <c r="R453">
        <v>575</v>
      </c>
      <c r="S453" s="17">
        <v>42136</v>
      </c>
      <c r="T453" s="17">
        <v>42136</v>
      </c>
      <c r="W453">
        <v>2015</v>
      </c>
      <c r="X453">
        <v>24</v>
      </c>
      <c r="AC453" t="s">
        <v>61</v>
      </c>
      <c r="AD453" t="s">
        <v>302</v>
      </c>
      <c r="AE453" t="s">
        <v>46</v>
      </c>
      <c r="AG453">
        <v>118</v>
      </c>
      <c r="AH453">
        <v>9</v>
      </c>
      <c r="AI453" t="s">
        <v>54</v>
      </c>
      <c r="AK453">
        <v>0</v>
      </c>
      <c r="AM453">
        <v>0</v>
      </c>
      <c r="AP453" t="s">
        <v>418</v>
      </c>
    </row>
    <row r="454" spans="1:42" customFormat="1">
      <c r="A454">
        <v>269518</v>
      </c>
      <c r="B454" t="s">
        <v>421</v>
      </c>
      <c r="C454" t="s">
        <v>422</v>
      </c>
      <c r="D454" s="22">
        <v>0</v>
      </c>
      <c r="E454" s="17">
        <v>42128</v>
      </c>
      <c r="F454" s="18">
        <v>0.45297453703703705</v>
      </c>
      <c r="G454" s="22">
        <v>2.95</v>
      </c>
      <c r="H454">
        <v>0</v>
      </c>
      <c r="I454" s="19" t="e">
        <f>I453 + (D454-G454)</f>
        <v>#VALUE!</v>
      </c>
      <c r="M454">
        <v>123173</v>
      </c>
      <c r="N454">
        <v>24</v>
      </c>
      <c r="O454" t="s">
        <v>68</v>
      </c>
      <c r="P454">
        <v>1</v>
      </c>
      <c r="R454">
        <v>575</v>
      </c>
      <c r="S454" s="17">
        <v>42136</v>
      </c>
      <c r="T454" s="17">
        <v>42136</v>
      </c>
      <c r="W454">
        <v>2015</v>
      </c>
      <c r="X454">
        <v>24</v>
      </c>
      <c r="AC454" t="s">
        <v>61</v>
      </c>
      <c r="AD454" t="s">
        <v>302</v>
      </c>
      <c r="AE454" t="s">
        <v>46</v>
      </c>
      <c r="AG454">
        <v>118</v>
      </c>
      <c r="AH454">
        <v>9</v>
      </c>
      <c r="AI454" t="s">
        <v>54</v>
      </c>
      <c r="AK454">
        <v>0</v>
      </c>
      <c r="AM454">
        <v>0</v>
      </c>
      <c r="AP454" t="s">
        <v>418</v>
      </c>
    </row>
    <row r="455" spans="1:42" customFormat="1">
      <c r="A455">
        <v>269519</v>
      </c>
      <c r="B455" t="s">
        <v>423</v>
      </c>
      <c r="C455" t="s">
        <v>424</v>
      </c>
      <c r="D455" s="22">
        <v>0</v>
      </c>
      <c r="E455" s="17">
        <v>42128</v>
      </c>
      <c r="F455" s="18">
        <v>0.45297453703703705</v>
      </c>
      <c r="G455" s="22">
        <v>0.65</v>
      </c>
      <c r="H455">
        <v>0</v>
      </c>
      <c r="I455" s="19" t="e">
        <f>I454 + (D455-G455)</f>
        <v>#VALUE!</v>
      </c>
      <c r="M455">
        <v>123174</v>
      </c>
      <c r="N455">
        <v>24</v>
      </c>
      <c r="O455" t="s">
        <v>68</v>
      </c>
      <c r="P455">
        <v>1</v>
      </c>
      <c r="R455">
        <v>575</v>
      </c>
      <c r="S455" s="17">
        <v>42136</v>
      </c>
      <c r="T455" s="17">
        <v>42136</v>
      </c>
      <c r="W455">
        <v>2015</v>
      </c>
      <c r="X455">
        <v>24</v>
      </c>
      <c r="AC455" t="s">
        <v>61</v>
      </c>
      <c r="AD455" t="s">
        <v>302</v>
      </c>
      <c r="AE455" t="s">
        <v>46</v>
      </c>
      <c r="AG455">
        <v>118</v>
      </c>
      <c r="AH455">
        <v>9</v>
      </c>
      <c r="AI455" t="s">
        <v>54</v>
      </c>
      <c r="AK455">
        <v>0</v>
      </c>
      <c r="AM455">
        <v>0</v>
      </c>
      <c r="AP455" t="s">
        <v>418</v>
      </c>
    </row>
    <row r="456" spans="1:42" customFormat="1">
      <c r="A456">
        <v>268038</v>
      </c>
      <c r="B456" t="s">
        <v>495</v>
      </c>
      <c r="C456" t="s">
        <v>496</v>
      </c>
      <c r="D456" s="22">
        <v>0</v>
      </c>
      <c r="E456" s="17">
        <v>42128</v>
      </c>
      <c r="F456" s="18">
        <v>0.57459490740740737</v>
      </c>
      <c r="G456" s="22">
        <v>62.56</v>
      </c>
      <c r="H456">
        <v>0</v>
      </c>
      <c r="I456" s="19" t="e">
        <f>I455 + (D456-G456)</f>
        <v>#VALUE!</v>
      </c>
      <c r="M456">
        <v>122417</v>
      </c>
      <c r="N456">
        <v>7</v>
      </c>
      <c r="O456" t="s">
        <v>44</v>
      </c>
      <c r="P456">
        <v>1</v>
      </c>
      <c r="R456">
        <v>575</v>
      </c>
      <c r="S456" s="17">
        <v>42130</v>
      </c>
      <c r="T456" s="17">
        <v>42130</v>
      </c>
      <c r="W456">
        <v>2015</v>
      </c>
      <c r="X456">
        <v>7</v>
      </c>
      <c r="AC456" t="s">
        <v>61</v>
      </c>
      <c r="AD456" t="s">
        <v>302</v>
      </c>
      <c r="AE456" t="s">
        <v>46</v>
      </c>
      <c r="AG456">
        <v>29</v>
      </c>
      <c r="AH456">
        <v>9</v>
      </c>
      <c r="AI456" t="s">
        <v>54</v>
      </c>
      <c r="AK456">
        <v>0</v>
      </c>
      <c r="AM456">
        <v>0</v>
      </c>
      <c r="AP456" t="s">
        <v>497</v>
      </c>
    </row>
    <row r="457" spans="1:42" customFormat="1">
      <c r="A457">
        <v>268101</v>
      </c>
      <c r="B457" t="s">
        <v>533</v>
      </c>
      <c r="C457" t="s">
        <v>534</v>
      </c>
      <c r="D457" s="22">
        <v>0</v>
      </c>
      <c r="E457" s="17">
        <v>42128</v>
      </c>
      <c r="F457" s="18">
        <v>0.63814814814814813</v>
      </c>
      <c r="G457" s="22">
        <v>23.36</v>
      </c>
      <c r="H457">
        <v>0</v>
      </c>
      <c r="I457" s="19" t="e">
        <f>I456 + (D457-G457)</f>
        <v>#VALUE!</v>
      </c>
      <c r="M457">
        <v>122430</v>
      </c>
      <c r="N457">
        <v>60</v>
      </c>
      <c r="O457" t="s">
        <v>60</v>
      </c>
      <c r="P457">
        <v>1</v>
      </c>
      <c r="R457">
        <v>575</v>
      </c>
      <c r="S457" s="17">
        <v>42130</v>
      </c>
      <c r="T457" s="17">
        <v>42130</v>
      </c>
      <c r="W457">
        <v>2015</v>
      </c>
      <c r="X457">
        <v>60</v>
      </c>
      <c r="AC457" t="s">
        <v>61</v>
      </c>
      <c r="AD457" t="s">
        <v>302</v>
      </c>
      <c r="AE457" t="s">
        <v>46</v>
      </c>
      <c r="AG457">
        <v>52</v>
      </c>
      <c r="AH457">
        <v>9</v>
      </c>
      <c r="AI457" t="s">
        <v>54</v>
      </c>
      <c r="AK457">
        <v>0</v>
      </c>
      <c r="AM457">
        <v>0</v>
      </c>
      <c r="AP457" t="s">
        <v>325</v>
      </c>
    </row>
    <row r="458" spans="1:42" customFormat="1">
      <c r="A458">
        <v>268111</v>
      </c>
      <c r="B458" t="s">
        <v>535</v>
      </c>
      <c r="C458" t="s">
        <v>536</v>
      </c>
      <c r="D458" s="22">
        <v>0</v>
      </c>
      <c r="E458" s="17">
        <v>42128</v>
      </c>
      <c r="F458" s="18">
        <v>0.63814814814814813</v>
      </c>
      <c r="G458" s="22">
        <v>15</v>
      </c>
      <c r="H458">
        <v>0</v>
      </c>
      <c r="I458" s="19" t="e">
        <f>I457 + (D458-G458)</f>
        <v>#VALUE!</v>
      </c>
      <c r="M458">
        <v>122440</v>
      </c>
      <c r="N458">
        <v>60</v>
      </c>
      <c r="O458" t="s">
        <v>60</v>
      </c>
      <c r="P458">
        <v>1</v>
      </c>
      <c r="R458">
        <v>575</v>
      </c>
      <c r="S458" s="17">
        <v>42130</v>
      </c>
      <c r="T458" s="17">
        <v>42130</v>
      </c>
      <c r="W458">
        <v>2015</v>
      </c>
      <c r="X458">
        <v>60</v>
      </c>
      <c r="AC458" t="s">
        <v>61</v>
      </c>
      <c r="AD458" t="s">
        <v>302</v>
      </c>
      <c r="AE458" t="s">
        <v>46</v>
      </c>
      <c r="AG458">
        <v>52</v>
      </c>
      <c r="AH458">
        <v>9</v>
      </c>
      <c r="AI458" t="s">
        <v>54</v>
      </c>
      <c r="AK458">
        <v>0</v>
      </c>
      <c r="AM458">
        <v>0</v>
      </c>
      <c r="AP458" t="s">
        <v>325</v>
      </c>
    </row>
    <row r="459" spans="1:42" customFormat="1">
      <c r="A459">
        <v>268102</v>
      </c>
      <c r="B459" t="s">
        <v>537</v>
      </c>
      <c r="C459" t="s">
        <v>538</v>
      </c>
      <c r="D459" s="22">
        <v>0</v>
      </c>
      <c r="E459" s="17">
        <v>42128</v>
      </c>
      <c r="F459" s="18">
        <v>0.63814814814814813</v>
      </c>
      <c r="G459" s="22">
        <v>6.58</v>
      </c>
      <c r="H459">
        <v>0</v>
      </c>
      <c r="I459" s="19" t="e">
        <f>I458 + (D459-G459)</f>
        <v>#VALUE!</v>
      </c>
      <c r="M459">
        <v>122431</v>
      </c>
      <c r="N459">
        <v>60</v>
      </c>
      <c r="O459" t="s">
        <v>60</v>
      </c>
      <c r="P459">
        <v>1</v>
      </c>
      <c r="R459">
        <v>575</v>
      </c>
      <c r="S459" s="17">
        <v>42130</v>
      </c>
      <c r="T459" s="17">
        <v>42130</v>
      </c>
      <c r="W459">
        <v>2015</v>
      </c>
      <c r="X459">
        <v>60</v>
      </c>
      <c r="AC459" t="s">
        <v>61</v>
      </c>
      <c r="AD459" t="s">
        <v>302</v>
      </c>
      <c r="AE459" t="s">
        <v>46</v>
      </c>
      <c r="AG459">
        <v>52</v>
      </c>
      <c r="AH459">
        <v>9</v>
      </c>
      <c r="AI459" t="s">
        <v>54</v>
      </c>
      <c r="AK459">
        <v>0</v>
      </c>
      <c r="AM459">
        <v>0</v>
      </c>
      <c r="AP459" t="s">
        <v>325</v>
      </c>
    </row>
    <row r="460" spans="1:42" customFormat="1">
      <c r="A460">
        <v>268112</v>
      </c>
      <c r="B460" t="s">
        <v>539</v>
      </c>
      <c r="C460" t="s">
        <v>540</v>
      </c>
      <c r="D460" s="22">
        <v>0</v>
      </c>
      <c r="E460" s="17">
        <v>42128</v>
      </c>
      <c r="F460" s="18">
        <v>0.63814814814814813</v>
      </c>
      <c r="G460" s="22">
        <v>15</v>
      </c>
      <c r="H460">
        <v>0</v>
      </c>
      <c r="I460" s="19" t="e">
        <f>I459 + (D460-G460)</f>
        <v>#VALUE!</v>
      </c>
      <c r="M460">
        <v>122441</v>
      </c>
      <c r="N460">
        <v>60</v>
      </c>
      <c r="O460" t="s">
        <v>60</v>
      </c>
      <c r="P460">
        <v>1</v>
      </c>
      <c r="R460">
        <v>575</v>
      </c>
      <c r="S460" s="17">
        <v>42130</v>
      </c>
      <c r="T460" s="17">
        <v>42130</v>
      </c>
      <c r="W460">
        <v>2015</v>
      </c>
      <c r="X460">
        <v>60</v>
      </c>
      <c r="AC460" t="s">
        <v>61</v>
      </c>
      <c r="AD460" t="s">
        <v>302</v>
      </c>
      <c r="AE460" t="s">
        <v>46</v>
      </c>
      <c r="AG460">
        <v>52</v>
      </c>
      <c r="AH460">
        <v>9</v>
      </c>
      <c r="AI460" t="s">
        <v>54</v>
      </c>
      <c r="AK460">
        <v>0</v>
      </c>
      <c r="AM460">
        <v>0</v>
      </c>
      <c r="AP460" t="s">
        <v>325</v>
      </c>
    </row>
    <row r="461" spans="1:42" customFormat="1">
      <c r="A461">
        <v>268103</v>
      </c>
      <c r="B461" t="s">
        <v>541</v>
      </c>
      <c r="C461" t="s">
        <v>542</v>
      </c>
      <c r="D461" s="22">
        <v>0</v>
      </c>
      <c r="E461" s="17">
        <v>42128</v>
      </c>
      <c r="F461" s="18">
        <v>0.63814814814814813</v>
      </c>
      <c r="G461" s="22">
        <v>39.1</v>
      </c>
      <c r="H461">
        <v>0</v>
      </c>
      <c r="I461" s="19" t="e">
        <f>I460 + (D461-G461)</f>
        <v>#VALUE!</v>
      </c>
      <c r="M461">
        <v>122432</v>
      </c>
      <c r="N461">
        <v>60</v>
      </c>
      <c r="O461" t="s">
        <v>60</v>
      </c>
      <c r="P461">
        <v>1</v>
      </c>
      <c r="R461">
        <v>575</v>
      </c>
      <c r="S461" s="17">
        <v>42130</v>
      </c>
      <c r="T461" s="17">
        <v>42130</v>
      </c>
      <c r="W461">
        <v>2015</v>
      </c>
      <c r="X461">
        <v>60</v>
      </c>
      <c r="AC461" t="s">
        <v>61</v>
      </c>
      <c r="AD461" t="s">
        <v>302</v>
      </c>
      <c r="AE461" t="s">
        <v>46</v>
      </c>
      <c r="AG461">
        <v>52</v>
      </c>
      <c r="AH461">
        <v>9</v>
      </c>
      <c r="AI461" t="s">
        <v>54</v>
      </c>
      <c r="AK461">
        <v>0</v>
      </c>
      <c r="AM461">
        <v>0</v>
      </c>
      <c r="AP461" t="s">
        <v>325</v>
      </c>
    </row>
    <row r="462" spans="1:42" customFormat="1">
      <c r="A462">
        <v>268113</v>
      </c>
      <c r="B462" t="s">
        <v>543</v>
      </c>
      <c r="C462" t="s">
        <v>544</v>
      </c>
      <c r="D462" s="22">
        <v>0</v>
      </c>
      <c r="E462" s="17">
        <v>42128</v>
      </c>
      <c r="F462" s="18">
        <v>0.63814814814814813</v>
      </c>
      <c r="G462" s="22">
        <v>15</v>
      </c>
      <c r="H462">
        <v>0</v>
      </c>
      <c r="I462" s="19" t="e">
        <f>I461 + (D462-G462)</f>
        <v>#VALUE!</v>
      </c>
      <c r="M462">
        <v>122442</v>
      </c>
      <c r="N462">
        <v>60</v>
      </c>
      <c r="O462" t="s">
        <v>60</v>
      </c>
      <c r="P462">
        <v>1</v>
      </c>
      <c r="R462">
        <v>575</v>
      </c>
      <c r="S462" s="17">
        <v>42130</v>
      </c>
      <c r="T462" s="17">
        <v>42130</v>
      </c>
      <c r="W462">
        <v>2015</v>
      </c>
      <c r="X462">
        <v>60</v>
      </c>
      <c r="AC462" t="s">
        <v>61</v>
      </c>
      <c r="AD462" t="s">
        <v>302</v>
      </c>
      <c r="AE462" t="s">
        <v>46</v>
      </c>
      <c r="AG462">
        <v>52</v>
      </c>
      <c r="AH462">
        <v>9</v>
      </c>
      <c r="AI462" t="s">
        <v>54</v>
      </c>
      <c r="AK462">
        <v>0</v>
      </c>
      <c r="AM462">
        <v>0</v>
      </c>
      <c r="AP462" t="s">
        <v>325</v>
      </c>
    </row>
    <row r="463" spans="1:42" customFormat="1">
      <c r="A463">
        <v>268104</v>
      </c>
      <c r="B463" t="s">
        <v>545</v>
      </c>
      <c r="C463" t="s">
        <v>546</v>
      </c>
      <c r="D463" s="22">
        <v>0</v>
      </c>
      <c r="E463" s="17">
        <v>42128</v>
      </c>
      <c r="F463" s="18">
        <v>0.63814814814814813</v>
      </c>
      <c r="G463" s="22">
        <v>38.5</v>
      </c>
      <c r="H463">
        <v>0</v>
      </c>
      <c r="I463" s="19" t="e">
        <f>I462 + (D463-G463)</f>
        <v>#VALUE!</v>
      </c>
      <c r="M463">
        <v>122433</v>
      </c>
      <c r="N463">
        <v>60</v>
      </c>
      <c r="O463" t="s">
        <v>60</v>
      </c>
      <c r="P463">
        <v>1</v>
      </c>
      <c r="R463">
        <v>575</v>
      </c>
      <c r="S463" s="17">
        <v>42130</v>
      </c>
      <c r="T463" s="17">
        <v>42130</v>
      </c>
      <c r="W463">
        <v>2015</v>
      </c>
      <c r="X463">
        <v>60</v>
      </c>
      <c r="AC463" t="s">
        <v>61</v>
      </c>
      <c r="AD463" t="s">
        <v>302</v>
      </c>
      <c r="AE463" t="s">
        <v>46</v>
      </c>
      <c r="AG463">
        <v>52</v>
      </c>
      <c r="AH463">
        <v>9</v>
      </c>
      <c r="AI463" t="s">
        <v>54</v>
      </c>
      <c r="AK463">
        <v>0</v>
      </c>
      <c r="AM463">
        <v>0</v>
      </c>
      <c r="AP463" t="s">
        <v>325</v>
      </c>
    </row>
    <row r="464" spans="1:42" customFormat="1">
      <c r="A464">
        <v>268105</v>
      </c>
      <c r="B464" t="s">
        <v>547</v>
      </c>
      <c r="C464" t="s">
        <v>548</v>
      </c>
      <c r="D464" s="22">
        <v>0</v>
      </c>
      <c r="E464" s="17">
        <v>42128</v>
      </c>
      <c r="F464" s="18">
        <v>0.63814814814814813</v>
      </c>
      <c r="G464" s="22">
        <v>15</v>
      </c>
      <c r="H464">
        <v>0</v>
      </c>
      <c r="I464" s="19" t="e">
        <f>I463 + (D464-G464)</f>
        <v>#VALUE!</v>
      </c>
      <c r="M464">
        <v>122434</v>
      </c>
      <c r="N464">
        <v>60</v>
      </c>
      <c r="O464" t="s">
        <v>60</v>
      </c>
      <c r="P464">
        <v>1</v>
      </c>
      <c r="R464">
        <v>575</v>
      </c>
      <c r="S464" s="17">
        <v>42130</v>
      </c>
      <c r="T464" s="17">
        <v>42130</v>
      </c>
      <c r="W464">
        <v>2015</v>
      </c>
      <c r="X464">
        <v>60</v>
      </c>
      <c r="AC464" t="s">
        <v>61</v>
      </c>
      <c r="AD464" t="s">
        <v>302</v>
      </c>
      <c r="AE464" t="s">
        <v>46</v>
      </c>
      <c r="AG464">
        <v>52</v>
      </c>
      <c r="AH464">
        <v>9</v>
      </c>
      <c r="AI464" t="s">
        <v>54</v>
      </c>
      <c r="AK464">
        <v>0</v>
      </c>
      <c r="AM464">
        <v>0</v>
      </c>
      <c r="AP464" t="s">
        <v>325</v>
      </c>
    </row>
    <row r="465" spans="1:42" customFormat="1">
      <c r="A465">
        <v>268106</v>
      </c>
      <c r="B465" t="s">
        <v>549</v>
      </c>
      <c r="C465" t="s">
        <v>550</v>
      </c>
      <c r="D465" s="22">
        <v>0</v>
      </c>
      <c r="E465" s="17">
        <v>42128</v>
      </c>
      <c r="F465" s="18">
        <v>0.63814814814814813</v>
      </c>
      <c r="G465" s="22">
        <v>15</v>
      </c>
      <c r="H465">
        <v>0</v>
      </c>
      <c r="I465" s="19" t="e">
        <f>I464 + (D465-G465)</f>
        <v>#VALUE!</v>
      </c>
      <c r="M465">
        <v>122435</v>
      </c>
      <c r="N465">
        <v>60</v>
      </c>
      <c r="O465" t="s">
        <v>60</v>
      </c>
      <c r="P465">
        <v>1</v>
      </c>
      <c r="R465">
        <v>575</v>
      </c>
      <c r="S465" s="17">
        <v>42130</v>
      </c>
      <c r="T465" s="17">
        <v>42130</v>
      </c>
      <c r="W465">
        <v>2015</v>
      </c>
      <c r="X465">
        <v>60</v>
      </c>
      <c r="AC465" t="s">
        <v>61</v>
      </c>
      <c r="AD465" t="s">
        <v>302</v>
      </c>
      <c r="AE465" t="s">
        <v>46</v>
      </c>
      <c r="AG465">
        <v>52</v>
      </c>
      <c r="AH465">
        <v>9</v>
      </c>
      <c r="AI465" t="s">
        <v>54</v>
      </c>
      <c r="AK465">
        <v>0</v>
      </c>
      <c r="AM465">
        <v>0</v>
      </c>
      <c r="AP465" t="s">
        <v>325</v>
      </c>
    </row>
    <row r="466" spans="1:42" customFormat="1">
      <c r="A466">
        <v>268107</v>
      </c>
      <c r="B466" t="s">
        <v>551</v>
      </c>
      <c r="C466" t="s">
        <v>552</v>
      </c>
      <c r="D466" s="22">
        <v>0</v>
      </c>
      <c r="E466" s="17">
        <v>42128</v>
      </c>
      <c r="F466" s="18">
        <v>0.63814814814814813</v>
      </c>
      <c r="G466" s="22">
        <v>15</v>
      </c>
      <c r="H466">
        <v>0</v>
      </c>
      <c r="I466" s="19" t="e">
        <f>I465 + (D466-G466)</f>
        <v>#VALUE!</v>
      </c>
      <c r="M466">
        <v>122436</v>
      </c>
      <c r="N466">
        <v>60</v>
      </c>
      <c r="O466" t="s">
        <v>60</v>
      </c>
      <c r="P466">
        <v>1</v>
      </c>
      <c r="R466">
        <v>575</v>
      </c>
      <c r="S466" s="17">
        <v>42130</v>
      </c>
      <c r="T466" s="17">
        <v>42130</v>
      </c>
      <c r="W466">
        <v>2015</v>
      </c>
      <c r="X466">
        <v>60</v>
      </c>
      <c r="AC466" t="s">
        <v>61</v>
      </c>
      <c r="AD466" t="s">
        <v>302</v>
      </c>
      <c r="AE466" t="s">
        <v>46</v>
      </c>
      <c r="AG466">
        <v>52</v>
      </c>
      <c r="AH466">
        <v>9</v>
      </c>
      <c r="AI466" t="s">
        <v>54</v>
      </c>
      <c r="AK466">
        <v>0</v>
      </c>
      <c r="AM466">
        <v>0</v>
      </c>
      <c r="AP466" t="s">
        <v>325</v>
      </c>
    </row>
    <row r="467" spans="1:42" customFormat="1">
      <c r="A467">
        <v>268108</v>
      </c>
      <c r="B467" t="s">
        <v>553</v>
      </c>
      <c r="C467" t="s">
        <v>554</v>
      </c>
      <c r="D467" s="22">
        <v>0</v>
      </c>
      <c r="E467" s="17">
        <v>42128</v>
      </c>
      <c r="F467" s="18">
        <v>0.63814814814814813</v>
      </c>
      <c r="G467" s="22">
        <v>15</v>
      </c>
      <c r="H467">
        <v>0</v>
      </c>
      <c r="I467" s="19" t="e">
        <f>I466 + (D467-G467)</f>
        <v>#VALUE!</v>
      </c>
      <c r="M467">
        <v>122437</v>
      </c>
      <c r="N467">
        <v>60</v>
      </c>
      <c r="O467" t="s">
        <v>60</v>
      </c>
      <c r="P467">
        <v>1</v>
      </c>
      <c r="R467">
        <v>575</v>
      </c>
      <c r="S467" s="17">
        <v>42130</v>
      </c>
      <c r="T467" s="17">
        <v>42130</v>
      </c>
      <c r="W467">
        <v>2015</v>
      </c>
      <c r="X467">
        <v>60</v>
      </c>
      <c r="AC467" t="s">
        <v>61</v>
      </c>
      <c r="AD467" t="s">
        <v>302</v>
      </c>
      <c r="AE467" t="s">
        <v>46</v>
      </c>
      <c r="AG467">
        <v>52</v>
      </c>
      <c r="AH467">
        <v>9</v>
      </c>
      <c r="AI467" t="s">
        <v>54</v>
      </c>
      <c r="AK467">
        <v>0</v>
      </c>
      <c r="AM467">
        <v>0</v>
      </c>
      <c r="AP467" t="s">
        <v>325</v>
      </c>
    </row>
    <row r="468" spans="1:42" customFormat="1">
      <c r="A468">
        <v>268109</v>
      </c>
      <c r="B468" t="s">
        <v>555</v>
      </c>
      <c r="C468" t="s">
        <v>556</v>
      </c>
      <c r="D468" s="22">
        <v>0</v>
      </c>
      <c r="E468" s="17">
        <v>42128</v>
      </c>
      <c r="F468" s="18">
        <v>0.63814814814814813</v>
      </c>
      <c r="G468" s="22">
        <v>15</v>
      </c>
      <c r="H468">
        <v>0</v>
      </c>
      <c r="I468" s="19" t="e">
        <f>I467 + (D468-G468)</f>
        <v>#VALUE!</v>
      </c>
      <c r="M468">
        <v>122438</v>
      </c>
      <c r="N468">
        <v>60</v>
      </c>
      <c r="O468" t="s">
        <v>60</v>
      </c>
      <c r="P468">
        <v>1</v>
      </c>
      <c r="R468">
        <v>575</v>
      </c>
      <c r="S468" s="17">
        <v>42130</v>
      </c>
      <c r="T468" s="17">
        <v>42130</v>
      </c>
      <c r="W468">
        <v>2015</v>
      </c>
      <c r="X468">
        <v>60</v>
      </c>
      <c r="AC468" t="s">
        <v>61</v>
      </c>
      <c r="AD468" t="s">
        <v>302</v>
      </c>
      <c r="AE468" t="s">
        <v>46</v>
      </c>
      <c r="AG468">
        <v>52</v>
      </c>
      <c r="AH468">
        <v>9</v>
      </c>
      <c r="AI468" t="s">
        <v>54</v>
      </c>
      <c r="AK468">
        <v>0</v>
      </c>
      <c r="AM468">
        <v>0</v>
      </c>
      <c r="AP468" t="s">
        <v>325</v>
      </c>
    </row>
    <row r="469" spans="1:42" customFormat="1">
      <c r="A469">
        <v>268100</v>
      </c>
      <c r="B469" t="s">
        <v>557</v>
      </c>
      <c r="C469" t="s">
        <v>558</v>
      </c>
      <c r="D469" s="22">
        <v>0</v>
      </c>
      <c r="E469" s="17">
        <v>42128</v>
      </c>
      <c r="F469" s="18">
        <v>0.63814814814814813</v>
      </c>
      <c r="G469" s="22">
        <v>2.64</v>
      </c>
      <c r="H469">
        <v>0</v>
      </c>
      <c r="I469" s="19" t="e">
        <f>I468 + (D469-G469)</f>
        <v>#VALUE!</v>
      </c>
      <c r="M469">
        <v>122429</v>
      </c>
      <c r="N469">
        <v>60</v>
      </c>
      <c r="O469" t="s">
        <v>60</v>
      </c>
      <c r="P469">
        <v>1</v>
      </c>
      <c r="R469">
        <v>575</v>
      </c>
      <c r="S469" s="17">
        <v>42130</v>
      </c>
      <c r="T469" s="17">
        <v>42130</v>
      </c>
      <c r="W469">
        <v>2015</v>
      </c>
      <c r="X469">
        <v>60</v>
      </c>
      <c r="AC469" t="s">
        <v>61</v>
      </c>
      <c r="AD469" t="s">
        <v>302</v>
      </c>
      <c r="AE469" t="s">
        <v>46</v>
      </c>
      <c r="AG469">
        <v>52</v>
      </c>
      <c r="AH469">
        <v>9</v>
      </c>
      <c r="AI469" t="s">
        <v>54</v>
      </c>
      <c r="AK469">
        <v>0</v>
      </c>
      <c r="AM469">
        <v>0</v>
      </c>
      <c r="AP469" t="s">
        <v>325</v>
      </c>
    </row>
    <row r="470" spans="1:42" customFormat="1">
      <c r="A470">
        <v>268110</v>
      </c>
      <c r="B470" t="s">
        <v>559</v>
      </c>
      <c r="C470" t="s">
        <v>560</v>
      </c>
      <c r="D470" s="22">
        <v>0</v>
      </c>
      <c r="E470" s="17">
        <v>42128</v>
      </c>
      <c r="F470" s="18">
        <v>0.63814814814814813</v>
      </c>
      <c r="G470" s="22">
        <v>15</v>
      </c>
      <c r="H470">
        <v>0</v>
      </c>
      <c r="I470" s="19" t="e">
        <f>I469 + (D470-G470)</f>
        <v>#VALUE!</v>
      </c>
      <c r="M470">
        <v>122439</v>
      </c>
      <c r="N470">
        <v>60</v>
      </c>
      <c r="O470" t="s">
        <v>60</v>
      </c>
      <c r="P470">
        <v>1</v>
      </c>
      <c r="R470">
        <v>575</v>
      </c>
      <c r="S470" s="17">
        <v>42130</v>
      </c>
      <c r="T470" s="17">
        <v>42130</v>
      </c>
      <c r="W470">
        <v>2015</v>
      </c>
      <c r="X470">
        <v>60</v>
      </c>
      <c r="AC470" t="s">
        <v>61</v>
      </c>
      <c r="AD470" t="s">
        <v>302</v>
      </c>
      <c r="AE470" t="s">
        <v>46</v>
      </c>
      <c r="AG470">
        <v>52</v>
      </c>
      <c r="AH470">
        <v>9</v>
      </c>
      <c r="AI470" t="s">
        <v>54</v>
      </c>
      <c r="AK470">
        <v>0</v>
      </c>
      <c r="AM470">
        <v>0</v>
      </c>
      <c r="AP470" t="s">
        <v>325</v>
      </c>
    </row>
    <row r="471" spans="1:42" customFormat="1">
      <c r="A471">
        <v>268121</v>
      </c>
      <c r="B471" t="s">
        <v>561</v>
      </c>
      <c r="C471" t="s">
        <v>562</v>
      </c>
      <c r="D471" s="22">
        <v>0</v>
      </c>
      <c r="E471" s="17">
        <v>42128</v>
      </c>
      <c r="F471" s="18">
        <v>0.63815972222222228</v>
      </c>
      <c r="G471" s="22">
        <v>6.93</v>
      </c>
      <c r="H471">
        <v>0</v>
      </c>
      <c r="I471" s="19" t="e">
        <f>I470 + (D471-G471)</f>
        <v>#VALUE!</v>
      </c>
      <c r="M471">
        <v>122450</v>
      </c>
      <c r="N471">
        <v>60</v>
      </c>
      <c r="O471" t="s">
        <v>60</v>
      </c>
      <c r="P471">
        <v>1</v>
      </c>
      <c r="R471">
        <v>575</v>
      </c>
      <c r="S471" s="17">
        <v>42130</v>
      </c>
      <c r="T471" s="17">
        <v>42130</v>
      </c>
      <c r="W471">
        <v>2015</v>
      </c>
      <c r="X471">
        <v>60</v>
      </c>
      <c r="AC471" t="s">
        <v>61</v>
      </c>
      <c r="AD471" t="s">
        <v>302</v>
      </c>
      <c r="AE471" t="s">
        <v>46</v>
      </c>
      <c r="AG471">
        <v>52</v>
      </c>
      <c r="AH471">
        <v>9</v>
      </c>
      <c r="AI471" t="s">
        <v>54</v>
      </c>
      <c r="AK471">
        <v>0</v>
      </c>
      <c r="AM471">
        <v>0</v>
      </c>
      <c r="AP471" t="s">
        <v>325</v>
      </c>
    </row>
    <row r="472" spans="1:42" customFormat="1">
      <c r="A472">
        <v>268122</v>
      </c>
      <c r="B472" t="s">
        <v>563</v>
      </c>
      <c r="C472" t="s">
        <v>564</v>
      </c>
      <c r="D472" s="22">
        <v>0</v>
      </c>
      <c r="E472" s="17">
        <v>42128</v>
      </c>
      <c r="F472" s="18">
        <v>0.63815972222222228</v>
      </c>
      <c r="G472" s="22">
        <v>7.26</v>
      </c>
      <c r="H472">
        <v>0</v>
      </c>
      <c r="I472" s="19" t="e">
        <f>I471 + (D472-G472)</f>
        <v>#VALUE!</v>
      </c>
      <c r="M472">
        <v>122451</v>
      </c>
      <c r="N472">
        <v>60</v>
      </c>
      <c r="O472" t="s">
        <v>60</v>
      </c>
      <c r="P472">
        <v>1</v>
      </c>
      <c r="R472">
        <v>575</v>
      </c>
      <c r="S472" s="17">
        <v>42130</v>
      </c>
      <c r="T472" s="17">
        <v>42130</v>
      </c>
      <c r="W472">
        <v>2015</v>
      </c>
      <c r="X472">
        <v>60</v>
      </c>
      <c r="AC472" t="s">
        <v>61</v>
      </c>
      <c r="AD472" t="s">
        <v>302</v>
      </c>
      <c r="AE472" t="s">
        <v>46</v>
      </c>
      <c r="AG472">
        <v>52</v>
      </c>
      <c r="AH472">
        <v>9</v>
      </c>
      <c r="AI472" t="s">
        <v>54</v>
      </c>
      <c r="AK472">
        <v>0</v>
      </c>
      <c r="AM472">
        <v>0</v>
      </c>
      <c r="AP472" t="s">
        <v>325</v>
      </c>
    </row>
    <row r="473" spans="1:42" customFormat="1">
      <c r="A473">
        <v>268123</v>
      </c>
      <c r="B473" t="s">
        <v>565</v>
      </c>
      <c r="C473" t="s">
        <v>566</v>
      </c>
      <c r="D473" s="22">
        <v>0</v>
      </c>
      <c r="E473" s="17">
        <v>42128</v>
      </c>
      <c r="F473" s="18">
        <v>0.63815972222222228</v>
      </c>
      <c r="G473" s="22">
        <v>16.53</v>
      </c>
      <c r="H473">
        <v>0</v>
      </c>
      <c r="I473" s="19" t="e">
        <f>I472 + (D473-G473)</f>
        <v>#VALUE!</v>
      </c>
      <c r="M473">
        <v>122452</v>
      </c>
      <c r="N473">
        <v>60</v>
      </c>
      <c r="O473" t="s">
        <v>60</v>
      </c>
      <c r="P473">
        <v>1</v>
      </c>
      <c r="R473">
        <v>575</v>
      </c>
      <c r="S473" s="17">
        <v>42130</v>
      </c>
      <c r="T473" s="17">
        <v>42130</v>
      </c>
      <c r="W473">
        <v>2015</v>
      </c>
      <c r="X473">
        <v>60</v>
      </c>
      <c r="AC473" t="s">
        <v>61</v>
      </c>
      <c r="AD473" t="s">
        <v>302</v>
      </c>
      <c r="AE473" t="s">
        <v>46</v>
      </c>
      <c r="AG473">
        <v>52</v>
      </c>
      <c r="AH473">
        <v>9</v>
      </c>
      <c r="AI473" t="s">
        <v>54</v>
      </c>
      <c r="AK473">
        <v>0</v>
      </c>
      <c r="AM473">
        <v>0</v>
      </c>
      <c r="AP473" t="s">
        <v>325</v>
      </c>
    </row>
    <row r="474" spans="1:42" customFormat="1">
      <c r="A474">
        <v>268114</v>
      </c>
      <c r="B474" t="s">
        <v>567</v>
      </c>
      <c r="C474" t="s">
        <v>568</v>
      </c>
      <c r="D474" s="22">
        <v>0</v>
      </c>
      <c r="E474" s="17">
        <v>42128</v>
      </c>
      <c r="F474" s="18">
        <v>0.63815972222222228</v>
      </c>
      <c r="G474" s="22">
        <v>15</v>
      </c>
      <c r="H474">
        <v>0</v>
      </c>
      <c r="I474" s="19" t="e">
        <f>I473 + (D474-G474)</f>
        <v>#VALUE!</v>
      </c>
      <c r="M474">
        <v>122443</v>
      </c>
      <c r="N474">
        <v>60</v>
      </c>
      <c r="O474" t="s">
        <v>60</v>
      </c>
      <c r="P474">
        <v>1</v>
      </c>
      <c r="R474">
        <v>575</v>
      </c>
      <c r="S474" s="17">
        <v>42130</v>
      </c>
      <c r="T474" s="17">
        <v>42130</v>
      </c>
      <c r="W474">
        <v>2015</v>
      </c>
      <c r="X474">
        <v>60</v>
      </c>
      <c r="AC474" t="s">
        <v>61</v>
      </c>
      <c r="AD474" t="s">
        <v>302</v>
      </c>
      <c r="AE474" t="s">
        <v>46</v>
      </c>
      <c r="AG474">
        <v>52</v>
      </c>
      <c r="AH474">
        <v>9</v>
      </c>
      <c r="AI474" t="s">
        <v>54</v>
      </c>
      <c r="AK474">
        <v>0</v>
      </c>
      <c r="AM474">
        <v>0</v>
      </c>
      <c r="AP474" t="s">
        <v>325</v>
      </c>
    </row>
    <row r="475" spans="1:42" customFormat="1">
      <c r="A475">
        <v>268115</v>
      </c>
      <c r="B475" t="s">
        <v>569</v>
      </c>
      <c r="C475" t="s">
        <v>570</v>
      </c>
      <c r="D475" s="22">
        <v>0</v>
      </c>
      <c r="E475" s="17">
        <v>42128</v>
      </c>
      <c r="F475" s="18">
        <v>0.63815972222222228</v>
      </c>
      <c r="G475" s="22">
        <v>15</v>
      </c>
      <c r="H475">
        <v>0</v>
      </c>
      <c r="I475" s="19" t="e">
        <f>I474 + (D475-G475)</f>
        <v>#VALUE!</v>
      </c>
      <c r="M475">
        <v>122444</v>
      </c>
      <c r="N475">
        <v>60</v>
      </c>
      <c r="O475" t="s">
        <v>60</v>
      </c>
      <c r="P475">
        <v>1</v>
      </c>
      <c r="R475">
        <v>575</v>
      </c>
      <c r="S475" s="17">
        <v>42130</v>
      </c>
      <c r="T475" s="17">
        <v>42130</v>
      </c>
      <c r="W475">
        <v>2015</v>
      </c>
      <c r="X475">
        <v>60</v>
      </c>
      <c r="AC475" t="s">
        <v>61</v>
      </c>
      <c r="AD475" t="s">
        <v>302</v>
      </c>
      <c r="AE475" t="s">
        <v>46</v>
      </c>
      <c r="AG475">
        <v>52</v>
      </c>
      <c r="AH475">
        <v>9</v>
      </c>
      <c r="AI475" t="s">
        <v>54</v>
      </c>
      <c r="AK475">
        <v>0</v>
      </c>
      <c r="AM475">
        <v>0</v>
      </c>
      <c r="AP475" t="s">
        <v>325</v>
      </c>
    </row>
    <row r="476" spans="1:42" customFormat="1">
      <c r="A476">
        <v>268116</v>
      </c>
      <c r="B476" t="s">
        <v>571</v>
      </c>
      <c r="C476" t="s">
        <v>572</v>
      </c>
      <c r="D476" s="22">
        <v>0</v>
      </c>
      <c r="E476" s="17">
        <v>42128</v>
      </c>
      <c r="F476" s="18">
        <v>0.63815972222222228</v>
      </c>
      <c r="G476" s="22">
        <v>15</v>
      </c>
      <c r="H476">
        <v>0</v>
      </c>
      <c r="I476" s="19" t="e">
        <f>I475 + (D476-G476)</f>
        <v>#VALUE!</v>
      </c>
      <c r="M476">
        <v>122445</v>
      </c>
      <c r="N476">
        <v>60</v>
      </c>
      <c r="O476" t="s">
        <v>60</v>
      </c>
      <c r="P476">
        <v>1</v>
      </c>
      <c r="R476">
        <v>575</v>
      </c>
      <c r="S476" s="17">
        <v>42130</v>
      </c>
      <c r="T476" s="17">
        <v>42130</v>
      </c>
      <c r="W476">
        <v>2015</v>
      </c>
      <c r="X476">
        <v>60</v>
      </c>
      <c r="AC476" t="s">
        <v>61</v>
      </c>
      <c r="AD476" t="s">
        <v>302</v>
      </c>
      <c r="AE476" t="s">
        <v>46</v>
      </c>
      <c r="AG476">
        <v>52</v>
      </c>
      <c r="AH476">
        <v>9</v>
      </c>
      <c r="AI476" t="s">
        <v>54</v>
      </c>
      <c r="AK476">
        <v>0</v>
      </c>
      <c r="AM476">
        <v>0</v>
      </c>
      <c r="AP476" t="s">
        <v>325</v>
      </c>
    </row>
    <row r="477" spans="1:42" customFormat="1">
      <c r="A477">
        <v>268124</v>
      </c>
      <c r="B477" t="s">
        <v>573</v>
      </c>
      <c r="C477" t="s">
        <v>574</v>
      </c>
      <c r="D477" s="22">
        <v>0</v>
      </c>
      <c r="E477" s="17">
        <v>42128</v>
      </c>
      <c r="F477" s="18">
        <v>0.63815972222222228</v>
      </c>
      <c r="G477" s="22">
        <v>7.14</v>
      </c>
      <c r="H477">
        <v>0</v>
      </c>
      <c r="I477" s="19" t="e">
        <f>I476 + (D477-G477)</f>
        <v>#VALUE!</v>
      </c>
      <c r="M477">
        <v>122465</v>
      </c>
      <c r="N477">
        <v>60</v>
      </c>
      <c r="O477" t="s">
        <v>60</v>
      </c>
      <c r="P477">
        <v>1</v>
      </c>
      <c r="R477">
        <v>575</v>
      </c>
      <c r="S477" s="17">
        <v>42130</v>
      </c>
      <c r="T477" s="17">
        <v>42130</v>
      </c>
      <c r="W477">
        <v>2015</v>
      </c>
      <c r="X477">
        <v>60</v>
      </c>
      <c r="AC477" t="s">
        <v>61</v>
      </c>
      <c r="AD477" t="s">
        <v>302</v>
      </c>
      <c r="AE477" t="s">
        <v>46</v>
      </c>
      <c r="AG477">
        <v>52</v>
      </c>
      <c r="AH477">
        <v>9</v>
      </c>
      <c r="AI477" t="s">
        <v>54</v>
      </c>
      <c r="AK477">
        <v>0</v>
      </c>
      <c r="AM477">
        <v>0</v>
      </c>
      <c r="AP477" t="s">
        <v>325</v>
      </c>
    </row>
    <row r="478" spans="1:42" customFormat="1">
      <c r="A478">
        <v>268117</v>
      </c>
      <c r="B478" t="s">
        <v>575</v>
      </c>
      <c r="C478" t="s">
        <v>576</v>
      </c>
      <c r="D478" s="22">
        <v>0</v>
      </c>
      <c r="E478" s="17">
        <v>42128</v>
      </c>
      <c r="F478" s="18">
        <v>0.63815972222222228</v>
      </c>
      <c r="G478" s="22">
        <v>15</v>
      </c>
      <c r="H478">
        <v>0</v>
      </c>
      <c r="I478" s="19" t="e">
        <f>I477 + (D478-G478)</f>
        <v>#VALUE!</v>
      </c>
      <c r="M478">
        <v>122446</v>
      </c>
      <c r="N478">
        <v>60</v>
      </c>
      <c r="O478" t="s">
        <v>60</v>
      </c>
      <c r="P478">
        <v>1</v>
      </c>
      <c r="R478">
        <v>575</v>
      </c>
      <c r="S478" s="17">
        <v>42130</v>
      </c>
      <c r="T478" s="17">
        <v>42130</v>
      </c>
      <c r="W478">
        <v>2015</v>
      </c>
      <c r="X478">
        <v>60</v>
      </c>
      <c r="AC478" t="s">
        <v>61</v>
      </c>
      <c r="AD478" t="s">
        <v>302</v>
      </c>
      <c r="AE478" t="s">
        <v>46</v>
      </c>
      <c r="AG478">
        <v>52</v>
      </c>
      <c r="AH478">
        <v>9</v>
      </c>
      <c r="AI478" t="s">
        <v>54</v>
      </c>
      <c r="AK478">
        <v>0</v>
      </c>
      <c r="AM478">
        <v>0</v>
      </c>
      <c r="AP478" t="s">
        <v>325</v>
      </c>
    </row>
    <row r="479" spans="1:42" customFormat="1">
      <c r="A479">
        <v>268125</v>
      </c>
      <c r="B479" t="s">
        <v>577</v>
      </c>
      <c r="C479" t="s">
        <v>578</v>
      </c>
      <c r="D479" s="22">
        <v>0</v>
      </c>
      <c r="E479" s="17">
        <v>42128</v>
      </c>
      <c r="F479" s="18">
        <v>0.63815972222222228</v>
      </c>
      <c r="G479" s="22">
        <v>20.23</v>
      </c>
      <c r="H479">
        <v>0</v>
      </c>
      <c r="I479" s="19" t="e">
        <f>I478 + (D479-G479)</f>
        <v>#VALUE!</v>
      </c>
      <c r="M479">
        <v>122466</v>
      </c>
      <c r="N479">
        <v>60</v>
      </c>
      <c r="O479" t="s">
        <v>60</v>
      </c>
      <c r="P479">
        <v>1</v>
      </c>
      <c r="R479">
        <v>575</v>
      </c>
      <c r="S479" s="17">
        <v>42130</v>
      </c>
      <c r="T479" s="17">
        <v>42130</v>
      </c>
      <c r="W479">
        <v>2015</v>
      </c>
      <c r="X479">
        <v>60</v>
      </c>
      <c r="AC479" t="s">
        <v>61</v>
      </c>
      <c r="AD479" t="s">
        <v>302</v>
      </c>
      <c r="AE479" t="s">
        <v>46</v>
      </c>
      <c r="AG479">
        <v>52</v>
      </c>
      <c r="AH479">
        <v>9</v>
      </c>
      <c r="AI479" t="s">
        <v>54</v>
      </c>
      <c r="AK479">
        <v>0</v>
      </c>
      <c r="AM479">
        <v>0</v>
      </c>
      <c r="AP479" t="s">
        <v>325</v>
      </c>
    </row>
    <row r="480" spans="1:42" customFormat="1">
      <c r="A480">
        <v>268118</v>
      </c>
      <c r="B480" t="s">
        <v>579</v>
      </c>
      <c r="C480" t="s">
        <v>580</v>
      </c>
      <c r="D480" s="22">
        <v>0</v>
      </c>
      <c r="E480" s="17">
        <v>42128</v>
      </c>
      <c r="F480" s="18">
        <v>0.63815972222222228</v>
      </c>
      <c r="G480" s="22">
        <v>15</v>
      </c>
      <c r="H480">
        <v>0</v>
      </c>
      <c r="I480" s="19" t="e">
        <f>I479 + (D480-G480)</f>
        <v>#VALUE!</v>
      </c>
      <c r="M480">
        <v>122447</v>
      </c>
      <c r="N480">
        <v>60</v>
      </c>
      <c r="O480" t="s">
        <v>60</v>
      </c>
      <c r="P480">
        <v>1</v>
      </c>
      <c r="R480">
        <v>575</v>
      </c>
      <c r="S480" s="17">
        <v>42130</v>
      </c>
      <c r="T480" s="17">
        <v>42130</v>
      </c>
      <c r="W480">
        <v>2015</v>
      </c>
      <c r="X480">
        <v>60</v>
      </c>
      <c r="AC480" t="s">
        <v>61</v>
      </c>
      <c r="AD480" t="s">
        <v>302</v>
      </c>
      <c r="AE480" t="s">
        <v>46</v>
      </c>
      <c r="AG480">
        <v>52</v>
      </c>
      <c r="AH480">
        <v>9</v>
      </c>
      <c r="AI480" t="s">
        <v>54</v>
      </c>
      <c r="AK480">
        <v>0</v>
      </c>
      <c r="AM480">
        <v>0</v>
      </c>
      <c r="AP480" t="s">
        <v>325</v>
      </c>
    </row>
    <row r="481" spans="1:42" customFormat="1">
      <c r="A481">
        <v>268126</v>
      </c>
      <c r="B481" t="s">
        <v>581</v>
      </c>
      <c r="C481" t="s">
        <v>582</v>
      </c>
      <c r="D481" s="22">
        <v>0</v>
      </c>
      <c r="E481" s="17">
        <v>42128</v>
      </c>
      <c r="F481" s="18">
        <v>0.63815972222222228</v>
      </c>
      <c r="G481" s="22">
        <v>15.04</v>
      </c>
      <c r="H481">
        <v>0</v>
      </c>
      <c r="I481" s="19" t="e">
        <f>I480 + (D481-G481)</f>
        <v>#VALUE!</v>
      </c>
      <c r="M481">
        <v>122467</v>
      </c>
      <c r="N481">
        <v>60</v>
      </c>
      <c r="O481" t="s">
        <v>60</v>
      </c>
      <c r="P481">
        <v>1</v>
      </c>
      <c r="R481">
        <v>575</v>
      </c>
      <c r="S481" s="17">
        <v>42130</v>
      </c>
      <c r="T481" s="17">
        <v>42130</v>
      </c>
      <c r="W481">
        <v>2015</v>
      </c>
      <c r="X481">
        <v>60</v>
      </c>
      <c r="AC481" t="s">
        <v>61</v>
      </c>
      <c r="AD481" t="s">
        <v>302</v>
      </c>
      <c r="AE481" t="s">
        <v>46</v>
      </c>
      <c r="AG481">
        <v>52</v>
      </c>
      <c r="AH481">
        <v>9</v>
      </c>
      <c r="AI481" t="s">
        <v>54</v>
      </c>
      <c r="AK481">
        <v>0</v>
      </c>
      <c r="AM481">
        <v>0</v>
      </c>
      <c r="AP481" t="s">
        <v>325</v>
      </c>
    </row>
    <row r="482" spans="1:42" customFormat="1">
      <c r="A482">
        <v>268119</v>
      </c>
      <c r="B482" t="s">
        <v>583</v>
      </c>
      <c r="C482" t="s">
        <v>584</v>
      </c>
      <c r="D482" s="22">
        <v>0</v>
      </c>
      <c r="E482" s="17">
        <v>42128</v>
      </c>
      <c r="F482" s="18">
        <v>0.63815972222222228</v>
      </c>
      <c r="G482" s="22">
        <v>110</v>
      </c>
      <c r="H482">
        <v>0</v>
      </c>
      <c r="I482" s="19" t="e">
        <f>I481 + (D482-G482)</f>
        <v>#VALUE!</v>
      </c>
      <c r="M482">
        <v>122448</v>
      </c>
      <c r="N482">
        <v>60</v>
      </c>
      <c r="O482" t="s">
        <v>60</v>
      </c>
      <c r="P482">
        <v>1</v>
      </c>
      <c r="R482">
        <v>575</v>
      </c>
      <c r="S482" s="17">
        <v>42130</v>
      </c>
      <c r="T482" s="17">
        <v>42130</v>
      </c>
      <c r="W482">
        <v>2015</v>
      </c>
      <c r="X482">
        <v>60</v>
      </c>
      <c r="AC482" t="s">
        <v>61</v>
      </c>
      <c r="AD482" t="s">
        <v>302</v>
      </c>
      <c r="AE482" t="s">
        <v>46</v>
      </c>
      <c r="AG482">
        <v>52</v>
      </c>
      <c r="AH482">
        <v>9</v>
      </c>
      <c r="AI482" t="s">
        <v>54</v>
      </c>
      <c r="AK482">
        <v>0</v>
      </c>
      <c r="AM482">
        <v>0</v>
      </c>
      <c r="AP482" t="s">
        <v>325</v>
      </c>
    </row>
    <row r="483" spans="1:42" customFormat="1">
      <c r="A483">
        <v>268127</v>
      </c>
      <c r="B483" t="s">
        <v>585</v>
      </c>
      <c r="C483" t="s">
        <v>586</v>
      </c>
      <c r="D483" s="22">
        <v>0</v>
      </c>
      <c r="E483" s="17">
        <v>42128</v>
      </c>
      <c r="F483" s="18">
        <v>0.63815972222222228</v>
      </c>
      <c r="G483" s="22">
        <v>7.73</v>
      </c>
      <c r="H483">
        <v>0</v>
      </c>
      <c r="I483" s="19" t="e">
        <f>I482 + (D483-G483)</f>
        <v>#VALUE!</v>
      </c>
      <c r="M483">
        <v>122468</v>
      </c>
      <c r="N483">
        <v>60</v>
      </c>
      <c r="O483" t="s">
        <v>60</v>
      </c>
      <c r="P483">
        <v>1</v>
      </c>
      <c r="R483">
        <v>575</v>
      </c>
      <c r="S483" s="17">
        <v>42130</v>
      </c>
      <c r="T483" s="17">
        <v>42130</v>
      </c>
      <c r="W483">
        <v>2015</v>
      </c>
      <c r="X483">
        <v>60</v>
      </c>
      <c r="AC483" t="s">
        <v>61</v>
      </c>
      <c r="AD483" t="s">
        <v>302</v>
      </c>
      <c r="AE483" t="s">
        <v>46</v>
      </c>
      <c r="AG483">
        <v>52</v>
      </c>
      <c r="AH483">
        <v>9</v>
      </c>
      <c r="AI483" t="s">
        <v>54</v>
      </c>
      <c r="AK483">
        <v>0</v>
      </c>
      <c r="AM483">
        <v>0</v>
      </c>
      <c r="AP483" t="s">
        <v>325</v>
      </c>
    </row>
    <row r="484" spans="1:42" customFormat="1">
      <c r="A484">
        <v>268120</v>
      </c>
      <c r="B484" t="s">
        <v>587</v>
      </c>
      <c r="C484" t="s">
        <v>588</v>
      </c>
      <c r="D484" s="22">
        <v>0</v>
      </c>
      <c r="E484" s="17">
        <v>42128</v>
      </c>
      <c r="F484" s="18">
        <v>0.63815972222222228</v>
      </c>
      <c r="G484" s="22">
        <v>6.6</v>
      </c>
      <c r="H484">
        <v>0</v>
      </c>
      <c r="I484" s="19" t="e">
        <f>I483 + (D484-G484)</f>
        <v>#VALUE!</v>
      </c>
      <c r="M484">
        <v>122449</v>
      </c>
      <c r="N484">
        <v>60</v>
      </c>
      <c r="O484" t="s">
        <v>60</v>
      </c>
      <c r="P484">
        <v>1</v>
      </c>
      <c r="R484">
        <v>575</v>
      </c>
      <c r="S484" s="17">
        <v>42130</v>
      </c>
      <c r="T484" s="17">
        <v>42130</v>
      </c>
      <c r="W484">
        <v>2015</v>
      </c>
      <c r="X484">
        <v>60</v>
      </c>
      <c r="AC484" t="s">
        <v>61</v>
      </c>
      <c r="AD484" t="s">
        <v>302</v>
      </c>
      <c r="AE484" t="s">
        <v>46</v>
      </c>
      <c r="AG484">
        <v>52</v>
      </c>
      <c r="AH484">
        <v>9</v>
      </c>
      <c r="AI484" t="s">
        <v>54</v>
      </c>
      <c r="AK484">
        <v>0</v>
      </c>
      <c r="AM484">
        <v>0</v>
      </c>
      <c r="AP484" t="s">
        <v>325</v>
      </c>
    </row>
    <row r="485" spans="1:42" customFormat="1">
      <c r="A485">
        <v>268128</v>
      </c>
      <c r="B485" t="s">
        <v>589</v>
      </c>
      <c r="C485" t="s">
        <v>590</v>
      </c>
      <c r="D485" s="22">
        <v>0</v>
      </c>
      <c r="E485" s="17">
        <v>42128</v>
      </c>
      <c r="F485" s="18">
        <v>0.63815972222222228</v>
      </c>
      <c r="G485" s="22">
        <v>6.56</v>
      </c>
      <c r="H485">
        <v>0</v>
      </c>
      <c r="I485" s="19" t="e">
        <f>I484 + (D485-G485)</f>
        <v>#VALUE!</v>
      </c>
      <c r="M485">
        <v>122469</v>
      </c>
      <c r="N485">
        <v>60</v>
      </c>
      <c r="O485" t="s">
        <v>60</v>
      </c>
      <c r="P485">
        <v>1</v>
      </c>
      <c r="R485">
        <v>575</v>
      </c>
      <c r="S485" s="17">
        <v>42130</v>
      </c>
      <c r="T485" s="17">
        <v>42130</v>
      </c>
      <c r="W485">
        <v>2015</v>
      </c>
      <c r="X485">
        <v>60</v>
      </c>
      <c r="AC485" t="s">
        <v>61</v>
      </c>
      <c r="AD485" t="s">
        <v>302</v>
      </c>
      <c r="AE485" t="s">
        <v>46</v>
      </c>
      <c r="AG485">
        <v>52</v>
      </c>
      <c r="AH485">
        <v>9</v>
      </c>
      <c r="AI485" t="s">
        <v>54</v>
      </c>
      <c r="AK485">
        <v>0</v>
      </c>
      <c r="AM485">
        <v>0</v>
      </c>
      <c r="AP485" t="s">
        <v>325</v>
      </c>
    </row>
    <row r="486" spans="1:42" customFormat="1">
      <c r="A486">
        <v>268129</v>
      </c>
      <c r="B486" t="s">
        <v>591</v>
      </c>
      <c r="C486" t="s">
        <v>592</v>
      </c>
      <c r="D486" s="22">
        <v>0</v>
      </c>
      <c r="E486" s="17">
        <v>42128</v>
      </c>
      <c r="F486" s="18">
        <v>0.63817129629629632</v>
      </c>
      <c r="G486" s="22">
        <v>6.11</v>
      </c>
      <c r="H486">
        <v>0</v>
      </c>
      <c r="I486" s="19" t="e">
        <f>I485 + (D486-G486)</f>
        <v>#VALUE!</v>
      </c>
      <c r="M486">
        <v>122470</v>
      </c>
      <c r="N486">
        <v>60</v>
      </c>
      <c r="O486" t="s">
        <v>60</v>
      </c>
      <c r="P486">
        <v>1</v>
      </c>
      <c r="R486">
        <v>575</v>
      </c>
      <c r="S486" s="17">
        <v>42130</v>
      </c>
      <c r="T486" s="17">
        <v>42130</v>
      </c>
      <c r="W486">
        <v>2015</v>
      </c>
      <c r="X486">
        <v>60</v>
      </c>
      <c r="AC486" t="s">
        <v>61</v>
      </c>
      <c r="AD486" t="s">
        <v>302</v>
      </c>
      <c r="AE486" t="s">
        <v>46</v>
      </c>
      <c r="AG486">
        <v>52</v>
      </c>
      <c r="AH486">
        <v>9</v>
      </c>
      <c r="AI486" t="s">
        <v>54</v>
      </c>
      <c r="AK486">
        <v>0</v>
      </c>
      <c r="AM486">
        <v>0</v>
      </c>
      <c r="AP486" t="s">
        <v>325</v>
      </c>
    </row>
    <row r="487" spans="1:42" customFormat="1">
      <c r="A487">
        <v>268130</v>
      </c>
      <c r="B487" t="s">
        <v>593</v>
      </c>
      <c r="C487" t="s">
        <v>594</v>
      </c>
      <c r="D487" s="22">
        <v>0</v>
      </c>
      <c r="E487" s="17">
        <v>42128</v>
      </c>
      <c r="F487" s="18">
        <v>0.63817129629629632</v>
      </c>
      <c r="G487" s="22">
        <v>15</v>
      </c>
      <c r="H487">
        <v>0</v>
      </c>
      <c r="I487" s="19" t="e">
        <f>I486 + (D487-G487)</f>
        <v>#VALUE!</v>
      </c>
      <c r="M487">
        <v>122471</v>
      </c>
      <c r="N487">
        <v>60</v>
      </c>
      <c r="O487" t="s">
        <v>60</v>
      </c>
      <c r="P487">
        <v>1</v>
      </c>
      <c r="R487">
        <v>575</v>
      </c>
      <c r="S487" s="17">
        <v>42130</v>
      </c>
      <c r="T487" s="17">
        <v>42130</v>
      </c>
      <c r="W487">
        <v>2015</v>
      </c>
      <c r="X487">
        <v>60</v>
      </c>
      <c r="AC487" t="s">
        <v>61</v>
      </c>
      <c r="AD487" t="s">
        <v>302</v>
      </c>
      <c r="AE487" t="s">
        <v>46</v>
      </c>
      <c r="AG487">
        <v>52</v>
      </c>
      <c r="AH487">
        <v>9</v>
      </c>
      <c r="AI487" t="s">
        <v>54</v>
      </c>
      <c r="AK487">
        <v>0</v>
      </c>
      <c r="AM487">
        <v>0</v>
      </c>
      <c r="AP487" t="s">
        <v>325</v>
      </c>
    </row>
    <row r="488" spans="1:42" customFormat="1">
      <c r="A488">
        <v>268138</v>
      </c>
      <c r="B488" t="s">
        <v>595</v>
      </c>
      <c r="C488" t="s">
        <v>596</v>
      </c>
      <c r="D488" s="22">
        <v>0</v>
      </c>
      <c r="E488" s="17">
        <v>42128</v>
      </c>
      <c r="F488" s="18">
        <v>0.64206018518518515</v>
      </c>
      <c r="G488" s="22">
        <v>15</v>
      </c>
      <c r="H488">
        <v>0</v>
      </c>
      <c r="I488" s="19" t="e">
        <f>I487 + (D488-G488)</f>
        <v>#VALUE!</v>
      </c>
      <c r="M488">
        <v>122602</v>
      </c>
      <c r="N488">
        <v>60</v>
      </c>
      <c r="O488" t="s">
        <v>60</v>
      </c>
      <c r="P488">
        <v>1</v>
      </c>
      <c r="R488">
        <v>575</v>
      </c>
      <c r="S488" s="17">
        <v>42130</v>
      </c>
      <c r="T488" s="17">
        <v>42130</v>
      </c>
      <c r="W488">
        <v>2015</v>
      </c>
      <c r="X488">
        <v>60</v>
      </c>
      <c r="AC488" t="s">
        <v>61</v>
      </c>
      <c r="AD488" t="s">
        <v>302</v>
      </c>
      <c r="AE488" t="s">
        <v>46</v>
      </c>
      <c r="AG488">
        <v>52</v>
      </c>
      <c r="AH488">
        <v>9</v>
      </c>
      <c r="AI488" t="s">
        <v>54</v>
      </c>
      <c r="AK488">
        <v>0</v>
      </c>
      <c r="AM488">
        <v>0</v>
      </c>
      <c r="AP488" t="s">
        <v>325</v>
      </c>
    </row>
    <row r="489" spans="1:42" customFormat="1">
      <c r="A489">
        <v>268139</v>
      </c>
      <c r="B489" t="s">
        <v>597</v>
      </c>
      <c r="C489" t="s">
        <v>598</v>
      </c>
      <c r="D489" s="22">
        <v>0</v>
      </c>
      <c r="E489" s="17">
        <v>42128</v>
      </c>
      <c r="F489" s="18">
        <v>0.64206018518518515</v>
      </c>
      <c r="G489" s="22">
        <v>15</v>
      </c>
      <c r="H489">
        <v>0</v>
      </c>
      <c r="I489" s="19" t="e">
        <f>I488 + (D489-G489)</f>
        <v>#VALUE!</v>
      </c>
      <c r="M489">
        <v>122612</v>
      </c>
      <c r="N489">
        <v>60</v>
      </c>
      <c r="O489" t="s">
        <v>60</v>
      </c>
      <c r="P489">
        <v>1</v>
      </c>
      <c r="R489">
        <v>575</v>
      </c>
      <c r="S489" s="17">
        <v>42130</v>
      </c>
      <c r="T489" s="17">
        <v>42130</v>
      </c>
      <c r="W489">
        <v>2015</v>
      </c>
      <c r="X489">
        <v>60</v>
      </c>
      <c r="AC489" t="s">
        <v>61</v>
      </c>
      <c r="AD489" t="s">
        <v>302</v>
      </c>
      <c r="AE489" t="s">
        <v>46</v>
      </c>
      <c r="AG489">
        <v>52</v>
      </c>
      <c r="AH489">
        <v>9</v>
      </c>
      <c r="AI489" t="s">
        <v>54</v>
      </c>
      <c r="AK489">
        <v>0</v>
      </c>
      <c r="AM489">
        <v>0</v>
      </c>
      <c r="AP489" t="s">
        <v>325</v>
      </c>
    </row>
    <row r="490" spans="1:42" customFormat="1">
      <c r="A490">
        <v>268135</v>
      </c>
      <c r="B490" t="s">
        <v>599</v>
      </c>
      <c r="C490" t="s">
        <v>600</v>
      </c>
      <c r="D490" s="22">
        <v>0</v>
      </c>
      <c r="E490" s="17">
        <v>42128</v>
      </c>
      <c r="F490" s="18">
        <v>0.64206018518518515</v>
      </c>
      <c r="G490" s="22">
        <v>15</v>
      </c>
      <c r="H490">
        <v>0</v>
      </c>
      <c r="I490" s="19" t="e">
        <f>I489 + (D490-G490)</f>
        <v>#VALUE!</v>
      </c>
      <c r="M490">
        <v>122572</v>
      </c>
      <c r="N490">
        <v>60</v>
      </c>
      <c r="O490" t="s">
        <v>60</v>
      </c>
      <c r="P490">
        <v>1</v>
      </c>
      <c r="R490">
        <v>575</v>
      </c>
      <c r="S490" s="17">
        <v>42130</v>
      </c>
      <c r="T490" s="17">
        <v>42130</v>
      </c>
      <c r="W490">
        <v>2015</v>
      </c>
      <c r="X490">
        <v>60</v>
      </c>
      <c r="AC490" t="s">
        <v>61</v>
      </c>
      <c r="AD490" t="s">
        <v>302</v>
      </c>
      <c r="AE490" t="s">
        <v>46</v>
      </c>
      <c r="AG490">
        <v>52</v>
      </c>
      <c r="AH490">
        <v>9</v>
      </c>
      <c r="AI490" t="s">
        <v>54</v>
      </c>
      <c r="AK490">
        <v>0</v>
      </c>
      <c r="AM490">
        <v>0</v>
      </c>
      <c r="AP490" t="s">
        <v>325</v>
      </c>
    </row>
    <row r="491" spans="1:42" customFormat="1">
      <c r="A491">
        <v>268136</v>
      </c>
      <c r="B491" t="s">
        <v>601</v>
      </c>
      <c r="C491" t="s">
        <v>602</v>
      </c>
      <c r="D491" s="22">
        <v>0</v>
      </c>
      <c r="E491" s="17">
        <v>42128</v>
      </c>
      <c r="F491" s="18">
        <v>0.64206018518518515</v>
      </c>
      <c r="G491" s="22">
        <v>15</v>
      </c>
      <c r="H491">
        <v>0</v>
      </c>
      <c r="I491" s="19" t="e">
        <f>I490 + (D491-G491)</f>
        <v>#VALUE!</v>
      </c>
      <c r="M491">
        <v>122582</v>
      </c>
      <c r="N491">
        <v>60</v>
      </c>
      <c r="O491" t="s">
        <v>60</v>
      </c>
      <c r="P491">
        <v>1</v>
      </c>
      <c r="R491">
        <v>575</v>
      </c>
      <c r="S491" s="17">
        <v>42130</v>
      </c>
      <c r="T491" s="17">
        <v>42130</v>
      </c>
      <c r="W491">
        <v>2015</v>
      </c>
      <c r="X491">
        <v>60</v>
      </c>
      <c r="AC491" t="s">
        <v>61</v>
      </c>
      <c r="AD491" t="s">
        <v>302</v>
      </c>
      <c r="AE491" t="s">
        <v>46</v>
      </c>
      <c r="AG491">
        <v>52</v>
      </c>
      <c r="AH491">
        <v>9</v>
      </c>
      <c r="AI491" t="s">
        <v>54</v>
      </c>
      <c r="AK491">
        <v>0</v>
      </c>
      <c r="AM491">
        <v>0</v>
      </c>
      <c r="AP491" t="s">
        <v>325</v>
      </c>
    </row>
    <row r="492" spans="1:42" customFormat="1">
      <c r="A492">
        <v>268137</v>
      </c>
      <c r="B492" t="s">
        <v>603</v>
      </c>
      <c r="C492" t="s">
        <v>604</v>
      </c>
      <c r="D492" s="22">
        <v>0</v>
      </c>
      <c r="E492" s="17">
        <v>42128</v>
      </c>
      <c r="F492" s="18">
        <v>0.64206018518518515</v>
      </c>
      <c r="G492" s="22">
        <v>15</v>
      </c>
      <c r="H492">
        <v>0</v>
      </c>
      <c r="I492" s="19" t="e">
        <f>I491 + (D492-G492)</f>
        <v>#VALUE!</v>
      </c>
      <c r="M492">
        <v>122592</v>
      </c>
      <c r="N492">
        <v>60</v>
      </c>
      <c r="O492" t="s">
        <v>60</v>
      </c>
      <c r="P492">
        <v>1</v>
      </c>
      <c r="R492">
        <v>575</v>
      </c>
      <c r="S492" s="17">
        <v>42130</v>
      </c>
      <c r="T492" s="17">
        <v>42130</v>
      </c>
      <c r="W492">
        <v>2015</v>
      </c>
      <c r="X492">
        <v>60</v>
      </c>
      <c r="AC492" t="s">
        <v>61</v>
      </c>
      <c r="AD492" t="s">
        <v>302</v>
      </c>
      <c r="AE492" t="s">
        <v>46</v>
      </c>
      <c r="AG492">
        <v>52</v>
      </c>
      <c r="AH492">
        <v>9</v>
      </c>
      <c r="AI492" t="s">
        <v>54</v>
      </c>
      <c r="AK492">
        <v>0</v>
      </c>
      <c r="AM492">
        <v>0</v>
      </c>
      <c r="AP492" t="s">
        <v>325</v>
      </c>
    </row>
    <row r="493" spans="1:42" customFormat="1">
      <c r="A493">
        <v>268143</v>
      </c>
      <c r="B493" t="s">
        <v>605</v>
      </c>
      <c r="C493" t="s">
        <v>606</v>
      </c>
      <c r="D493" s="22">
        <v>0</v>
      </c>
      <c r="E493" s="17">
        <v>42128</v>
      </c>
      <c r="F493" s="18">
        <v>0.64206018518518515</v>
      </c>
      <c r="G493" s="22">
        <v>15</v>
      </c>
      <c r="H493">
        <v>0</v>
      </c>
      <c r="I493" s="19" t="e">
        <f>I492 + (D493-G493)</f>
        <v>#VALUE!</v>
      </c>
      <c r="M493">
        <v>122603</v>
      </c>
      <c r="N493">
        <v>60</v>
      </c>
      <c r="O493" t="s">
        <v>60</v>
      </c>
      <c r="P493">
        <v>1</v>
      </c>
      <c r="R493">
        <v>575</v>
      </c>
      <c r="S493" s="17">
        <v>42130</v>
      </c>
      <c r="T493" s="17">
        <v>42130</v>
      </c>
      <c r="W493">
        <v>2015</v>
      </c>
      <c r="X493">
        <v>60</v>
      </c>
      <c r="AC493" t="s">
        <v>61</v>
      </c>
      <c r="AD493" t="s">
        <v>302</v>
      </c>
      <c r="AE493" t="s">
        <v>46</v>
      </c>
      <c r="AG493">
        <v>52</v>
      </c>
      <c r="AH493">
        <v>9</v>
      </c>
      <c r="AI493" t="s">
        <v>54</v>
      </c>
      <c r="AK493">
        <v>0</v>
      </c>
      <c r="AM493">
        <v>0</v>
      </c>
      <c r="AP493" t="s">
        <v>325</v>
      </c>
    </row>
    <row r="494" spans="1:42" customFormat="1">
      <c r="A494">
        <v>268144</v>
      </c>
      <c r="B494" t="s">
        <v>607</v>
      </c>
      <c r="C494" t="s">
        <v>608</v>
      </c>
      <c r="D494" s="22">
        <v>0</v>
      </c>
      <c r="E494" s="17">
        <v>42128</v>
      </c>
      <c r="F494" s="18">
        <v>0.64206018518518515</v>
      </c>
      <c r="G494" s="22">
        <v>15</v>
      </c>
      <c r="H494">
        <v>0</v>
      </c>
      <c r="I494" s="19" t="e">
        <f>I493 + (D494-G494)</f>
        <v>#VALUE!</v>
      </c>
      <c r="M494">
        <v>122613</v>
      </c>
      <c r="N494">
        <v>60</v>
      </c>
      <c r="O494" t="s">
        <v>60</v>
      </c>
      <c r="P494">
        <v>1</v>
      </c>
      <c r="R494">
        <v>575</v>
      </c>
      <c r="S494" s="17">
        <v>42130</v>
      </c>
      <c r="T494" s="17">
        <v>42130</v>
      </c>
      <c r="W494">
        <v>2015</v>
      </c>
      <c r="X494">
        <v>60</v>
      </c>
      <c r="AC494" t="s">
        <v>61</v>
      </c>
      <c r="AD494" t="s">
        <v>302</v>
      </c>
      <c r="AE494" t="s">
        <v>46</v>
      </c>
      <c r="AG494">
        <v>52</v>
      </c>
      <c r="AH494">
        <v>9</v>
      </c>
      <c r="AI494" t="s">
        <v>54</v>
      </c>
      <c r="AK494">
        <v>0</v>
      </c>
      <c r="AM494">
        <v>0</v>
      </c>
      <c r="AP494" t="s">
        <v>325</v>
      </c>
    </row>
    <row r="495" spans="1:42" customFormat="1">
      <c r="A495">
        <v>268140</v>
      </c>
      <c r="B495" t="s">
        <v>609</v>
      </c>
      <c r="C495" t="s">
        <v>610</v>
      </c>
      <c r="D495" s="22">
        <v>0</v>
      </c>
      <c r="E495" s="17">
        <v>42128</v>
      </c>
      <c r="F495" s="18">
        <v>0.64206018518518515</v>
      </c>
      <c r="G495" s="22">
        <v>15</v>
      </c>
      <c r="H495">
        <v>0</v>
      </c>
      <c r="I495" s="19" t="e">
        <f>I494 + (D495-G495)</f>
        <v>#VALUE!</v>
      </c>
      <c r="M495">
        <v>122573</v>
      </c>
      <c r="N495">
        <v>60</v>
      </c>
      <c r="O495" t="s">
        <v>60</v>
      </c>
      <c r="P495">
        <v>1</v>
      </c>
      <c r="R495">
        <v>575</v>
      </c>
      <c r="S495" s="17">
        <v>42130</v>
      </c>
      <c r="T495" s="17">
        <v>42130</v>
      </c>
      <c r="W495">
        <v>2015</v>
      </c>
      <c r="X495">
        <v>60</v>
      </c>
      <c r="AC495" t="s">
        <v>61</v>
      </c>
      <c r="AD495" t="s">
        <v>302</v>
      </c>
      <c r="AE495" t="s">
        <v>46</v>
      </c>
      <c r="AG495">
        <v>52</v>
      </c>
      <c r="AH495">
        <v>9</v>
      </c>
      <c r="AI495" t="s">
        <v>54</v>
      </c>
      <c r="AK495">
        <v>0</v>
      </c>
      <c r="AM495">
        <v>0</v>
      </c>
      <c r="AP495" t="s">
        <v>325</v>
      </c>
    </row>
    <row r="496" spans="1:42" customFormat="1">
      <c r="A496">
        <v>268141</v>
      </c>
      <c r="B496" t="s">
        <v>611</v>
      </c>
      <c r="C496" t="s">
        <v>612</v>
      </c>
      <c r="D496" s="22">
        <v>0</v>
      </c>
      <c r="E496" s="17">
        <v>42128</v>
      </c>
      <c r="F496" s="18">
        <v>0.64206018518518515</v>
      </c>
      <c r="G496" s="22">
        <v>15</v>
      </c>
      <c r="H496">
        <v>0</v>
      </c>
      <c r="I496" s="19" t="e">
        <f>I495 + (D496-G496)</f>
        <v>#VALUE!</v>
      </c>
      <c r="M496">
        <v>122583</v>
      </c>
      <c r="N496">
        <v>60</v>
      </c>
      <c r="O496" t="s">
        <v>60</v>
      </c>
      <c r="P496">
        <v>1</v>
      </c>
      <c r="R496">
        <v>575</v>
      </c>
      <c r="S496" s="17">
        <v>42130</v>
      </c>
      <c r="T496" s="17">
        <v>42130</v>
      </c>
      <c r="W496">
        <v>2015</v>
      </c>
      <c r="X496">
        <v>60</v>
      </c>
      <c r="AC496" t="s">
        <v>61</v>
      </c>
      <c r="AD496" t="s">
        <v>302</v>
      </c>
      <c r="AE496" t="s">
        <v>46</v>
      </c>
      <c r="AG496">
        <v>52</v>
      </c>
      <c r="AH496">
        <v>9</v>
      </c>
      <c r="AI496" t="s">
        <v>54</v>
      </c>
      <c r="AK496">
        <v>0</v>
      </c>
      <c r="AM496">
        <v>0</v>
      </c>
      <c r="AP496" t="s">
        <v>325</v>
      </c>
    </row>
    <row r="497" spans="1:42" customFormat="1">
      <c r="A497">
        <v>268142</v>
      </c>
      <c r="B497" t="s">
        <v>613</v>
      </c>
      <c r="C497" t="s">
        <v>614</v>
      </c>
      <c r="D497" s="22">
        <v>0</v>
      </c>
      <c r="E497" s="17">
        <v>42128</v>
      </c>
      <c r="F497" s="18">
        <v>0.64206018518518515</v>
      </c>
      <c r="G497" s="22">
        <v>15</v>
      </c>
      <c r="H497">
        <v>0</v>
      </c>
      <c r="I497" s="19" t="e">
        <f>I496 + (D497-G497)</f>
        <v>#VALUE!</v>
      </c>
      <c r="M497">
        <v>122593</v>
      </c>
      <c r="N497">
        <v>60</v>
      </c>
      <c r="O497" t="s">
        <v>60</v>
      </c>
      <c r="P497">
        <v>1</v>
      </c>
      <c r="R497">
        <v>575</v>
      </c>
      <c r="S497" s="17">
        <v>42130</v>
      </c>
      <c r="T497" s="17">
        <v>42130</v>
      </c>
      <c r="W497">
        <v>2015</v>
      </c>
      <c r="X497">
        <v>60</v>
      </c>
      <c r="AC497" t="s">
        <v>61</v>
      </c>
      <c r="AD497" t="s">
        <v>302</v>
      </c>
      <c r="AE497" t="s">
        <v>46</v>
      </c>
      <c r="AG497">
        <v>52</v>
      </c>
      <c r="AH497">
        <v>9</v>
      </c>
      <c r="AI497" t="s">
        <v>54</v>
      </c>
      <c r="AK497">
        <v>0</v>
      </c>
      <c r="AM497">
        <v>0</v>
      </c>
      <c r="AP497" t="s">
        <v>325</v>
      </c>
    </row>
    <row r="498" spans="1:42" customFormat="1">
      <c r="A498">
        <v>268148</v>
      </c>
      <c r="B498" t="s">
        <v>615</v>
      </c>
      <c r="C498" t="s">
        <v>616</v>
      </c>
      <c r="D498" s="22">
        <v>0</v>
      </c>
      <c r="E498" s="17">
        <v>42128</v>
      </c>
      <c r="F498" s="18">
        <v>0.64207175925925919</v>
      </c>
      <c r="G498" s="22">
        <v>15</v>
      </c>
      <c r="H498">
        <v>0</v>
      </c>
      <c r="I498" s="19" t="e">
        <f>I497 + (D498-G498)</f>
        <v>#VALUE!</v>
      </c>
      <c r="M498">
        <v>122604</v>
      </c>
      <c r="N498">
        <v>60</v>
      </c>
      <c r="O498" t="s">
        <v>60</v>
      </c>
      <c r="P498">
        <v>1</v>
      </c>
      <c r="R498">
        <v>575</v>
      </c>
      <c r="S498" s="17">
        <v>42130</v>
      </c>
      <c r="T498" s="17">
        <v>42130</v>
      </c>
      <c r="W498">
        <v>2015</v>
      </c>
      <c r="X498">
        <v>60</v>
      </c>
      <c r="AC498" t="s">
        <v>61</v>
      </c>
      <c r="AD498" t="s">
        <v>302</v>
      </c>
      <c r="AE498" t="s">
        <v>46</v>
      </c>
      <c r="AG498">
        <v>52</v>
      </c>
      <c r="AH498">
        <v>9</v>
      </c>
      <c r="AI498" t="s">
        <v>54</v>
      </c>
      <c r="AK498">
        <v>0</v>
      </c>
      <c r="AM498">
        <v>0</v>
      </c>
      <c r="AP498" t="s">
        <v>325</v>
      </c>
    </row>
    <row r="499" spans="1:42" customFormat="1">
      <c r="A499">
        <v>268149</v>
      </c>
      <c r="B499" t="s">
        <v>617</v>
      </c>
      <c r="C499" t="s">
        <v>618</v>
      </c>
      <c r="D499" s="22">
        <v>0</v>
      </c>
      <c r="E499" s="17">
        <v>42128</v>
      </c>
      <c r="F499" s="18">
        <v>0.64207175925925919</v>
      </c>
      <c r="G499" s="22">
        <v>15</v>
      </c>
      <c r="H499">
        <v>0</v>
      </c>
      <c r="I499" s="19" t="e">
        <f>I498 + (D499-G499)</f>
        <v>#VALUE!</v>
      </c>
      <c r="M499">
        <v>122614</v>
      </c>
      <c r="N499">
        <v>60</v>
      </c>
      <c r="O499" t="s">
        <v>60</v>
      </c>
      <c r="P499">
        <v>1</v>
      </c>
      <c r="R499">
        <v>575</v>
      </c>
      <c r="S499" s="17">
        <v>42130</v>
      </c>
      <c r="T499" s="17">
        <v>42130</v>
      </c>
      <c r="W499">
        <v>2015</v>
      </c>
      <c r="X499">
        <v>60</v>
      </c>
      <c r="AC499" t="s">
        <v>61</v>
      </c>
      <c r="AD499" t="s">
        <v>302</v>
      </c>
      <c r="AE499" t="s">
        <v>46</v>
      </c>
      <c r="AG499">
        <v>52</v>
      </c>
      <c r="AH499">
        <v>9</v>
      </c>
      <c r="AI499" t="s">
        <v>54</v>
      </c>
      <c r="AK499">
        <v>0</v>
      </c>
      <c r="AM499">
        <v>0</v>
      </c>
      <c r="AP499" t="s">
        <v>325</v>
      </c>
    </row>
    <row r="500" spans="1:42" customFormat="1">
      <c r="A500">
        <v>268145</v>
      </c>
      <c r="B500" t="s">
        <v>619</v>
      </c>
      <c r="C500" t="s">
        <v>620</v>
      </c>
      <c r="D500" s="22">
        <v>0</v>
      </c>
      <c r="E500" s="17">
        <v>42128</v>
      </c>
      <c r="F500" s="18">
        <v>0.64207175925925919</v>
      </c>
      <c r="G500" s="22">
        <v>15</v>
      </c>
      <c r="H500">
        <v>0</v>
      </c>
      <c r="I500" s="19" t="e">
        <f>I499 + (D500-G500)</f>
        <v>#VALUE!</v>
      </c>
      <c r="M500">
        <v>122574</v>
      </c>
      <c r="N500">
        <v>60</v>
      </c>
      <c r="O500" t="s">
        <v>60</v>
      </c>
      <c r="P500">
        <v>1</v>
      </c>
      <c r="R500">
        <v>575</v>
      </c>
      <c r="S500" s="17">
        <v>42130</v>
      </c>
      <c r="T500" s="17">
        <v>42130</v>
      </c>
      <c r="W500">
        <v>2015</v>
      </c>
      <c r="X500">
        <v>60</v>
      </c>
      <c r="AC500" t="s">
        <v>61</v>
      </c>
      <c r="AD500" t="s">
        <v>302</v>
      </c>
      <c r="AE500" t="s">
        <v>46</v>
      </c>
      <c r="AG500">
        <v>52</v>
      </c>
      <c r="AH500">
        <v>9</v>
      </c>
      <c r="AI500" t="s">
        <v>54</v>
      </c>
      <c r="AK500">
        <v>0</v>
      </c>
      <c r="AM500">
        <v>0</v>
      </c>
      <c r="AP500" t="s">
        <v>325</v>
      </c>
    </row>
    <row r="501" spans="1:42" customFormat="1">
      <c r="A501">
        <v>268146</v>
      </c>
      <c r="B501" t="s">
        <v>621</v>
      </c>
      <c r="C501" t="s">
        <v>622</v>
      </c>
      <c r="D501" s="22">
        <v>0</v>
      </c>
      <c r="E501" s="17">
        <v>42128</v>
      </c>
      <c r="F501" s="18">
        <v>0.64207175925925919</v>
      </c>
      <c r="G501" s="22">
        <v>15</v>
      </c>
      <c r="H501">
        <v>0</v>
      </c>
      <c r="I501" s="19" t="e">
        <f>I500 + (D501-G501)</f>
        <v>#VALUE!</v>
      </c>
      <c r="M501">
        <v>122584</v>
      </c>
      <c r="N501">
        <v>60</v>
      </c>
      <c r="O501" t="s">
        <v>60</v>
      </c>
      <c r="P501">
        <v>1</v>
      </c>
      <c r="R501">
        <v>575</v>
      </c>
      <c r="S501" s="17">
        <v>42130</v>
      </c>
      <c r="T501" s="17">
        <v>42130</v>
      </c>
      <c r="W501">
        <v>2015</v>
      </c>
      <c r="X501">
        <v>60</v>
      </c>
      <c r="AC501" t="s">
        <v>61</v>
      </c>
      <c r="AD501" t="s">
        <v>302</v>
      </c>
      <c r="AE501" t="s">
        <v>46</v>
      </c>
      <c r="AG501">
        <v>52</v>
      </c>
      <c r="AH501">
        <v>9</v>
      </c>
      <c r="AI501" t="s">
        <v>54</v>
      </c>
      <c r="AK501">
        <v>0</v>
      </c>
      <c r="AM501">
        <v>0</v>
      </c>
      <c r="AP501" t="s">
        <v>325</v>
      </c>
    </row>
    <row r="502" spans="1:42" customFormat="1">
      <c r="A502">
        <v>268147</v>
      </c>
      <c r="B502" t="s">
        <v>623</v>
      </c>
      <c r="C502" t="s">
        <v>624</v>
      </c>
      <c r="D502" s="22">
        <v>0</v>
      </c>
      <c r="E502" s="17">
        <v>42128</v>
      </c>
      <c r="F502" s="18">
        <v>0.64207175925925919</v>
      </c>
      <c r="G502" s="22">
        <v>15</v>
      </c>
      <c r="H502">
        <v>0</v>
      </c>
      <c r="I502" s="19" t="e">
        <f>I501 + (D502-G502)</f>
        <v>#VALUE!</v>
      </c>
      <c r="M502">
        <v>122594</v>
      </c>
      <c r="N502">
        <v>60</v>
      </c>
      <c r="O502" t="s">
        <v>60</v>
      </c>
      <c r="P502">
        <v>1</v>
      </c>
      <c r="R502">
        <v>575</v>
      </c>
      <c r="S502" s="17">
        <v>42130</v>
      </c>
      <c r="T502" s="17">
        <v>42130</v>
      </c>
      <c r="W502">
        <v>2015</v>
      </c>
      <c r="X502">
        <v>60</v>
      </c>
      <c r="AC502" t="s">
        <v>61</v>
      </c>
      <c r="AD502" t="s">
        <v>302</v>
      </c>
      <c r="AE502" t="s">
        <v>46</v>
      </c>
      <c r="AG502">
        <v>52</v>
      </c>
      <c r="AH502">
        <v>9</v>
      </c>
      <c r="AI502" t="s">
        <v>54</v>
      </c>
      <c r="AK502">
        <v>0</v>
      </c>
      <c r="AM502">
        <v>0</v>
      </c>
      <c r="AP502" t="s">
        <v>325</v>
      </c>
    </row>
    <row r="503" spans="1:42" customFormat="1">
      <c r="A503">
        <v>268153</v>
      </c>
      <c r="B503" t="s">
        <v>625</v>
      </c>
      <c r="C503" t="s">
        <v>626</v>
      </c>
      <c r="D503" s="22">
        <v>0</v>
      </c>
      <c r="E503" s="17">
        <v>42128</v>
      </c>
      <c r="F503" s="18">
        <v>0.64207175925925919</v>
      </c>
      <c r="G503" s="22">
        <v>15</v>
      </c>
      <c r="H503">
        <v>0</v>
      </c>
      <c r="I503" s="19" t="e">
        <f>I502 + (D503-G503)</f>
        <v>#VALUE!</v>
      </c>
      <c r="M503">
        <v>122605</v>
      </c>
      <c r="N503">
        <v>60</v>
      </c>
      <c r="O503" t="s">
        <v>60</v>
      </c>
      <c r="P503">
        <v>1</v>
      </c>
      <c r="R503">
        <v>575</v>
      </c>
      <c r="S503" s="17">
        <v>42130</v>
      </c>
      <c r="T503" s="17">
        <v>42130</v>
      </c>
      <c r="W503">
        <v>2015</v>
      </c>
      <c r="X503">
        <v>60</v>
      </c>
      <c r="AC503" t="s">
        <v>61</v>
      </c>
      <c r="AD503" t="s">
        <v>302</v>
      </c>
      <c r="AE503" t="s">
        <v>46</v>
      </c>
      <c r="AG503">
        <v>52</v>
      </c>
      <c r="AH503">
        <v>9</v>
      </c>
      <c r="AI503" t="s">
        <v>54</v>
      </c>
      <c r="AK503">
        <v>0</v>
      </c>
      <c r="AM503">
        <v>0</v>
      </c>
      <c r="AP503" t="s">
        <v>325</v>
      </c>
    </row>
    <row r="504" spans="1:42" customFormat="1">
      <c r="A504">
        <v>268154</v>
      </c>
      <c r="B504" t="s">
        <v>627</v>
      </c>
      <c r="C504" t="s">
        <v>628</v>
      </c>
      <c r="D504" s="22">
        <v>0</v>
      </c>
      <c r="E504" s="17">
        <v>42128</v>
      </c>
      <c r="F504" s="18">
        <v>0.64207175925925919</v>
      </c>
      <c r="G504" s="22">
        <v>15</v>
      </c>
      <c r="H504">
        <v>0</v>
      </c>
      <c r="I504" s="19" t="e">
        <f>I503 + (D504-G504)</f>
        <v>#VALUE!</v>
      </c>
      <c r="M504">
        <v>122615</v>
      </c>
      <c r="N504">
        <v>60</v>
      </c>
      <c r="O504" t="s">
        <v>60</v>
      </c>
      <c r="P504">
        <v>1</v>
      </c>
      <c r="R504">
        <v>575</v>
      </c>
      <c r="S504" s="17">
        <v>42130</v>
      </c>
      <c r="T504" s="17">
        <v>42130</v>
      </c>
      <c r="W504">
        <v>2015</v>
      </c>
      <c r="X504">
        <v>60</v>
      </c>
      <c r="AC504" t="s">
        <v>61</v>
      </c>
      <c r="AD504" t="s">
        <v>302</v>
      </c>
      <c r="AE504" t="s">
        <v>46</v>
      </c>
      <c r="AG504">
        <v>52</v>
      </c>
      <c r="AH504">
        <v>9</v>
      </c>
      <c r="AI504" t="s">
        <v>54</v>
      </c>
      <c r="AK504">
        <v>0</v>
      </c>
      <c r="AM504">
        <v>0</v>
      </c>
      <c r="AP504" t="s">
        <v>325</v>
      </c>
    </row>
    <row r="505" spans="1:42" customFormat="1">
      <c r="A505">
        <v>268150</v>
      </c>
      <c r="B505" t="s">
        <v>629</v>
      </c>
      <c r="C505" t="s">
        <v>630</v>
      </c>
      <c r="D505" s="22">
        <v>0</v>
      </c>
      <c r="E505" s="17">
        <v>42128</v>
      </c>
      <c r="F505" s="18">
        <v>0.64207175925925919</v>
      </c>
      <c r="G505" s="22">
        <v>15</v>
      </c>
      <c r="H505">
        <v>0</v>
      </c>
      <c r="I505" s="19" t="e">
        <f>I504 + (D505-G505)</f>
        <v>#VALUE!</v>
      </c>
      <c r="M505">
        <v>122575</v>
      </c>
      <c r="N505">
        <v>60</v>
      </c>
      <c r="O505" t="s">
        <v>60</v>
      </c>
      <c r="P505">
        <v>1</v>
      </c>
      <c r="R505">
        <v>575</v>
      </c>
      <c r="S505" s="17">
        <v>42130</v>
      </c>
      <c r="T505" s="17">
        <v>42130</v>
      </c>
      <c r="W505">
        <v>2015</v>
      </c>
      <c r="X505">
        <v>60</v>
      </c>
      <c r="AC505" t="s">
        <v>61</v>
      </c>
      <c r="AD505" t="s">
        <v>302</v>
      </c>
      <c r="AE505" t="s">
        <v>46</v>
      </c>
      <c r="AG505">
        <v>52</v>
      </c>
      <c r="AH505">
        <v>9</v>
      </c>
      <c r="AI505" t="s">
        <v>54</v>
      </c>
      <c r="AK505">
        <v>0</v>
      </c>
      <c r="AM505">
        <v>0</v>
      </c>
      <c r="AP505" t="s">
        <v>325</v>
      </c>
    </row>
    <row r="506" spans="1:42" customFormat="1">
      <c r="A506">
        <v>268151</v>
      </c>
      <c r="B506" t="s">
        <v>631</v>
      </c>
      <c r="C506" t="s">
        <v>632</v>
      </c>
      <c r="D506" s="22">
        <v>0</v>
      </c>
      <c r="E506" s="17">
        <v>42128</v>
      </c>
      <c r="F506" s="18">
        <v>0.64207175925925919</v>
      </c>
      <c r="G506" s="22">
        <v>15</v>
      </c>
      <c r="H506">
        <v>0</v>
      </c>
      <c r="I506" s="19" t="e">
        <f>I505 + (D506-G506)</f>
        <v>#VALUE!</v>
      </c>
      <c r="M506">
        <v>122585</v>
      </c>
      <c r="N506">
        <v>60</v>
      </c>
      <c r="O506" t="s">
        <v>60</v>
      </c>
      <c r="P506">
        <v>1</v>
      </c>
      <c r="R506">
        <v>575</v>
      </c>
      <c r="S506" s="17">
        <v>42130</v>
      </c>
      <c r="T506" s="17">
        <v>42130</v>
      </c>
      <c r="W506">
        <v>2015</v>
      </c>
      <c r="X506">
        <v>60</v>
      </c>
      <c r="AC506" t="s">
        <v>61</v>
      </c>
      <c r="AD506" t="s">
        <v>302</v>
      </c>
      <c r="AE506" t="s">
        <v>46</v>
      </c>
      <c r="AG506">
        <v>52</v>
      </c>
      <c r="AH506">
        <v>9</v>
      </c>
      <c r="AI506" t="s">
        <v>54</v>
      </c>
      <c r="AK506">
        <v>0</v>
      </c>
      <c r="AM506">
        <v>0</v>
      </c>
      <c r="AP506" t="s">
        <v>325</v>
      </c>
    </row>
    <row r="507" spans="1:42" customFormat="1">
      <c r="A507">
        <v>268152</v>
      </c>
      <c r="B507" t="s">
        <v>633</v>
      </c>
      <c r="C507" t="s">
        <v>634</v>
      </c>
      <c r="D507" s="22">
        <v>0</v>
      </c>
      <c r="E507" s="17">
        <v>42128</v>
      </c>
      <c r="F507" s="18">
        <v>0.64207175925925919</v>
      </c>
      <c r="G507" s="22">
        <v>15</v>
      </c>
      <c r="H507">
        <v>0</v>
      </c>
      <c r="I507" s="19" t="e">
        <f>I506 + (D507-G507)</f>
        <v>#VALUE!</v>
      </c>
      <c r="M507">
        <v>122595</v>
      </c>
      <c r="N507">
        <v>60</v>
      </c>
      <c r="O507" t="s">
        <v>60</v>
      </c>
      <c r="P507">
        <v>1</v>
      </c>
      <c r="R507">
        <v>575</v>
      </c>
      <c r="S507" s="17">
        <v>42130</v>
      </c>
      <c r="T507" s="17">
        <v>42130</v>
      </c>
      <c r="W507">
        <v>2015</v>
      </c>
      <c r="X507">
        <v>60</v>
      </c>
      <c r="AC507" t="s">
        <v>61</v>
      </c>
      <c r="AD507" t="s">
        <v>302</v>
      </c>
      <c r="AE507" t="s">
        <v>46</v>
      </c>
      <c r="AG507">
        <v>52</v>
      </c>
      <c r="AH507">
        <v>9</v>
      </c>
      <c r="AI507" t="s">
        <v>54</v>
      </c>
      <c r="AK507">
        <v>0</v>
      </c>
      <c r="AM507">
        <v>0</v>
      </c>
      <c r="AP507" t="s">
        <v>325</v>
      </c>
    </row>
    <row r="508" spans="1:42" customFormat="1">
      <c r="A508">
        <v>268155</v>
      </c>
      <c r="B508" t="s">
        <v>635</v>
      </c>
      <c r="C508" t="s">
        <v>636</v>
      </c>
      <c r="D508" s="22">
        <v>0</v>
      </c>
      <c r="E508" s="17">
        <v>42128</v>
      </c>
      <c r="F508" s="18">
        <v>0.64207175925925919</v>
      </c>
      <c r="G508" s="22">
        <v>15</v>
      </c>
      <c r="H508">
        <v>0</v>
      </c>
      <c r="I508" s="19" t="e">
        <f>I507 + (D508-G508)</f>
        <v>#VALUE!</v>
      </c>
      <c r="M508">
        <v>122576</v>
      </c>
      <c r="N508">
        <v>60</v>
      </c>
      <c r="O508" t="s">
        <v>60</v>
      </c>
      <c r="P508">
        <v>1</v>
      </c>
      <c r="R508">
        <v>575</v>
      </c>
      <c r="S508" s="17">
        <v>42130</v>
      </c>
      <c r="T508" s="17">
        <v>42130</v>
      </c>
      <c r="W508">
        <v>2015</v>
      </c>
      <c r="X508">
        <v>60</v>
      </c>
      <c r="AC508" t="s">
        <v>61</v>
      </c>
      <c r="AD508" t="s">
        <v>302</v>
      </c>
      <c r="AE508" t="s">
        <v>46</v>
      </c>
      <c r="AG508">
        <v>52</v>
      </c>
      <c r="AH508">
        <v>9</v>
      </c>
      <c r="AI508" t="s">
        <v>54</v>
      </c>
      <c r="AK508">
        <v>0</v>
      </c>
      <c r="AM508">
        <v>0</v>
      </c>
      <c r="AP508" t="s">
        <v>325</v>
      </c>
    </row>
    <row r="509" spans="1:42" customFormat="1">
      <c r="A509">
        <v>268156</v>
      </c>
      <c r="B509" t="s">
        <v>637</v>
      </c>
      <c r="C509" t="s">
        <v>638</v>
      </c>
      <c r="D509" s="22">
        <v>0</v>
      </c>
      <c r="E509" s="17">
        <v>42128</v>
      </c>
      <c r="F509" s="18">
        <v>0.64207175925925919</v>
      </c>
      <c r="G509" s="22">
        <v>15</v>
      </c>
      <c r="H509">
        <v>0</v>
      </c>
      <c r="I509" s="19" t="e">
        <f>I508 + (D509-G509)</f>
        <v>#VALUE!</v>
      </c>
      <c r="M509">
        <v>122586</v>
      </c>
      <c r="N509">
        <v>60</v>
      </c>
      <c r="O509" t="s">
        <v>60</v>
      </c>
      <c r="P509">
        <v>1</v>
      </c>
      <c r="R509">
        <v>575</v>
      </c>
      <c r="S509" s="17">
        <v>42130</v>
      </c>
      <c r="T509" s="17">
        <v>42130</v>
      </c>
      <c r="W509">
        <v>2015</v>
      </c>
      <c r="X509">
        <v>60</v>
      </c>
      <c r="AC509" t="s">
        <v>61</v>
      </c>
      <c r="AD509" t="s">
        <v>302</v>
      </c>
      <c r="AE509" t="s">
        <v>46</v>
      </c>
      <c r="AG509">
        <v>52</v>
      </c>
      <c r="AH509">
        <v>9</v>
      </c>
      <c r="AI509" t="s">
        <v>54</v>
      </c>
      <c r="AK509">
        <v>0</v>
      </c>
      <c r="AM509">
        <v>0</v>
      </c>
      <c r="AP509" t="s">
        <v>325</v>
      </c>
    </row>
    <row r="510" spans="1:42" customFormat="1">
      <c r="A510">
        <v>268158</v>
      </c>
      <c r="B510" t="s">
        <v>639</v>
      </c>
      <c r="C510" t="s">
        <v>640</v>
      </c>
      <c r="D510" s="22">
        <v>0</v>
      </c>
      <c r="E510" s="17">
        <v>42128</v>
      </c>
      <c r="F510" s="18">
        <v>0.64208333333333334</v>
      </c>
      <c r="G510" s="22">
        <v>15</v>
      </c>
      <c r="H510">
        <v>0</v>
      </c>
      <c r="I510" s="19" t="e">
        <f>I509 + (D510-G510)</f>
        <v>#VALUE!</v>
      </c>
      <c r="M510">
        <v>122606</v>
      </c>
      <c r="N510">
        <v>60</v>
      </c>
      <c r="O510" t="s">
        <v>60</v>
      </c>
      <c r="P510">
        <v>1</v>
      </c>
      <c r="R510">
        <v>575</v>
      </c>
      <c r="S510" s="17">
        <v>42130</v>
      </c>
      <c r="T510" s="17">
        <v>42130</v>
      </c>
      <c r="W510">
        <v>2015</v>
      </c>
      <c r="X510">
        <v>60</v>
      </c>
      <c r="AC510" t="s">
        <v>61</v>
      </c>
      <c r="AD510" t="s">
        <v>302</v>
      </c>
      <c r="AE510" t="s">
        <v>46</v>
      </c>
      <c r="AG510">
        <v>52</v>
      </c>
      <c r="AH510">
        <v>9</v>
      </c>
      <c r="AI510" t="s">
        <v>54</v>
      </c>
      <c r="AK510">
        <v>0</v>
      </c>
      <c r="AM510">
        <v>0</v>
      </c>
      <c r="AP510" t="s">
        <v>325</v>
      </c>
    </row>
    <row r="511" spans="1:42" customFormat="1">
      <c r="A511">
        <v>268157</v>
      </c>
      <c r="B511" t="s">
        <v>641</v>
      </c>
      <c r="C511" t="s">
        <v>642</v>
      </c>
      <c r="D511" s="22">
        <v>0</v>
      </c>
      <c r="E511" s="17">
        <v>42128</v>
      </c>
      <c r="F511" s="18">
        <v>0.64208333333333334</v>
      </c>
      <c r="G511" s="22">
        <v>15</v>
      </c>
      <c r="H511">
        <v>0</v>
      </c>
      <c r="I511" s="19" t="e">
        <f>I510 + (D511-G511)</f>
        <v>#VALUE!</v>
      </c>
      <c r="M511">
        <v>122596</v>
      </c>
      <c r="N511">
        <v>60</v>
      </c>
      <c r="O511" t="s">
        <v>60</v>
      </c>
      <c r="P511">
        <v>1</v>
      </c>
      <c r="R511">
        <v>575</v>
      </c>
      <c r="S511" s="17">
        <v>42130</v>
      </c>
      <c r="T511" s="17">
        <v>42130</v>
      </c>
      <c r="W511">
        <v>2015</v>
      </c>
      <c r="X511">
        <v>60</v>
      </c>
      <c r="AC511" t="s">
        <v>61</v>
      </c>
      <c r="AD511" t="s">
        <v>302</v>
      </c>
      <c r="AE511" t="s">
        <v>46</v>
      </c>
      <c r="AG511">
        <v>52</v>
      </c>
      <c r="AH511">
        <v>9</v>
      </c>
      <c r="AI511" t="s">
        <v>54</v>
      </c>
      <c r="AK511">
        <v>0</v>
      </c>
      <c r="AM511">
        <v>0</v>
      </c>
      <c r="AP511" t="s">
        <v>325</v>
      </c>
    </row>
    <row r="512" spans="1:42" customFormat="1">
      <c r="A512">
        <v>268159</v>
      </c>
      <c r="B512" t="s">
        <v>643</v>
      </c>
      <c r="C512" t="s">
        <v>644</v>
      </c>
      <c r="D512" s="22">
        <v>0</v>
      </c>
      <c r="E512" s="17">
        <v>42128</v>
      </c>
      <c r="F512" s="18">
        <v>0.64210648148148153</v>
      </c>
      <c r="G512" s="22">
        <v>15</v>
      </c>
      <c r="H512">
        <v>0</v>
      </c>
      <c r="I512" s="19" t="e">
        <f>I511 + (D512-G512)</f>
        <v>#VALUE!</v>
      </c>
      <c r="M512">
        <v>122616</v>
      </c>
      <c r="N512">
        <v>60</v>
      </c>
      <c r="O512" t="s">
        <v>60</v>
      </c>
      <c r="P512">
        <v>1</v>
      </c>
      <c r="R512">
        <v>575</v>
      </c>
      <c r="S512" s="17">
        <v>42130</v>
      </c>
      <c r="T512" s="17">
        <v>42130</v>
      </c>
      <c r="W512">
        <v>2015</v>
      </c>
      <c r="X512">
        <v>60</v>
      </c>
      <c r="AC512" t="s">
        <v>61</v>
      </c>
      <c r="AD512" t="s">
        <v>302</v>
      </c>
      <c r="AE512" t="s">
        <v>46</v>
      </c>
      <c r="AG512">
        <v>52</v>
      </c>
      <c r="AH512">
        <v>9</v>
      </c>
      <c r="AI512" t="s">
        <v>54</v>
      </c>
      <c r="AK512">
        <v>0</v>
      </c>
      <c r="AM512">
        <v>0</v>
      </c>
      <c r="AP512" t="s">
        <v>325</v>
      </c>
    </row>
    <row r="513" spans="1:42" customFormat="1">
      <c r="A513">
        <v>268163</v>
      </c>
      <c r="B513" t="s">
        <v>645</v>
      </c>
      <c r="C513" t="s">
        <v>646</v>
      </c>
      <c r="D513" s="22">
        <v>0</v>
      </c>
      <c r="E513" s="17">
        <v>42128</v>
      </c>
      <c r="F513" s="18">
        <v>0.64215277777777779</v>
      </c>
      <c r="G513" s="22">
        <v>15</v>
      </c>
      <c r="H513">
        <v>0</v>
      </c>
      <c r="I513" s="19" t="e">
        <f>I512 + (D513-G513)</f>
        <v>#VALUE!</v>
      </c>
      <c r="M513">
        <v>122607</v>
      </c>
      <c r="N513">
        <v>60</v>
      </c>
      <c r="O513" t="s">
        <v>60</v>
      </c>
      <c r="P513">
        <v>1</v>
      </c>
      <c r="R513">
        <v>575</v>
      </c>
      <c r="S513" s="17">
        <v>42130</v>
      </c>
      <c r="T513" s="17">
        <v>42130</v>
      </c>
      <c r="W513">
        <v>2015</v>
      </c>
      <c r="X513">
        <v>60</v>
      </c>
      <c r="AC513" t="s">
        <v>61</v>
      </c>
      <c r="AD513" t="s">
        <v>302</v>
      </c>
      <c r="AE513" t="s">
        <v>46</v>
      </c>
      <c r="AG513">
        <v>52</v>
      </c>
      <c r="AH513">
        <v>9</v>
      </c>
      <c r="AI513" t="s">
        <v>54</v>
      </c>
      <c r="AK513">
        <v>0</v>
      </c>
      <c r="AM513">
        <v>0</v>
      </c>
      <c r="AP513" t="s">
        <v>325</v>
      </c>
    </row>
    <row r="514" spans="1:42" customFormat="1">
      <c r="A514">
        <v>268164</v>
      </c>
      <c r="B514" t="s">
        <v>647</v>
      </c>
      <c r="C514" t="s">
        <v>648</v>
      </c>
      <c r="D514" s="22">
        <v>0</v>
      </c>
      <c r="E514" s="17">
        <v>42128</v>
      </c>
      <c r="F514" s="18">
        <v>0.64215277777777779</v>
      </c>
      <c r="G514" s="22">
        <v>15</v>
      </c>
      <c r="H514">
        <v>0</v>
      </c>
      <c r="I514" s="19" t="e">
        <f>I513 + (D514-G514)</f>
        <v>#VALUE!</v>
      </c>
      <c r="M514">
        <v>122617</v>
      </c>
      <c r="N514">
        <v>60</v>
      </c>
      <c r="O514" t="s">
        <v>60</v>
      </c>
      <c r="P514">
        <v>1</v>
      </c>
      <c r="R514">
        <v>575</v>
      </c>
      <c r="S514" s="17">
        <v>42130</v>
      </c>
      <c r="T514" s="17">
        <v>42130</v>
      </c>
      <c r="W514">
        <v>2015</v>
      </c>
      <c r="X514">
        <v>60</v>
      </c>
      <c r="AC514" t="s">
        <v>61</v>
      </c>
      <c r="AD514" t="s">
        <v>302</v>
      </c>
      <c r="AE514" t="s">
        <v>46</v>
      </c>
      <c r="AG514">
        <v>52</v>
      </c>
      <c r="AH514">
        <v>9</v>
      </c>
      <c r="AI514" t="s">
        <v>54</v>
      </c>
      <c r="AK514">
        <v>0</v>
      </c>
      <c r="AM514">
        <v>0</v>
      </c>
      <c r="AP514" t="s">
        <v>325</v>
      </c>
    </row>
    <row r="515" spans="1:42" customFormat="1">
      <c r="A515">
        <v>268160</v>
      </c>
      <c r="B515" t="s">
        <v>649</v>
      </c>
      <c r="C515" t="s">
        <v>650</v>
      </c>
      <c r="D515" s="22">
        <v>0</v>
      </c>
      <c r="E515" s="17">
        <v>42128</v>
      </c>
      <c r="F515" s="18">
        <v>0.64215277777777779</v>
      </c>
      <c r="G515" s="22">
        <v>15</v>
      </c>
      <c r="H515">
        <v>0</v>
      </c>
      <c r="I515" s="19" t="e">
        <f>I514 + (D515-G515)</f>
        <v>#VALUE!</v>
      </c>
      <c r="M515">
        <v>122577</v>
      </c>
      <c r="N515">
        <v>60</v>
      </c>
      <c r="O515" t="s">
        <v>60</v>
      </c>
      <c r="P515">
        <v>1</v>
      </c>
      <c r="R515">
        <v>575</v>
      </c>
      <c r="S515" s="17">
        <v>42130</v>
      </c>
      <c r="T515" s="17">
        <v>42130</v>
      </c>
      <c r="W515">
        <v>2015</v>
      </c>
      <c r="X515">
        <v>60</v>
      </c>
      <c r="AC515" t="s">
        <v>61</v>
      </c>
      <c r="AD515" t="s">
        <v>302</v>
      </c>
      <c r="AE515" t="s">
        <v>46</v>
      </c>
      <c r="AG515">
        <v>52</v>
      </c>
      <c r="AH515">
        <v>9</v>
      </c>
      <c r="AI515" t="s">
        <v>54</v>
      </c>
      <c r="AK515">
        <v>0</v>
      </c>
      <c r="AM515">
        <v>0</v>
      </c>
      <c r="AP515" t="s">
        <v>325</v>
      </c>
    </row>
    <row r="516" spans="1:42" customFormat="1">
      <c r="A516">
        <v>268161</v>
      </c>
      <c r="B516" t="s">
        <v>651</v>
      </c>
      <c r="C516" t="s">
        <v>652</v>
      </c>
      <c r="D516" s="22">
        <v>0</v>
      </c>
      <c r="E516" s="17">
        <v>42128</v>
      </c>
      <c r="F516" s="18">
        <v>0.64215277777777779</v>
      </c>
      <c r="G516" s="22">
        <v>15</v>
      </c>
      <c r="H516">
        <v>0</v>
      </c>
      <c r="I516" s="19" t="e">
        <f>I515 + (D516-G516)</f>
        <v>#VALUE!</v>
      </c>
      <c r="M516">
        <v>122587</v>
      </c>
      <c r="N516">
        <v>60</v>
      </c>
      <c r="O516" t="s">
        <v>60</v>
      </c>
      <c r="P516">
        <v>1</v>
      </c>
      <c r="R516">
        <v>575</v>
      </c>
      <c r="S516" s="17">
        <v>42130</v>
      </c>
      <c r="T516" s="17">
        <v>42130</v>
      </c>
      <c r="W516">
        <v>2015</v>
      </c>
      <c r="X516">
        <v>60</v>
      </c>
      <c r="AC516" t="s">
        <v>61</v>
      </c>
      <c r="AD516" t="s">
        <v>302</v>
      </c>
      <c r="AE516" t="s">
        <v>46</v>
      </c>
      <c r="AG516">
        <v>52</v>
      </c>
      <c r="AH516">
        <v>9</v>
      </c>
      <c r="AI516" t="s">
        <v>54</v>
      </c>
      <c r="AK516">
        <v>0</v>
      </c>
      <c r="AM516">
        <v>0</v>
      </c>
      <c r="AP516" t="s">
        <v>325</v>
      </c>
    </row>
    <row r="517" spans="1:42" customFormat="1">
      <c r="A517">
        <v>268162</v>
      </c>
      <c r="B517" t="s">
        <v>653</v>
      </c>
      <c r="C517" t="s">
        <v>654</v>
      </c>
      <c r="D517" s="22">
        <v>0</v>
      </c>
      <c r="E517" s="17">
        <v>42128</v>
      </c>
      <c r="F517" s="18">
        <v>0.64215277777777779</v>
      </c>
      <c r="G517" s="22">
        <v>15</v>
      </c>
      <c r="H517">
        <v>0</v>
      </c>
      <c r="I517" s="19" t="e">
        <f>I516 + (D517-G517)</f>
        <v>#VALUE!</v>
      </c>
      <c r="M517">
        <v>122597</v>
      </c>
      <c r="N517">
        <v>60</v>
      </c>
      <c r="O517" t="s">
        <v>60</v>
      </c>
      <c r="P517">
        <v>1</v>
      </c>
      <c r="R517">
        <v>575</v>
      </c>
      <c r="S517" s="17">
        <v>42130</v>
      </c>
      <c r="T517" s="17">
        <v>42130</v>
      </c>
      <c r="W517">
        <v>2015</v>
      </c>
      <c r="X517">
        <v>60</v>
      </c>
      <c r="AC517" t="s">
        <v>61</v>
      </c>
      <c r="AD517" t="s">
        <v>302</v>
      </c>
      <c r="AE517" t="s">
        <v>46</v>
      </c>
      <c r="AG517">
        <v>52</v>
      </c>
      <c r="AH517">
        <v>9</v>
      </c>
      <c r="AI517" t="s">
        <v>54</v>
      </c>
      <c r="AK517">
        <v>0</v>
      </c>
      <c r="AM517">
        <v>0</v>
      </c>
      <c r="AP517" t="s">
        <v>325</v>
      </c>
    </row>
    <row r="518" spans="1:42" customFormat="1">
      <c r="A518">
        <v>268165</v>
      </c>
      <c r="B518" t="s">
        <v>655</v>
      </c>
      <c r="C518" t="s">
        <v>656</v>
      </c>
      <c r="D518" s="22">
        <v>0</v>
      </c>
      <c r="E518" s="17">
        <v>42128</v>
      </c>
      <c r="F518" s="18">
        <v>0.64215277777777779</v>
      </c>
      <c r="G518" s="22">
        <v>15</v>
      </c>
      <c r="H518">
        <v>0</v>
      </c>
      <c r="I518" s="19" t="e">
        <f>I517 + (D518-G518)</f>
        <v>#VALUE!</v>
      </c>
      <c r="M518">
        <v>122578</v>
      </c>
      <c r="N518">
        <v>60</v>
      </c>
      <c r="O518" t="s">
        <v>60</v>
      </c>
      <c r="P518">
        <v>1</v>
      </c>
      <c r="R518">
        <v>575</v>
      </c>
      <c r="S518" s="17">
        <v>42130</v>
      </c>
      <c r="T518" s="17">
        <v>42130</v>
      </c>
      <c r="W518">
        <v>2015</v>
      </c>
      <c r="X518">
        <v>60</v>
      </c>
      <c r="AC518" t="s">
        <v>61</v>
      </c>
      <c r="AD518" t="s">
        <v>302</v>
      </c>
      <c r="AE518" t="s">
        <v>46</v>
      </c>
      <c r="AG518">
        <v>52</v>
      </c>
      <c r="AH518">
        <v>9</v>
      </c>
      <c r="AI518" t="s">
        <v>54</v>
      </c>
      <c r="AK518">
        <v>0</v>
      </c>
      <c r="AM518">
        <v>0</v>
      </c>
      <c r="AP518" t="s">
        <v>325</v>
      </c>
    </row>
    <row r="519" spans="1:42" customFormat="1">
      <c r="A519">
        <v>268166</v>
      </c>
      <c r="B519" t="s">
        <v>657</v>
      </c>
      <c r="C519" t="s">
        <v>658</v>
      </c>
      <c r="D519" s="22">
        <v>0</v>
      </c>
      <c r="E519" s="17">
        <v>42128</v>
      </c>
      <c r="F519" s="18">
        <v>0.64215277777777779</v>
      </c>
      <c r="G519" s="22">
        <v>15</v>
      </c>
      <c r="H519">
        <v>0</v>
      </c>
      <c r="I519" s="19" t="e">
        <f>I518 + (D519-G519)</f>
        <v>#VALUE!</v>
      </c>
      <c r="M519">
        <v>122588</v>
      </c>
      <c r="N519">
        <v>60</v>
      </c>
      <c r="O519" t="s">
        <v>60</v>
      </c>
      <c r="P519">
        <v>1</v>
      </c>
      <c r="R519">
        <v>575</v>
      </c>
      <c r="S519" s="17">
        <v>42130</v>
      </c>
      <c r="T519" s="17">
        <v>42130</v>
      </c>
      <c r="W519">
        <v>2015</v>
      </c>
      <c r="X519">
        <v>60</v>
      </c>
      <c r="AC519" t="s">
        <v>61</v>
      </c>
      <c r="AD519" t="s">
        <v>302</v>
      </c>
      <c r="AE519" t="s">
        <v>46</v>
      </c>
      <c r="AG519">
        <v>52</v>
      </c>
      <c r="AH519">
        <v>9</v>
      </c>
      <c r="AI519" t="s">
        <v>54</v>
      </c>
      <c r="AK519">
        <v>0</v>
      </c>
      <c r="AM519">
        <v>0</v>
      </c>
      <c r="AP519" t="s">
        <v>325</v>
      </c>
    </row>
    <row r="520" spans="1:42" customFormat="1">
      <c r="A520">
        <v>268177</v>
      </c>
      <c r="B520" t="s">
        <v>659</v>
      </c>
      <c r="C520" t="s">
        <v>660</v>
      </c>
      <c r="D520" s="22">
        <v>0</v>
      </c>
      <c r="E520" s="17">
        <v>42128</v>
      </c>
      <c r="F520" s="18">
        <v>0.64216435185185183</v>
      </c>
      <c r="G520" s="22">
        <v>15</v>
      </c>
      <c r="H520">
        <v>0</v>
      </c>
      <c r="I520" s="19" t="e">
        <f>I519 + (D520-G520)</f>
        <v>#VALUE!</v>
      </c>
      <c r="M520">
        <v>122600</v>
      </c>
      <c r="N520">
        <v>60</v>
      </c>
      <c r="O520" t="s">
        <v>60</v>
      </c>
      <c r="P520">
        <v>1</v>
      </c>
      <c r="R520">
        <v>575</v>
      </c>
      <c r="S520" s="17">
        <v>42130</v>
      </c>
      <c r="T520" s="17">
        <v>42130</v>
      </c>
      <c r="W520">
        <v>2015</v>
      </c>
      <c r="X520">
        <v>60</v>
      </c>
      <c r="AC520" t="s">
        <v>61</v>
      </c>
      <c r="AD520" t="s">
        <v>302</v>
      </c>
      <c r="AE520" t="s">
        <v>46</v>
      </c>
      <c r="AG520">
        <v>52</v>
      </c>
      <c r="AH520">
        <v>9</v>
      </c>
      <c r="AI520" t="s">
        <v>54</v>
      </c>
      <c r="AK520">
        <v>0</v>
      </c>
      <c r="AM520">
        <v>0</v>
      </c>
      <c r="AP520" t="s">
        <v>325</v>
      </c>
    </row>
    <row r="521" spans="1:42" customFormat="1">
      <c r="A521">
        <v>268178</v>
      </c>
      <c r="B521" t="s">
        <v>661</v>
      </c>
      <c r="C521" t="s">
        <v>662</v>
      </c>
      <c r="D521" s="22">
        <v>0</v>
      </c>
      <c r="E521" s="17">
        <v>42128</v>
      </c>
      <c r="F521" s="18">
        <v>0.64216435185185183</v>
      </c>
      <c r="G521" s="22">
        <v>15</v>
      </c>
      <c r="H521">
        <v>0</v>
      </c>
      <c r="I521" s="19" t="e">
        <f>I520 + (D521-G521)</f>
        <v>#VALUE!</v>
      </c>
      <c r="M521">
        <v>122610</v>
      </c>
      <c r="N521">
        <v>60</v>
      </c>
      <c r="O521" t="s">
        <v>60</v>
      </c>
      <c r="P521">
        <v>1</v>
      </c>
      <c r="R521">
        <v>575</v>
      </c>
      <c r="S521" s="17">
        <v>42130</v>
      </c>
      <c r="T521" s="17">
        <v>42130</v>
      </c>
      <c r="W521">
        <v>2015</v>
      </c>
      <c r="X521">
        <v>60</v>
      </c>
      <c r="AC521" t="s">
        <v>61</v>
      </c>
      <c r="AD521" t="s">
        <v>302</v>
      </c>
      <c r="AE521" t="s">
        <v>46</v>
      </c>
      <c r="AG521">
        <v>52</v>
      </c>
      <c r="AH521">
        <v>9</v>
      </c>
      <c r="AI521" t="s">
        <v>54</v>
      </c>
      <c r="AK521">
        <v>0</v>
      </c>
      <c r="AM521">
        <v>0</v>
      </c>
      <c r="AP521" t="s">
        <v>325</v>
      </c>
    </row>
    <row r="522" spans="1:42" customFormat="1">
      <c r="A522">
        <v>268175</v>
      </c>
      <c r="B522" t="s">
        <v>663</v>
      </c>
      <c r="C522" t="s">
        <v>664</v>
      </c>
      <c r="D522" s="22">
        <v>0</v>
      </c>
      <c r="E522" s="17">
        <v>42128</v>
      </c>
      <c r="F522" s="18">
        <v>0.64216435185185183</v>
      </c>
      <c r="G522" s="22">
        <v>15</v>
      </c>
      <c r="H522">
        <v>0</v>
      </c>
      <c r="I522" s="19" t="e">
        <f>I521 + (D522-G522)</f>
        <v>#VALUE!</v>
      </c>
      <c r="M522">
        <v>122580</v>
      </c>
      <c r="N522">
        <v>60</v>
      </c>
      <c r="O522" t="s">
        <v>60</v>
      </c>
      <c r="P522">
        <v>1</v>
      </c>
      <c r="R522">
        <v>575</v>
      </c>
      <c r="S522" s="17">
        <v>42130</v>
      </c>
      <c r="T522" s="17">
        <v>42130</v>
      </c>
      <c r="W522">
        <v>2015</v>
      </c>
      <c r="X522">
        <v>60</v>
      </c>
      <c r="AC522" t="s">
        <v>61</v>
      </c>
      <c r="AD522" t="s">
        <v>302</v>
      </c>
      <c r="AE522" t="s">
        <v>46</v>
      </c>
      <c r="AG522">
        <v>52</v>
      </c>
      <c r="AH522">
        <v>9</v>
      </c>
      <c r="AI522" t="s">
        <v>54</v>
      </c>
      <c r="AK522">
        <v>0</v>
      </c>
      <c r="AM522">
        <v>0</v>
      </c>
      <c r="AP522" t="s">
        <v>325</v>
      </c>
    </row>
    <row r="523" spans="1:42" customFormat="1">
      <c r="A523">
        <v>268176</v>
      </c>
      <c r="B523" t="s">
        <v>665</v>
      </c>
      <c r="C523" t="s">
        <v>666</v>
      </c>
      <c r="D523" s="22">
        <v>0</v>
      </c>
      <c r="E523" s="17">
        <v>42128</v>
      </c>
      <c r="F523" s="18">
        <v>0.64216435185185183</v>
      </c>
      <c r="G523" s="22">
        <v>15</v>
      </c>
      <c r="H523">
        <v>0</v>
      </c>
      <c r="I523" s="19" t="e">
        <f>I522 + (D523-G523)</f>
        <v>#VALUE!</v>
      </c>
      <c r="M523">
        <v>122590</v>
      </c>
      <c r="N523">
        <v>60</v>
      </c>
      <c r="O523" t="s">
        <v>60</v>
      </c>
      <c r="P523">
        <v>1</v>
      </c>
      <c r="R523">
        <v>575</v>
      </c>
      <c r="S523" s="17">
        <v>42130</v>
      </c>
      <c r="T523" s="17">
        <v>42130</v>
      </c>
      <c r="W523">
        <v>2015</v>
      </c>
      <c r="X523">
        <v>60</v>
      </c>
      <c r="AC523" t="s">
        <v>61</v>
      </c>
      <c r="AD523" t="s">
        <v>302</v>
      </c>
      <c r="AE523" t="s">
        <v>46</v>
      </c>
      <c r="AG523">
        <v>52</v>
      </c>
      <c r="AH523">
        <v>9</v>
      </c>
      <c r="AI523" t="s">
        <v>54</v>
      </c>
      <c r="AK523">
        <v>0</v>
      </c>
      <c r="AM523">
        <v>0</v>
      </c>
      <c r="AP523" t="s">
        <v>325</v>
      </c>
    </row>
    <row r="524" spans="1:42" customFormat="1">
      <c r="A524">
        <v>268168</v>
      </c>
      <c r="B524" t="s">
        <v>667</v>
      </c>
      <c r="C524" t="s">
        <v>668</v>
      </c>
      <c r="D524" s="22">
        <v>0</v>
      </c>
      <c r="E524" s="17">
        <v>42128</v>
      </c>
      <c r="F524" s="18">
        <v>0.64216435185185183</v>
      </c>
      <c r="G524" s="22">
        <v>15</v>
      </c>
      <c r="H524">
        <v>0</v>
      </c>
      <c r="I524" s="19" t="e">
        <f>I523 + (D524-G524)</f>
        <v>#VALUE!</v>
      </c>
      <c r="M524">
        <v>122608</v>
      </c>
      <c r="N524">
        <v>60</v>
      </c>
      <c r="O524" t="s">
        <v>60</v>
      </c>
      <c r="P524">
        <v>1</v>
      </c>
      <c r="R524">
        <v>575</v>
      </c>
      <c r="S524" s="17">
        <v>42130</v>
      </c>
      <c r="T524" s="17">
        <v>42130</v>
      </c>
      <c r="W524">
        <v>2015</v>
      </c>
      <c r="X524">
        <v>60</v>
      </c>
      <c r="AC524" t="s">
        <v>61</v>
      </c>
      <c r="AD524" t="s">
        <v>302</v>
      </c>
      <c r="AE524" t="s">
        <v>46</v>
      </c>
      <c r="AG524">
        <v>52</v>
      </c>
      <c r="AH524">
        <v>9</v>
      </c>
      <c r="AI524" t="s">
        <v>54</v>
      </c>
      <c r="AK524">
        <v>0</v>
      </c>
      <c r="AM524">
        <v>0</v>
      </c>
      <c r="AP524" t="s">
        <v>325</v>
      </c>
    </row>
    <row r="525" spans="1:42" customFormat="1">
      <c r="A525">
        <v>268169</v>
      </c>
      <c r="B525" t="s">
        <v>669</v>
      </c>
      <c r="C525" t="s">
        <v>670</v>
      </c>
      <c r="D525" s="22">
        <v>0</v>
      </c>
      <c r="E525" s="17">
        <v>42128</v>
      </c>
      <c r="F525" s="18">
        <v>0.64216435185185183</v>
      </c>
      <c r="G525" s="22">
        <v>15</v>
      </c>
      <c r="H525">
        <v>0</v>
      </c>
      <c r="I525" s="19" t="e">
        <f>I524 + (D525-G525)</f>
        <v>#VALUE!</v>
      </c>
      <c r="M525">
        <v>122618</v>
      </c>
      <c r="N525">
        <v>60</v>
      </c>
      <c r="O525" t="s">
        <v>60</v>
      </c>
      <c r="P525">
        <v>1</v>
      </c>
      <c r="R525">
        <v>575</v>
      </c>
      <c r="S525" s="17">
        <v>42130</v>
      </c>
      <c r="T525" s="17">
        <v>42130</v>
      </c>
      <c r="W525">
        <v>2015</v>
      </c>
      <c r="X525">
        <v>60</v>
      </c>
      <c r="AC525" t="s">
        <v>61</v>
      </c>
      <c r="AD525" t="s">
        <v>302</v>
      </c>
      <c r="AE525" t="s">
        <v>46</v>
      </c>
      <c r="AG525">
        <v>52</v>
      </c>
      <c r="AH525">
        <v>9</v>
      </c>
      <c r="AI525" t="s">
        <v>54</v>
      </c>
      <c r="AK525">
        <v>0</v>
      </c>
      <c r="AM525">
        <v>0</v>
      </c>
      <c r="AP525" t="s">
        <v>325</v>
      </c>
    </row>
    <row r="526" spans="1:42" customFormat="1">
      <c r="A526">
        <v>268167</v>
      </c>
      <c r="B526" t="s">
        <v>671</v>
      </c>
      <c r="C526" t="s">
        <v>672</v>
      </c>
      <c r="D526" s="22">
        <v>0</v>
      </c>
      <c r="E526" s="17">
        <v>42128</v>
      </c>
      <c r="F526" s="18">
        <v>0.64216435185185183</v>
      </c>
      <c r="G526" s="22">
        <v>15</v>
      </c>
      <c r="H526">
        <v>0</v>
      </c>
      <c r="I526" s="19" t="e">
        <f>I525 + (D526-G526)</f>
        <v>#VALUE!</v>
      </c>
      <c r="M526">
        <v>122598</v>
      </c>
      <c r="N526">
        <v>60</v>
      </c>
      <c r="O526" t="s">
        <v>60</v>
      </c>
      <c r="P526">
        <v>1</v>
      </c>
      <c r="R526">
        <v>575</v>
      </c>
      <c r="S526" s="17">
        <v>42130</v>
      </c>
      <c r="T526" s="17">
        <v>42130</v>
      </c>
      <c r="W526">
        <v>2015</v>
      </c>
      <c r="X526">
        <v>60</v>
      </c>
      <c r="AC526" t="s">
        <v>61</v>
      </c>
      <c r="AD526" t="s">
        <v>302</v>
      </c>
      <c r="AE526" t="s">
        <v>46</v>
      </c>
      <c r="AG526">
        <v>52</v>
      </c>
      <c r="AH526">
        <v>9</v>
      </c>
      <c r="AI526" t="s">
        <v>54</v>
      </c>
      <c r="AK526">
        <v>0</v>
      </c>
      <c r="AM526">
        <v>0</v>
      </c>
      <c r="AP526" t="s">
        <v>325</v>
      </c>
    </row>
    <row r="527" spans="1:42" customFormat="1">
      <c r="A527">
        <v>268173</v>
      </c>
      <c r="B527" t="s">
        <v>673</v>
      </c>
      <c r="C527" t="s">
        <v>674</v>
      </c>
      <c r="D527" s="22">
        <v>0</v>
      </c>
      <c r="E527" s="17">
        <v>42128</v>
      </c>
      <c r="F527" s="18">
        <v>0.64216435185185183</v>
      </c>
      <c r="G527" s="22">
        <v>15</v>
      </c>
      <c r="H527">
        <v>0</v>
      </c>
      <c r="I527" s="19" t="e">
        <f>I526 + (D527-G527)</f>
        <v>#VALUE!</v>
      </c>
      <c r="M527">
        <v>122609</v>
      </c>
      <c r="N527">
        <v>60</v>
      </c>
      <c r="O527" t="s">
        <v>60</v>
      </c>
      <c r="P527">
        <v>1</v>
      </c>
      <c r="R527">
        <v>575</v>
      </c>
      <c r="S527" s="17">
        <v>42130</v>
      </c>
      <c r="T527" s="17">
        <v>42130</v>
      </c>
      <c r="W527">
        <v>2015</v>
      </c>
      <c r="X527">
        <v>60</v>
      </c>
      <c r="AC527" t="s">
        <v>61</v>
      </c>
      <c r="AD527" t="s">
        <v>302</v>
      </c>
      <c r="AE527" t="s">
        <v>46</v>
      </c>
      <c r="AG527">
        <v>52</v>
      </c>
      <c r="AH527">
        <v>9</v>
      </c>
      <c r="AI527" t="s">
        <v>54</v>
      </c>
      <c r="AK527">
        <v>0</v>
      </c>
      <c r="AM527">
        <v>0</v>
      </c>
      <c r="AP527" t="s">
        <v>325</v>
      </c>
    </row>
    <row r="528" spans="1:42" customFormat="1">
      <c r="A528">
        <v>268174</v>
      </c>
      <c r="B528" t="s">
        <v>675</v>
      </c>
      <c r="C528" t="s">
        <v>676</v>
      </c>
      <c r="D528" s="22">
        <v>0</v>
      </c>
      <c r="E528" s="17">
        <v>42128</v>
      </c>
      <c r="F528" s="18">
        <v>0.64216435185185183</v>
      </c>
      <c r="G528" s="22">
        <v>15</v>
      </c>
      <c r="H528">
        <v>0</v>
      </c>
      <c r="I528" s="19" t="e">
        <f>I527 + (D528-G528)</f>
        <v>#VALUE!</v>
      </c>
      <c r="M528">
        <v>122619</v>
      </c>
      <c r="N528">
        <v>60</v>
      </c>
      <c r="O528" t="s">
        <v>60</v>
      </c>
      <c r="P528">
        <v>1</v>
      </c>
      <c r="R528">
        <v>575</v>
      </c>
      <c r="S528" s="17">
        <v>42130</v>
      </c>
      <c r="T528" s="17">
        <v>42130</v>
      </c>
      <c r="W528">
        <v>2015</v>
      </c>
      <c r="X528">
        <v>60</v>
      </c>
      <c r="AC528" t="s">
        <v>61</v>
      </c>
      <c r="AD528" t="s">
        <v>302</v>
      </c>
      <c r="AE528" t="s">
        <v>46</v>
      </c>
      <c r="AG528">
        <v>52</v>
      </c>
      <c r="AH528">
        <v>9</v>
      </c>
      <c r="AI528" t="s">
        <v>54</v>
      </c>
      <c r="AK528">
        <v>0</v>
      </c>
      <c r="AM528">
        <v>0</v>
      </c>
      <c r="AP528" t="s">
        <v>325</v>
      </c>
    </row>
    <row r="529" spans="1:42" customFormat="1">
      <c r="A529">
        <v>268170</v>
      </c>
      <c r="B529" t="s">
        <v>677</v>
      </c>
      <c r="C529" t="s">
        <v>678</v>
      </c>
      <c r="D529" s="22">
        <v>0</v>
      </c>
      <c r="E529" s="17">
        <v>42128</v>
      </c>
      <c r="F529" s="18">
        <v>0.64216435185185183</v>
      </c>
      <c r="G529" s="22">
        <v>15</v>
      </c>
      <c r="H529">
        <v>0</v>
      </c>
      <c r="I529" s="19" t="e">
        <f>I528 + (D529-G529)</f>
        <v>#VALUE!</v>
      </c>
      <c r="M529">
        <v>122579</v>
      </c>
      <c r="N529">
        <v>60</v>
      </c>
      <c r="O529" t="s">
        <v>60</v>
      </c>
      <c r="P529">
        <v>1</v>
      </c>
      <c r="R529">
        <v>575</v>
      </c>
      <c r="S529" s="17">
        <v>42130</v>
      </c>
      <c r="T529" s="17">
        <v>42130</v>
      </c>
      <c r="W529">
        <v>2015</v>
      </c>
      <c r="X529">
        <v>60</v>
      </c>
      <c r="AC529" t="s">
        <v>61</v>
      </c>
      <c r="AD529" t="s">
        <v>302</v>
      </c>
      <c r="AE529" t="s">
        <v>46</v>
      </c>
      <c r="AG529">
        <v>52</v>
      </c>
      <c r="AH529">
        <v>9</v>
      </c>
      <c r="AI529" t="s">
        <v>54</v>
      </c>
      <c r="AK529">
        <v>0</v>
      </c>
      <c r="AM529">
        <v>0</v>
      </c>
      <c r="AP529" t="s">
        <v>325</v>
      </c>
    </row>
    <row r="530" spans="1:42" customFormat="1">
      <c r="A530">
        <v>268171</v>
      </c>
      <c r="B530" t="s">
        <v>679</v>
      </c>
      <c r="C530" t="s">
        <v>680</v>
      </c>
      <c r="D530" s="22">
        <v>0</v>
      </c>
      <c r="E530" s="17">
        <v>42128</v>
      </c>
      <c r="F530" s="18">
        <v>0.64216435185185183</v>
      </c>
      <c r="G530" s="22">
        <v>15</v>
      </c>
      <c r="H530">
        <v>0</v>
      </c>
      <c r="I530" s="19" t="e">
        <f>I529 + (D530-G530)</f>
        <v>#VALUE!</v>
      </c>
      <c r="M530">
        <v>122589</v>
      </c>
      <c r="N530">
        <v>60</v>
      </c>
      <c r="O530" t="s">
        <v>60</v>
      </c>
      <c r="P530">
        <v>1</v>
      </c>
      <c r="R530">
        <v>575</v>
      </c>
      <c r="S530" s="17">
        <v>42130</v>
      </c>
      <c r="T530" s="17">
        <v>42130</v>
      </c>
      <c r="W530">
        <v>2015</v>
      </c>
      <c r="X530">
        <v>60</v>
      </c>
      <c r="AC530" t="s">
        <v>61</v>
      </c>
      <c r="AD530" t="s">
        <v>302</v>
      </c>
      <c r="AE530" t="s">
        <v>46</v>
      </c>
      <c r="AG530">
        <v>52</v>
      </c>
      <c r="AH530">
        <v>9</v>
      </c>
      <c r="AI530" t="s">
        <v>54</v>
      </c>
      <c r="AK530">
        <v>0</v>
      </c>
      <c r="AM530">
        <v>0</v>
      </c>
      <c r="AP530" t="s">
        <v>325</v>
      </c>
    </row>
    <row r="531" spans="1:42" customFormat="1">
      <c r="A531">
        <v>268172</v>
      </c>
      <c r="B531" t="s">
        <v>681</v>
      </c>
      <c r="C531" t="s">
        <v>682</v>
      </c>
      <c r="D531" s="22">
        <v>0</v>
      </c>
      <c r="E531" s="17">
        <v>42128</v>
      </c>
      <c r="F531" s="18">
        <v>0.64216435185185183</v>
      </c>
      <c r="G531" s="22">
        <v>15</v>
      </c>
      <c r="H531">
        <v>0</v>
      </c>
      <c r="I531" s="19" t="e">
        <f>I530 + (D531-G531)</f>
        <v>#VALUE!</v>
      </c>
      <c r="M531">
        <v>122599</v>
      </c>
      <c r="N531">
        <v>60</v>
      </c>
      <c r="O531" t="s">
        <v>60</v>
      </c>
      <c r="P531">
        <v>1</v>
      </c>
      <c r="R531">
        <v>575</v>
      </c>
      <c r="S531" s="17">
        <v>42130</v>
      </c>
      <c r="T531" s="17">
        <v>42130</v>
      </c>
      <c r="W531">
        <v>2015</v>
      </c>
      <c r="X531">
        <v>60</v>
      </c>
      <c r="AC531" t="s">
        <v>61</v>
      </c>
      <c r="AD531" t="s">
        <v>302</v>
      </c>
      <c r="AE531" t="s">
        <v>46</v>
      </c>
      <c r="AG531">
        <v>52</v>
      </c>
      <c r="AH531">
        <v>9</v>
      </c>
      <c r="AI531" t="s">
        <v>54</v>
      </c>
      <c r="AK531">
        <v>0</v>
      </c>
      <c r="AM531">
        <v>0</v>
      </c>
      <c r="AP531" t="s">
        <v>325</v>
      </c>
    </row>
    <row r="532" spans="1:42" customFormat="1">
      <c r="A532">
        <v>268189</v>
      </c>
      <c r="B532" t="s">
        <v>703</v>
      </c>
      <c r="C532" t="s">
        <v>704</v>
      </c>
      <c r="D532" s="22">
        <v>0</v>
      </c>
      <c r="E532" s="17">
        <v>42128</v>
      </c>
      <c r="F532" s="18">
        <v>0.64780092592592597</v>
      </c>
      <c r="G532" s="22">
        <v>12.6</v>
      </c>
      <c r="H532">
        <v>0</v>
      </c>
      <c r="I532" s="19" t="e">
        <f>I531 + (D532-G532)</f>
        <v>#VALUE!</v>
      </c>
      <c r="M532">
        <v>122453</v>
      </c>
      <c r="N532">
        <v>7</v>
      </c>
      <c r="O532" t="s">
        <v>44</v>
      </c>
      <c r="P532">
        <v>1</v>
      </c>
      <c r="R532">
        <v>575</v>
      </c>
      <c r="S532" s="17">
        <v>42130</v>
      </c>
      <c r="T532" s="17">
        <v>42130</v>
      </c>
      <c r="W532">
        <v>2015</v>
      </c>
      <c r="X532">
        <v>7</v>
      </c>
      <c r="AC532" t="s">
        <v>61</v>
      </c>
      <c r="AD532" t="s">
        <v>302</v>
      </c>
      <c r="AE532" t="s">
        <v>46</v>
      </c>
      <c r="AG532">
        <v>12</v>
      </c>
      <c r="AH532">
        <v>10</v>
      </c>
      <c r="AI532" t="s">
        <v>95</v>
      </c>
      <c r="AK532">
        <v>0</v>
      </c>
      <c r="AM532">
        <v>0</v>
      </c>
      <c r="AP532" t="s">
        <v>392</v>
      </c>
    </row>
    <row r="533" spans="1:42" customFormat="1">
      <c r="A533">
        <v>268199</v>
      </c>
      <c r="B533" t="s">
        <v>723</v>
      </c>
      <c r="C533" t="s">
        <v>724</v>
      </c>
      <c r="D533" s="22">
        <v>0</v>
      </c>
      <c r="E533" s="17">
        <v>42128</v>
      </c>
      <c r="F533" s="18">
        <v>0.64783564814814809</v>
      </c>
      <c r="G533" s="22">
        <v>299.89999999999998</v>
      </c>
      <c r="H533">
        <v>0</v>
      </c>
      <c r="I533" s="19" t="e">
        <f>I532 + (D533-G533)</f>
        <v>#VALUE!</v>
      </c>
      <c r="M533">
        <v>122454</v>
      </c>
      <c r="N533">
        <v>7</v>
      </c>
      <c r="O533" t="s">
        <v>44</v>
      </c>
      <c r="P533">
        <v>1</v>
      </c>
      <c r="R533">
        <v>575</v>
      </c>
      <c r="S533" s="17">
        <v>42130</v>
      </c>
      <c r="T533" s="17">
        <v>42130</v>
      </c>
      <c r="W533">
        <v>2015</v>
      </c>
      <c r="X533">
        <v>7</v>
      </c>
      <c r="AC533" t="s">
        <v>61</v>
      </c>
      <c r="AD533" t="s">
        <v>302</v>
      </c>
      <c r="AE533" t="s">
        <v>46</v>
      </c>
      <c r="AG533">
        <v>12</v>
      </c>
      <c r="AH533">
        <v>10</v>
      </c>
      <c r="AI533" t="s">
        <v>95</v>
      </c>
      <c r="AK533">
        <v>0</v>
      </c>
      <c r="AM533">
        <v>0</v>
      </c>
      <c r="AP533" t="s">
        <v>392</v>
      </c>
    </row>
    <row r="534" spans="1:42" customFormat="1">
      <c r="A534">
        <v>268210</v>
      </c>
      <c r="B534" t="s">
        <v>743</v>
      </c>
      <c r="C534" t="s">
        <v>744</v>
      </c>
      <c r="D534" s="22">
        <v>0</v>
      </c>
      <c r="E534" s="17">
        <v>42128</v>
      </c>
      <c r="F534" s="18">
        <v>0.64784722222222224</v>
      </c>
      <c r="G534" s="22">
        <v>2212.5</v>
      </c>
      <c r="H534">
        <v>0</v>
      </c>
      <c r="I534" s="19" t="e">
        <f>I533 + (D534-G534)</f>
        <v>#VALUE!</v>
      </c>
      <c r="M534">
        <v>122455</v>
      </c>
      <c r="N534">
        <v>7</v>
      </c>
      <c r="O534" t="s">
        <v>44</v>
      </c>
      <c r="P534">
        <v>1</v>
      </c>
      <c r="R534">
        <v>575</v>
      </c>
      <c r="S534" s="17">
        <v>42130</v>
      </c>
      <c r="T534" s="17">
        <v>42130</v>
      </c>
      <c r="W534">
        <v>2015</v>
      </c>
      <c r="X534">
        <v>7</v>
      </c>
      <c r="AC534" t="s">
        <v>61</v>
      </c>
      <c r="AD534" t="s">
        <v>302</v>
      </c>
      <c r="AE534" t="s">
        <v>46</v>
      </c>
      <c r="AG534">
        <v>12</v>
      </c>
      <c r="AH534">
        <v>10</v>
      </c>
      <c r="AI534" t="s">
        <v>95</v>
      </c>
      <c r="AK534">
        <v>0</v>
      </c>
      <c r="AM534">
        <v>0</v>
      </c>
      <c r="AP534" t="s">
        <v>392</v>
      </c>
    </row>
    <row r="535" spans="1:42" customFormat="1">
      <c r="A535">
        <v>268402</v>
      </c>
      <c r="B535" t="s">
        <v>902</v>
      </c>
      <c r="C535" t="s">
        <v>903</v>
      </c>
      <c r="D535" s="22">
        <v>0</v>
      </c>
      <c r="E535" s="17">
        <v>42128</v>
      </c>
      <c r="F535" s="18">
        <v>0.65460648148148148</v>
      </c>
      <c r="G535" s="22">
        <v>15</v>
      </c>
      <c r="H535">
        <v>0</v>
      </c>
      <c r="I535" s="19" t="e">
        <f>I534 + (D535-G535)</f>
        <v>#VALUE!</v>
      </c>
      <c r="M535">
        <v>122730</v>
      </c>
      <c r="N535">
        <v>60</v>
      </c>
      <c r="O535" t="s">
        <v>60</v>
      </c>
      <c r="P535">
        <v>1</v>
      </c>
      <c r="R535">
        <v>575</v>
      </c>
      <c r="S535" s="17">
        <v>42130</v>
      </c>
      <c r="T535" s="17">
        <v>42130</v>
      </c>
      <c r="W535">
        <v>2015</v>
      </c>
      <c r="X535">
        <v>60</v>
      </c>
      <c r="AC535" t="s">
        <v>61</v>
      </c>
      <c r="AD535" t="s">
        <v>302</v>
      </c>
      <c r="AE535" t="s">
        <v>46</v>
      </c>
      <c r="AG535">
        <v>52</v>
      </c>
      <c r="AH535">
        <v>9</v>
      </c>
      <c r="AI535" t="s">
        <v>54</v>
      </c>
      <c r="AK535">
        <v>0</v>
      </c>
      <c r="AM535">
        <v>0</v>
      </c>
      <c r="AP535" t="s">
        <v>325</v>
      </c>
    </row>
    <row r="536" spans="1:42" customFormat="1">
      <c r="A536">
        <v>268403</v>
      </c>
      <c r="B536" t="s">
        <v>904</v>
      </c>
      <c r="C536" t="s">
        <v>905</v>
      </c>
      <c r="D536" s="22">
        <v>0</v>
      </c>
      <c r="E536" s="17">
        <v>42128</v>
      </c>
      <c r="F536" s="18">
        <v>0.65460648148148148</v>
      </c>
      <c r="G536" s="22">
        <v>15</v>
      </c>
      <c r="H536">
        <v>0</v>
      </c>
      <c r="I536" s="19" t="e">
        <f>I535 + (D536-G536)</f>
        <v>#VALUE!</v>
      </c>
      <c r="M536">
        <v>122732</v>
      </c>
      <c r="N536">
        <v>60</v>
      </c>
      <c r="O536" t="s">
        <v>60</v>
      </c>
      <c r="P536">
        <v>1</v>
      </c>
      <c r="R536">
        <v>575</v>
      </c>
      <c r="S536" s="17">
        <v>42130</v>
      </c>
      <c r="T536" s="17">
        <v>42130</v>
      </c>
      <c r="W536">
        <v>2015</v>
      </c>
      <c r="X536">
        <v>60</v>
      </c>
      <c r="AC536" t="s">
        <v>61</v>
      </c>
      <c r="AD536" t="s">
        <v>302</v>
      </c>
      <c r="AE536" t="s">
        <v>46</v>
      </c>
      <c r="AG536">
        <v>52</v>
      </c>
      <c r="AH536">
        <v>9</v>
      </c>
      <c r="AI536" t="s">
        <v>54</v>
      </c>
      <c r="AK536">
        <v>0</v>
      </c>
      <c r="AM536">
        <v>0</v>
      </c>
      <c r="AP536" t="s">
        <v>325</v>
      </c>
    </row>
    <row r="537" spans="1:42" customFormat="1">
      <c r="A537">
        <v>268404</v>
      </c>
      <c r="B537" t="s">
        <v>906</v>
      </c>
      <c r="C537" t="s">
        <v>907</v>
      </c>
      <c r="D537" s="22">
        <v>0</v>
      </c>
      <c r="E537" s="17">
        <v>42128</v>
      </c>
      <c r="F537" s="18">
        <v>0.65460648148148148</v>
      </c>
      <c r="G537" s="22">
        <v>15</v>
      </c>
      <c r="H537">
        <v>0</v>
      </c>
      <c r="I537" s="19" t="e">
        <f>I536 + (D537-G537)</f>
        <v>#VALUE!</v>
      </c>
      <c r="M537">
        <v>122733</v>
      </c>
      <c r="N537">
        <v>60</v>
      </c>
      <c r="O537" t="s">
        <v>60</v>
      </c>
      <c r="P537">
        <v>1</v>
      </c>
      <c r="R537">
        <v>575</v>
      </c>
      <c r="S537" s="17">
        <v>42130</v>
      </c>
      <c r="T537" s="17">
        <v>42130</v>
      </c>
      <c r="W537">
        <v>2015</v>
      </c>
      <c r="X537">
        <v>60</v>
      </c>
      <c r="AC537" t="s">
        <v>61</v>
      </c>
      <c r="AD537" t="s">
        <v>302</v>
      </c>
      <c r="AE537" t="s">
        <v>46</v>
      </c>
      <c r="AG537">
        <v>52</v>
      </c>
      <c r="AH537">
        <v>9</v>
      </c>
      <c r="AI537" t="s">
        <v>54</v>
      </c>
      <c r="AK537">
        <v>0</v>
      </c>
      <c r="AM537">
        <v>0</v>
      </c>
      <c r="AP537" t="s">
        <v>325</v>
      </c>
    </row>
    <row r="538" spans="1:42" customFormat="1">
      <c r="A538">
        <v>268405</v>
      </c>
      <c r="B538" t="s">
        <v>908</v>
      </c>
      <c r="C538" t="s">
        <v>909</v>
      </c>
      <c r="D538" s="22">
        <v>0</v>
      </c>
      <c r="E538" s="17">
        <v>42128</v>
      </c>
      <c r="F538" s="18">
        <v>0.65460648148148148</v>
      </c>
      <c r="G538" s="22">
        <v>15</v>
      </c>
      <c r="H538">
        <v>0</v>
      </c>
      <c r="I538" s="19" t="e">
        <f>I537 + (D538-G538)</f>
        <v>#VALUE!</v>
      </c>
      <c r="M538">
        <v>122734</v>
      </c>
      <c r="N538">
        <v>60</v>
      </c>
      <c r="O538" t="s">
        <v>60</v>
      </c>
      <c r="P538">
        <v>1</v>
      </c>
      <c r="R538">
        <v>575</v>
      </c>
      <c r="S538" s="17">
        <v>42130</v>
      </c>
      <c r="T538" s="17">
        <v>42130</v>
      </c>
      <c r="W538">
        <v>2015</v>
      </c>
      <c r="X538">
        <v>60</v>
      </c>
      <c r="AC538" t="s">
        <v>61</v>
      </c>
      <c r="AD538" t="s">
        <v>302</v>
      </c>
      <c r="AE538" t="s">
        <v>46</v>
      </c>
      <c r="AG538">
        <v>52</v>
      </c>
      <c r="AH538">
        <v>9</v>
      </c>
      <c r="AI538" t="s">
        <v>54</v>
      </c>
      <c r="AK538">
        <v>0</v>
      </c>
      <c r="AM538">
        <v>0</v>
      </c>
      <c r="AP538" t="s">
        <v>325</v>
      </c>
    </row>
    <row r="539" spans="1:42" customFormat="1">
      <c r="A539">
        <v>268406</v>
      </c>
      <c r="B539" t="s">
        <v>910</v>
      </c>
      <c r="C539" t="s">
        <v>911</v>
      </c>
      <c r="D539" s="22">
        <v>0</v>
      </c>
      <c r="E539" s="17">
        <v>42128</v>
      </c>
      <c r="F539" s="18">
        <v>0.65460648148148148</v>
      </c>
      <c r="G539" s="22">
        <v>15</v>
      </c>
      <c r="H539">
        <v>0</v>
      </c>
      <c r="I539" s="19" t="e">
        <f>I538 + (D539-G539)</f>
        <v>#VALUE!</v>
      </c>
      <c r="M539">
        <v>122735</v>
      </c>
      <c r="N539">
        <v>60</v>
      </c>
      <c r="O539" t="s">
        <v>60</v>
      </c>
      <c r="P539">
        <v>1</v>
      </c>
      <c r="R539">
        <v>575</v>
      </c>
      <c r="S539" s="17">
        <v>42130</v>
      </c>
      <c r="T539" s="17">
        <v>42130</v>
      </c>
      <c r="W539">
        <v>2015</v>
      </c>
      <c r="X539">
        <v>60</v>
      </c>
      <c r="AC539" t="s">
        <v>61</v>
      </c>
      <c r="AD539" t="s">
        <v>302</v>
      </c>
      <c r="AE539" t="s">
        <v>46</v>
      </c>
      <c r="AG539">
        <v>52</v>
      </c>
      <c r="AH539">
        <v>9</v>
      </c>
      <c r="AI539" t="s">
        <v>54</v>
      </c>
      <c r="AK539">
        <v>0</v>
      </c>
      <c r="AM539">
        <v>0</v>
      </c>
      <c r="AP539" t="s">
        <v>325</v>
      </c>
    </row>
    <row r="540" spans="1:42" customFormat="1">
      <c r="A540">
        <v>268398</v>
      </c>
      <c r="B540" t="s">
        <v>912</v>
      </c>
      <c r="C540" t="s">
        <v>913</v>
      </c>
      <c r="D540" s="22">
        <v>0</v>
      </c>
      <c r="E540" s="17">
        <v>42128</v>
      </c>
      <c r="F540" s="18">
        <v>0.65460648148148148</v>
      </c>
      <c r="G540" s="22">
        <v>15</v>
      </c>
      <c r="H540">
        <v>0</v>
      </c>
      <c r="I540" s="19" t="e">
        <f>I539 + (D540-G540)</f>
        <v>#VALUE!</v>
      </c>
      <c r="M540">
        <v>122726</v>
      </c>
      <c r="N540">
        <v>60</v>
      </c>
      <c r="O540" t="s">
        <v>60</v>
      </c>
      <c r="P540">
        <v>1</v>
      </c>
      <c r="R540">
        <v>575</v>
      </c>
      <c r="S540" s="17">
        <v>42130</v>
      </c>
      <c r="T540" s="17">
        <v>42130</v>
      </c>
      <c r="W540">
        <v>2015</v>
      </c>
      <c r="X540">
        <v>60</v>
      </c>
      <c r="AC540" t="s">
        <v>61</v>
      </c>
      <c r="AD540" t="s">
        <v>302</v>
      </c>
      <c r="AE540" t="s">
        <v>46</v>
      </c>
      <c r="AG540">
        <v>52</v>
      </c>
      <c r="AH540">
        <v>9</v>
      </c>
      <c r="AI540" t="s">
        <v>54</v>
      </c>
      <c r="AK540">
        <v>0</v>
      </c>
      <c r="AM540">
        <v>0</v>
      </c>
      <c r="AP540" t="s">
        <v>325</v>
      </c>
    </row>
    <row r="541" spans="1:42" customFormat="1">
      <c r="A541">
        <v>268399</v>
      </c>
      <c r="B541" t="s">
        <v>914</v>
      </c>
      <c r="C541" t="s">
        <v>915</v>
      </c>
      <c r="D541" s="22">
        <v>0</v>
      </c>
      <c r="E541" s="17">
        <v>42128</v>
      </c>
      <c r="F541" s="18">
        <v>0.65460648148148148</v>
      </c>
      <c r="G541" s="22">
        <v>15</v>
      </c>
      <c r="H541">
        <v>0</v>
      </c>
      <c r="I541" s="19" t="e">
        <f>I540 + (D541-G541)</f>
        <v>#VALUE!</v>
      </c>
      <c r="M541">
        <v>122727</v>
      </c>
      <c r="N541">
        <v>60</v>
      </c>
      <c r="O541" t="s">
        <v>60</v>
      </c>
      <c r="P541">
        <v>1</v>
      </c>
      <c r="R541">
        <v>575</v>
      </c>
      <c r="S541" s="17">
        <v>42130</v>
      </c>
      <c r="T541" s="17">
        <v>42130</v>
      </c>
      <c r="W541">
        <v>2015</v>
      </c>
      <c r="X541">
        <v>60</v>
      </c>
      <c r="AC541" t="s">
        <v>61</v>
      </c>
      <c r="AD541" t="s">
        <v>302</v>
      </c>
      <c r="AE541" t="s">
        <v>46</v>
      </c>
      <c r="AG541">
        <v>52</v>
      </c>
      <c r="AH541">
        <v>9</v>
      </c>
      <c r="AI541" t="s">
        <v>54</v>
      </c>
      <c r="AK541">
        <v>0</v>
      </c>
      <c r="AM541">
        <v>0</v>
      </c>
      <c r="AP541" t="s">
        <v>325</v>
      </c>
    </row>
    <row r="542" spans="1:42" customFormat="1">
      <c r="A542">
        <v>268400</v>
      </c>
      <c r="B542" t="s">
        <v>916</v>
      </c>
      <c r="C542" t="s">
        <v>917</v>
      </c>
      <c r="D542" s="22">
        <v>0</v>
      </c>
      <c r="E542" s="17">
        <v>42128</v>
      </c>
      <c r="F542" s="18">
        <v>0.65460648148148148</v>
      </c>
      <c r="G542" s="22">
        <v>15</v>
      </c>
      <c r="H542">
        <v>0</v>
      </c>
      <c r="I542" s="19" t="e">
        <f>I541 + (D542-G542)</f>
        <v>#VALUE!</v>
      </c>
      <c r="M542">
        <v>122728</v>
      </c>
      <c r="N542">
        <v>60</v>
      </c>
      <c r="O542" t="s">
        <v>60</v>
      </c>
      <c r="P542">
        <v>1</v>
      </c>
      <c r="R542">
        <v>575</v>
      </c>
      <c r="S542" s="17">
        <v>42130</v>
      </c>
      <c r="T542" s="17">
        <v>42130</v>
      </c>
      <c r="W542">
        <v>2015</v>
      </c>
      <c r="X542">
        <v>60</v>
      </c>
      <c r="AC542" t="s">
        <v>61</v>
      </c>
      <c r="AD542" t="s">
        <v>302</v>
      </c>
      <c r="AE542" t="s">
        <v>46</v>
      </c>
      <c r="AG542">
        <v>52</v>
      </c>
      <c r="AH542">
        <v>9</v>
      </c>
      <c r="AI542" t="s">
        <v>54</v>
      </c>
      <c r="AK542">
        <v>0</v>
      </c>
      <c r="AM542">
        <v>0</v>
      </c>
      <c r="AP542" t="s">
        <v>325</v>
      </c>
    </row>
    <row r="543" spans="1:42" customFormat="1">
      <c r="A543">
        <v>268401</v>
      </c>
      <c r="B543" t="s">
        <v>918</v>
      </c>
      <c r="C543" t="s">
        <v>919</v>
      </c>
      <c r="D543" s="22">
        <v>0</v>
      </c>
      <c r="E543" s="17">
        <v>42128</v>
      </c>
      <c r="F543" s="18">
        <v>0.65460648148148148</v>
      </c>
      <c r="G543" s="22">
        <v>15</v>
      </c>
      <c r="H543">
        <v>0</v>
      </c>
      <c r="I543" s="19" t="e">
        <f>I542 + (D543-G543)</f>
        <v>#VALUE!</v>
      </c>
      <c r="M543">
        <v>122729</v>
      </c>
      <c r="N543">
        <v>60</v>
      </c>
      <c r="O543" t="s">
        <v>60</v>
      </c>
      <c r="P543">
        <v>1</v>
      </c>
      <c r="R543">
        <v>575</v>
      </c>
      <c r="S543" s="17">
        <v>42130</v>
      </c>
      <c r="T543" s="17">
        <v>42130</v>
      </c>
      <c r="W543">
        <v>2015</v>
      </c>
      <c r="X543">
        <v>60</v>
      </c>
      <c r="AC543" t="s">
        <v>61</v>
      </c>
      <c r="AD543" t="s">
        <v>302</v>
      </c>
      <c r="AE543" t="s">
        <v>46</v>
      </c>
      <c r="AG543">
        <v>52</v>
      </c>
      <c r="AH543">
        <v>9</v>
      </c>
      <c r="AI543" t="s">
        <v>54</v>
      </c>
      <c r="AK543">
        <v>0</v>
      </c>
      <c r="AM543">
        <v>0</v>
      </c>
      <c r="AP543" t="s">
        <v>325</v>
      </c>
    </row>
    <row r="544" spans="1:42" customFormat="1">
      <c r="A544">
        <v>268410</v>
      </c>
      <c r="B544" t="s">
        <v>920</v>
      </c>
      <c r="C544" t="s">
        <v>921</v>
      </c>
      <c r="D544" s="22">
        <v>0</v>
      </c>
      <c r="E544" s="17">
        <v>42128</v>
      </c>
      <c r="F544" s="18">
        <v>0.65461805555555552</v>
      </c>
      <c r="G544" s="22">
        <v>15</v>
      </c>
      <c r="H544">
        <v>0</v>
      </c>
      <c r="I544" s="19" t="e">
        <f>I543 + (D544-G544)</f>
        <v>#VALUE!</v>
      </c>
      <c r="M544">
        <v>122740</v>
      </c>
      <c r="N544">
        <v>60</v>
      </c>
      <c r="O544" t="s">
        <v>60</v>
      </c>
      <c r="P544">
        <v>1</v>
      </c>
      <c r="R544">
        <v>575</v>
      </c>
      <c r="S544" s="17">
        <v>42130</v>
      </c>
      <c r="T544" s="17">
        <v>42130</v>
      </c>
      <c r="W544">
        <v>2015</v>
      </c>
      <c r="X544">
        <v>60</v>
      </c>
      <c r="AC544" t="s">
        <v>61</v>
      </c>
      <c r="AD544" t="s">
        <v>302</v>
      </c>
      <c r="AE544" t="s">
        <v>46</v>
      </c>
      <c r="AG544">
        <v>52</v>
      </c>
      <c r="AH544">
        <v>9</v>
      </c>
      <c r="AI544" t="s">
        <v>54</v>
      </c>
      <c r="AK544">
        <v>0</v>
      </c>
      <c r="AM544">
        <v>0</v>
      </c>
      <c r="AP544" t="s">
        <v>325</v>
      </c>
    </row>
    <row r="545" spans="1:42" customFormat="1">
      <c r="A545">
        <v>268411</v>
      </c>
      <c r="B545" t="s">
        <v>922</v>
      </c>
      <c r="C545" t="s">
        <v>923</v>
      </c>
      <c r="D545" s="22">
        <v>0</v>
      </c>
      <c r="E545" s="17">
        <v>42128</v>
      </c>
      <c r="F545" s="18">
        <v>0.65461805555555552</v>
      </c>
      <c r="G545" s="22">
        <v>15</v>
      </c>
      <c r="H545">
        <v>0</v>
      </c>
      <c r="I545" s="19" t="e">
        <f>I544 + (D545-G545)</f>
        <v>#VALUE!</v>
      </c>
      <c r="M545">
        <v>122741</v>
      </c>
      <c r="N545">
        <v>60</v>
      </c>
      <c r="O545" t="s">
        <v>60</v>
      </c>
      <c r="P545">
        <v>1</v>
      </c>
      <c r="R545">
        <v>575</v>
      </c>
      <c r="S545" s="17">
        <v>42130</v>
      </c>
      <c r="T545" s="17">
        <v>42130</v>
      </c>
      <c r="W545">
        <v>2015</v>
      </c>
      <c r="X545">
        <v>60</v>
      </c>
      <c r="AC545" t="s">
        <v>61</v>
      </c>
      <c r="AD545" t="s">
        <v>302</v>
      </c>
      <c r="AE545" t="s">
        <v>46</v>
      </c>
      <c r="AG545">
        <v>52</v>
      </c>
      <c r="AH545">
        <v>9</v>
      </c>
      <c r="AI545" t="s">
        <v>54</v>
      </c>
      <c r="AK545">
        <v>0</v>
      </c>
      <c r="AM545">
        <v>0</v>
      </c>
      <c r="AP545" t="s">
        <v>325</v>
      </c>
    </row>
    <row r="546" spans="1:42" customFormat="1">
      <c r="A546">
        <v>268412</v>
      </c>
      <c r="B546" t="s">
        <v>924</v>
      </c>
      <c r="C546" t="s">
        <v>925</v>
      </c>
      <c r="D546" s="22">
        <v>0</v>
      </c>
      <c r="E546" s="17">
        <v>42128</v>
      </c>
      <c r="F546" s="18">
        <v>0.65461805555555552</v>
      </c>
      <c r="G546" s="22">
        <v>15</v>
      </c>
      <c r="H546">
        <v>0</v>
      </c>
      <c r="I546" s="19" t="e">
        <f>I545 + (D546-G546)</f>
        <v>#VALUE!</v>
      </c>
      <c r="M546">
        <v>122742</v>
      </c>
      <c r="N546">
        <v>60</v>
      </c>
      <c r="O546" t="s">
        <v>60</v>
      </c>
      <c r="P546">
        <v>1</v>
      </c>
      <c r="R546">
        <v>575</v>
      </c>
      <c r="S546" s="17">
        <v>42130</v>
      </c>
      <c r="T546" s="17">
        <v>42130</v>
      </c>
      <c r="W546">
        <v>2015</v>
      </c>
      <c r="X546">
        <v>60</v>
      </c>
      <c r="AC546" t="s">
        <v>61</v>
      </c>
      <c r="AD546" t="s">
        <v>302</v>
      </c>
      <c r="AE546" t="s">
        <v>46</v>
      </c>
      <c r="AG546">
        <v>52</v>
      </c>
      <c r="AH546">
        <v>9</v>
      </c>
      <c r="AI546" t="s">
        <v>54</v>
      </c>
      <c r="AK546">
        <v>0</v>
      </c>
      <c r="AM546">
        <v>0</v>
      </c>
      <c r="AP546" t="s">
        <v>325</v>
      </c>
    </row>
    <row r="547" spans="1:42" customFormat="1">
      <c r="A547">
        <v>268407</v>
      </c>
      <c r="B547" t="s">
        <v>926</v>
      </c>
      <c r="C547" t="s">
        <v>927</v>
      </c>
      <c r="D547" s="22">
        <v>0</v>
      </c>
      <c r="E547" s="17">
        <v>42128</v>
      </c>
      <c r="F547" s="18">
        <v>0.65461805555555552</v>
      </c>
      <c r="G547" s="22">
        <v>15</v>
      </c>
      <c r="H547">
        <v>0</v>
      </c>
      <c r="I547" s="19" t="e">
        <f>I546 + (D547-G547)</f>
        <v>#VALUE!</v>
      </c>
      <c r="M547">
        <v>122736</v>
      </c>
      <c r="N547">
        <v>60</v>
      </c>
      <c r="O547" t="s">
        <v>60</v>
      </c>
      <c r="P547">
        <v>1</v>
      </c>
      <c r="R547">
        <v>575</v>
      </c>
      <c r="S547" s="17">
        <v>42130</v>
      </c>
      <c r="T547" s="17">
        <v>42130</v>
      </c>
      <c r="W547">
        <v>2015</v>
      </c>
      <c r="X547">
        <v>60</v>
      </c>
      <c r="AC547" t="s">
        <v>61</v>
      </c>
      <c r="AD547" t="s">
        <v>302</v>
      </c>
      <c r="AE547" t="s">
        <v>46</v>
      </c>
      <c r="AG547">
        <v>52</v>
      </c>
      <c r="AH547">
        <v>9</v>
      </c>
      <c r="AI547" t="s">
        <v>54</v>
      </c>
      <c r="AK547">
        <v>0</v>
      </c>
      <c r="AM547">
        <v>0</v>
      </c>
      <c r="AP547" t="s">
        <v>325</v>
      </c>
    </row>
    <row r="548" spans="1:42" customFormat="1">
      <c r="A548">
        <v>268408</v>
      </c>
      <c r="B548" t="s">
        <v>928</v>
      </c>
      <c r="C548" t="s">
        <v>929</v>
      </c>
      <c r="D548" s="22">
        <v>0</v>
      </c>
      <c r="E548" s="17">
        <v>42128</v>
      </c>
      <c r="F548" s="18">
        <v>0.65461805555555552</v>
      </c>
      <c r="G548" s="22">
        <v>15</v>
      </c>
      <c r="H548">
        <v>0</v>
      </c>
      <c r="I548" s="19" t="e">
        <f>I547 + (D548-G548)</f>
        <v>#VALUE!</v>
      </c>
      <c r="M548">
        <v>122737</v>
      </c>
      <c r="N548">
        <v>60</v>
      </c>
      <c r="O548" t="s">
        <v>60</v>
      </c>
      <c r="P548">
        <v>1</v>
      </c>
      <c r="R548">
        <v>575</v>
      </c>
      <c r="S548" s="17">
        <v>42130</v>
      </c>
      <c r="T548" s="17">
        <v>42130</v>
      </c>
      <c r="W548">
        <v>2015</v>
      </c>
      <c r="X548">
        <v>60</v>
      </c>
      <c r="AC548" t="s">
        <v>61</v>
      </c>
      <c r="AD548" t="s">
        <v>302</v>
      </c>
      <c r="AE548" t="s">
        <v>46</v>
      </c>
      <c r="AG548">
        <v>52</v>
      </c>
      <c r="AH548">
        <v>9</v>
      </c>
      <c r="AI548" t="s">
        <v>54</v>
      </c>
      <c r="AK548">
        <v>0</v>
      </c>
      <c r="AM548">
        <v>0</v>
      </c>
      <c r="AP548" t="s">
        <v>325</v>
      </c>
    </row>
    <row r="549" spans="1:42" customFormat="1">
      <c r="A549">
        <v>268409</v>
      </c>
      <c r="B549" t="s">
        <v>930</v>
      </c>
      <c r="C549" t="s">
        <v>931</v>
      </c>
      <c r="D549" s="22">
        <v>0</v>
      </c>
      <c r="E549" s="17">
        <v>42128</v>
      </c>
      <c r="F549" s="18">
        <v>0.65461805555555552</v>
      </c>
      <c r="G549" s="22">
        <v>15</v>
      </c>
      <c r="H549">
        <v>0</v>
      </c>
      <c r="I549" s="19" t="e">
        <f>I548 + (D549-G549)</f>
        <v>#VALUE!</v>
      </c>
      <c r="M549">
        <v>122739</v>
      </c>
      <c r="N549">
        <v>60</v>
      </c>
      <c r="O549" t="s">
        <v>60</v>
      </c>
      <c r="P549">
        <v>1</v>
      </c>
      <c r="R549">
        <v>575</v>
      </c>
      <c r="S549" s="17">
        <v>42130</v>
      </c>
      <c r="T549" s="17">
        <v>42130</v>
      </c>
      <c r="W549">
        <v>2015</v>
      </c>
      <c r="X549">
        <v>60</v>
      </c>
      <c r="AC549" t="s">
        <v>61</v>
      </c>
      <c r="AD549" t="s">
        <v>302</v>
      </c>
      <c r="AE549" t="s">
        <v>46</v>
      </c>
      <c r="AG549">
        <v>52</v>
      </c>
      <c r="AH549">
        <v>9</v>
      </c>
      <c r="AI549" t="s">
        <v>54</v>
      </c>
      <c r="AK549">
        <v>0</v>
      </c>
      <c r="AM549">
        <v>0</v>
      </c>
      <c r="AP549" t="s">
        <v>325</v>
      </c>
    </row>
    <row r="550" spans="1:42" customFormat="1">
      <c r="A550">
        <v>268414</v>
      </c>
      <c r="B550" t="s">
        <v>932</v>
      </c>
      <c r="C550" t="s">
        <v>933</v>
      </c>
      <c r="D550" s="22">
        <v>0</v>
      </c>
      <c r="E550" s="17">
        <v>42128</v>
      </c>
      <c r="F550" s="18">
        <v>0.6560300925925926</v>
      </c>
      <c r="G550" s="22">
        <v>131.5</v>
      </c>
      <c r="H550">
        <v>0</v>
      </c>
      <c r="I550" s="19" t="e">
        <f>I549 + (D550-G550)</f>
        <v>#VALUE!</v>
      </c>
      <c r="M550">
        <v>122712</v>
      </c>
      <c r="N550">
        <v>60</v>
      </c>
      <c r="O550" t="s">
        <v>60</v>
      </c>
      <c r="P550">
        <v>1</v>
      </c>
      <c r="R550">
        <v>575</v>
      </c>
      <c r="S550" s="17">
        <v>42130</v>
      </c>
      <c r="T550" s="17">
        <v>42130</v>
      </c>
      <c r="W550">
        <v>2015</v>
      </c>
      <c r="X550">
        <v>60</v>
      </c>
      <c r="AC550" t="s">
        <v>61</v>
      </c>
      <c r="AD550" t="s">
        <v>302</v>
      </c>
      <c r="AE550" t="s">
        <v>46</v>
      </c>
      <c r="AG550">
        <v>52</v>
      </c>
      <c r="AH550">
        <v>9</v>
      </c>
      <c r="AI550" t="s">
        <v>54</v>
      </c>
      <c r="AK550">
        <v>0</v>
      </c>
      <c r="AM550">
        <v>0</v>
      </c>
      <c r="AP550" t="s">
        <v>325</v>
      </c>
    </row>
    <row r="551" spans="1:42" customFormat="1">
      <c r="A551">
        <v>268413</v>
      </c>
      <c r="B551" t="s">
        <v>934</v>
      </c>
      <c r="C551" t="s">
        <v>935</v>
      </c>
      <c r="D551" s="22">
        <v>0</v>
      </c>
      <c r="E551" s="17">
        <v>42128</v>
      </c>
      <c r="F551" s="18">
        <v>0.6560300925925926</v>
      </c>
      <c r="G551" s="22">
        <v>15.4</v>
      </c>
      <c r="H551">
        <v>0</v>
      </c>
      <c r="I551" s="19" t="e">
        <f>I550 + (D551-G551)</f>
        <v>#VALUE!</v>
      </c>
      <c r="M551">
        <v>122708</v>
      </c>
      <c r="N551">
        <v>60</v>
      </c>
      <c r="O551" t="s">
        <v>60</v>
      </c>
      <c r="P551">
        <v>1</v>
      </c>
      <c r="R551">
        <v>575</v>
      </c>
      <c r="S551" s="17">
        <v>42130</v>
      </c>
      <c r="T551" s="17">
        <v>42130</v>
      </c>
      <c r="W551">
        <v>2015</v>
      </c>
      <c r="X551">
        <v>60</v>
      </c>
      <c r="AC551" t="s">
        <v>61</v>
      </c>
      <c r="AD551" t="s">
        <v>302</v>
      </c>
      <c r="AE551" t="s">
        <v>46</v>
      </c>
      <c r="AG551">
        <v>52</v>
      </c>
      <c r="AH551">
        <v>9</v>
      </c>
      <c r="AI551" t="s">
        <v>54</v>
      </c>
      <c r="AK551">
        <v>0</v>
      </c>
      <c r="AM551">
        <v>0</v>
      </c>
      <c r="AP551" t="s">
        <v>325</v>
      </c>
    </row>
    <row r="552" spans="1:42" customFormat="1">
      <c r="A552">
        <v>268417</v>
      </c>
      <c r="B552" t="s">
        <v>936</v>
      </c>
      <c r="C552" t="s">
        <v>937</v>
      </c>
      <c r="D552" s="22">
        <v>0</v>
      </c>
      <c r="E552" s="17">
        <v>42128</v>
      </c>
      <c r="F552" s="18">
        <v>0.65604166666666663</v>
      </c>
      <c r="G552" s="22">
        <v>15</v>
      </c>
      <c r="H552">
        <v>0</v>
      </c>
      <c r="I552" s="19" t="e">
        <f>I551 + (D552-G552)</f>
        <v>#VALUE!</v>
      </c>
      <c r="M552">
        <v>122720</v>
      </c>
      <c r="N552">
        <v>60</v>
      </c>
      <c r="O552" t="s">
        <v>60</v>
      </c>
      <c r="P552">
        <v>1</v>
      </c>
      <c r="R552">
        <v>575</v>
      </c>
      <c r="S552" s="17">
        <v>42130</v>
      </c>
      <c r="T552" s="17">
        <v>42130</v>
      </c>
      <c r="W552">
        <v>2015</v>
      </c>
      <c r="X552">
        <v>60</v>
      </c>
      <c r="AC552" t="s">
        <v>61</v>
      </c>
      <c r="AD552" t="s">
        <v>302</v>
      </c>
      <c r="AE552" t="s">
        <v>46</v>
      </c>
      <c r="AG552">
        <v>52</v>
      </c>
      <c r="AH552">
        <v>9</v>
      </c>
      <c r="AI552" t="s">
        <v>54</v>
      </c>
      <c r="AK552">
        <v>0</v>
      </c>
      <c r="AM552">
        <v>0</v>
      </c>
      <c r="AP552" t="s">
        <v>325</v>
      </c>
    </row>
    <row r="553" spans="1:42" customFormat="1">
      <c r="A553">
        <v>268418</v>
      </c>
      <c r="B553" t="s">
        <v>938</v>
      </c>
      <c r="C553" t="s">
        <v>939</v>
      </c>
      <c r="D553" s="22">
        <v>0</v>
      </c>
      <c r="E553" s="17">
        <v>42128</v>
      </c>
      <c r="F553" s="18">
        <v>0.65604166666666663</v>
      </c>
      <c r="G553" s="22">
        <v>15</v>
      </c>
      <c r="H553">
        <v>0</v>
      </c>
      <c r="I553" s="19" t="e">
        <f>I552 + (D553-G553)</f>
        <v>#VALUE!</v>
      </c>
      <c r="M553">
        <v>122721</v>
      </c>
      <c r="N553">
        <v>60</v>
      </c>
      <c r="O553" t="s">
        <v>60</v>
      </c>
      <c r="P553">
        <v>1</v>
      </c>
      <c r="R553">
        <v>575</v>
      </c>
      <c r="S553" s="17">
        <v>42130</v>
      </c>
      <c r="T553" s="17">
        <v>42130</v>
      </c>
      <c r="W553">
        <v>2015</v>
      </c>
      <c r="X553">
        <v>60</v>
      </c>
      <c r="AC553" t="s">
        <v>61</v>
      </c>
      <c r="AD553" t="s">
        <v>302</v>
      </c>
      <c r="AE553" t="s">
        <v>46</v>
      </c>
      <c r="AG553">
        <v>52</v>
      </c>
      <c r="AH553">
        <v>9</v>
      </c>
      <c r="AI553" t="s">
        <v>54</v>
      </c>
      <c r="AK553">
        <v>0</v>
      </c>
      <c r="AM553">
        <v>0</v>
      </c>
      <c r="AP553" t="s">
        <v>325</v>
      </c>
    </row>
    <row r="554" spans="1:42" customFormat="1">
      <c r="A554">
        <v>268419</v>
      </c>
      <c r="B554" t="s">
        <v>940</v>
      </c>
      <c r="C554" t="s">
        <v>941</v>
      </c>
      <c r="D554" s="22">
        <v>0</v>
      </c>
      <c r="E554" s="17">
        <v>42128</v>
      </c>
      <c r="F554" s="18">
        <v>0.65604166666666663</v>
      </c>
      <c r="G554" s="22">
        <v>15</v>
      </c>
      <c r="H554">
        <v>0</v>
      </c>
      <c r="I554" s="19" t="e">
        <f>I553 + (D554-G554)</f>
        <v>#VALUE!</v>
      </c>
      <c r="M554">
        <v>122722</v>
      </c>
      <c r="N554">
        <v>60</v>
      </c>
      <c r="O554" t="s">
        <v>60</v>
      </c>
      <c r="P554">
        <v>1</v>
      </c>
      <c r="R554">
        <v>575</v>
      </c>
      <c r="S554" s="17">
        <v>42130</v>
      </c>
      <c r="T554" s="17">
        <v>42130</v>
      </c>
      <c r="W554">
        <v>2015</v>
      </c>
      <c r="X554">
        <v>60</v>
      </c>
      <c r="AC554" t="s">
        <v>61</v>
      </c>
      <c r="AD554" t="s">
        <v>302</v>
      </c>
      <c r="AE554" t="s">
        <v>46</v>
      </c>
      <c r="AG554">
        <v>52</v>
      </c>
      <c r="AH554">
        <v>9</v>
      </c>
      <c r="AI554" t="s">
        <v>54</v>
      </c>
      <c r="AK554">
        <v>0</v>
      </c>
      <c r="AM554">
        <v>0</v>
      </c>
      <c r="AP554" t="s">
        <v>325</v>
      </c>
    </row>
    <row r="555" spans="1:42" customFormat="1">
      <c r="A555">
        <v>268415</v>
      </c>
      <c r="B555" t="s">
        <v>942</v>
      </c>
      <c r="C555" t="s">
        <v>943</v>
      </c>
      <c r="D555" s="22">
        <v>0</v>
      </c>
      <c r="E555" s="17">
        <v>42128</v>
      </c>
      <c r="F555" s="18">
        <v>0.65604166666666663</v>
      </c>
      <c r="G555" s="22">
        <v>35.25</v>
      </c>
      <c r="H555">
        <v>0</v>
      </c>
      <c r="I555" s="19" t="e">
        <f>I554 + (D555-G555)</f>
        <v>#VALUE!</v>
      </c>
      <c r="M555">
        <v>122713</v>
      </c>
      <c r="N555">
        <v>60</v>
      </c>
      <c r="O555" t="s">
        <v>60</v>
      </c>
      <c r="P555">
        <v>1</v>
      </c>
      <c r="R555">
        <v>575</v>
      </c>
      <c r="S555" s="17">
        <v>42130</v>
      </c>
      <c r="T555" s="17">
        <v>42130</v>
      </c>
      <c r="W555">
        <v>2015</v>
      </c>
      <c r="X555">
        <v>60</v>
      </c>
      <c r="AC555" t="s">
        <v>61</v>
      </c>
      <c r="AD555" t="s">
        <v>302</v>
      </c>
      <c r="AE555" t="s">
        <v>46</v>
      </c>
      <c r="AG555">
        <v>52</v>
      </c>
      <c r="AH555">
        <v>9</v>
      </c>
      <c r="AI555" t="s">
        <v>54</v>
      </c>
      <c r="AK555">
        <v>0</v>
      </c>
      <c r="AM555">
        <v>0</v>
      </c>
      <c r="AP555" t="s">
        <v>325</v>
      </c>
    </row>
    <row r="556" spans="1:42" customFormat="1">
      <c r="A556">
        <v>268416</v>
      </c>
      <c r="B556" t="s">
        <v>944</v>
      </c>
      <c r="C556" t="s">
        <v>945</v>
      </c>
      <c r="D556" s="22">
        <v>0</v>
      </c>
      <c r="E556" s="17">
        <v>42128</v>
      </c>
      <c r="F556" s="18">
        <v>0.65604166666666663</v>
      </c>
      <c r="G556" s="22">
        <v>6.24</v>
      </c>
      <c r="H556">
        <v>0</v>
      </c>
      <c r="I556" s="19" t="e">
        <f>I555 + (D556-G556)</f>
        <v>#VALUE!</v>
      </c>
      <c r="M556">
        <v>122714</v>
      </c>
      <c r="N556">
        <v>60</v>
      </c>
      <c r="O556" t="s">
        <v>60</v>
      </c>
      <c r="P556">
        <v>1</v>
      </c>
      <c r="R556">
        <v>575</v>
      </c>
      <c r="S556" s="17">
        <v>42130</v>
      </c>
      <c r="T556" s="17">
        <v>42130</v>
      </c>
      <c r="W556">
        <v>2015</v>
      </c>
      <c r="X556">
        <v>60</v>
      </c>
      <c r="AC556" t="s">
        <v>61</v>
      </c>
      <c r="AD556" t="s">
        <v>302</v>
      </c>
      <c r="AE556" t="s">
        <v>46</v>
      </c>
      <c r="AG556">
        <v>52</v>
      </c>
      <c r="AH556">
        <v>9</v>
      </c>
      <c r="AI556" t="s">
        <v>54</v>
      </c>
      <c r="AK556">
        <v>0</v>
      </c>
      <c r="AM556">
        <v>0</v>
      </c>
      <c r="AP556" t="s">
        <v>325</v>
      </c>
    </row>
    <row r="557" spans="1:42" customFormat="1">
      <c r="A557">
        <v>268420</v>
      </c>
      <c r="B557" t="s">
        <v>946</v>
      </c>
      <c r="C557" t="s">
        <v>947</v>
      </c>
      <c r="D557" s="22">
        <v>0</v>
      </c>
      <c r="E557" s="17">
        <v>42128</v>
      </c>
      <c r="F557" s="18">
        <v>0.65604166666666663</v>
      </c>
      <c r="G557" s="22">
        <v>15</v>
      </c>
      <c r="H557">
        <v>0</v>
      </c>
      <c r="I557" s="19" t="e">
        <f>I556 + (D557-G557)</f>
        <v>#VALUE!</v>
      </c>
      <c r="M557">
        <v>122715</v>
      </c>
      <c r="N557">
        <v>60</v>
      </c>
      <c r="O557" t="s">
        <v>60</v>
      </c>
      <c r="P557">
        <v>1</v>
      </c>
      <c r="R557">
        <v>575</v>
      </c>
      <c r="S557" s="17">
        <v>42130</v>
      </c>
      <c r="T557" s="17">
        <v>42130</v>
      </c>
      <c r="W557">
        <v>2015</v>
      </c>
      <c r="X557">
        <v>60</v>
      </c>
      <c r="AC557" t="s">
        <v>61</v>
      </c>
      <c r="AD557" t="s">
        <v>302</v>
      </c>
      <c r="AE557" t="s">
        <v>46</v>
      </c>
      <c r="AG557">
        <v>52</v>
      </c>
      <c r="AH557">
        <v>9</v>
      </c>
      <c r="AI557" t="s">
        <v>54</v>
      </c>
      <c r="AK557">
        <v>0</v>
      </c>
      <c r="AM557">
        <v>0</v>
      </c>
      <c r="AP557" t="s">
        <v>325</v>
      </c>
    </row>
    <row r="558" spans="1:42" customFormat="1">
      <c r="A558">
        <v>268421</v>
      </c>
      <c r="B558" t="s">
        <v>948</v>
      </c>
      <c r="C558" t="s">
        <v>949</v>
      </c>
      <c r="D558" s="22">
        <v>0</v>
      </c>
      <c r="E558" s="17">
        <v>42128</v>
      </c>
      <c r="F558" s="18">
        <v>0.6573148148148148</v>
      </c>
      <c r="G558" s="22">
        <v>230</v>
      </c>
      <c r="H558">
        <v>0</v>
      </c>
      <c r="I558" s="19" t="e">
        <f>I557 + (D558-G558)</f>
        <v>#VALUE!</v>
      </c>
      <c r="M558">
        <v>122620</v>
      </c>
      <c r="N558">
        <v>60</v>
      </c>
      <c r="O558" t="s">
        <v>60</v>
      </c>
      <c r="P558">
        <v>1</v>
      </c>
      <c r="R558">
        <v>575</v>
      </c>
      <c r="S558" s="17">
        <v>42130</v>
      </c>
      <c r="T558" s="17">
        <v>42130</v>
      </c>
      <c r="W558">
        <v>2015</v>
      </c>
      <c r="X558">
        <v>60</v>
      </c>
      <c r="AC558" t="s">
        <v>61</v>
      </c>
      <c r="AD558" t="s">
        <v>302</v>
      </c>
      <c r="AE558" t="s">
        <v>46</v>
      </c>
      <c r="AG558">
        <v>52</v>
      </c>
      <c r="AH558">
        <v>9</v>
      </c>
      <c r="AI558" t="s">
        <v>54</v>
      </c>
      <c r="AK558">
        <v>0</v>
      </c>
      <c r="AM558">
        <v>0</v>
      </c>
      <c r="AP558" t="s">
        <v>325</v>
      </c>
    </row>
    <row r="559" spans="1:42" customFormat="1">
      <c r="A559">
        <v>268422</v>
      </c>
      <c r="B559" t="s">
        <v>950</v>
      </c>
      <c r="C559" t="s">
        <v>951</v>
      </c>
      <c r="D559" s="22">
        <v>0</v>
      </c>
      <c r="E559" s="17">
        <v>42128</v>
      </c>
      <c r="F559" s="18">
        <v>0.66031249999999997</v>
      </c>
      <c r="G559" s="22">
        <v>15</v>
      </c>
      <c r="H559">
        <v>0</v>
      </c>
      <c r="I559" s="19" t="e">
        <f>I558 + (D559-G559)</f>
        <v>#VALUE!</v>
      </c>
      <c r="M559">
        <v>122744</v>
      </c>
      <c r="N559">
        <v>60</v>
      </c>
      <c r="O559" t="s">
        <v>60</v>
      </c>
      <c r="P559">
        <v>1</v>
      </c>
      <c r="R559">
        <v>575</v>
      </c>
      <c r="S559" s="17">
        <v>42130</v>
      </c>
      <c r="T559" s="17">
        <v>42130</v>
      </c>
      <c r="W559">
        <v>2015</v>
      </c>
      <c r="X559">
        <v>60</v>
      </c>
      <c r="AC559" t="s">
        <v>61</v>
      </c>
      <c r="AD559" t="s">
        <v>302</v>
      </c>
      <c r="AE559" t="s">
        <v>46</v>
      </c>
      <c r="AG559">
        <v>52</v>
      </c>
      <c r="AH559">
        <v>9</v>
      </c>
      <c r="AI559" t="s">
        <v>54</v>
      </c>
      <c r="AK559">
        <v>0</v>
      </c>
      <c r="AM559">
        <v>0</v>
      </c>
      <c r="AP559" t="s">
        <v>325</v>
      </c>
    </row>
    <row r="560" spans="1:42" customFormat="1">
      <c r="A560">
        <v>268423</v>
      </c>
      <c r="B560" t="s">
        <v>952</v>
      </c>
      <c r="C560" t="s">
        <v>953</v>
      </c>
      <c r="D560" s="22">
        <v>0</v>
      </c>
      <c r="E560" s="17">
        <v>42128</v>
      </c>
      <c r="F560" s="18">
        <v>0.66031249999999997</v>
      </c>
      <c r="G560" s="22">
        <v>15</v>
      </c>
      <c r="H560">
        <v>0</v>
      </c>
      <c r="I560" s="19" t="e">
        <f>I559 + (D560-G560)</f>
        <v>#VALUE!</v>
      </c>
      <c r="M560">
        <v>122745</v>
      </c>
      <c r="N560">
        <v>60</v>
      </c>
      <c r="O560" t="s">
        <v>60</v>
      </c>
      <c r="P560">
        <v>1</v>
      </c>
      <c r="R560">
        <v>575</v>
      </c>
      <c r="S560" s="17">
        <v>42130</v>
      </c>
      <c r="T560" s="17">
        <v>42130</v>
      </c>
      <c r="W560">
        <v>2015</v>
      </c>
      <c r="X560">
        <v>60</v>
      </c>
      <c r="AC560" t="s">
        <v>61</v>
      </c>
      <c r="AD560" t="s">
        <v>302</v>
      </c>
      <c r="AE560" t="s">
        <v>46</v>
      </c>
      <c r="AG560">
        <v>52</v>
      </c>
      <c r="AH560">
        <v>9</v>
      </c>
      <c r="AI560" t="s">
        <v>54</v>
      </c>
      <c r="AK560">
        <v>0</v>
      </c>
      <c r="AM560">
        <v>0</v>
      </c>
      <c r="AP560" t="s">
        <v>325</v>
      </c>
    </row>
    <row r="561" spans="1:42" customFormat="1">
      <c r="A561">
        <v>268424</v>
      </c>
      <c r="B561" t="s">
        <v>954</v>
      </c>
      <c r="C561" t="s">
        <v>955</v>
      </c>
      <c r="D561" s="22">
        <v>0</v>
      </c>
      <c r="E561" s="17">
        <v>42128</v>
      </c>
      <c r="F561" s="18">
        <v>0.66031249999999997</v>
      </c>
      <c r="G561" s="22">
        <v>27.16</v>
      </c>
      <c r="H561">
        <v>0</v>
      </c>
      <c r="I561" s="19" t="e">
        <f>I560 + (D561-G561)</f>
        <v>#VALUE!</v>
      </c>
      <c r="M561">
        <v>122746</v>
      </c>
      <c r="N561">
        <v>60</v>
      </c>
      <c r="O561" t="s">
        <v>60</v>
      </c>
      <c r="P561">
        <v>1</v>
      </c>
      <c r="R561">
        <v>575</v>
      </c>
      <c r="S561" s="17">
        <v>42130</v>
      </c>
      <c r="T561" s="17">
        <v>42130</v>
      </c>
      <c r="W561">
        <v>2015</v>
      </c>
      <c r="X561">
        <v>60</v>
      </c>
      <c r="AC561" t="s">
        <v>61</v>
      </c>
      <c r="AD561" t="s">
        <v>302</v>
      </c>
      <c r="AE561" t="s">
        <v>46</v>
      </c>
      <c r="AG561">
        <v>52</v>
      </c>
      <c r="AH561">
        <v>9</v>
      </c>
      <c r="AI561" t="s">
        <v>54</v>
      </c>
      <c r="AK561">
        <v>0</v>
      </c>
      <c r="AM561">
        <v>0</v>
      </c>
      <c r="AP561" t="s">
        <v>325</v>
      </c>
    </row>
    <row r="562" spans="1:42" customFormat="1">
      <c r="A562">
        <v>268425</v>
      </c>
      <c r="B562" t="s">
        <v>956</v>
      </c>
      <c r="C562" t="s">
        <v>957</v>
      </c>
      <c r="D562" s="22">
        <v>0</v>
      </c>
      <c r="E562" s="17">
        <v>42128</v>
      </c>
      <c r="F562" s="18">
        <v>0.66031249999999997</v>
      </c>
      <c r="G562" s="22">
        <v>11</v>
      </c>
      <c r="H562">
        <v>0</v>
      </c>
      <c r="I562" s="19" t="e">
        <f>I561 + (D562-G562)</f>
        <v>#VALUE!</v>
      </c>
      <c r="M562">
        <v>122747</v>
      </c>
      <c r="N562">
        <v>60</v>
      </c>
      <c r="O562" t="s">
        <v>60</v>
      </c>
      <c r="P562">
        <v>1</v>
      </c>
      <c r="R562">
        <v>575</v>
      </c>
      <c r="S562" s="17">
        <v>42130</v>
      </c>
      <c r="T562" s="17">
        <v>42130</v>
      </c>
      <c r="W562">
        <v>2015</v>
      </c>
      <c r="X562">
        <v>60</v>
      </c>
      <c r="AC562" t="s">
        <v>61</v>
      </c>
      <c r="AD562" t="s">
        <v>302</v>
      </c>
      <c r="AE562" t="s">
        <v>46</v>
      </c>
      <c r="AG562">
        <v>52</v>
      </c>
      <c r="AH562">
        <v>9</v>
      </c>
      <c r="AI562" t="s">
        <v>54</v>
      </c>
      <c r="AK562">
        <v>0</v>
      </c>
      <c r="AM562">
        <v>0</v>
      </c>
      <c r="AP562" t="s">
        <v>325</v>
      </c>
    </row>
    <row r="563" spans="1:42" customFormat="1">
      <c r="A563">
        <v>268431</v>
      </c>
      <c r="B563" t="s">
        <v>958</v>
      </c>
      <c r="C563" t="s">
        <v>959</v>
      </c>
      <c r="D563" s="22">
        <v>0</v>
      </c>
      <c r="E563" s="17">
        <v>42128</v>
      </c>
      <c r="F563" s="18">
        <v>0.66150462962962964</v>
      </c>
      <c r="G563" s="22">
        <v>15</v>
      </c>
      <c r="H563">
        <v>0</v>
      </c>
      <c r="I563" s="19" t="e">
        <f>I562 + (D563-G563)</f>
        <v>#VALUE!</v>
      </c>
      <c r="M563">
        <v>122750</v>
      </c>
      <c r="N563">
        <v>60</v>
      </c>
      <c r="O563" t="s">
        <v>60</v>
      </c>
      <c r="P563">
        <v>1</v>
      </c>
      <c r="R563">
        <v>575</v>
      </c>
      <c r="S563" s="17">
        <v>42130</v>
      </c>
      <c r="T563" s="17">
        <v>42130</v>
      </c>
      <c r="W563">
        <v>2015</v>
      </c>
      <c r="X563">
        <v>60</v>
      </c>
      <c r="AC563" t="s">
        <v>61</v>
      </c>
      <c r="AD563" t="s">
        <v>302</v>
      </c>
      <c r="AE563" t="s">
        <v>46</v>
      </c>
      <c r="AG563">
        <v>52</v>
      </c>
      <c r="AH563">
        <v>9</v>
      </c>
      <c r="AI563" t="s">
        <v>54</v>
      </c>
      <c r="AK563">
        <v>0</v>
      </c>
      <c r="AM563">
        <v>0</v>
      </c>
      <c r="AP563" t="s">
        <v>325</v>
      </c>
    </row>
    <row r="564" spans="1:42" customFormat="1">
      <c r="A564">
        <v>268432</v>
      </c>
      <c r="B564" t="s">
        <v>960</v>
      </c>
      <c r="C564" t="s">
        <v>961</v>
      </c>
      <c r="D564" s="22">
        <v>0</v>
      </c>
      <c r="E564" s="17">
        <v>42128</v>
      </c>
      <c r="F564" s="18">
        <v>0.66150462962962964</v>
      </c>
      <c r="G564" s="22">
        <v>15</v>
      </c>
      <c r="H564">
        <v>0</v>
      </c>
      <c r="I564" s="19" t="e">
        <f>I563 + (D564-G564)</f>
        <v>#VALUE!</v>
      </c>
      <c r="M564">
        <v>122760</v>
      </c>
      <c r="N564">
        <v>60</v>
      </c>
      <c r="O564" t="s">
        <v>60</v>
      </c>
      <c r="P564">
        <v>1</v>
      </c>
      <c r="R564">
        <v>575</v>
      </c>
      <c r="S564" s="17">
        <v>42130</v>
      </c>
      <c r="T564" s="17">
        <v>42130</v>
      </c>
      <c r="W564">
        <v>2015</v>
      </c>
      <c r="X564">
        <v>60</v>
      </c>
      <c r="AC564" t="s">
        <v>61</v>
      </c>
      <c r="AD564" t="s">
        <v>302</v>
      </c>
      <c r="AE564" t="s">
        <v>46</v>
      </c>
      <c r="AG564">
        <v>52</v>
      </c>
      <c r="AH564">
        <v>9</v>
      </c>
      <c r="AI564" t="s">
        <v>54</v>
      </c>
      <c r="AK564">
        <v>0</v>
      </c>
      <c r="AM564">
        <v>0</v>
      </c>
      <c r="AP564" t="s">
        <v>325</v>
      </c>
    </row>
    <row r="565" spans="1:42" customFormat="1">
      <c r="A565">
        <v>268433</v>
      </c>
      <c r="B565" t="s">
        <v>962</v>
      </c>
      <c r="C565" t="s">
        <v>963</v>
      </c>
      <c r="D565" s="22">
        <v>0</v>
      </c>
      <c r="E565" s="17">
        <v>42128</v>
      </c>
      <c r="F565" s="18">
        <v>0.66150462962962964</v>
      </c>
      <c r="G565" s="22">
        <v>15</v>
      </c>
      <c r="H565">
        <v>0</v>
      </c>
      <c r="I565" s="19" t="e">
        <f>I564 + (D565-G565)</f>
        <v>#VALUE!</v>
      </c>
      <c r="M565">
        <v>122751</v>
      </c>
      <c r="N565">
        <v>60</v>
      </c>
      <c r="O565" t="s">
        <v>60</v>
      </c>
      <c r="P565">
        <v>1</v>
      </c>
      <c r="R565">
        <v>575</v>
      </c>
      <c r="S565" s="17">
        <v>42130</v>
      </c>
      <c r="T565" s="17">
        <v>42130</v>
      </c>
      <c r="W565">
        <v>2015</v>
      </c>
      <c r="X565">
        <v>60</v>
      </c>
      <c r="AC565" t="s">
        <v>61</v>
      </c>
      <c r="AD565" t="s">
        <v>302</v>
      </c>
      <c r="AE565" t="s">
        <v>46</v>
      </c>
      <c r="AG565">
        <v>52</v>
      </c>
      <c r="AH565">
        <v>9</v>
      </c>
      <c r="AI565" t="s">
        <v>54</v>
      </c>
      <c r="AK565">
        <v>0</v>
      </c>
      <c r="AM565">
        <v>0</v>
      </c>
      <c r="AP565" t="s">
        <v>325</v>
      </c>
    </row>
    <row r="566" spans="1:42" customFormat="1">
      <c r="A566">
        <v>268434</v>
      </c>
      <c r="B566" t="s">
        <v>964</v>
      </c>
      <c r="C566" t="s">
        <v>965</v>
      </c>
      <c r="D566" s="22">
        <v>0</v>
      </c>
      <c r="E566" s="17">
        <v>42128</v>
      </c>
      <c r="F566" s="18">
        <v>0.66150462962962964</v>
      </c>
      <c r="G566" s="22">
        <v>15</v>
      </c>
      <c r="H566">
        <v>0</v>
      </c>
      <c r="I566" s="19" t="e">
        <f>I565 + (D566-G566)</f>
        <v>#VALUE!</v>
      </c>
      <c r="M566">
        <v>122761</v>
      </c>
      <c r="N566">
        <v>60</v>
      </c>
      <c r="O566" t="s">
        <v>60</v>
      </c>
      <c r="P566">
        <v>1</v>
      </c>
      <c r="R566">
        <v>575</v>
      </c>
      <c r="S566" s="17">
        <v>42130</v>
      </c>
      <c r="T566" s="17">
        <v>42130</v>
      </c>
      <c r="W566">
        <v>2015</v>
      </c>
      <c r="X566">
        <v>60</v>
      </c>
      <c r="AC566" t="s">
        <v>61</v>
      </c>
      <c r="AD566" t="s">
        <v>302</v>
      </c>
      <c r="AE566" t="s">
        <v>46</v>
      </c>
      <c r="AG566">
        <v>52</v>
      </c>
      <c r="AH566">
        <v>9</v>
      </c>
      <c r="AI566" t="s">
        <v>54</v>
      </c>
      <c r="AK566">
        <v>0</v>
      </c>
      <c r="AM566">
        <v>0</v>
      </c>
      <c r="AP566" t="s">
        <v>325</v>
      </c>
    </row>
    <row r="567" spans="1:42" customFormat="1">
      <c r="A567">
        <v>268435</v>
      </c>
      <c r="B567" t="s">
        <v>966</v>
      </c>
      <c r="C567" t="s">
        <v>967</v>
      </c>
      <c r="D567" s="22">
        <v>0</v>
      </c>
      <c r="E567" s="17">
        <v>42128</v>
      </c>
      <c r="F567" s="18">
        <v>0.66150462962962964</v>
      </c>
      <c r="G567" s="22">
        <v>15</v>
      </c>
      <c r="H567">
        <v>0</v>
      </c>
      <c r="I567" s="19" t="e">
        <f>I566 + (D567-G567)</f>
        <v>#VALUE!</v>
      </c>
      <c r="M567">
        <v>122752</v>
      </c>
      <c r="N567">
        <v>60</v>
      </c>
      <c r="O567" t="s">
        <v>60</v>
      </c>
      <c r="P567">
        <v>1</v>
      </c>
      <c r="R567">
        <v>575</v>
      </c>
      <c r="S567" s="17">
        <v>42130</v>
      </c>
      <c r="T567" s="17">
        <v>42130</v>
      </c>
      <c r="W567">
        <v>2015</v>
      </c>
      <c r="X567">
        <v>60</v>
      </c>
      <c r="AC567" t="s">
        <v>61</v>
      </c>
      <c r="AD567" t="s">
        <v>302</v>
      </c>
      <c r="AE567" t="s">
        <v>46</v>
      </c>
      <c r="AG567">
        <v>52</v>
      </c>
      <c r="AH567">
        <v>9</v>
      </c>
      <c r="AI567" t="s">
        <v>54</v>
      </c>
      <c r="AK567">
        <v>0</v>
      </c>
      <c r="AM567">
        <v>0</v>
      </c>
      <c r="AP567" t="s">
        <v>325</v>
      </c>
    </row>
    <row r="568" spans="1:42" customFormat="1">
      <c r="A568">
        <v>268436</v>
      </c>
      <c r="B568" t="s">
        <v>968</v>
      </c>
      <c r="C568" t="s">
        <v>969</v>
      </c>
      <c r="D568" s="22">
        <v>0</v>
      </c>
      <c r="E568" s="17">
        <v>42128</v>
      </c>
      <c r="F568" s="18">
        <v>0.66150462962962964</v>
      </c>
      <c r="G568" s="22">
        <v>15</v>
      </c>
      <c r="H568">
        <v>0</v>
      </c>
      <c r="I568" s="19" t="e">
        <f>I567 + (D568-G568)</f>
        <v>#VALUE!</v>
      </c>
      <c r="M568">
        <v>122762</v>
      </c>
      <c r="N568">
        <v>60</v>
      </c>
      <c r="O568" t="s">
        <v>60</v>
      </c>
      <c r="P568">
        <v>1</v>
      </c>
      <c r="R568">
        <v>575</v>
      </c>
      <c r="S568" s="17">
        <v>42130</v>
      </c>
      <c r="T568" s="17">
        <v>42130</v>
      </c>
      <c r="W568">
        <v>2015</v>
      </c>
      <c r="X568">
        <v>60</v>
      </c>
      <c r="AC568" t="s">
        <v>61</v>
      </c>
      <c r="AD568" t="s">
        <v>302</v>
      </c>
      <c r="AE568" t="s">
        <v>46</v>
      </c>
      <c r="AG568">
        <v>52</v>
      </c>
      <c r="AH568">
        <v>9</v>
      </c>
      <c r="AI568" t="s">
        <v>54</v>
      </c>
      <c r="AK568">
        <v>0</v>
      </c>
      <c r="AM568">
        <v>0</v>
      </c>
      <c r="AP568" t="s">
        <v>325</v>
      </c>
    </row>
    <row r="569" spans="1:42" customFormat="1">
      <c r="A569">
        <v>268437</v>
      </c>
      <c r="B569" t="s">
        <v>970</v>
      </c>
      <c r="C569" t="s">
        <v>971</v>
      </c>
      <c r="D569" s="22">
        <v>0</v>
      </c>
      <c r="E569" s="17">
        <v>42128</v>
      </c>
      <c r="F569" s="18">
        <v>0.66150462962962964</v>
      </c>
      <c r="G569" s="22">
        <v>15</v>
      </c>
      <c r="H569">
        <v>0</v>
      </c>
      <c r="I569" s="19" t="e">
        <f>I568 + (D569-G569)</f>
        <v>#VALUE!</v>
      </c>
      <c r="M569">
        <v>122753</v>
      </c>
      <c r="N569">
        <v>60</v>
      </c>
      <c r="O569" t="s">
        <v>60</v>
      </c>
      <c r="P569">
        <v>1</v>
      </c>
      <c r="R569">
        <v>575</v>
      </c>
      <c r="S569" s="17">
        <v>42130</v>
      </c>
      <c r="T569" s="17">
        <v>42130</v>
      </c>
      <c r="W569">
        <v>2015</v>
      </c>
      <c r="X569">
        <v>60</v>
      </c>
      <c r="AC569" t="s">
        <v>61</v>
      </c>
      <c r="AD569" t="s">
        <v>302</v>
      </c>
      <c r="AE569" t="s">
        <v>46</v>
      </c>
      <c r="AG569">
        <v>52</v>
      </c>
      <c r="AH569">
        <v>9</v>
      </c>
      <c r="AI569" t="s">
        <v>54</v>
      </c>
      <c r="AK569">
        <v>0</v>
      </c>
      <c r="AM569">
        <v>0</v>
      </c>
      <c r="AP569" t="s">
        <v>325</v>
      </c>
    </row>
    <row r="570" spans="1:42" customFormat="1">
      <c r="A570">
        <v>268438</v>
      </c>
      <c r="B570" t="s">
        <v>972</v>
      </c>
      <c r="C570" t="s">
        <v>973</v>
      </c>
      <c r="D570" s="22">
        <v>0</v>
      </c>
      <c r="E570" s="17">
        <v>42128</v>
      </c>
      <c r="F570" s="18">
        <v>0.66150462962962964</v>
      </c>
      <c r="G570" s="22">
        <v>15</v>
      </c>
      <c r="H570">
        <v>0</v>
      </c>
      <c r="I570" s="19" t="e">
        <f>I569 + (D570-G570)</f>
        <v>#VALUE!</v>
      </c>
      <c r="M570">
        <v>122763</v>
      </c>
      <c r="N570">
        <v>60</v>
      </c>
      <c r="O570" t="s">
        <v>60</v>
      </c>
      <c r="P570">
        <v>1</v>
      </c>
      <c r="R570">
        <v>575</v>
      </c>
      <c r="S570" s="17">
        <v>42130</v>
      </c>
      <c r="T570" s="17">
        <v>42130</v>
      </c>
      <c r="W570">
        <v>2015</v>
      </c>
      <c r="X570">
        <v>60</v>
      </c>
      <c r="AC570" t="s">
        <v>61</v>
      </c>
      <c r="AD570" t="s">
        <v>302</v>
      </c>
      <c r="AE570" t="s">
        <v>46</v>
      </c>
      <c r="AG570">
        <v>52</v>
      </c>
      <c r="AH570">
        <v>9</v>
      </c>
      <c r="AI570" t="s">
        <v>54</v>
      </c>
      <c r="AK570">
        <v>0</v>
      </c>
      <c r="AM570">
        <v>0</v>
      </c>
      <c r="AP570" t="s">
        <v>325</v>
      </c>
    </row>
    <row r="571" spans="1:42" customFormat="1">
      <c r="A571">
        <v>268426</v>
      </c>
      <c r="B571" t="s">
        <v>974</v>
      </c>
      <c r="C571" t="s">
        <v>975</v>
      </c>
      <c r="D571" s="22">
        <v>0</v>
      </c>
      <c r="E571" s="17">
        <v>42128</v>
      </c>
      <c r="F571" s="18">
        <v>0.66150462962962964</v>
      </c>
      <c r="G571" s="22">
        <v>15</v>
      </c>
      <c r="H571">
        <v>0</v>
      </c>
      <c r="I571" s="19" t="e">
        <f>I570 + (D571-G571)</f>
        <v>#VALUE!</v>
      </c>
      <c r="M571">
        <v>122757</v>
      </c>
      <c r="N571">
        <v>60</v>
      </c>
      <c r="O571" t="s">
        <v>60</v>
      </c>
      <c r="P571">
        <v>1</v>
      </c>
      <c r="R571">
        <v>575</v>
      </c>
      <c r="S571" s="17">
        <v>42130</v>
      </c>
      <c r="T571" s="17">
        <v>42130</v>
      </c>
      <c r="W571">
        <v>2015</v>
      </c>
      <c r="X571">
        <v>60</v>
      </c>
      <c r="AC571" t="s">
        <v>61</v>
      </c>
      <c r="AD571" t="s">
        <v>302</v>
      </c>
      <c r="AE571" t="s">
        <v>46</v>
      </c>
      <c r="AG571">
        <v>52</v>
      </c>
      <c r="AH571">
        <v>9</v>
      </c>
      <c r="AI571" t="s">
        <v>54</v>
      </c>
      <c r="AK571">
        <v>0</v>
      </c>
      <c r="AM571">
        <v>0</v>
      </c>
      <c r="AP571" t="s">
        <v>325</v>
      </c>
    </row>
    <row r="572" spans="1:42" customFormat="1">
      <c r="A572">
        <v>268427</v>
      </c>
      <c r="B572" t="s">
        <v>976</v>
      </c>
      <c r="C572" t="s">
        <v>977</v>
      </c>
      <c r="D572" s="22">
        <v>0</v>
      </c>
      <c r="E572" s="17">
        <v>42128</v>
      </c>
      <c r="F572" s="18">
        <v>0.66150462962962964</v>
      </c>
      <c r="G572" s="22">
        <v>15</v>
      </c>
      <c r="H572">
        <v>0</v>
      </c>
      <c r="I572" s="19" t="e">
        <f>I571 + (D572-G572)</f>
        <v>#VALUE!</v>
      </c>
      <c r="M572">
        <v>122748</v>
      </c>
      <c r="N572">
        <v>60</v>
      </c>
      <c r="O572" t="s">
        <v>60</v>
      </c>
      <c r="P572">
        <v>1</v>
      </c>
      <c r="R572">
        <v>575</v>
      </c>
      <c r="S572" s="17">
        <v>42130</v>
      </c>
      <c r="T572" s="17">
        <v>42130</v>
      </c>
      <c r="W572">
        <v>2015</v>
      </c>
      <c r="X572">
        <v>60</v>
      </c>
      <c r="AC572" t="s">
        <v>61</v>
      </c>
      <c r="AD572" t="s">
        <v>302</v>
      </c>
      <c r="AE572" t="s">
        <v>46</v>
      </c>
      <c r="AG572">
        <v>52</v>
      </c>
      <c r="AH572">
        <v>9</v>
      </c>
      <c r="AI572" t="s">
        <v>54</v>
      </c>
      <c r="AK572">
        <v>0</v>
      </c>
      <c r="AM572">
        <v>0</v>
      </c>
      <c r="AP572" t="s">
        <v>325</v>
      </c>
    </row>
    <row r="573" spans="1:42" customFormat="1">
      <c r="A573">
        <v>268428</v>
      </c>
      <c r="B573" t="s">
        <v>978</v>
      </c>
      <c r="C573" t="s">
        <v>979</v>
      </c>
      <c r="D573" s="22">
        <v>0</v>
      </c>
      <c r="E573" s="17">
        <v>42128</v>
      </c>
      <c r="F573" s="18">
        <v>0.66150462962962964</v>
      </c>
      <c r="G573" s="22">
        <v>15</v>
      </c>
      <c r="H573">
        <v>0</v>
      </c>
      <c r="I573" s="19" t="e">
        <f>I572 + (D573-G573)</f>
        <v>#VALUE!</v>
      </c>
      <c r="M573">
        <v>122758</v>
      </c>
      <c r="N573">
        <v>60</v>
      </c>
      <c r="O573" t="s">
        <v>60</v>
      </c>
      <c r="P573">
        <v>1</v>
      </c>
      <c r="R573">
        <v>575</v>
      </c>
      <c r="S573" s="17">
        <v>42130</v>
      </c>
      <c r="T573" s="17">
        <v>42130</v>
      </c>
      <c r="W573">
        <v>2015</v>
      </c>
      <c r="X573">
        <v>60</v>
      </c>
      <c r="AC573" t="s">
        <v>61</v>
      </c>
      <c r="AD573" t="s">
        <v>302</v>
      </c>
      <c r="AE573" t="s">
        <v>46</v>
      </c>
      <c r="AG573">
        <v>52</v>
      </c>
      <c r="AH573">
        <v>9</v>
      </c>
      <c r="AI573" t="s">
        <v>54</v>
      </c>
      <c r="AK573">
        <v>0</v>
      </c>
      <c r="AM573">
        <v>0</v>
      </c>
      <c r="AP573" t="s">
        <v>325</v>
      </c>
    </row>
    <row r="574" spans="1:42" customFormat="1">
      <c r="A574">
        <v>268429</v>
      </c>
      <c r="B574" t="s">
        <v>980</v>
      </c>
      <c r="C574" t="s">
        <v>981</v>
      </c>
      <c r="D574" s="22">
        <v>0</v>
      </c>
      <c r="E574" s="17">
        <v>42128</v>
      </c>
      <c r="F574" s="18">
        <v>0.66150462962962964</v>
      </c>
      <c r="G574" s="22">
        <v>15</v>
      </c>
      <c r="H574">
        <v>0</v>
      </c>
      <c r="I574" s="19" t="e">
        <f>I573 + (D574-G574)</f>
        <v>#VALUE!</v>
      </c>
      <c r="M574">
        <v>122749</v>
      </c>
      <c r="N574">
        <v>60</v>
      </c>
      <c r="O574" t="s">
        <v>60</v>
      </c>
      <c r="P574">
        <v>1</v>
      </c>
      <c r="R574">
        <v>575</v>
      </c>
      <c r="S574" s="17">
        <v>42130</v>
      </c>
      <c r="T574" s="17">
        <v>42130</v>
      </c>
      <c r="W574">
        <v>2015</v>
      </c>
      <c r="X574">
        <v>60</v>
      </c>
      <c r="AC574" t="s">
        <v>61</v>
      </c>
      <c r="AD574" t="s">
        <v>302</v>
      </c>
      <c r="AE574" t="s">
        <v>46</v>
      </c>
      <c r="AG574">
        <v>52</v>
      </c>
      <c r="AH574">
        <v>9</v>
      </c>
      <c r="AI574" t="s">
        <v>54</v>
      </c>
      <c r="AK574">
        <v>0</v>
      </c>
      <c r="AM574">
        <v>0</v>
      </c>
      <c r="AP574" t="s">
        <v>325</v>
      </c>
    </row>
    <row r="575" spans="1:42" customFormat="1">
      <c r="A575">
        <v>268430</v>
      </c>
      <c r="B575" t="s">
        <v>982</v>
      </c>
      <c r="C575" t="s">
        <v>983</v>
      </c>
      <c r="D575" s="22">
        <v>0</v>
      </c>
      <c r="E575" s="17">
        <v>42128</v>
      </c>
      <c r="F575" s="18">
        <v>0.66150462962962964</v>
      </c>
      <c r="G575" s="22">
        <v>15</v>
      </c>
      <c r="H575">
        <v>0</v>
      </c>
      <c r="I575" s="19" t="e">
        <f>I574 + (D575-G575)</f>
        <v>#VALUE!</v>
      </c>
      <c r="M575">
        <v>122759</v>
      </c>
      <c r="N575">
        <v>60</v>
      </c>
      <c r="O575" t="s">
        <v>60</v>
      </c>
      <c r="P575">
        <v>1</v>
      </c>
      <c r="R575">
        <v>575</v>
      </c>
      <c r="S575" s="17">
        <v>42130</v>
      </c>
      <c r="T575" s="17">
        <v>42130</v>
      </c>
      <c r="W575">
        <v>2015</v>
      </c>
      <c r="X575">
        <v>60</v>
      </c>
      <c r="AC575" t="s">
        <v>61</v>
      </c>
      <c r="AD575" t="s">
        <v>302</v>
      </c>
      <c r="AE575" t="s">
        <v>46</v>
      </c>
      <c r="AG575">
        <v>52</v>
      </c>
      <c r="AH575">
        <v>9</v>
      </c>
      <c r="AI575" t="s">
        <v>54</v>
      </c>
      <c r="AK575">
        <v>0</v>
      </c>
      <c r="AM575">
        <v>0</v>
      </c>
      <c r="AP575" t="s">
        <v>325</v>
      </c>
    </row>
    <row r="576" spans="1:42" customFormat="1">
      <c r="A576">
        <v>268439</v>
      </c>
      <c r="B576" t="s">
        <v>984</v>
      </c>
      <c r="C576" t="s">
        <v>985</v>
      </c>
      <c r="D576" s="22">
        <v>0</v>
      </c>
      <c r="E576" s="17">
        <v>42128</v>
      </c>
      <c r="F576" s="18">
        <v>0.66151620370370368</v>
      </c>
      <c r="G576" s="22">
        <v>15</v>
      </c>
      <c r="H576">
        <v>0</v>
      </c>
      <c r="I576" s="19" t="e">
        <f>I575 + (D576-G576)</f>
        <v>#VALUE!</v>
      </c>
      <c r="M576">
        <v>122754</v>
      </c>
      <c r="N576">
        <v>60</v>
      </c>
      <c r="O576" t="s">
        <v>60</v>
      </c>
      <c r="P576">
        <v>1</v>
      </c>
      <c r="R576">
        <v>575</v>
      </c>
      <c r="S576" s="17">
        <v>42130</v>
      </c>
      <c r="T576" s="17">
        <v>42130</v>
      </c>
      <c r="W576">
        <v>2015</v>
      </c>
      <c r="X576">
        <v>60</v>
      </c>
      <c r="AC576" t="s">
        <v>61</v>
      </c>
      <c r="AD576" t="s">
        <v>302</v>
      </c>
      <c r="AE576" t="s">
        <v>46</v>
      </c>
      <c r="AG576">
        <v>52</v>
      </c>
      <c r="AH576">
        <v>9</v>
      </c>
      <c r="AI576" t="s">
        <v>54</v>
      </c>
      <c r="AK576">
        <v>0</v>
      </c>
      <c r="AM576">
        <v>0</v>
      </c>
      <c r="AP576" t="s">
        <v>325</v>
      </c>
    </row>
    <row r="577" spans="1:42" customFormat="1">
      <c r="A577">
        <v>268440</v>
      </c>
      <c r="B577" t="s">
        <v>986</v>
      </c>
      <c r="C577" t="s">
        <v>987</v>
      </c>
      <c r="D577" s="22">
        <v>0</v>
      </c>
      <c r="E577" s="17">
        <v>42128</v>
      </c>
      <c r="F577" s="18">
        <v>0.66151620370370368</v>
      </c>
      <c r="G577" s="22">
        <v>15</v>
      </c>
      <c r="H577">
        <v>0</v>
      </c>
      <c r="I577" s="19" t="e">
        <f>I576 + (D577-G577)</f>
        <v>#VALUE!</v>
      </c>
      <c r="M577">
        <v>122755</v>
      </c>
      <c r="N577">
        <v>60</v>
      </c>
      <c r="O577" t="s">
        <v>60</v>
      </c>
      <c r="P577">
        <v>1</v>
      </c>
      <c r="R577">
        <v>575</v>
      </c>
      <c r="S577" s="17">
        <v>42130</v>
      </c>
      <c r="T577" s="17">
        <v>42130</v>
      </c>
      <c r="W577">
        <v>2015</v>
      </c>
      <c r="X577">
        <v>60</v>
      </c>
      <c r="AC577" t="s">
        <v>61</v>
      </c>
      <c r="AD577" t="s">
        <v>302</v>
      </c>
      <c r="AE577" t="s">
        <v>46</v>
      </c>
      <c r="AG577">
        <v>52</v>
      </c>
      <c r="AH577">
        <v>9</v>
      </c>
      <c r="AI577" t="s">
        <v>54</v>
      </c>
      <c r="AK577">
        <v>0</v>
      </c>
      <c r="AM577">
        <v>0</v>
      </c>
      <c r="AP577" t="s">
        <v>325</v>
      </c>
    </row>
    <row r="578" spans="1:42" customFormat="1">
      <c r="A578">
        <v>268441</v>
      </c>
      <c r="B578" t="s">
        <v>988</v>
      </c>
      <c r="C578" t="s">
        <v>989</v>
      </c>
      <c r="D578" s="22">
        <v>0</v>
      </c>
      <c r="E578" s="17">
        <v>42128</v>
      </c>
      <c r="F578" s="18">
        <v>0.66151620370370368</v>
      </c>
      <c r="G578" s="22">
        <v>15</v>
      </c>
      <c r="H578">
        <v>0</v>
      </c>
      <c r="I578" s="19" t="e">
        <f>I577 + (D578-G578)</f>
        <v>#VALUE!</v>
      </c>
      <c r="M578">
        <v>122756</v>
      </c>
      <c r="N578">
        <v>60</v>
      </c>
      <c r="O578" t="s">
        <v>60</v>
      </c>
      <c r="P578">
        <v>1</v>
      </c>
      <c r="R578">
        <v>575</v>
      </c>
      <c r="S578" s="17">
        <v>42130</v>
      </c>
      <c r="T578" s="17">
        <v>42130</v>
      </c>
      <c r="W578">
        <v>2015</v>
      </c>
      <c r="X578">
        <v>60</v>
      </c>
      <c r="AC578" t="s">
        <v>61</v>
      </c>
      <c r="AD578" t="s">
        <v>302</v>
      </c>
      <c r="AE578" t="s">
        <v>46</v>
      </c>
      <c r="AG578">
        <v>52</v>
      </c>
      <c r="AH578">
        <v>9</v>
      </c>
      <c r="AI578" t="s">
        <v>54</v>
      </c>
      <c r="AK578">
        <v>0</v>
      </c>
      <c r="AM578">
        <v>0</v>
      </c>
      <c r="AP578" t="s">
        <v>325</v>
      </c>
    </row>
    <row r="579" spans="1:42" customFormat="1">
      <c r="A579">
        <v>268442</v>
      </c>
      <c r="B579" t="s">
        <v>990</v>
      </c>
      <c r="C579" t="s">
        <v>991</v>
      </c>
      <c r="D579" s="22">
        <v>0</v>
      </c>
      <c r="E579" s="17">
        <v>42128</v>
      </c>
      <c r="F579" s="18">
        <v>0.6647453703703704</v>
      </c>
      <c r="G579" s="22">
        <v>38.5</v>
      </c>
      <c r="H579">
        <v>0</v>
      </c>
      <c r="I579" s="19" t="e">
        <f>I578 + (D579-G579)</f>
        <v>#VALUE!</v>
      </c>
      <c r="M579">
        <v>122764</v>
      </c>
      <c r="N579">
        <v>60</v>
      </c>
      <c r="O579" t="s">
        <v>60</v>
      </c>
      <c r="P579">
        <v>1</v>
      </c>
      <c r="R579">
        <v>575</v>
      </c>
      <c r="S579" s="17">
        <v>42130</v>
      </c>
      <c r="T579" s="17">
        <v>42130</v>
      </c>
      <c r="W579">
        <v>2015</v>
      </c>
      <c r="X579">
        <v>60</v>
      </c>
      <c r="AC579" t="s">
        <v>61</v>
      </c>
      <c r="AD579" t="s">
        <v>302</v>
      </c>
      <c r="AE579" t="s">
        <v>46</v>
      </c>
      <c r="AG579">
        <v>52</v>
      </c>
      <c r="AH579">
        <v>9</v>
      </c>
      <c r="AI579" t="s">
        <v>54</v>
      </c>
      <c r="AK579">
        <v>0</v>
      </c>
      <c r="AM579">
        <v>0</v>
      </c>
      <c r="AP579" t="s">
        <v>325</v>
      </c>
    </row>
    <row r="580" spans="1:42" customFormat="1">
      <c r="A580">
        <v>268443</v>
      </c>
      <c r="B580" t="s">
        <v>992</v>
      </c>
      <c r="C580" t="s">
        <v>993</v>
      </c>
      <c r="D580" s="22">
        <v>0</v>
      </c>
      <c r="E580" s="17">
        <v>42128</v>
      </c>
      <c r="F580" s="18">
        <v>0.66475694444444444</v>
      </c>
      <c r="G580" s="22">
        <v>9.4</v>
      </c>
      <c r="H580">
        <v>0</v>
      </c>
      <c r="I580" s="19" t="e">
        <f>I579 + (D580-G580)</f>
        <v>#VALUE!</v>
      </c>
      <c r="M580">
        <v>122765</v>
      </c>
      <c r="N580">
        <v>60</v>
      </c>
      <c r="O580" t="s">
        <v>60</v>
      </c>
      <c r="P580">
        <v>1</v>
      </c>
      <c r="R580">
        <v>575</v>
      </c>
      <c r="S580" s="17">
        <v>42130</v>
      </c>
      <c r="T580" s="17">
        <v>42130</v>
      </c>
      <c r="W580">
        <v>2015</v>
      </c>
      <c r="X580">
        <v>60</v>
      </c>
      <c r="AC580" t="s">
        <v>61</v>
      </c>
      <c r="AD580" t="s">
        <v>302</v>
      </c>
      <c r="AE580" t="s">
        <v>46</v>
      </c>
      <c r="AG580">
        <v>52</v>
      </c>
      <c r="AH580">
        <v>9</v>
      </c>
      <c r="AI580" t="s">
        <v>54</v>
      </c>
      <c r="AK580">
        <v>0</v>
      </c>
      <c r="AM580">
        <v>0</v>
      </c>
      <c r="AP580" t="s">
        <v>325</v>
      </c>
    </row>
    <row r="581" spans="1:42" customFormat="1">
      <c r="A581">
        <v>268444</v>
      </c>
      <c r="B581" t="s">
        <v>994</v>
      </c>
      <c r="C581" t="s">
        <v>995</v>
      </c>
      <c r="D581" s="22">
        <v>0</v>
      </c>
      <c r="E581" s="17">
        <v>42128</v>
      </c>
      <c r="F581" s="18">
        <v>0.66475694444444444</v>
      </c>
      <c r="G581" s="22">
        <v>22</v>
      </c>
      <c r="H581">
        <v>0</v>
      </c>
      <c r="I581" s="19" t="e">
        <f>I580 + (D581-G581)</f>
        <v>#VALUE!</v>
      </c>
      <c r="M581">
        <v>122766</v>
      </c>
      <c r="N581">
        <v>60</v>
      </c>
      <c r="O581" t="s">
        <v>60</v>
      </c>
      <c r="P581">
        <v>1</v>
      </c>
      <c r="R581">
        <v>575</v>
      </c>
      <c r="S581" s="17">
        <v>42130</v>
      </c>
      <c r="T581" s="17">
        <v>42130</v>
      </c>
      <c r="W581">
        <v>2015</v>
      </c>
      <c r="X581">
        <v>60</v>
      </c>
      <c r="AC581" t="s">
        <v>61</v>
      </c>
      <c r="AD581" t="s">
        <v>302</v>
      </c>
      <c r="AE581" t="s">
        <v>46</v>
      </c>
      <c r="AG581">
        <v>52</v>
      </c>
      <c r="AH581">
        <v>9</v>
      </c>
      <c r="AI581" t="s">
        <v>54</v>
      </c>
      <c r="AK581">
        <v>0</v>
      </c>
      <c r="AM581">
        <v>0</v>
      </c>
      <c r="AP581" t="s">
        <v>325</v>
      </c>
    </row>
    <row r="582" spans="1:42" customFormat="1">
      <c r="A582">
        <v>268449</v>
      </c>
      <c r="B582" t="s">
        <v>1000</v>
      </c>
      <c r="C582" t="s">
        <v>1001</v>
      </c>
      <c r="D582" s="22">
        <v>0</v>
      </c>
      <c r="E582" s="17">
        <v>42128</v>
      </c>
      <c r="F582" s="18">
        <v>0.66613425925925929</v>
      </c>
      <c r="G582" s="22">
        <v>15</v>
      </c>
      <c r="H582">
        <v>0</v>
      </c>
      <c r="I582" s="19" t="e">
        <f>I581 + (D582-G582)</f>
        <v>#VALUE!</v>
      </c>
      <c r="M582">
        <v>122772</v>
      </c>
      <c r="N582">
        <v>60</v>
      </c>
      <c r="O582" t="s">
        <v>60</v>
      </c>
      <c r="P582">
        <v>1</v>
      </c>
      <c r="R582">
        <v>575</v>
      </c>
      <c r="S582" s="17">
        <v>42130</v>
      </c>
      <c r="T582" s="17">
        <v>42130</v>
      </c>
      <c r="W582">
        <v>2015</v>
      </c>
      <c r="X582">
        <v>60</v>
      </c>
      <c r="AC582" t="s">
        <v>61</v>
      </c>
      <c r="AD582" t="s">
        <v>302</v>
      </c>
      <c r="AE582" t="s">
        <v>46</v>
      </c>
      <c r="AG582">
        <v>52</v>
      </c>
      <c r="AH582">
        <v>9</v>
      </c>
      <c r="AI582" t="s">
        <v>54</v>
      </c>
      <c r="AK582">
        <v>0</v>
      </c>
      <c r="AM582">
        <v>0</v>
      </c>
      <c r="AP582" t="s">
        <v>325</v>
      </c>
    </row>
    <row r="583" spans="1:42" customFormat="1">
      <c r="A583">
        <v>268450</v>
      </c>
      <c r="B583" t="s">
        <v>1002</v>
      </c>
      <c r="C583" t="s">
        <v>1003</v>
      </c>
      <c r="D583" s="22">
        <v>0</v>
      </c>
      <c r="E583" s="17">
        <v>42128</v>
      </c>
      <c r="F583" s="18">
        <v>0.66613425925925929</v>
      </c>
      <c r="G583" s="22">
        <v>15</v>
      </c>
      <c r="H583">
        <v>0</v>
      </c>
      <c r="I583" s="19" t="e">
        <f>I582 + (D583-G583)</f>
        <v>#VALUE!</v>
      </c>
      <c r="M583">
        <v>122773</v>
      </c>
      <c r="N583">
        <v>60</v>
      </c>
      <c r="O583" t="s">
        <v>60</v>
      </c>
      <c r="P583">
        <v>1</v>
      </c>
      <c r="R583">
        <v>575</v>
      </c>
      <c r="S583" s="17">
        <v>42130</v>
      </c>
      <c r="T583" s="17">
        <v>42130</v>
      </c>
      <c r="W583">
        <v>2015</v>
      </c>
      <c r="X583">
        <v>60</v>
      </c>
      <c r="AC583" t="s">
        <v>61</v>
      </c>
      <c r="AD583" t="s">
        <v>302</v>
      </c>
      <c r="AE583" t="s">
        <v>46</v>
      </c>
      <c r="AG583">
        <v>52</v>
      </c>
      <c r="AH583">
        <v>9</v>
      </c>
      <c r="AI583" t="s">
        <v>54</v>
      </c>
      <c r="AK583">
        <v>0</v>
      </c>
      <c r="AM583">
        <v>0</v>
      </c>
      <c r="AP583" t="s">
        <v>325</v>
      </c>
    </row>
    <row r="584" spans="1:42" customFormat="1">
      <c r="A584">
        <v>268451</v>
      </c>
      <c r="B584" t="s">
        <v>1004</v>
      </c>
      <c r="C584" t="s">
        <v>1005</v>
      </c>
      <c r="D584" s="22">
        <v>0</v>
      </c>
      <c r="E584" s="17">
        <v>42128</v>
      </c>
      <c r="F584" s="18">
        <v>0.66613425925925929</v>
      </c>
      <c r="G584" s="22">
        <v>15</v>
      </c>
      <c r="H584">
        <v>0</v>
      </c>
      <c r="I584" s="19" t="e">
        <f>I583 + (D584-G584)</f>
        <v>#VALUE!</v>
      </c>
      <c r="M584">
        <v>122774</v>
      </c>
      <c r="N584">
        <v>60</v>
      </c>
      <c r="O584" t="s">
        <v>60</v>
      </c>
      <c r="P584">
        <v>1</v>
      </c>
      <c r="R584">
        <v>575</v>
      </c>
      <c r="S584" s="17">
        <v>42130</v>
      </c>
      <c r="T584" s="17">
        <v>42130</v>
      </c>
      <c r="W584">
        <v>2015</v>
      </c>
      <c r="X584">
        <v>60</v>
      </c>
      <c r="AC584" t="s">
        <v>61</v>
      </c>
      <c r="AD584" t="s">
        <v>302</v>
      </c>
      <c r="AE584" t="s">
        <v>46</v>
      </c>
      <c r="AG584">
        <v>52</v>
      </c>
      <c r="AH584">
        <v>9</v>
      </c>
      <c r="AI584" t="s">
        <v>54</v>
      </c>
      <c r="AK584">
        <v>0</v>
      </c>
      <c r="AM584">
        <v>0</v>
      </c>
      <c r="AP584" t="s">
        <v>325</v>
      </c>
    </row>
    <row r="585" spans="1:42" customFormat="1">
      <c r="A585">
        <v>268452</v>
      </c>
      <c r="B585" t="s">
        <v>1006</v>
      </c>
      <c r="C585" t="s">
        <v>1007</v>
      </c>
      <c r="D585" s="22">
        <v>0</v>
      </c>
      <c r="E585" s="17">
        <v>42128</v>
      </c>
      <c r="F585" s="18">
        <v>0.66613425925925929</v>
      </c>
      <c r="G585" s="22">
        <v>15</v>
      </c>
      <c r="H585">
        <v>0</v>
      </c>
      <c r="I585" s="19" t="e">
        <f>I584 + (D585-G585)</f>
        <v>#VALUE!</v>
      </c>
      <c r="M585">
        <v>122775</v>
      </c>
      <c r="N585">
        <v>60</v>
      </c>
      <c r="O585" t="s">
        <v>60</v>
      </c>
      <c r="P585">
        <v>1</v>
      </c>
      <c r="R585">
        <v>575</v>
      </c>
      <c r="S585" s="17">
        <v>42130</v>
      </c>
      <c r="T585" s="17">
        <v>42130</v>
      </c>
      <c r="W585">
        <v>2015</v>
      </c>
      <c r="X585">
        <v>60</v>
      </c>
      <c r="AC585" t="s">
        <v>61</v>
      </c>
      <c r="AD585" t="s">
        <v>302</v>
      </c>
      <c r="AE585" t="s">
        <v>46</v>
      </c>
      <c r="AG585">
        <v>52</v>
      </c>
      <c r="AH585">
        <v>9</v>
      </c>
      <c r="AI585" t="s">
        <v>54</v>
      </c>
      <c r="AK585">
        <v>0</v>
      </c>
      <c r="AM585">
        <v>0</v>
      </c>
      <c r="AP585" t="s">
        <v>325</v>
      </c>
    </row>
    <row r="586" spans="1:42" customFormat="1">
      <c r="A586">
        <v>268453</v>
      </c>
      <c r="B586" t="s">
        <v>1008</v>
      </c>
      <c r="C586" t="s">
        <v>1009</v>
      </c>
      <c r="D586" s="22">
        <v>0</v>
      </c>
      <c r="E586" s="17">
        <v>42128</v>
      </c>
      <c r="F586" s="18">
        <v>0.66613425925925929</v>
      </c>
      <c r="G586" s="22">
        <v>15</v>
      </c>
      <c r="H586">
        <v>0</v>
      </c>
      <c r="I586" s="19" t="e">
        <f>I585 + (D586-G586)</f>
        <v>#VALUE!</v>
      </c>
      <c r="M586">
        <v>122776</v>
      </c>
      <c r="N586">
        <v>60</v>
      </c>
      <c r="O586" t="s">
        <v>60</v>
      </c>
      <c r="P586">
        <v>1</v>
      </c>
      <c r="R586">
        <v>575</v>
      </c>
      <c r="S586" s="17">
        <v>42130</v>
      </c>
      <c r="T586" s="17">
        <v>42130</v>
      </c>
      <c r="W586">
        <v>2015</v>
      </c>
      <c r="X586">
        <v>60</v>
      </c>
      <c r="AC586" t="s">
        <v>61</v>
      </c>
      <c r="AD586" t="s">
        <v>302</v>
      </c>
      <c r="AE586" t="s">
        <v>46</v>
      </c>
      <c r="AG586">
        <v>52</v>
      </c>
      <c r="AH586">
        <v>9</v>
      </c>
      <c r="AI586" t="s">
        <v>54</v>
      </c>
      <c r="AK586">
        <v>0</v>
      </c>
      <c r="AM586">
        <v>0</v>
      </c>
      <c r="AP586" t="s">
        <v>325</v>
      </c>
    </row>
    <row r="587" spans="1:42" customFormat="1">
      <c r="A587">
        <v>268454</v>
      </c>
      <c r="B587" t="s">
        <v>1010</v>
      </c>
      <c r="C587" t="s">
        <v>1011</v>
      </c>
      <c r="D587" s="22">
        <v>0</v>
      </c>
      <c r="E587" s="17">
        <v>42128</v>
      </c>
      <c r="F587" s="18">
        <v>0.66613425925925929</v>
      </c>
      <c r="G587" s="22">
        <v>15</v>
      </c>
      <c r="H587">
        <v>0</v>
      </c>
      <c r="I587" s="19" t="e">
        <f>I586 + (D587-G587)</f>
        <v>#VALUE!</v>
      </c>
      <c r="M587">
        <v>122777</v>
      </c>
      <c r="N587">
        <v>60</v>
      </c>
      <c r="O587" t="s">
        <v>60</v>
      </c>
      <c r="P587">
        <v>1</v>
      </c>
      <c r="R587">
        <v>575</v>
      </c>
      <c r="S587" s="17">
        <v>42130</v>
      </c>
      <c r="T587" s="17">
        <v>42130</v>
      </c>
      <c r="W587">
        <v>2015</v>
      </c>
      <c r="X587">
        <v>60</v>
      </c>
      <c r="AC587" t="s">
        <v>61</v>
      </c>
      <c r="AD587" t="s">
        <v>302</v>
      </c>
      <c r="AE587" t="s">
        <v>46</v>
      </c>
      <c r="AG587">
        <v>52</v>
      </c>
      <c r="AH587">
        <v>9</v>
      </c>
      <c r="AI587" t="s">
        <v>54</v>
      </c>
      <c r="AK587">
        <v>0</v>
      </c>
      <c r="AM587">
        <v>0</v>
      </c>
      <c r="AP587" t="s">
        <v>325</v>
      </c>
    </row>
    <row r="588" spans="1:42" customFormat="1">
      <c r="A588">
        <v>268460</v>
      </c>
      <c r="B588" t="s">
        <v>1013</v>
      </c>
      <c r="C588" t="s">
        <v>1014</v>
      </c>
      <c r="D588" s="22">
        <v>0</v>
      </c>
      <c r="E588" s="17">
        <v>42128</v>
      </c>
      <c r="F588" s="18">
        <v>0.66855324074074074</v>
      </c>
      <c r="G588" s="22">
        <v>12.53</v>
      </c>
      <c r="H588">
        <v>0</v>
      </c>
      <c r="I588" s="19" t="e">
        <f>I587 + (D588-G588)</f>
        <v>#VALUE!</v>
      </c>
      <c r="M588">
        <v>122780</v>
      </c>
      <c r="N588">
        <v>60</v>
      </c>
      <c r="O588" t="s">
        <v>60</v>
      </c>
      <c r="P588">
        <v>1</v>
      </c>
      <c r="R588">
        <v>575</v>
      </c>
      <c r="S588" s="17">
        <v>42130</v>
      </c>
      <c r="T588" s="17">
        <v>42130</v>
      </c>
      <c r="W588">
        <v>2015</v>
      </c>
      <c r="X588">
        <v>60</v>
      </c>
      <c r="AC588" t="s">
        <v>61</v>
      </c>
      <c r="AD588" t="s">
        <v>302</v>
      </c>
      <c r="AE588" t="s">
        <v>46</v>
      </c>
      <c r="AG588">
        <v>52</v>
      </c>
      <c r="AH588">
        <v>9</v>
      </c>
      <c r="AI588" t="s">
        <v>54</v>
      </c>
      <c r="AK588">
        <v>0</v>
      </c>
      <c r="AM588">
        <v>0</v>
      </c>
      <c r="AP588" t="s">
        <v>325</v>
      </c>
    </row>
    <row r="589" spans="1:42" customFormat="1">
      <c r="A589">
        <v>268461</v>
      </c>
      <c r="B589" t="s">
        <v>1015</v>
      </c>
      <c r="C589" t="s">
        <v>1016</v>
      </c>
      <c r="D589" s="22">
        <v>0</v>
      </c>
      <c r="E589" s="17">
        <v>42128</v>
      </c>
      <c r="F589" s="18">
        <v>0.66855324074074074</v>
      </c>
      <c r="G589" s="22">
        <v>11.96</v>
      </c>
      <c r="H589">
        <v>0</v>
      </c>
      <c r="I589" s="19" t="e">
        <f>I588 + (D589-G589)</f>
        <v>#VALUE!</v>
      </c>
      <c r="M589">
        <v>122781</v>
      </c>
      <c r="N589">
        <v>60</v>
      </c>
      <c r="O589" t="s">
        <v>60</v>
      </c>
      <c r="P589">
        <v>1</v>
      </c>
      <c r="R589">
        <v>575</v>
      </c>
      <c r="S589" s="17">
        <v>42130</v>
      </c>
      <c r="T589" s="17">
        <v>42130</v>
      </c>
      <c r="W589">
        <v>2015</v>
      </c>
      <c r="X589">
        <v>60</v>
      </c>
      <c r="AC589" t="s">
        <v>61</v>
      </c>
      <c r="AD589" t="s">
        <v>302</v>
      </c>
      <c r="AE589" t="s">
        <v>46</v>
      </c>
      <c r="AG589">
        <v>52</v>
      </c>
      <c r="AH589">
        <v>9</v>
      </c>
      <c r="AI589" t="s">
        <v>54</v>
      </c>
      <c r="AK589">
        <v>0</v>
      </c>
      <c r="AM589">
        <v>0</v>
      </c>
      <c r="AP589" t="s">
        <v>325</v>
      </c>
    </row>
    <row r="590" spans="1:42" customFormat="1">
      <c r="A590">
        <v>268462</v>
      </c>
      <c r="B590" t="s">
        <v>1017</v>
      </c>
      <c r="C590" t="s">
        <v>1018</v>
      </c>
      <c r="D590" s="22">
        <v>0</v>
      </c>
      <c r="E590" s="17">
        <v>42128</v>
      </c>
      <c r="F590" s="18">
        <v>0.66855324074074074</v>
      </c>
      <c r="G590" s="22">
        <v>7.23</v>
      </c>
      <c r="H590">
        <v>0</v>
      </c>
      <c r="I590" s="19" t="e">
        <f>I589 + (D590-G590)</f>
        <v>#VALUE!</v>
      </c>
      <c r="M590">
        <v>122782</v>
      </c>
      <c r="N590">
        <v>60</v>
      </c>
      <c r="O590" t="s">
        <v>60</v>
      </c>
      <c r="P590">
        <v>1</v>
      </c>
      <c r="R590">
        <v>575</v>
      </c>
      <c r="S590" s="17">
        <v>42130</v>
      </c>
      <c r="T590" s="17">
        <v>42130</v>
      </c>
      <c r="W590">
        <v>2015</v>
      </c>
      <c r="X590">
        <v>60</v>
      </c>
      <c r="AC590" t="s">
        <v>61</v>
      </c>
      <c r="AD590" t="s">
        <v>302</v>
      </c>
      <c r="AE590" t="s">
        <v>46</v>
      </c>
      <c r="AG590">
        <v>52</v>
      </c>
      <c r="AH590">
        <v>9</v>
      </c>
      <c r="AI590" t="s">
        <v>54</v>
      </c>
      <c r="AK590">
        <v>0</v>
      </c>
      <c r="AM590">
        <v>0</v>
      </c>
      <c r="AP590" t="s">
        <v>325</v>
      </c>
    </row>
    <row r="591" spans="1:42" customFormat="1">
      <c r="A591">
        <v>268458</v>
      </c>
      <c r="B591" t="s">
        <v>1019</v>
      </c>
      <c r="C591" t="s">
        <v>1020</v>
      </c>
      <c r="D591" s="22">
        <v>0</v>
      </c>
      <c r="E591" s="17">
        <v>42128</v>
      </c>
      <c r="F591" s="18">
        <v>0.66855324074074074</v>
      </c>
      <c r="G591" s="22">
        <v>30.25</v>
      </c>
      <c r="H591">
        <v>0</v>
      </c>
      <c r="I591" s="19" t="e">
        <f>I590 + (D591-G591)</f>
        <v>#VALUE!</v>
      </c>
      <c r="M591">
        <v>122778</v>
      </c>
      <c r="N591">
        <v>60</v>
      </c>
      <c r="O591" t="s">
        <v>60</v>
      </c>
      <c r="P591">
        <v>1</v>
      </c>
      <c r="R591">
        <v>575</v>
      </c>
      <c r="S591" s="17">
        <v>42130</v>
      </c>
      <c r="T591" s="17">
        <v>42130</v>
      </c>
      <c r="W591">
        <v>2015</v>
      </c>
      <c r="X591">
        <v>60</v>
      </c>
      <c r="AC591" t="s">
        <v>61</v>
      </c>
      <c r="AD591" t="s">
        <v>302</v>
      </c>
      <c r="AE591" t="s">
        <v>46</v>
      </c>
      <c r="AG591">
        <v>52</v>
      </c>
      <c r="AH591">
        <v>9</v>
      </c>
      <c r="AI591" t="s">
        <v>54</v>
      </c>
      <c r="AK591">
        <v>0</v>
      </c>
      <c r="AM591">
        <v>0</v>
      </c>
      <c r="AP591" t="s">
        <v>325</v>
      </c>
    </row>
    <row r="592" spans="1:42" customFormat="1">
      <c r="A592">
        <v>268459</v>
      </c>
      <c r="B592" t="s">
        <v>1021</v>
      </c>
      <c r="C592" t="s">
        <v>1022</v>
      </c>
      <c r="D592" s="22">
        <v>0</v>
      </c>
      <c r="E592" s="17">
        <v>42128</v>
      </c>
      <c r="F592" s="18">
        <v>0.66855324074074074</v>
      </c>
      <c r="G592" s="22">
        <v>9.6300000000000008</v>
      </c>
      <c r="H592">
        <v>0</v>
      </c>
      <c r="I592" s="19" t="e">
        <f>I591 + (D592-G592)</f>
        <v>#VALUE!</v>
      </c>
      <c r="M592">
        <v>122779</v>
      </c>
      <c r="N592">
        <v>60</v>
      </c>
      <c r="O592" t="s">
        <v>60</v>
      </c>
      <c r="P592">
        <v>1</v>
      </c>
      <c r="R592">
        <v>575</v>
      </c>
      <c r="S592" s="17">
        <v>42130</v>
      </c>
      <c r="T592" s="17">
        <v>42130</v>
      </c>
      <c r="W592">
        <v>2015</v>
      </c>
      <c r="X592">
        <v>60</v>
      </c>
      <c r="AC592" t="s">
        <v>61</v>
      </c>
      <c r="AD592" t="s">
        <v>302</v>
      </c>
      <c r="AE592" t="s">
        <v>46</v>
      </c>
      <c r="AG592">
        <v>52</v>
      </c>
      <c r="AH592">
        <v>9</v>
      </c>
      <c r="AI592" t="s">
        <v>54</v>
      </c>
      <c r="AK592">
        <v>0</v>
      </c>
      <c r="AM592">
        <v>0</v>
      </c>
      <c r="AP592" t="s">
        <v>325</v>
      </c>
    </row>
    <row r="593" spans="1:42" customFormat="1">
      <c r="A593">
        <v>268464</v>
      </c>
      <c r="B593" t="s">
        <v>1023</v>
      </c>
      <c r="C593" t="s">
        <v>1024</v>
      </c>
      <c r="D593" s="22">
        <v>0</v>
      </c>
      <c r="E593" s="17">
        <v>42128</v>
      </c>
      <c r="F593" s="18">
        <v>0.67128472222222213</v>
      </c>
      <c r="G593" s="22">
        <v>15</v>
      </c>
      <c r="H593">
        <v>0</v>
      </c>
      <c r="I593" s="19" t="e">
        <f>I592 + (D593-G593)</f>
        <v>#VALUE!</v>
      </c>
      <c r="M593">
        <v>122792</v>
      </c>
      <c r="N593">
        <v>60</v>
      </c>
      <c r="O593" t="s">
        <v>60</v>
      </c>
      <c r="P593">
        <v>1</v>
      </c>
      <c r="R593">
        <v>575</v>
      </c>
      <c r="S593" s="17">
        <v>42130</v>
      </c>
      <c r="T593" s="17">
        <v>42130</v>
      </c>
      <c r="W593">
        <v>2015</v>
      </c>
      <c r="X593">
        <v>60</v>
      </c>
      <c r="AC593" t="s">
        <v>61</v>
      </c>
      <c r="AD593" t="s">
        <v>302</v>
      </c>
      <c r="AE593" t="s">
        <v>46</v>
      </c>
      <c r="AG593">
        <v>52</v>
      </c>
      <c r="AH593">
        <v>9</v>
      </c>
      <c r="AI593" t="s">
        <v>54</v>
      </c>
      <c r="AK593">
        <v>0</v>
      </c>
      <c r="AM593">
        <v>0</v>
      </c>
      <c r="AP593" t="s">
        <v>325</v>
      </c>
    </row>
    <row r="594" spans="1:42" customFormat="1">
      <c r="A594">
        <v>268478</v>
      </c>
      <c r="B594" t="s">
        <v>1025</v>
      </c>
      <c r="C594" t="s">
        <v>1026</v>
      </c>
      <c r="D594" s="22">
        <v>0</v>
      </c>
      <c r="E594" s="17">
        <v>42128</v>
      </c>
      <c r="F594" s="18">
        <v>0.67129629629629628</v>
      </c>
      <c r="G594" s="22">
        <v>15</v>
      </c>
      <c r="H594">
        <v>0</v>
      </c>
      <c r="I594" s="19" t="e">
        <f>I593 + (D594-G594)</f>
        <v>#VALUE!</v>
      </c>
      <c r="M594">
        <v>122790</v>
      </c>
      <c r="N594">
        <v>60</v>
      </c>
      <c r="O594" t="s">
        <v>60</v>
      </c>
      <c r="P594">
        <v>1</v>
      </c>
      <c r="R594">
        <v>575</v>
      </c>
      <c r="S594" s="17">
        <v>42130</v>
      </c>
      <c r="T594" s="17">
        <v>42130</v>
      </c>
      <c r="W594">
        <v>2015</v>
      </c>
      <c r="X594">
        <v>60</v>
      </c>
      <c r="AC594" t="s">
        <v>61</v>
      </c>
      <c r="AD594" t="s">
        <v>302</v>
      </c>
      <c r="AE594" t="s">
        <v>46</v>
      </c>
      <c r="AG594">
        <v>52</v>
      </c>
      <c r="AH594">
        <v>9</v>
      </c>
      <c r="AI594" t="s">
        <v>54</v>
      </c>
      <c r="AK594">
        <v>0</v>
      </c>
      <c r="AM594">
        <v>0</v>
      </c>
      <c r="AP594" t="s">
        <v>325</v>
      </c>
    </row>
    <row r="595" spans="1:42" customFormat="1">
      <c r="A595">
        <v>268479</v>
      </c>
      <c r="B595" t="s">
        <v>1027</v>
      </c>
      <c r="C595" t="s">
        <v>1028</v>
      </c>
      <c r="D595" s="22">
        <v>0</v>
      </c>
      <c r="E595" s="17">
        <v>42128</v>
      </c>
      <c r="F595" s="18">
        <v>0.67129629629629628</v>
      </c>
      <c r="G595" s="22">
        <v>15</v>
      </c>
      <c r="H595">
        <v>0</v>
      </c>
      <c r="I595" s="19" t="e">
        <f>I594 + (D595-G595)</f>
        <v>#VALUE!</v>
      </c>
      <c r="M595">
        <v>122791</v>
      </c>
      <c r="N595">
        <v>60</v>
      </c>
      <c r="O595" t="s">
        <v>60</v>
      </c>
      <c r="P595">
        <v>1</v>
      </c>
      <c r="R595">
        <v>575</v>
      </c>
      <c r="S595" s="17">
        <v>42130</v>
      </c>
      <c r="T595" s="17">
        <v>42130</v>
      </c>
      <c r="W595">
        <v>2015</v>
      </c>
      <c r="X595">
        <v>60</v>
      </c>
      <c r="AC595" t="s">
        <v>61</v>
      </c>
      <c r="AD595" t="s">
        <v>302</v>
      </c>
      <c r="AE595" t="s">
        <v>46</v>
      </c>
      <c r="AG595">
        <v>52</v>
      </c>
      <c r="AH595">
        <v>9</v>
      </c>
      <c r="AI595" t="s">
        <v>54</v>
      </c>
      <c r="AK595">
        <v>0</v>
      </c>
      <c r="AM595">
        <v>0</v>
      </c>
      <c r="AP595" t="s">
        <v>325</v>
      </c>
    </row>
    <row r="596" spans="1:42" customFormat="1">
      <c r="A596">
        <v>268465</v>
      </c>
      <c r="B596" t="s">
        <v>1029</v>
      </c>
      <c r="C596" t="s">
        <v>1030</v>
      </c>
      <c r="D596" s="22">
        <v>0</v>
      </c>
      <c r="E596" s="17">
        <v>42128</v>
      </c>
      <c r="F596" s="18">
        <v>0.67129629629629628</v>
      </c>
      <c r="G596" s="22">
        <v>15</v>
      </c>
      <c r="H596">
        <v>0</v>
      </c>
      <c r="I596" s="19" t="e">
        <f>I595 + (D596-G596)</f>
        <v>#VALUE!</v>
      </c>
      <c r="M596">
        <v>122793</v>
      </c>
      <c r="N596">
        <v>60</v>
      </c>
      <c r="O596" t="s">
        <v>60</v>
      </c>
      <c r="P596">
        <v>1</v>
      </c>
      <c r="R596">
        <v>575</v>
      </c>
      <c r="S596" s="17">
        <v>42130</v>
      </c>
      <c r="T596" s="17">
        <v>42130</v>
      </c>
      <c r="W596">
        <v>2015</v>
      </c>
      <c r="X596">
        <v>60</v>
      </c>
      <c r="AC596" t="s">
        <v>61</v>
      </c>
      <c r="AD596" t="s">
        <v>302</v>
      </c>
      <c r="AE596" t="s">
        <v>46</v>
      </c>
      <c r="AG596">
        <v>52</v>
      </c>
      <c r="AH596">
        <v>9</v>
      </c>
      <c r="AI596" t="s">
        <v>54</v>
      </c>
      <c r="AK596">
        <v>0</v>
      </c>
      <c r="AM596">
        <v>0</v>
      </c>
      <c r="AP596" t="s">
        <v>325</v>
      </c>
    </row>
    <row r="597" spans="1:42" customFormat="1">
      <c r="A597">
        <v>268466</v>
      </c>
      <c r="B597" t="s">
        <v>1031</v>
      </c>
      <c r="C597" t="s">
        <v>1032</v>
      </c>
      <c r="D597" s="22">
        <v>0</v>
      </c>
      <c r="E597" s="17">
        <v>42128</v>
      </c>
      <c r="F597" s="18">
        <v>0.67129629629629628</v>
      </c>
      <c r="G597" s="22">
        <v>15</v>
      </c>
      <c r="H597">
        <v>0</v>
      </c>
      <c r="I597" s="19" t="e">
        <f>I596 + (D597-G597)</f>
        <v>#VALUE!</v>
      </c>
      <c r="M597">
        <v>122784</v>
      </c>
      <c r="N597">
        <v>60</v>
      </c>
      <c r="O597" t="s">
        <v>60</v>
      </c>
      <c r="P597">
        <v>1</v>
      </c>
      <c r="R597">
        <v>575</v>
      </c>
      <c r="S597" s="17">
        <v>42130</v>
      </c>
      <c r="T597" s="17">
        <v>42130</v>
      </c>
      <c r="W597">
        <v>2015</v>
      </c>
      <c r="X597">
        <v>60</v>
      </c>
      <c r="AC597" t="s">
        <v>61</v>
      </c>
      <c r="AD597" t="s">
        <v>302</v>
      </c>
      <c r="AE597" t="s">
        <v>46</v>
      </c>
      <c r="AG597">
        <v>52</v>
      </c>
      <c r="AH597">
        <v>9</v>
      </c>
      <c r="AI597" t="s">
        <v>54</v>
      </c>
      <c r="AK597">
        <v>0</v>
      </c>
      <c r="AM597">
        <v>0</v>
      </c>
      <c r="AP597" t="s">
        <v>325</v>
      </c>
    </row>
    <row r="598" spans="1:42" customFormat="1">
      <c r="A598">
        <v>268467</v>
      </c>
      <c r="B598" t="s">
        <v>1033</v>
      </c>
      <c r="C598" t="s">
        <v>1034</v>
      </c>
      <c r="D598" s="22">
        <v>0</v>
      </c>
      <c r="E598" s="17">
        <v>42128</v>
      </c>
      <c r="F598" s="18">
        <v>0.67129629629629628</v>
      </c>
      <c r="G598" s="22">
        <v>15</v>
      </c>
      <c r="H598">
        <v>0</v>
      </c>
      <c r="I598" s="19" t="e">
        <f>I597 + (D598-G598)</f>
        <v>#VALUE!</v>
      </c>
      <c r="M598">
        <v>122794</v>
      </c>
      <c r="N598">
        <v>60</v>
      </c>
      <c r="O598" t="s">
        <v>60</v>
      </c>
      <c r="P598">
        <v>1</v>
      </c>
      <c r="R598">
        <v>575</v>
      </c>
      <c r="S598" s="17">
        <v>42130</v>
      </c>
      <c r="T598" s="17">
        <v>42130</v>
      </c>
      <c r="W598">
        <v>2015</v>
      </c>
      <c r="X598">
        <v>60</v>
      </c>
      <c r="AC598" t="s">
        <v>61</v>
      </c>
      <c r="AD598" t="s">
        <v>302</v>
      </c>
      <c r="AE598" t="s">
        <v>46</v>
      </c>
      <c r="AG598">
        <v>52</v>
      </c>
      <c r="AH598">
        <v>9</v>
      </c>
      <c r="AI598" t="s">
        <v>54</v>
      </c>
      <c r="AK598">
        <v>0</v>
      </c>
      <c r="AM598">
        <v>0</v>
      </c>
      <c r="AP598" t="s">
        <v>325</v>
      </c>
    </row>
    <row r="599" spans="1:42" customFormat="1">
      <c r="A599">
        <v>268468</v>
      </c>
      <c r="B599" t="s">
        <v>1035</v>
      </c>
      <c r="C599" t="s">
        <v>1036</v>
      </c>
      <c r="D599" s="22">
        <v>0</v>
      </c>
      <c r="E599" s="17">
        <v>42128</v>
      </c>
      <c r="F599" s="18">
        <v>0.67129629629629628</v>
      </c>
      <c r="G599" s="22">
        <v>15</v>
      </c>
      <c r="H599">
        <v>0</v>
      </c>
      <c r="I599" s="19" t="e">
        <f>I598 + (D599-G599)</f>
        <v>#VALUE!</v>
      </c>
      <c r="M599">
        <v>122785</v>
      </c>
      <c r="N599">
        <v>60</v>
      </c>
      <c r="O599" t="s">
        <v>60</v>
      </c>
      <c r="P599">
        <v>1</v>
      </c>
      <c r="R599">
        <v>575</v>
      </c>
      <c r="S599" s="17">
        <v>42130</v>
      </c>
      <c r="T599" s="17">
        <v>42130</v>
      </c>
      <c r="W599">
        <v>2015</v>
      </c>
      <c r="X599">
        <v>60</v>
      </c>
      <c r="AC599" t="s">
        <v>61</v>
      </c>
      <c r="AD599" t="s">
        <v>302</v>
      </c>
      <c r="AE599" t="s">
        <v>46</v>
      </c>
      <c r="AG599">
        <v>52</v>
      </c>
      <c r="AH599">
        <v>9</v>
      </c>
      <c r="AI599" t="s">
        <v>54</v>
      </c>
      <c r="AK599">
        <v>0</v>
      </c>
      <c r="AM599">
        <v>0</v>
      </c>
      <c r="AP599" t="s">
        <v>325</v>
      </c>
    </row>
    <row r="600" spans="1:42" customFormat="1">
      <c r="A600">
        <v>268469</v>
      </c>
      <c r="B600" t="s">
        <v>1037</v>
      </c>
      <c r="C600" t="s">
        <v>1038</v>
      </c>
      <c r="D600" s="22">
        <v>0</v>
      </c>
      <c r="E600" s="17">
        <v>42128</v>
      </c>
      <c r="F600" s="18">
        <v>0.67129629629629628</v>
      </c>
      <c r="G600" s="22">
        <v>15</v>
      </c>
      <c r="H600">
        <v>0</v>
      </c>
      <c r="I600" s="19" t="e">
        <f>I599 + (D600-G600)</f>
        <v>#VALUE!</v>
      </c>
      <c r="M600">
        <v>122795</v>
      </c>
      <c r="N600">
        <v>60</v>
      </c>
      <c r="O600" t="s">
        <v>60</v>
      </c>
      <c r="P600">
        <v>1</v>
      </c>
      <c r="R600">
        <v>575</v>
      </c>
      <c r="S600" s="17">
        <v>42130</v>
      </c>
      <c r="T600" s="17">
        <v>42130</v>
      </c>
      <c r="W600">
        <v>2015</v>
      </c>
      <c r="X600">
        <v>60</v>
      </c>
      <c r="AC600" t="s">
        <v>61</v>
      </c>
      <c r="AD600" t="s">
        <v>302</v>
      </c>
      <c r="AE600" t="s">
        <v>46</v>
      </c>
      <c r="AG600">
        <v>52</v>
      </c>
      <c r="AH600">
        <v>9</v>
      </c>
      <c r="AI600" t="s">
        <v>54</v>
      </c>
      <c r="AK600">
        <v>0</v>
      </c>
      <c r="AM600">
        <v>0</v>
      </c>
      <c r="AP600" t="s">
        <v>325</v>
      </c>
    </row>
    <row r="601" spans="1:42" customFormat="1">
      <c r="A601">
        <v>268470</v>
      </c>
      <c r="B601" t="s">
        <v>1039</v>
      </c>
      <c r="C601" t="s">
        <v>1040</v>
      </c>
      <c r="D601" s="22">
        <v>0</v>
      </c>
      <c r="E601" s="17">
        <v>42128</v>
      </c>
      <c r="F601" s="18">
        <v>0.67129629629629628</v>
      </c>
      <c r="G601" s="22">
        <v>15</v>
      </c>
      <c r="H601">
        <v>0</v>
      </c>
      <c r="I601" s="19" t="e">
        <f>I600 + (D601-G601)</f>
        <v>#VALUE!</v>
      </c>
      <c r="M601">
        <v>122786</v>
      </c>
      <c r="N601">
        <v>60</v>
      </c>
      <c r="O601" t="s">
        <v>60</v>
      </c>
      <c r="P601">
        <v>1</v>
      </c>
      <c r="R601">
        <v>575</v>
      </c>
      <c r="S601" s="17">
        <v>42130</v>
      </c>
      <c r="T601" s="17">
        <v>42130</v>
      </c>
      <c r="W601">
        <v>2015</v>
      </c>
      <c r="X601">
        <v>60</v>
      </c>
      <c r="AC601" t="s">
        <v>61</v>
      </c>
      <c r="AD601" t="s">
        <v>302</v>
      </c>
      <c r="AE601" t="s">
        <v>46</v>
      </c>
      <c r="AG601">
        <v>52</v>
      </c>
      <c r="AH601">
        <v>9</v>
      </c>
      <c r="AI601" t="s">
        <v>54</v>
      </c>
      <c r="AK601">
        <v>0</v>
      </c>
      <c r="AM601">
        <v>0</v>
      </c>
      <c r="AP601" t="s">
        <v>325</v>
      </c>
    </row>
    <row r="602" spans="1:42" customFormat="1">
      <c r="A602">
        <v>268471</v>
      </c>
      <c r="B602" t="s">
        <v>1041</v>
      </c>
      <c r="C602" t="s">
        <v>1042</v>
      </c>
      <c r="D602" s="22">
        <v>0</v>
      </c>
      <c r="E602" s="17">
        <v>42128</v>
      </c>
      <c r="F602" s="18">
        <v>0.67129629629629628</v>
      </c>
      <c r="G602" s="22">
        <v>15</v>
      </c>
      <c r="H602">
        <v>0</v>
      </c>
      <c r="I602" s="19" t="e">
        <f>I601 + (D602-G602)</f>
        <v>#VALUE!</v>
      </c>
      <c r="M602">
        <v>122796</v>
      </c>
      <c r="N602">
        <v>60</v>
      </c>
      <c r="O602" t="s">
        <v>60</v>
      </c>
      <c r="P602">
        <v>1</v>
      </c>
      <c r="R602">
        <v>575</v>
      </c>
      <c r="S602" s="17">
        <v>42130</v>
      </c>
      <c r="T602" s="17">
        <v>42130</v>
      </c>
      <c r="W602">
        <v>2015</v>
      </c>
      <c r="X602">
        <v>60</v>
      </c>
      <c r="AC602" t="s">
        <v>61</v>
      </c>
      <c r="AD602" t="s">
        <v>302</v>
      </c>
      <c r="AE602" t="s">
        <v>46</v>
      </c>
      <c r="AG602">
        <v>52</v>
      </c>
      <c r="AH602">
        <v>9</v>
      </c>
      <c r="AI602" t="s">
        <v>54</v>
      </c>
      <c r="AK602">
        <v>0</v>
      </c>
      <c r="AM602">
        <v>0</v>
      </c>
      <c r="AP602" t="s">
        <v>325</v>
      </c>
    </row>
    <row r="603" spans="1:42" customFormat="1">
      <c r="A603">
        <v>268472</v>
      </c>
      <c r="B603" t="s">
        <v>1043</v>
      </c>
      <c r="C603" t="s">
        <v>1044</v>
      </c>
      <c r="D603" s="22">
        <v>0</v>
      </c>
      <c r="E603" s="17">
        <v>42128</v>
      </c>
      <c r="F603" s="18">
        <v>0.67129629629629628</v>
      </c>
      <c r="G603" s="22">
        <v>15</v>
      </c>
      <c r="H603">
        <v>0</v>
      </c>
      <c r="I603" s="19" t="e">
        <f>I602 + (D603-G603)</f>
        <v>#VALUE!</v>
      </c>
      <c r="M603">
        <v>122787</v>
      </c>
      <c r="N603">
        <v>60</v>
      </c>
      <c r="O603" t="s">
        <v>60</v>
      </c>
      <c r="P603">
        <v>1</v>
      </c>
      <c r="R603">
        <v>575</v>
      </c>
      <c r="S603" s="17">
        <v>42130</v>
      </c>
      <c r="T603" s="17">
        <v>42130</v>
      </c>
      <c r="W603">
        <v>2015</v>
      </c>
      <c r="X603">
        <v>60</v>
      </c>
      <c r="AC603" t="s">
        <v>61</v>
      </c>
      <c r="AD603" t="s">
        <v>302</v>
      </c>
      <c r="AE603" t="s">
        <v>46</v>
      </c>
      <c r="AG603">
        <v>52</v>
      </c>
      <c r="AH603">
        <v>9</v>
      </c>
      <c r="AI603" t="s">
        <v>54</v>
      </c>
      <c r="AK603">
        <v>0</v>
      </c>
      <c r="AM603">
        <v>0</v>
      </c>
      <c r="AP603" t="s">
        <v>325</v>
      </c>
    </row>
    <row r="604" spans="1:42" customFormat="1">
      <c r="A604">
        <v>268473</v>
      </c>
      <c r="B604" t="s">
        <v>1045</v>
      </c>
      <c r="C604" t="s">
        <v>1046</v>
      </c>
      <c r="D604" s="22">
        <v>0</v>
      </c>
      <c r="E604" s="17">
        <v>42128</v>
      </c>
      <c r="F604" s="18">
        <v>0.67129629629629628</v>
      </c>
      <c r="G604" s="22">
        <v>15</v>
      </c>
      <c r="H604">
        <v>0</v>
      </c>
      <c r="I604" s="19" t="e">
        <f>I603 + (D604-G604)</f>
        <v>#VALUE!</v>
      </c>
      <c r="M604">
        <v>122797</v>
      </c>
      <c r="N604">
        <v>60</v>
      </c>
      <c r="O604" t="s">
        <v>60</v>
      </c>
      <c r="P604">
        <v>1</v>
      </c>
      <c r="R604">
        <v>575</v>
      </c>
      <c r="S604" s="17">
        <v>42130</v>
      </c>
      <c r="T604" s="17">
        <v>42130</v>
      </c>
      <c r="W604">
        <v>2015</v>
      </c>
      <c r="X604">
        <v>60</v>
      </c>
      <c r="AC604" t="s">
        <v>61</v>
      </c>
      <c r="AD604" t="s">
        <v>302</v>
      </c>
      <c r="AE604" t="s">
        <v>46</v>
      </c>
      <c r="AG604">
        <v>52</v>
      </c>
      <c r="AH604">
        <v>9</v>
      </c>
      <c r="AI604" t="s">
        <v>54</v>
      </c>
      <c r="AK604">
        <v>0</v>
      </c>
      <c r="AM604">
        <v>0</v>
      </c>
      <c r="AP604" t="s">
        <v>325</v>
      </c>
    </row>
    <row r="605" spans="1:42" customFormat="1">
      <c r="A605">
        <v>268474</v>
      </c>
      <c r="B605" t="s">
        <v>1047</v>
      </c>
      <c r="C605" t="s">
        <v>1048</v>
      </c>
      <c r="D605" s="22">
        <v>0</v>
      </c>
      <c r="E605" s="17">
        <v>42128</v>
      </c>
      <c r="F605" s="18">
        <v>0.67129629629629628</v>
      </c>
      <c r="G605" s="22">
        <v>15</v>
      </c>
      <c r="H605">
        <v>0</v>
      </c>
      <c r="I605" s="19" t="e">
        <f>I604 + (D605-G605)</f>
        <v>#VALUE!</v>
      </c>
      <c r="M605">
        <v>122788</v>
      </c>
      <c r="N605">
        <v>60</v>
      </c>
      <c r="O605" t="s">
        <v>60</v>
      </c>
      <c r="P605">
        <v>1</v>
      </c>
      <c r="R605">
        <v>575</v>
      </c>
      <c r="S605" s="17">
        <v>42130</v>
      </c>
      <c r="T605" s="17">
        <v>42130</v>
      </c>
      <c r="W605">
        <v>2015</v>
      </c>
      <c r="X605">
        <v>60</v>
      </c>
      <c r="AC605" t="s">
        <v>61</v>
      </c>
      <c r="AD605" t="s">
        <v>302</v>
      </c>
      <c r="AE605" t="s">
        <v>46</v>
      </c>
      <c r="AG605">
        <v>52</v>
      </c>
      <c r="AH605">
        <v>9</v>
      </c>
      <c r="AI605" t="s">
        <v>54</v>
      </c>
      <c r="AK605">
        <v>0</v>
      </c>
      <c r="AM605">
        <v>0</v>
      </c>
      <c r="AP605" t="s">
        <v>325</v>
      </c>
    </row>
    <row r="606" spans="1:42" customFormat="1">
      <c r="A606">
        <v>268475</v>
      </c>
      <c r="B606" t="s">
        <v>1049</v>
      </c>
      <c r="C606" t="s">
        <v>1050</v>
      </c>
      <c r="D606" s="22">
        <v>0</v>
      </c>
      <c r="E606" s="17">
        <v>42128</v>
      </c>
      <c r="F606" s="18">
        <v>0.67129629629629628</v>
      </c>
      <c r="G606" s="22">
        <v>15</v>
      </c>
      <c r="H606">
        <v>0</v>
      </c>
      <c r="I606" s="19" t="e">
        <f>I605 + (D606-G606)</f>
        <v>#VALUE!</v>
      </c>
      <c r="M606">
        <v>122798</v>
      </c>
      <c r="N606">
        <v>60</v>
      </c>
      <c r="O606" t="s">
        <v>60</v>
      </c>
      <c r="P606">
        <v>1</v>
      </c>
      <c r="R606">
        <v>575</v>
      </c>
      <c r="S606" s="17">
        <v>42130</v>
      </c>
      <c r="T606" s="17">
        <v>42130</v>
      </c>
      <c r="W606">
        <v>2015</v>
      </c>
      <c r="X606">
        <v>60</v>
      </c>
      <c r="AC606" t="s">
        <v>61</v>
      </c>
      <c r="AD606" t="s">
        <v>302</v>
      </c>
      <c r="AE606" t="s">
        <v>46</v>
      </c>
      <c r="AG606">
        <v>52</v>
      </c>
      <c r="AH606">
        <v>9</v>
      </c>
      <c r="AI606" t="s">
        <v>54</v>
      </c>
      <c r="AK606">
        <v>0</v>
      </c>
      <c r="AM606">
        <v>0</v>
      </c>
      <c r="AP606" t="s">
        <v>325</v>
      </c>
    </row>
    <row r="607" spans="1:42" customFormat="1">
      <c r="A607">
        <v>268476</v>
      </c>
      <c r="B607" t="s">
        <v>1051</v>
      </c>
      <c r="C607" t="s">
        <v>1052</v>
      </c>
      <c r="D607" s="22">
        <v>0</v>
      </c>
      <c r="E607" s="17">
        <v>42128</v>
      </c>
      <c r="F607" s="18">
        <v>0.67129629629629628</v>
      </c>
      <c r="G607" s="22">
        <v>15</v>
      </c>
      <c r="H607">
        <v>0</v>
      </c>
      <c r="I607" s="19" t="e">
        <f>I606 + (D607-G607)</f>
        <v>#VALUE!</v>
      </c>
      <c r="M607">
        <v>122789</v>
      </c>
      <c r="N607">
        <v>60</v>
      </c>
      <c r="O607" t="s">
        <v>60</v>
      </c>
      <c r="P607">
        <v>1</v>
      </c>
      <c r="R607">
        <v>575</v>
      </c>
      <c r="S607" s="17">
        <v>42130</v>
      </c>
      <c r="T607" s="17">
        <v>42130</v>
      </c>
      <c r="W607">
        <v>2015</v>
      </c>
      <c r="X607">
        <v>60</v>
      </c>
      <c r="AC607" t="s">
        <v>61</v>
      </c>
      <c r="AD607" t="s">
        <v>302</v>
      </c>
      <c r="AE607" t="s">
        <v>46</v>
      </c>
      <c r="AG607">
        <v>52</v>
      </c>
      <c r="AH607">
        <v>9</v>
      </c>
      <c r="AI607" t="s">
        <v>54</v>
      </c>
      <c r="AK607">
        <v>0</v>
      </c>
      <c r="AM607">
        <v>0</v>
      </c>
      <c r="AP607" t="s">
        <v>325</v>
      </c>
    </row>
    <row r="608" spans="1:42" customFormat="1">
      <c r="A608">
        <v>268477</v>
      </c>
      <c r="B608" t="s">
        <v>1053</v>
      </c>
      <c r="C608" t="s">
        <v>1054</v>
      </c>
      <c r="D608" s="22">
        <v>0</v>
      </c>
      <c r="E608" s="17">
        <v>42128</v>
      </c>
      <c r="F608" s="18">
        <v>0.67129629629629628</v>
      </c>
      <c r="G608" s="22">
        <v>15</v>
      </c>
      <c r="H608">
        <v>0</v>
      </c>
      <c r="I608" s="19" t="e">
        <f>I607 + (D608-G608)</f>
        <v>#VALUE!</v>
      </c>
      <c r="M608">
        <v>122799</v>
      </c>
      <c r="N608">
        <v>60</v>
      </c>
      <c r="O608" t="s">
        <v>60</v>
      </c>
      <c r="P608">
        <v>1</v>
      </c>
      <c r="R608">
        <v>575</v>
      </c>
      <c r="S608" s="17">
        <v>42130</v>
      </c>
      <c r="T608" s="17">
        <v>42130</v>
      </c>
      <c r="W608">
        <v>2015</v>
      </c>
      <c r="X608">
        <v>60</v>
      </c>
      <c r="AC608" t="s">
        <v>61</v>
      </c>
      <c r="AD608" t="s">
        <v>302</v>
      </c>
      <c r="AE608" t="s">
        <v>46</v>
      </c>
      <c r="AG608">
        <v>52</v>
      </c>
      <c r="AH608">
        <v>9</v>
      </c>
      <c r="AI608" t="s">
        <v>54</v>
      </c>
      <c r="AK608">
        <v>0</v>
      </c>
      <c r="AM608">
        <v>0</v>
      </c>
      <c r="AP608" t="s">
        <v>325</v>
      </c>
    </row>
    <row r="609" spans="1:42" customFormat="1">
      <c r="A609">
        <v>268480</v>
      </c>
      <c r="B609" t="s">
        <v>1055</v>
      </c>
      <c r="C609" t="s">
        <v>1056</v>
      </c>
      <c r="D609" s="22">
        <v>0</v>
      </c>
      <c r="E609" s="17">
        <v>42128</v>
      </c>
      <c r="F609" s="18">
        <v>0.67358796296296297</v>
      </c>
      <c r="G609" s="22">
        <v>6.12</v>
      </c>
      <c r="H609">
        <v>0</v>
      </c>
      <c r="I609" s="19" t="e">
        <f>I608 + (D609-G609)</f>
        <v>#VALUE!</v>
      </c>
      <c r="M609">
        <v>122800</v>
      </c>
      <c r="N609">
        <v>60</v>
      </c>
      <c r="O609" t="s">
        <v>60</v>
      </c>
      <c r="P609">
        <v>1</v>
      </c>
      <c r="R609">
        <v>575</v>
      </c>
      <c r="S609" s="17">
        <v>42130</v>
      </c>
      <c r="T609" s="17">
        <v>42130</v>
      </c>
      <c r="W609">
        <v>2015</v>
      </c>
      <c r="X609">
        <v>60</v>
      </c>
      <c r="AC609" t="s">
        <v>61</v>
      </c>
      <c r="AD609" t="s">
        <v>302</v>
      </c>
      <c r="AE609" t="s">
        <v>46</v>
      </c>
      <c r="AG609">
        <v>52</v>
      </c>
      <c r="AH609">
        <v>9</v>
      </c>
      <c r="AI609" t="s">
        <v>54</v>
      </c>
      <c r="AK609">
        <v>0</v>
      </c>
      <c r="AM609">
        <v>0</v>
      </c>
      <c r="AP609" t="s">
        <v>325</v>
      </c>
    </row>
    <row r="610" spans="1:42" customFormat="1">
      <c r="A610">
        <v>268481</v>
      </c>
      <c r="B610" t="s">
        <v>1057</v>
      </c>
      <c r="C610" t="s">
        <v>1058</v>
      </c>
      <c r="D610" s="22">
        <v>0</v>
      </c>
      <c r="E610" s="17">
        <v>42128</v>
      </c>
      <c r="F610" s="18">
        <v>0.67358796296296297</v>
      </c>
      <c r="G610" s="22">
        <v>5.61</v>
      </c>
      <c r="H610">
        <v>0</v>
      </c>
      <c r="I610" s="19" t="e">
        <f>I609 + (D610-G610)</f>
        <v>#VALUE!</v>
      </c>
      <c r="M610">
        <v>122801</v>
      </c>
      <c r="N610">
        <v>60</v>
      </c>
      <c r="O610" t="s">
        <v>60</v>
      </c>
      <c r="P610">
        <v>1</v>
      </c>
      <c r="R610">
        <v>575</v>
      </c>
      <c r="S610" s="17">
        <v>42130</v>
      </c>
      <c r="T610" s="17">
        <v>42130</v>
      </c>
      <c r="W610">
        <v>2015</v>
      </c>
      <c r="X610">
        <v>60</v>
      </c>
      <c r="AC610" t="s">
        <v>61</v>
      </c>
      <c r="AD610" t="s">
        <v>302</v>
      </c>
      <c r="AE610" t="s">
        <v>46</v>
      </c>
      <c r="AG610">
        <v>52</v>
      </c>
      <c r="AH610">
        <v>9</v>
      </c>
      <c r="AI610" t="s">
        <v>54</v>
      </c>
      <c r="AK610">
        <v>0</v>
      </c>
      <c r="AM610">
        <v>0</v>
      </c>
      <c r="AP610" t="s">
        <v>325</v>
      </c>
    </row>
    <row r="611" spans="1:42" customFormat="1">
      <c r="A611">
        <v>268494</v>
      </c>
      <c r="B611" t="s">
        <v>1059</v>
      </c>
      <c r="C611" t="s">
        <v>1060</v>
      </c>
      <c r="D611" s="22">
        <v>0</v>
      </c>
      <c r="E611" s="17">
        <v>42128</v>
      </c>
      <c r="F611" s="18">
        <v>0.68996527777777772</v>
      </c>
      <c r="G611" s="22">
        <v>23.3</v>
      </c>
      <c r="H611">
        <v>0</v>
      </c>
      <c r="I611" s="19" t="e">
        <f>I610 + (D611-G611)</f>
        <v>#VALUE!</v>
      </c>
      <c r="M611">
        <v>122821</v>
      </c>
      <c r="N611">
        <v>60</v>
      </c>
      <c r="O611" t="s">
        <v>60</v>
      </c>
      <c r="P611">
        <v>1</v>
      </c>
      <c r="R611">
        <v>575</v>
      </c>
      <c r="S611" s="17">
        <v>42130</v>
      </c>
      <c r="T611" s="17">
        <v>42130</v>
      </c>
      <c r="W611">
        <v>2015</v>
      </c>
      <c r="X611">
        <v>60</v>
      </c>
      <c r="AC611" t="s">
        <v>61</v>
      </c>
      <c r="AD611" t="s">
        <v>302</v>
      </c>
      <c r="AE611" t="s">
        <v>46</v>
      </c>
      <c r="AG611">
        <v>52</v>
      </c>
      <c r="AH611">
        <v>9</v>
      </c>
      <c r="AI611" t="s">
        <v>54</v>
      </c>
      <c r="AK611">
        <v>0</v>
      </c>
      <c r="AM611">
        <v>0</v>
      </c>
      <c r="AP611" t="s">
        <v>325</v>
      </c>
    </row>
    <row r="612" spans="1:42" customFormat="1">
      <c r="A612">
        <v>268497</v>
      </c>
      <c r="B612" t="s">
        <v>1061</v>
      </c>
      <c r="C612" t="s">
        <v>1062</v>
      </c>
      <c r="D612" s="22">
        <v>0</v>
      </c>
      <c r="E612" s="17">
        <v>42128</v>
      </c>
      <c r="F612" s="18">
        <v>0.68996527777777772</v>
      </c>
      <c r="G612" s="22">
        <v>6.33</v>
      </c>
      <c r="H612">
        <v>0</v>
      </c>
      <c r="I612" s="19" t="e">
        <f>I611 + (D612-G612)</f>
        <v>#VALUE!</v>
      </c>
      <c r="M612">
        <v>122831</v>
      </c>
      <c r="N612">
        <v>60</v>
      </c>
      <c r="O612" t="s">
        <v>60</v>
      </c>
      <c r="P612">
        <v>1</v>
      </c>
      <c r="R612">
        <v>575</v>
      </c>
      <c r="S612" s="17">
        <v>42130</v>
      </c>
      <c r="T612" s="17">
        <v>42130</v>
      </c>
      <c r="W612">
        <v>2015</v>
      </c>
      <c r="X612">
        <v>60</v>
      </c>
      <c r="AC612" t="s">
        <v>61</v>
      </c>
      <c r="AD612" t="s">
        <v>302</v>
      </c>
      <c r="AE612" t="s">
        <v>46</v>
      </c>
      <c r="AG612">
        <v>52</v>
      </c>
      <c r="AH612">
        <v>9</v>
      </c>
      <c r="AI612" t="s">
        <v>54</v>
      </c>
      <c r="AK612">
        <v>0</v>
      </c>
      <c r="AM612">
        <v>0</v>
      </c>
      <c r="AP612" t="s">
        <v>325</v>
      </c>
    </row>
    <row r="613" spans="1:42" customFormat="1">
      <c r="A613">
        <v>268498</v>
      </c>
      <c r="B613" t="s">
        <v>1063</v>
      </c>
      <c r="C613" t="s">
        <v>1064</v>
      </c>
      <c r="D613" s="22">
        <v>0</v>
      </c>
      <c r="E613" s="17">
        <v>42128</v>
      </c>
      <c r="F613" s="18">
        <v>0.68996527777777772</v>
      </c>
      <c r="G613" s="22">
        <v>15</v>
      </c>
      <c r="H613">
        <v>0</v>
      </c>
      <c r="I613" s="19" t="e">
        <f>I612 + (D613-G613)</f>
        <v>#VALUE!</v>
      </c>
      <c r="M613">
        <v>122802</v>
      </c>
      <c r="N613">
        <v>60</v>
      </c>
      <c r="O613" t="s">
        <v>60</v>
      </c>
      <c r="P613">
        <v>1</v>
      </c>
      <c r="R613">
        <v>575</v>
      </c>
      <c r="S613" s="17">
        <v>42130</v>
      </c>
      <c r="T613" s="17">
        <v>42130</v>
      </c>
      <c r="W613">
        <v>2015</v>
      </c>
      <c r="X613">
        <v>60</v>
      </c>
      <c r="AC613" t="s">
        <v>61</v>
      </c>
      <c r="AD613" t="s">
        <v>302</v>
      </c>
      <c r="AE613" t="s">
        <v>46</v>
      </c>
      <c r="AG613">
        <v>52</v>
      </c>
      <c r="AH613">
        <v>9</v>
      </c>
      <c r="AI613" t="s">
        <v>54</v>
      </c>
      <c r="AK613">
        <v>0</v>
      </c>
      <c r="AM613">
        <v>0</v>
      </c>
      <c r="AP613" t="s">
        <v>325</v>
      </c>
    </row>
    <row r="614" spans="1:42" customFormat="1">
      <c r="A614">
        <v>268495</v>
      </c>
      <c r="B614" t="s">
        <v>1065</v>
      </c>
      <c r="C614" t="s">
        <v>1066</v>
      </c>
      <c r="D614" s="22">
        <v>0</v>
      </c>
      <c r="E614" s="17">
        <v>42128</v>
      </c>
      <c r="F614" s="18">
        <v>0.68996527777777772</v>
      </c>
      <c r="G614" s="22">
        <v>7.1</v>
      </c>
      <c r="H614">
        <v>0</v>
      </c>
      <c r="I614" s="19" t="e">
        <f>I613 + (D614-G614)</f>
        <v>#VALUE!</v>
      </c>
      <c r="M614">
        <v>122822</v>
      </c>
      <c r="N614">
        <v>60</v>
      </c>
      <c r="O614" t="s">
        <v>60</v>
      </c>
      <c r="P614">
        <v>1</v>
      </c>
      <c r="R614">
        <v>575</v>
      </c>
      <c r="S614" s="17">
        <v>42130</v>
      </c>
      <c r="T614" s="17">
        <v>42130</v>
      </c>
      <c r="W614">
        <v>2015</v>
      </c>
      <c r="X614">
        <v>60</v>
      </c>
      <c r="AC614" t="s">
        <v>61</v>
      </c>
      <c r="AD614" t="s">
        <v>302</v>
      </c>
      <c r="AE614" t="s">
        <v>46</v>
      </c>
      <c r="AG614">
        <v>52</v>
      </c>
      <c r="AH614">
        <v>9</v>
      </c>
      <c r="AI614" t="s">
        <v>54</v>
      </c>
      <c r="AK614">
        <v>0</v>
      </c>
      <c r="AM614">
        <v>0</v>
      </c>
      <c r="AP614" t="s">
        <v>325</v>
      </c>
    </row>
    <row r="615" spans="1:42" customFormat="1">
      <c r="A615">
        <v>268499</v>
      </c>
      <c r="B615" t="s">
        <v>1067</v>
      </c>
      <c r="C615" t="s">
        <v>1068</v>
      </c>
      <c r="D615" s="22">
        <v>0</v>
      </c>
      <c r="E615" s="17">
        <v>42128</v>
      </c>
      <c r="F615" s="18">
        <v>0.68996527777777772</v>
      </c>
      <c r="G615" s="22">
        <v>15</v>
      </c>
      <c r="H615">
        <v>0</v>
      </c>
      <c r="I615" s="19" t="e">
        <f>I614 + (D615-G615)</f>
        <v>#VALUE!</v>
      </c>
      <c r="M615">
        <v>122803</v>
      </c>
      <c r="N615">
        <v>60</v>
      </c>
      <c r="O615" t="s">
        <v>60</v>
      </c>
      <c r="P615">
        <v>1</v>
      </c>
      <c r="R615">
        <v>575</v>
      </c>
      <c r="S615" s="17">
        <v>42130</v>
      </c>
      <c r="T615" s="17">
        <v>42130</v>
      </c>
      <c r="W615">
        <v>2015</v>
      </c>
      <c r="X615">
        <v>60</v>
      </c>
      <c r="AC615" t="s">
        <v>61</v>
      </c>
      <c r="AD615" t="s">
        <v>302</v>
      </c>
      <c r="AE615" t="s">
        <v>46</v>
      </c>
      <c r="AG615">
        <v>52</v>
      </c>
      <c r="AH615">
        <v>9</v>
      </c>
      <c r="AI615" t="s">
        <v>54</v>
      </c>
      <c r="AK615">
        <v>0</v>
      </c>
      <c r="AM615">
        <v>0</v>
      </c>
      <c r="AP615" t="s">
        <v>325</v>
      </c>
    </row>
    <row r="616" spans="1:42" customFormat="1">
      <c r="A616">
        <v>268496</v>
      </c>
      <c r="B616" t="s">
        <v>1069</v>
      </c>
      <c r="C616" t="s">
        <v>1070</v>
      </c>
      <c r="D616" s="22">
        <v>0</v>
      </c>
      <c r="E616" s="17">
        <v>42128</v>
      </c>
      <c r="F616" s="18">
        <v>0.68996527777777772</v>
      </c>
      <c r="G616" s="22">
        <v>6.33</v>
      </c>
      <c r="H616">
        <v>0</v>
      </c>
      <c r="I616" s="19" t="e">
        <f>I615 + (D616-G616)</f>
        <v>#VALUE!</v>
      </c>
      <c r="M616">
        <v>122823</v>
      </c>
      <c r="N616">
        <v>60</v>
      </c>
      <c r="O616" t="s">
        <v>60</v>
      </c>
      <c r="P616">
        <v>1</v>
      </c>
      <c r="R616">
        <v>575</v>
      </c>
      <c r="S616" s="17">
        <v>42130</v>
      </c>
      <c r="T616" s="17">
        <v>42130</v>
      </c>
      <c r="W616">
        <v>2015</v>
      </c>
      <c r="X616">
        <v>60</v>
      </c>
      <c r="AC616" t="s">
        <v>61</v>
      </c>
      <c r="AD616" t="s">
        <v>302</v>
      </c>
      <c r="AE616" t="s">
        <v>46</v>
      </c>
      <c r="AG616">
        <v>52</v>
      </c>
      <c r="AH616">
        <v>9</v>
      </c>
      <c r="AI616" t="s">
        <v>54</v>
      </c>
      <c r="AK616">
        <v>0</v>
      </c>
      <c r="AM616">
        <v>0</v>
      </c>
      <c r="AP616" t="s">
        <v>325</v>
      </c>
    </row>
    <row r="617" spans="1:42" customFormat="1">
      <c r="A617">
        <v>268490</v>
      </c>
      <c r="B617" t="s">
        <v>1071</v>
      </c>
      <c r="C617" t="s">
        <v>1072</v>
      </c>
      <c r="D617" s="22">
        <v>0</v>
      </c>
      <c r="E617" s="17">
        <v>42128</v>
      </c>
      <c r="F617" s="18">
        <v>0.68996527777777772</v>
      </c>
      <c r="G617" s="22">
        <v>9.9</v>
      </c>
      <c r="H617">
        <v>0</v>
      </c>
      <c r="I617" s="19" t="e">
        <f>I616 + (D617-G617)</f>
        <v>#VALUE!</v>
      </c>
      <c r="M617">
        <v>122805</v>
      </c>
      <c r="N617">
        <v>60</v>
      </c>
      <c r="O617" t="s">
        <v>60</v>
      </c>
      <c r="P617">
        <v>1</v>
      </c>
      <c r="R617">
        <v>575</v>
      </c>
      <c r="S617" s="17">
        <v>42130</v>
      </c>
      <c r="T617" s="17">
        <v>42130</v>
      </c>
      <c r="W617">
        <v>2015</v>
      </c>
      <c r="X617">
        <v>60</v>
      </c>
      <c r="AC617" t="s">
        <v>61</v>
      </c>
      <c r="AD617" t="s">
        <v>302</v>
      </c>
      <c r="AE617" t="s">
        <v>46</v>
      </c>
      <c r="AG617">
        <v>52</v>
      </c>
      <c r="AH617">
        <v>9</v>
      </c>
      <c r="AI617" t="s">
        <v>54</v>
      </c>
      <c r="AK617">
        <v>0</v>
      </c>
      <c r="AM617">
        <v>0</v>
      </c>
      <c r="AP617" t="s">
        <v>325</v>
      </c>
    </row>
    <row r="618" spans="1:42" customFormat="1">
      <c r="A618">
        <v>268492</v>
      </c>
      <c r="B618" t="s">
        <v>1073</v>
      </c>
      <c r="C618" t="s">
        <v>1074</v>
      </c>
      <c r="D618" s="22">
        <v>0</v>
      </c>
      <c r="E618" s="17">
        <v>42128</v>
      </c>
      <c r="F618" s="18">
        <v>0.68996527777777772</v>
      </c>
      <c r="G618" s="22">
        <v>11.11</v>
      </c>
      <c r="H618">
        <v>0</v>
      </c>
      <c r="I618" s="19" t="e">
        <f>I617 + (D618-G618)</f>
        <v>#VALUE!</v>
      </c>
      <c r="M618">
        <v>122815</v>
      </c>
      <c r="N618">
        <v>60</v>
      </c>
      <c r="O618" t="s">
        <v>60</v>
      </c>
      <c r="P618">
        <v>1</v>
      </c>
      <c r="R618">
        <v>575</v>
      </c>
      <c r="S618" s="17">
        <v>42130</v>
      </c>
      <c r="T618" s="17">
        <v>42130</v>
      </c>
      <c r="W618">
        <v>2015</v>
      </c>
      <c r="X618">
        <v>60</v>
      </c>
      <c r="AC618" t="s">
        <v>61</v>
      </c>
      <c r="AD618" t="s">
        <v>302</v>
      </c>
      <c r="AE618" t="s">
        <v>46</v>
      </c>
      <c r="AG618">
        <v>52</v>
      </c>
      <c r="AH618">
        <v>9</v>
      </c>
      <c r="AI618" t="s">
        <v>54</v>
      </c>
      <c r="AK618">
        <v>0</v>
      </c>
      <c r="AM618">
        <v>0</v>
      </c>
      <c r="AP618" t="s">
        <v>325</v>
      </c>
    </row>
    <row r="619" spans="1:42" customFormat="1">
      <c r="A619">
        <v>268491</v>
      </c>
      <c r="B619" t="s">
        <v>1075</v>
      </c>
      <c r="C619" t="s">
        <v>1076</v>
      </c>
      <c r="D619" s="22">
        <v>0</v>
      </c>
      <c r="E619" s="17">
        <v>42128</v>
      </c>
      <c r="F619" s="18">
        <v>0.68996527777777772</v>
      </c>
      <c r="G619" s="22">
        <v>8.36</v>
      </c>
      <c r="H619">
        <v>0</v>
      </c>
      <c r="I619" s="19" t="e">
        <f>I618 + (D619-G619)</f>
        <v>#VALUE!</v>
      </c>
      <c r="M619">
        <v>122806</v>
      </c>
      <c r="N619">
        <v>60</v>
      </c>
      <c r="O619" t="s">
        <v>60</v>
      </c>
      <c r="P619">
        <v>1</v>
      </c>
      <c r="R619">
        <v>575</v>
      </c>
      <c r="S619" s="17">
        <v>42130</v>
      </c>
      <c r="T619" s="17">
        <v>42130</v>
      </c>
      <c r="W619">
        <v>2015</v>
      </c>
      <c r="X619">
        <v>60</v>
      </c>
      <c r="AC619" t="s">
        <v>61</v>
      </c>
      <c r="AD619" t="s">
        <v>302</v>
      </c>
      <c r="AE619" t="s">
        <v>46</v>
      </c>
      <c r="AG619">
        <v>52</v>
      </c>
      <c r="AH619">
        <v>9</v>
      </c>
      <c r="AI619" t="s">
        <v>54</v>
      </c>
      <c r="AK619">
        <v>0</v>
      </c>
      <c r="AM619">
        <v>0</v>
      </c>
      <c r="AP619" t="s">
        <v>325</v>
      </c>
    </row>
    <row r="620" spans="1:42" customFormat="1">
      <c r="A620">
        <v>268493</v>
      </c>
      <c r="B620" t="s">
        <v>1077</v>
      </c>
      <c r="C620" t="s">
        <v>1078</v>
      </c>
      <c r="D620" s="22">
        <v>0</v>
      </c>
      <c r="E620" s="17">
        <v>42128</v>
      </c>
      <c r="F620" s="18">
        <v>0.68996527777777772</v>
      </c>
      <c r="G620" s="22">
        <v>5.85</v>
      </c>
      <c r="H620">
        <v>0</v>
      </c>
      <c r="I620" s="19" t="e">
        <f>I619 + (D620-G620)</f>
        <v>#VALUE!</v>
      </c>
      <c r="M620">
        <v>122816</v>
      </c>
      <c r="N620">
        <v>60</v>
      </c>
      <c r="O620" t="s">
        <v>60</v>
      </c>
      <c r="P620">
        <v>1</v>
      </c>
      <c r="R620">
        <v>575</v>
      </c>
      <c r="S620" s="17">
        <v>42130</v>
      </c>
      <c r="T620" s="17">
        <v>42130</v>
      </c>
      <c r="W620">
        <v>2015</v>
      </c>
      <c r="X620">
        <v>60</v>
      </c>
      <c r="AC620" t="s">
        <v>61</v>
      </c>
      <c r="AD620" t="s">
        <v>302</v>
      </c>
      <c r="AE620" t="s">
        <v>46</v>
      </c>
      <c r="AG620">
        <v>52</v>
      </c>
      <c r="AH620">
        <v>9</v>
      </c>
      <c r="AI620" t="s">
        <v>54</v>
      </c>
      <c r="AK620">
        <v>0</v>
      </c>
      <c r="AM620">
        <v>0</v>
      </c>
      <c r="AP620" t="s">
        <v>325</v>
      </c>
    </row>
    <row r="621" spans="1:42" customFormat="1">
      <c r="A621">
        <v>268504</v>
      </c>
      <c r="B621" t="s">
        <v>1079</v>
      </c>
      <c r="C621" t="s">
        <v>1080</v>
      </c>
      <c r="D621" s="22">
        <v>0</v>
      </c>
      <c r="E621" s="17">
        <v>42128</v>
      </c>
      <c r="F621" s="18">
        <v>0.68997685185185187</v>
      </c>
      <c r="G621" s="22">
        <v>15</v>
      </c>
      <c r="H621">
        <v>0</v>
      </c>
      <c r="I621" s="19" t="e">
        <f>I620 + (D621-G621)</f>
        <v>#VALUE!</v>
      </c>
      <c r="M621">
        <v>122810</v>
      </c>
      <c r="N621">
        <v>60</v>
      </c>
      <c r="O621" t="s">
        <v>60</v>
      </c>
      <c r="P621">
        <v>1</v>
      </c>
      <c r="R621">
        <v>575</v>
      </c>
      <c r="S621" s="17">
        <v>42130</v>
      </c>
      <c r="T621" s="17">
        <v>42130</v>
      </c>
      <c r="W621">
        <v>2015</v>
      </c>
      <c r="X621">
        <v>60</v>
      </c>
      <c r="AC621" t="s">
        <v>61</v>
      </c>
      <c r="AD621" t="s">
        <v>302</v>
      </c>
      <c r="AE621" t="s">
        <v>46</v>
      </c>
      <c r="AG621">
        <v>52</v>
      </c>
      <c r="AH621">
        <v>9</v>
      </c>
      <c r="AI621" t="s">
        <v>54</v>
      </c>
      <c r="AK621">
        <v>0</v>
      </c>
      <c r="AM621">
        <v>0</v>
      </c>
      <c r="AP621" t="s">
        <v>325</v>
      </c>
    </row>
    <row r="622" spans="1:42" customFormat="1">
      <c r="A622">
        <v>268511</v>
      </c>
      <c r="B622" t="s">
        <v>1081</v>
      </c>
      <c r="C622" t="s">
        <v>1082</v>
      </c>
      <c r="D622" s="22">
        <v>0</v>
      </c>
      <c r="E622" s="17">
        <v>42128</v>
      </c>
      <c r="F622" s="18">
        <v>0.68997685185185187</v>
      </c>
      <c r="G622" s="22">
        <v>15</v>
      </c>
      <c r="H622">
        <v>0</v>
      </c>
      <c r="I622" s="19" t="e">
        <f>I621 + (D622-G622)</f>
        <v>#VALUE!</v>
      </c>
      <c r="M622">
        <v>122820</v>
      </c>
      <c r="N622">
        <v>60</v>
      </c>
      <c r="O622" t="s">
        <v>60</v>
      </c>
      <c r="P622">
        <v>1</v>
      </c>
      <c r="R622">
        <v>575</v>
      </c>
      <c r="S622" s="17">
        <v>42130</v>
      </c>
      <c r="T622" s="17">
        <v>42130</v>
      </c>
      <c r="W622">
        <v>2015</v>
      </c>
      <c r="X622">
        <v>60</v>
      </c>
      <c r="AC622" t="s">
        <v>61</v>
      </c>
      <c r="AD622" t="s">
        <v>302</v>
      </c>
      <c r="AE622" t="s">
        <v>46</v>
      </c>
      <c r="AG622">
        <v>52</v>
      </c>
      <c r="AH622">
        <v>9</v>
      </c>
      <c r="AI622" t="s">
        <v>54</v>
      </c>
      <c r="AK622">
        <v>0</v>
      </c>
      <c r="AM622">
        <v>0</v>
      </c>
      <c r="AP622" t="s">
        <v>325</v>
      </c>
    </row>
    <row r="623" spans="1:42" customFormat="1">
      <c r="A623">
        <v>268505</v>
      </c>
      <c r="B623" t="s">
        <v>1083</v>
      </c>
      <c r="C623" t="s">
        <v>1084</v>
      </c>
      <c r="D623" s="22">
        <v>0</v>
      </c>
      <c r="E623" s="17">
        <v>42128</v>
      </c>
      <c r="F623" s="18">
        <v>0.68997685185185187</v>
      </c>
      <c r="G623" s="22">
        <v>15</v>
      </c>
      <c r="H623">
        <v>0</v>
      </c>
      <c r="I623" s="19" t="e">
        <f>I622 + (D623-G623)</f>
        <v>#VALUE!</v>
      </c>
      <c r="M623">
        <v>122812</v>
      </c>
      <c r="N623">
        <v>60</v>
      </c>
      <c r="O623" t="s">
        <v>60</v>
      </c>
      <c r="P623">
        <v>1</v>
      </c>
      <c r="R623">
        <v>575</v>
      </c>
      <c r="S623" s="17">
        <v>42130</v>
      </c>
      <c r="T623" s="17">
        <v>42130</v>
      </c>
      <c r="W623">
        <v>2015</v>
      </c>
      <c r="X623">
        <v>60</v>
      </c>
      <c r="AC623" t="s">
        <v>61</v>
      </c>
      <c r="AD623" t="s">
        <v>302</v>
      </c>
      <c r="AE623" t="s">
        <v>46</v>
      </c>
      <c r="AG623">
        <v>52</v>
      </c>
      <c r="AH623">
        <v>9</v>
      </c>
      <c r="AI623" t="s">
        <v>54</v>
      </c>
      <c r="AK623">
        <v>0</v>
      </c>
      <c r="AM623">
        <v>0</v>
      </c>
      <c r="AP623" t="s">
        <v>325</v>
      </c>
    </row>
    <row r="624" spans="1:42" customFormat="1">
      <c r="A624">
        <v>268506</v>
      </c>
      <c r="B624" t="s">
        <v>1085</v>
      </c>
      <c r="C624" t="s">
        <v>1086</v>
      </c>
      <c r="D624" s="22">
        <v>0</v>
      </c>
      <c r="E624" s="17">
        <v>42128</v>
      </c>
      <c r="F624" s="18">
        <v>0.68997685185185187</v>
      </c>
      <c r="G624" s="22">
        <v>15</v>
      </c>
      <c r="H624">
        <v>0</v>
      </c>
      <c r="I624" s="19" t="e">
        <f>I623 + (D624-G624)</f>
        <v>#VALUE!</v>
      </c>
      <c r="M624">
        <v>122813</v>
      </c>
      <c r="N624">
        <v>60</v>
      </c>
      <c r="O624" t="s">
        <v>60</v>
      </c>
      <c r="P624">
        <v>1</v>
      </c>
      <c r="R624">
        <v>575</v>
      </c>
      <c r="S624" s="17">
        <v>42130</v>
      </c>
      <c r="T624" s="17">
        <v>42130</v>
      </c>
      <c r="W624">
        <v>2015</v>
      </c>
      <c r="X624">
        <v>60</v>
      </c>
      <c r="AC624" t="s">
        <v>61</v>
      </c>
      <c r="AD624" t="s">
        <v>302</v>
      </c>
      <c r="AE624" t="s">
        <v>46</v>
      </c>
      <c r="AG624">
        <v>52</v>
      </c>
      <c r="AH624">
        <v>9</v>
      </c>
      <c r="AI624" t="s">
        <v>54</v>
      </c>
      <c r="AK624">
        <v>0</v>
      </c>
      <c r="AM624">
        <v>0</v>
      </c>
      <c r="AP624" t="s">
        <v>325</v>
      </c>
    </row>
    <row r="625" spans="1:42" customFormat="1">
      <c r="A625">
        <v>268500</v>
      </c>
      <c r="B625" t="s">
        <v>1087</v>
      </c>
      <c r="C625" t="s">
        <v>1088</v>
      </c>
      <c r="D625" s="22">
        <v>0</v>
      </c>
      <c r="E625" s="17">
        <v>42128</v>
      </c>
      <c r="F625" s="18">
        <v>0.68997685185185187</v>
      </c>
      <c r="G625" s="22">
        <v>15</v>
      </c>
      <c r="H625">
        <v>0</v>
      </c>
      <c r="I625" s="19" t="e">
        <f>I624 + (D625-G625)</f>
        <v>#VALUE!</v>
      </c>
      <c r="M625">
        <v>122804</v>
      </c>
      <c r="N625">
        <v>60</v>
      </c>
      <c r="O625" t="s">
        <v>60</v>
      </c>
      <c r="P625">
        <v>1</v>
      </c>
      <c r="R625">
        <v>575</v>
      </c>
      <c r="S625" s="17">
        <v>42130</v>
      </c>
      <c r="T625" s="17">
        <v>42130</v>
      </c>
      <c r="W625">
        <v>2015</v>
      </c>
      <c r="X625">
        <v>60</v>
      </c>
      <c r="AC625" t="s">
        <v>61</v>
      </c>
      <c r="AD625" t="s">
        <v>302</v>
      </c>
      <c r="AE625" t="s">
        <v>46</v>
      </c>
      <c r="AG625">
        <v>52</v>
      </c>
      <c r="AH625">
        <v>9</v>
      </c>
      <c r="AI625" t="s">
        <v>54</v>
      </c>
      <c r="AK625">
        <v>0</v>
      </c>
      <c r="AM625">
        <v>0</v>
      </c>
      <c r="AP625" t="s">
        <v>325</v>
      </c>
    </row>
    <row r="626" spans="1:42" customFormat="1">
      <c r="A626">
        <v>268507</v>
      </c>
      <c r="B626" t="s">
        <v>1089</v>
      </c>
      <c r="C626" t="s">
        <v>1090</v>
      </c>
      <c r="D626" s="22">
        <v>0</v>
      </c>
      <c r="E626" s="17">
        <v>42128</v>
      </c>
      <c r="F626" s="18">
        <v>0.68997685185185187</v>
      </c>
      <c r="G626" s="22">
        <v>15</v>
      </c>
      <c r="H626">
        <v>0</v>
      </c>
      <c r="I626" s="19" t="e">
        <f>I625 + (D626-G626)</f>
        <v>#VALUE!</v>
      </c>
      <c r="M626">
        <v>122814</v>
      </c>
      <c r="N626">
        <v>60</v>
      </c>
      <c r="O626" t="s">
        <v>60</v>
      </c>
      <c r="P626">
        <v>1</v>
      </c>
      <c r="R626">
        <v>575</v>
      </c>
      <c r="S626" s="17">
        <v>42130</v>
      </c>
      <c r="T626" s="17">
        <v>42130</v>
      </c>
      <c r="W626">
        <v>2015</v>
      </c>
      <c r="X626">
        <v>60</v>
      </c>
      <c r="AC626" t="s">
        <v>61</v>
      </c>
      <c r="AD626" t="s">
        <v>302</v>
      </c>
      <c r="AE626" t="s">
        <v>46</v>
      </c>
      <c r="AG626">
        <v>52</v>
      </c>
      <c r="AH626">
        <v>9</v>
      </c>
      <c r="AI626" t="s">
        <v>54</v>
      </c>
      <c r="AK626">
        <v>0</v>
      </c>
      <c r="AM626">
        <v>0</v>
      </c>
      <c r="AP626" t="s">
        <v>325</v>
      </c>
    </row>
    <row r="627" spans="1:42" customFormat="1">
      <c r="A627">
        <v>268512</v>
      </c>
      <c r="B627" t="s">
        <v>1091</v>
      </c>
      <c r="C627" t="s">
        <v>1092</v>
      </c>
      <c r="D627" s="22">
        <v>0</v>
      </c>
      <c r="E627" s="17">
        <v>42128</v>
      </c>
      <c r="F627" s="18">
        <v>0.68997685185185187</v>
      </c>
      <c r="G627" s="22">
        <v>15</v>
      </c>
      <c r="H627">
        <v>0</v>
      </c>
      <c r="I627" s="19" t="e">
        <f>I626 + (D627-G627)</f>
        <v>#VALUE!</v>
      </c>
      <c r="M627">
        <v>122824</v>
      </c>
      <c r="N627">
        <v>60</v>
      </c>
      <c r="O627" t="s">
        <v>60</v>
      </c>
      <c r="P627">
        <v>1</v>
      </c>
      <c r="R627">
        <v>575</v>
      </c>
      <c r="S627" s="17">
        <v>42130</v>
      </c>
      <c r="T627" s="17">
        <v>42130</v>
      </c>
      <c r="W627">
        <v>2015</v>
      </c>
      <c r="X627">
        <v>60</v>
      </c>
      <c r="AC627" t="s">
        <v>61</v>
      </c>
      <c r="AD627" t="s">
        <v>302</v>
      </c>
      <c r="AE627" t="s">
        <v>46</v>
      </c>
      <c r="AG627">
        <v>52</v>
      </c>
      <c r="AH627">
        <v>9</v>
      </c>
      <c r="AI627" t="s">
        <v>54</v>
      </c>
      <c r="AK627">
        <v>0</v>
      </c>
      <c r="AM627">
        <v>0</v>
      </c>
      <c r="AP627" t="s">
        <v>325</v>
      </c>
    </row>
    <row r="628" spans="1:42" customFormat="1">
      <c r="A628">
        <v>268513</v>
      </c>
      <c r="B628" t="s">
        <v>1093</v>
      </c>
      <c r="C628" t="s">
        <v>1094</v>
      </c>
      <c r="D628" s="22">
        <v>0</v>
      </c>
      <c r="E628" s="17">
        <v>42128</v>
      </c>
      <c r="F628" s="18">
        <v>0.68997685185185187</v>
      </c>
      <c r="G628" s="22">
        <v>15</v>
      </c>
      <c r="H628">
        <v>0</v>
      </c>
      <c r="I628" s="19" t="e">
        <f>I627 + (D628-G628)</f>
        <v>#VALUE!</v>
      </c>
      <c r="M628">
        <v>122825</v>
      </c>
      <c r="N628">
        <v>60</v>
      </c>
      <c r="O628" t="s">
        <v>60</v>
      </c>
      <c r="P628">
        <v>1</v>
      </c>
      <c r="R628">
        <v>575</v>
      </c>
      <c r="S628" s="17">
        <v>42130</v>
      </c>
      <c r="T628" s="17">
        <v>42130</v>
      </c>
      <c r="W628">
        <v>2015</v>
      </c>
      <c r="X628">
        <v>60</v>
      </c>
      <c r="AC628" t="s">
        <v>61</v>
      </c>
      <c r="AD628" t="s">
        <v>302</v>
      </c>
      <c r="AE628" t="s">
        <v>46</v>
      </c>
      <c r="AG628">
        <v>52</v>
      </c>
      <c r="AH628">
        <v>9</v>
      </c>
      <c r="AI628" t="s">
        <v>54</v>
      </c>
      <c r="AK628">
        <v>0</v>
      </c>
      <c r="AM628">
        <v>0</v>
      </c>
      <c r="AP628" t="s">
        <v>325</v>
      </c>
    </row>
    <row r="629" spans="1:42" customFormat="1">
      <c r="A629">
        <v>268514</v>
      </c>
      <c r="B629" t="s">
        <v>1095</v>
      </c>
      <c r="C629" t="s">
        <v>1096</v>
      </c>
      <c r="D629" s="22">
        <v>0</v>
      </c>
      <c r="E629" s="17">
        <v>42128</v>
      </c>
      <c r="F629" s="18">
        <v>0.68997685185185187</v>
      </c>
      <c r="G629" s="22">
        <v>15</v>
      </c>
      <c r="H629">
        <v>0</v>
      </c>
      <c r="I629" s="19" t="e">
        <f>I628 + (D629-G629)</f>
        <v>#VALUE!</v>
      </c>
      <c r="M629">
        <v>122826</v>
      </c>
      <c r="N629">
        <v>60</v>
      </c>
      <c r="O629" t="s">
        <v>60</v>
      </c>
      <c r="P629">
        <v>1</v>
      </c>
      <c r="R629">
        <v>575</v>
      </c>
      <c r="S629" s="17">
        <v>42130</v>
      </c>
      <c r="T629" s="17">
        <v>42130</v>
      </c>
      <c r="W629">
        <v>2015</v>
      </c>
      <c r="X629">
        <v>60</v>
      </c>
      <c r="AC629" t="s">
        <v>61</v>
      </c>
      <c r="AD629" t="s">
        <v>302</v>
      </c>
      <c r="AE629" t="s">
        <v>46</v>
      </c>
      <c r="AG629">
        <v>52</v>
      </c>
      <c r="AH629">
        <v>9</v>
      </c>
      <c r="AI629" t="s">
        <v>54</v>
      </c>
      <c r="AK629">
        <v>0</v>
      </c>
      <c r="AM629">
        <v>0</v>
      </c>
      <c r="AP629" t="s">
        <v>325</v>
      </c>
    </row>
    <row r="630" spans="1:42" customFormat="1">
      <c r="A630">
        <v>268501</v>
      </c>
      <c r="B630" t="s">
        <v>1097</v>
      </c>
      <c r="C630" t="s">
        <v>1098</v>
      </c>
      <c r="D630" s="22">
        <v>0</v>
      </c>
      <c r="E630" s="17">
        <v>42128</v>
      </c>
      <c r="F630" s="18">
        <v>0.68997685185185187</v>
      </c>
      <c r="G630" s="22">
        <v>15</v>
      </c>
      <c r="H630">
        <v>0</v>
      </c>
      <c r="I630" s="19" t="e">
        <f>I629 + (D630-G630)</f>
        <v>#VALUE!</v>
      </c>
      <c r="M630">
        <v>122807</v>
      </c>
      <c r="N630">
        <v>60</v>
      </c>
      <c r="O630" t="s">
        <v>60</v>
      </c>
      <c r="P630">
        <v>1</v>
      </c>
      <c r="R630">
        <v>575</v>
      </c>
      <c r="S630" s="17">
        <v>42130</v>
      </c>
      <c r="T630" s="17">
        <v>42130</v>
      </c>
      <c r="W630">
        <v>2015</v>
      </c>
      <c r="X630">
        <v>60</v>
      </c>
      <c r="AC630" t="s">
        <v>61</v>
      </c>
      <c r="AD630" t="s">
        <v>302</v>
      </c>
      <c r="AE630" t="s">
        <v>46</v>
      </c>
      <c r="AG630">
        <v>52</v>
      </c>
      <c r="AH630">
        <v>9</v>
      </c>
      <c r="AI630" t="s">
        <v>54</v>
      </c>
      <c r="AK630">
        <v>0</v>
      </c>
      <c r="AM630">
        <v>0</v>
      </c>
      <c r="AP630" t="s">
        <v>325</v>
      </c>
    </row>
    <row r="631" spans="1:42" customFormat="1">
      <c r="A631">
        <v>268508</v>
      </c>
      <c r="B631" t="s">
        <v>1099</v>
      </c>
      <c r="C631" t="s">
        <v>1100</v>
      </c>
      <c r="D631" s="22">
        <v>0</v>
      </c>
      <c r="E631" s="17">
        <v>42128</v>
      </c>
      <c r="F631" s="18">
        <v>0.68997685185185187</v>
      </c>
      <c r="G631" s="22">
        <v>15</v>
      </c>
      <c r="H631">
        <v>0</v>
      </c>
      <c r="I631" s="19" t="e">
        <f>I630 + (D631-G631)</f>
        <v>#VALUE!</v>
      </c>
      <c r="M631">
        <v>122817</v>
      </c>
      <c r="N631">
        <v>60</v>
      </c>
      <c r="O631" t="s">
        <v>60</v>
      </c>
      <c r="P631">
        <v>1</v>
      </c>
      <c r="R631">
        <v>575</v>
      </c>
      <c r="S631" s="17">
        <v>42130</v>
      </c>
      <c r="T631" s="17">
        <v>42130</v>
      </c>
      <c r="W631">
        <v>2015</v>
      </c>
      <c r="X631">
        <v>60</v>
      </c>
      <c r="AC631" t="s">
        <v>61</v>
      </c>
      <c r="AD631" t="s">
        <v>302</v>
      </c>
      <c r="AE631" t="s">
        <v>46</v>
      </c>
      <c r="AG631">
        <v>52</v>
      </c>
      <c r="AH631">
        <v>9</v>
      </c>
      <c r="AI631" t="s">
        <v>54</v>
      </c>
      <c r="AK631">
        <v>0</v>
      </c>
      <c r="AM631">
        <v>0</v>
      </c>
      <c r="AP631" t="s">
        <v>325</v>
      </c>
    </row>
    <row r="632" spans="1:42" customFormat="1">
      <c r="A632">
        <v>268515</v>
      </c>
      <c r="B632" t="s">
        <v>1101</v>
      </c>
      <c r="C632" t="s">
        <v>1102</v>
      </c>
      <c r="D632" s="22">
        <v>0</v>
      </c>
      <c r="E632" s="17">
        <v>42128</v>
      </c>
      <c r="F632" s="18">
        <v>0.68997685185185187</v>
      </c>
      <c r="G632" s="22">
        <v>15</v>
      </c>
      <c r="H632">
        <v>0</v>
      </c>
      <c r="I632" s="19" t="e">
        <f>I631 + (D632-G632)</f>
        <v>#VALUE!</v>
      </c>
      <c r="M632">
        <v>122827</v>
      </c>
      <c r="N632">
        <v>60</v>
      </c>
      <c r="O632" t="s">
        <v>60</v>
      </c>
      <c r="P632">
        <v>1</v>
      </c>
      <c r="R632">
        <v>575</v>
      </c>
      <c r="S632" s="17">
        <v>42130</v>
      </c>
      <c r="T632" s="17">
        <v>42130</v>
      </c>
      <c r="W632">
        <v>2015</v>
      </c>
      <c r="X632">
        <v>60</v>
      </c>
      <c r="AC632" t="s">
        <v>61</v>
      </c>
      <c r="AD632" t="s">
        <v>302</v>
      </c>
      <c r="AE632" t="s">
        <v>46</v>
      </c>
      <c r="AG632">
        <v>52</v>
      </c>
      <c r="AH632">
        <v>9</v>
      </c>
      <c r="AI632" t="s">
        <v>54</v>
      </c>
      <c r="AK632">
        <v>0</v>
      </c>
      <c r="AM632">
        <v>0</v>
      </c>
      <c r="AP632" t="s">
        <v>325</v>
      </c>
    </row>
    <row r="633" spans="1:42" customFormat="1">
      <c r="A633">
        <v>268502</v>
      </c>
      <c r="B633" t="s">
        <v>1103</v>
      </c>
      <c r="C633" t="s">
        <v>1104</v>
      </c>
      <c r="D633" s="22">
        <v>0</v>
      </c>
      <c r="E633" s="17">
        <v>42128</v>
      </c>
      <c r="F633" s="18">
        <v>0.68997685185185187</v>
      </c>
      <c r="G633" s="22">
        <v>15</v>
      </c>
      <c r="H633">
        <v>0</v>
      </c>
      <c r="I633" s="19" t="e">
        <f>I632 + (D633-G633)</f>
        <v>#VALUE!</v>
      </c>
      <c r="M633">
        <v>122808</v>
      </c>
      <c r="N633">
        <v>60</v>
      </c>
      <c r="O633" t="s">
        <v>60</v>
      </c>
      <c r="P633">
        <v>1</v>
      </c>
      <c r="R633">
        <v>575</v>
      </c>
      <c r="S633" s="17">
        <v>42130</v>
      </c>
      <c r="T633" s="17">
        <v>42130</v>
      </c>
      <c r="W633">
        <v>2015</v>
      </c>
      <c r="X633">
        <v>60</v>
      </c>
      <c r="AC633" t="s">
        <v>61</v>
      </c>
      <c r="AD633" t="s">
        <v>302</v>
      </c>
      <c r="AE633" t="s">
        <v>46</v>
      </c>
      <c r="AG633">
        <v>52</v>
      </c>
      <c r="AH633">
        <v>9</v>
      </c>
      <c r="AI633" t="s">
        <v>54</v>
      </c>
      <c r="AK633">
        <v>0</v>
      </c>
      <c r="AM633">
        <v>0</v>
      </c>
      <c r="AP633" t="s">
        <v>325</v>
      </c>
    </row>
    <row r="634" spans="1:42" customFormat="1">
      <c r="A634">
        <v>268509</v>
      </c>
      <c r="B634" t="s">
        <v>1105</v>
      </c>
      <c r="C634" t="s">
        <v>1106</v>
      </c>
      <c r="D634" s="22">
        <v>0</v>
      </c>
      <c r="E634" s="17">
        <v>42128</v>
      </c>
      <c r="F634" s="18">
        <v>0.68997685185185187</v>
      </c>
      <c r="G634" s="22">
        <v>15</v>
      </c>
      <c r="H634">
        <v>0</v>
      </c>
      <c r="I634" s="19" t="e">
        <f>I633 + (D634-G634)</f>
        <v>#VALUE!</v>
      </c>
      <c r="M634">
        <v>122818</v>
      </c>
      <c r="N634">
        <v>60</v>
      </c>
      <c r="O634" t="s">
        <v>60</v>
      </c>
      <c r="P634">
        <v>1</v>
      </c>
      <c r="R634">
        <v>575</v>
      </c>
      <c r="S634" s="17">
        <v>42130</v>
      </c>
      <c r="T634" s="17">
        <v>42130</v>
      </c>
      <c r="W634">
        <v>2015</v>
      </c>
      <c r="X634">
        <v>60</v>
      </c>
      <c r="AC634" t="s">
        <v>61</v>
      </c>
      <c r="AD634" t="s">
        <v>302</v>
      </c>
      <c r="AE634" t="s">
        <v>46</v>
      </c>
      <c r="AG634">
        <v>52</v>
      </c>
      <c r="AH634">
        <v>9</v>
      </c>
      <c r="AI634" t="s">
        <v>54</v>
      </c>
      <c r="AK634">
        <v>0</v>
      </c>
      <c r="AM634">
        <v>0</v>
      </c>
      <c r="AP634" t="s">
        <v>325</v>
      </c>
    </row>
    <row r="635" spans="1:42" customFormat="1">
      <c r="A635">
        <v>268516</v>
      </c>
      <c r="B635" t="s">
        <v>1107</v>
      </c>
      <c r="C635" t="s">
        <v>1108</v>
      </c>
      <c r="D635" s="22">
        <v>0</v>
      </c>
      <c r="E635" s="17">
        <v>42128</v>
      </c>
      <c r="F635" s="18">
        <v>0.68997685185185187</v>
      </c>
      <c r="G635" s="22">
        <v>15</v>
      </c>
      <c r="H635">
        <v>0</v>
      </c>
      <c r="I635" s="19" t="e">
        <f>I634 + (D635-G635)</f>
        <v>#VALUE!</v>
      </c>
      <c r="M635">
        <v>122828</v>
      </c>
      <c r="N635">
        <v>60</v>
      </c>
      <c r="O635" t="s">
        <v>60</v>
      </c>
      <c r="P635">
        <v>1</v>
      </c>
      <c r="R635">
        <v>575</v>
      </c>
      <c r="S635" s="17">
        <v>42130</v>
      </c>
      <c r="T635" s="17">
        <v>42130</v>
      </c>
      <c r="W635">
        <v>2015</v>
      </c>
      <c r="X635">
        <v>60</v>
      </c>
      <c r="AC635" t="s">
        <v>61</v>
      </c>
      <c r="AD635" t="s">
        <v>302</v>
      </c>
      <c r="AE635" t="s">
        <v>46</v>
      </c>
      <c r="AG635">
        <v>52</v>
      </c>
      <c r="AH635">
        <v>9</v>
      </c>
      <c r="AI635" t="s">
        <v>54</v>
      </c>
      <c r="AK635">
        <v>0</v>
      </c>
      <c r="AM635">
        <v>0</v>
      </c>
      <c r="AP635" t="s">
        <v>325</v>
      </c>
    </row>
    <row r="636" spans="1:42" customFormat="1">
      <c r="A636">
        <v>268503</v>
      </c>
      <c r="B636" t="s">
        <v>1109</v>
      </c>
      <c r="C636" t="s">
        <v>1110</v>
      </c>
      <c r="D636" s="22">
        <v>0</v>
      </c>
      <c r="E636" s="17">
        <v>42128</v>
      </c>
      <c r="F636" s="18">
        <v>0.68997685185185187</v>
      </c>
      <c r="G636" s="22">
        <v>15</v>
      </c>
      <c r="H636">
        <v>0</v>
      </c>
      <c r="I636" s="19" t="e">
        <f>I635 + (D636-G636)</f>
        <v>#VALUE!</v>
      </c>
      <c r="M636">
        <v>122809</v>
      </c>
      <c r="N636">
        <v>60</v>
      </c>
      <c r="O636" t="s">
        <v>60</v>
      </c>
      <c r="P636">
        <v>1</v>
      </c>
      <c r="R636">
        <v>575</v>
      </c>
      <c r="S636" s="17">
        <v>42130</v>
      </c>
      <c r="T636" s="17">
        <v>42130</v>
      </c>
      <c r="W636">
        <v>2015</v>
      </c>
      <c r="X636">
        <v>60</v>
      </c>
      <c r="AC636" t="s">
        <v>61</v>
      </c>
      <c r="AD636" t="s">
        <v>302</v>
      </c>
      <c r="AE636" t="s">
        <v>46</v>
      </c>
      <c r="AG636">
        <v>52</v>
      </c>
      <c r="AH636">
        <v>9</v>
      </c>
      <c r="AI636" t="s">
        <v>54</v>
      </c>
      <c r="AK636">
        <v>0</v>
      </c>
      <c r="AM636">
        <v>0</v>
      </c>
      <c r="AP636" t="s">
        <v>325</v>
      </c>
    </row>
    <row r="637" spans="1:42" customFormat="1">
      <c r="A637">
        <v>268510</v>
      </c>
      <c r="B637" t="s">
        <v>1111</v>
      </c>
      <c r="C637" t="s">
        <v>1112</v>
      </c>
      <c r="D637" s="22">
        <v>0</v>
      </c>
      <c r="E637" s="17">
        <v>42128</v>
      </c>
      <c r="F637" s="18">
        <v>0.68997685185185187</v>
      </c>
      <c r="G637" s="22">
        <v>15</v>
      </c>
      <c r="H637">
        <v>0</v>
      </c>
      <c r="I637" s="19" t="e">
        <f>I636 + (D637-G637)</f>
        <v>#VALUE!</v>
      </c>
      <c r="M637">
        <v>122819</v>
      </c>
      <c r="N637">
        <v>60</v>
      </c>
      <c r="O637" t="s">
        <v>60</v>
      </c>
      <c r="P637">
        <v>1</v>
      </c>
      <c r="R637">
        <v>575</v>
      </c>
      <c r="S637" s="17">
        <v>42130</v>
      </c>
      <c r="T637" s="17">
        <v>42130</v>
      </c>
      <c r="W637">
        <v>2015</v>
      </c>
      <c r="X637">
        <v>60</v>
      </c>
      <c r="AC637" t="s">
        <v>61</v>
      </c>
      <c r="AD637" t="s">
        <v>302</v>
      </c>
      <c r="AE637" t="s">
        <v>46</v>
      </c>
      <c r="AG637">
        <v>52</v>
      </c>
      <c r="AH637">
        <v>9</v>
      </c>
      <c r="AI637" t="s">
        <v>54</v>
      </c>
      <c r="AK637">
        <v>0</v>
      </c>
      <c r="AM637">
        <v>0</v>
      </c>
      <c r="AP637" t="s">
        <v>325</v>
      </c>
    </row>
    <row r="638" spans="1:42" customFormat="1">
      <c r="A638">
        <v>268517</v>
      </c>
      <c r="B638" t="s">
        <v>1113</v>
      </c>
      <c r="C638" t="s">
        <v>1114</v>
      </c>
      <c r="D638" s="22">
        <v>0</v>
      </c>
      <c r="E638" s="17">
        <v>42128</v>
      </c>
      <c r="F638" s="18">
        <v>0.68997685185185187</v>
      </c>
      <c r="G638" s="22">
        <v>15</v>
      </c>
      <c r="H638">
        <v>0</v>
      </c>
      <c r="I638" s="19" t="e">
        <f>I637 + (D638-G638)</f>
        <v>#VALUE!</v>
      </c>
      <c r="M638">
        <v>122829</v>
      </c>
      <c r="N638">
        <v>60</v>
      </c>
      <c r="O638" t="s">
        <v>60</v>
      </c>
      <c r="P638">
        <v>1</v>
      </c>
      <c r="R638">
        <v>575</v>
      </c>
      <c r="S638" s="17">
        <v>42130</v>
      </c>
      <c r="T638" s="17">
        <v>42130</v>
      </c>
      <c r="W638">
        <v>2015</v>
      </c>
      <c r="X638">
        <v>60</v>
      </c>
      <c r="AC638" t="s">
        <v>61</v>
      </c>
      <c r="AD638" t="s">
        <v>302</v>
      </c>
      <c r="AE638" t="s">
        <v>46</v>
      </c>
      <c r="AG638">
        <v>52</v>
      </c>
      <c r="AH638">
        <v>9</v>
      </c>
      <c r="AI638" t="s">
        <v>54</v>
      </c>
      <c r="AK638">
        <v>0</v>
      </c>
      <c r="AM638">
        <v>0</v>
      </c>
      <c r="AP638" t="s">
        <v>325</v>
      </c>
    </row>
    <row r="639" spans="1:42" customFormat="1">
      <c r="A639">
        <v>268518</v>
      </c>
      <c r="B639" t="s">
        <v>1115</v>
      </c>
      <c r="C639" t="s">
        <v>1116</v>
      </c>
      <c r="D639" s="22">
        <v>0</v>
      </c>
      <c r="E639" s="17">
        <v>42128</v>
      </c>
      <c r="F639" s="18">
        <v>0.68998842592592602</v>
      </c>
      <c r="G639" s="22">
        <v>15</v>
      </c>
      <c r="H639">
        <v>0</v>
      </c>
      <c r="I639" s="19" t="e">
        <f>I638 + (D639-G639)</f>
        <v>#VALUE!</v>
      </c>
      <c r="M639">
        <v>122830</v>
      </c>
      <c r="N639">
        <v>60</v>
      </c>
      <c r="O639" t="s">
        <v>60</v>
      </c>
      <c r="P639">
        <v>1</v>
      </c>
      <c r="R639">
        <v>575</v>
      </c>
      <c r="S639" s="17">
        <v>42130</v>
      </c>
      <c r="T639" s="17">
        <v>42130</v>
      </c>
      <c r="W639">
        <v>2015</v>
      </c>
      <c r="X639">
        <v>60</v>
      </c>
      <c r="AC639" t="s">
        <v>61</v>
      </c>
      <c r="AD639" t="s">
        <v>302</v>
      </c>
      <c r="AE639" t="s">
        <v>46</v>
      </c>
      <c r="AG639">
        <v>52</v>
      </c>
      <c r="AH639">
        <v>9</v>
      </c>
      <c r="AI639" t="s">
        <v>54</v>
      </c>
      <c r="AK639">
        <v>0</v>
      </c>
      <c r="AM639">
        <v>0</v>
      </c>
      <c r="AP639" t="s">
        <v>325</v>
      </c>
    </row>
    <row r="640" spans="1:42" customFormat="1">
      <c r="A640">
        <v>268519</v>
      </c>
      <c r="B640" t="s">
        <v>1117</v>
      </c>
      <c r="C640" t="s">
        <v>1118</v>
      </c>
      <c r="D640" s="22">
        <v>0</v>
      </c>
      <c r="E640" s="17">
        <v>42128</v>
      </c>
      <c r="F640" s="18">
        <v>0.68998842592592602</v>
      </c>
      <c r="G640" s="22">
        <v>15</v>
      </c>
      <c r="H640">
        <v>0</v>
      </c>
      <c r="I640" s="19" t="e">
        <f>I639 + (D640-G640)</f>
        <v>#VALUE!</v>
      </c>
      <c r="M640">
        <v>122832</v>
      </c>
      <c r="N640">
        <v>60</v>
      </c>
      <c r="O640" t="s">
        <v>60</v>
      </c>
      <c r="P640">
        <v>1</v>
      </c>
      <c r="R640">
        <v>575</v>
      </c>
      <c r="S640" s="17">
        <v>42130</v>
      </c>
      <c r="T640" s="17">
        <v>42130</v>
      </c>
      <c r="W640">
        <v>2015</v>
      </c>
      <c r="X640">
        <v>60</v>
      </c>
      <c r="AC640" t="s">
        <v>61</v>
      </c>
      <c r="AD640" t="s">
        <v>302</v>
      </c>
      <c r="AE640" t="s">
        <v>46</v>
      </c>
      <c r="AG640">
        <v>52</v>
      </c>
      <c r="AH640">
        <v>9</v>
      </c>
      <c r="AI640" t="s">
        <v>54</v>
      </c>
      <c r="AK640">
        <v>0</v>
      </c>
      <c r="AM640">
        <v>0</v>
      </c>
      <c r="AP640" t="s">
        <v>325</v>
      </c>
    </row>
    <row r="641" spans="1:42" customFormat="1">
      <c r="A641">
        <v>276167</v>
      </c>
      <c r="B641" t="s">
        <v>1126</v>
      </c>
      <c r="C641" t="s">
        <v>1127</v>
      </c>
      <c r="D641" s="22">
        <v>0</v>
      </c>
      <c r="E641" s="17">
        <v>42128</v>
      </c>
      <c r="F641" s="18">
        <v>0.69177083333333333</v>
      </c>
      <c r="G641" s="22">
        <v>11.52</v>
      </c>
      <c r="H641">
        <v>0</v>
      </c>
      <c r="I641" s="19" t="e">
        <f>I640 + (D641-G641)</f>
        <v>#VALUE!</v>
      </c>
      <c r="M641">
        <v>128697</v>
      </c>
      <c r="N641">
        <v>24</v>
      </c>
      <c r="O641" t="s">
        <v>68</v>
      </c>
      <c r="P641">
        <v>1</v>
      </c>
      <c r="R641">
        <v>575</v>
      </c>
      <c r="S641" s="17">
        <v>42188</v>
      </c>
      <c r="T641" s="17">
        <v>42188</v>
      </c>
      <c r="W641">
        <v>2015</v>
      </c>
      <c r="X641">
        <v>24</v>
      </c>
      <c r="AC641" t="s">
        <v>61</v>
      </c>
      <c r="AD641" t="s">
        <v>302</v>
      </c>
      <c r="AE641" t="s">
        <v>46</v>
      </c>
      <c r="AG641">
        <v>107</v>
      </c>
      <c r="AH641">
        <v>9</v>
      </c>
      <c r="AI641" t="s">
        <v>54</v>
      </c>
      <c r="AK641">
        <v>0</v>
      </c>
      <c r="AM641">
        <v>0</v>
      </c>
      <c r="AP641" t="s">
        <v>1121</v>
      </c>
    </row>
    <row r="642" spans="1:42" customFormat="1">
      <c r="A642">
        <v>268525</v>
      </c>
      <c r="B642" t="s">
        <v>1132</v>
      </c>
      <c r="C642" t="s">
        <v>1133</v>
      </c>
      <c r="D642" s="22">
        <v>0</v>
      </c>
      <c r="E642" s="17">
        <v>42128</v>
      </c>
      <c r="F642" s="18">
        <v>0.69354166666666661</v>
      </c>
      <c r="G642" s="22">
        <v>6.88</v>
      </c>
      <c r="H642">
        <v>0</v>
      </c>
      <c r="I642" s="19" t="e">
        <f>I641 + (D642-G642)</f>
        <v>#VALUE!</v>
      </c>
      <c r="M642">
        <v>122840</v>
      </c>
      <c r="N642">
        <v>60</v>
      </c>
      <c r="O642" t="s">
        <v>60</v>
      </c>
      <c r="P642">
        <v>1</v>
      </c>
      <c r="R642">
        <v>575</v>
      </c>
      <c r="S642" s="17">
        <v>42130</v>
      </c>
      <c r="T642" s="17">
        <v>42130</v>
      </c>
      <c r="W642">
        <v>2015</v>
      </c>
      <c r="X642">
        <v>60</v>
      </c>
      <c r="AC642" t="s">
        <v>61</v>
      </c>
      <c r="AD642" t="s">
        <v>302</v>
      </c>
      <c r="AE642" t="s">
        <v>46</v>
      </c>
      <c r="AG642">
        <v>52</v>
      </c>
      <c r="AH642">
        <v>9</v>
      </c>
      <c r="AI642" t="s">
        <v>54</v>
      </c>
      <c r="AK642">
        <v>0</v>
      </c>
      <c r="AM642">
        <v>0</v>
      </c>
      <c r="AP642" t="s">
        <v>325</v>
      </c>
    </row>
    <row r="643" spans="1:42" customFormat="1">
      <c r="A643">
        <v>268526</v>
      </c>
      <c r="B643" t="s">
        <v>1134</v>
      </c>
      <c r="C643" t="s">
        <v>1135</v>
      </c>
      <c r="D643" s="22">
        <v>0</v>
      </c>
      <c r="E643" s="17">
        <v>42128</v>
      </c>
      <c r="F643" s="18">
        <v>0.69354166666666661</v>
      </c>
      <c r="G643" s="22">
        <v>15.55</v>
      </c>
      <c r="H643">
        <v>0</v>
      </c>
      <c r="I643" s="19" t="e">
        <f>I642 + (D643-G643)</f>
        <v>#VALUE!</v>
      </c>
      <c r="M643">
        <v>122841</v>
      </c>
      <c r="N643">
        <v>60</v>
      </c>
      <c r="O643" t="s">
        <v>60</v>
      </c>
      <c r="P643">
        <v>1</v>
      </c>
      <c r="R643">
        <v>575</v>
      </c>
      <c r="S643" s="17">
        <v>42130</v>
      </c>
      <c r="T643" s="17">
        <v>42130</v>
      </c>
      <c r="W643">
        <v>2015</v>
      </c>
      <c r="X643">
        <v>60</v>
      </c>
      <c r="AC643" t="s">
        <v>61</v>
      </c>
      <c r="AD643" t="s">
        <v>302</v>
      </c>
      <c r="AE643" t="s">
        <v>46</v>
      </c>
      <c r="AG643">
        <v>52</v>
      </c>
      <c r="AH643">
        <v>9</v>
      </c>
      <c r="AI643" t="s">
        <v>54</v>
      </c>
      <c r="AK643">
        <v>0</v>
      </c>
      <c r="AM643">
        <v>0</v>
      </c>
      <c r="AP643" t="s">
        <v>325</v>
      </c>
    </row>
    <row r="644" spans="1:42" customFormat="1">
      <c r="A644">
        <v>268527</v>
      </c>
      <c r="B644" t="s">
        <v>1136</v>
      </c>
      <c r="C644" t="s">
        <v>1137</v>
      </c>
      <c r="D644" s="22">
        <v>0</v>
      </c>
      <c r="E644" s="17">
        <v>42128</v>
      </c>
      <c r="F644" s="18">
        <v>0.69354166666666661</v>
      </c>
      <c r="G644" s="22">
        <v>20.57</v>
      </c>
      <c r="H644">
        <v>0</v>
      </c>
      <c r="I644" s="19" t="e">
        <f>I643 + (D644-G644)</f>
        <v>#VALUE!</v>
      </c>
      <c r="M644">
        <v>122842</v>
      </c>
      <c r="N644">
        <v>60</v>
      </c>
      <c r="O644" t="s">
        <v>60</v>
      </c>
      <c r="P644">
        <v>1</v>
      </c>
      <c r="R644">
        <v>575</v>
      </c>
      <c r="S644" s="17">
        <v>42130</v>
      </c>
      <c r="T644" s="17">
        <v>42130</v>
      </c>
      <c r="W644">
        <v>2015</v>
      </c>
      <c r="X644">
        <v>60</v>
      </c>
      <c r="AC644" t="s">
        <v>61</v>
      </c>
      <c r="AD644" t="s">
        <v>302</v>
      </c>
      <c r="AE644" t="s">
        <v>46</v>
      </c>
      <c r="AG644">
        <v>52</v>
      </c>
      <c r="AH644">
        <v>9</v>
      </c>
      <c r="AI644" t="s">
        <v>54</v>
      </c>
      <c r="AK644">
        <v>0</v>
      </c>
      <c r="AM644">
        <v>0</v>
      </c>
      <c r="AP644" t="s">
        <v>325</v>
      </c>
    </row>
    <row r="645" spans="1:42" customFormat="1">
      <c r="A645">
        <v>268520</v>
      </c>
      <c r="B645" t="s">
        <v>1138</v>
      </c>
      <c r="C645" t="s">
        <v>1139</v>
      </c>
      <c r="D645" s="22">
        <v>0</v>
      </c>
      <c r="E645" s="17">
        <v>42128</v>
      </c>
      <c r="F645" s="18">
        <v>0.69354166666666661</v>
      </c>
      <c r="G645" s="22">
        <v>15</v>
      </c>
      <c r="H645">
        <v>0</v>
      </c>
      <c r="I645" s="19" t="e">
        <f>I644 + (D645-G645)</f>
        <v>#VALUE!</v>
      </c>
      <c r="M645">
        <v>122835</v>
      </c>
      <c r="N645">
        <v>60</v>
      </c>
      <c r="O645" t="s">
        <v>60</v>
      </c>
      <c r="P645">
        <v>1</v>
      </c>
      <c r="R645">
        <v>575</v>
      </c>
      <c r="S645" s="17">
        <v>42130</v>
      </c>
      <c r="T645" s="17">
        <v>42130</v>
      </c>
      <c r="W645">
        <v>2015</v>
      </c>
      <c r="X645">
        <v>60</v>
      </c>
      <c r="AC645" t="s">
        <v>61</v>
      </c>
      <c r="AD645" t="s">
        <v>302</v>
      </c>
      <c r="AE645" t="s">
        <v>46</v>
      </c>
      <c r="AG645">
        <v>52</v>
      </c>
      <c r="AH645">
        <v>9</v>
      </c>
      <c r="AI645" t="s">
        <v>54</v>
      </c>
      <c r="AK645">
        <v>0</v>
      </c>
      <c r="AM645">
        <v>0</v>
      </c>
      <c r="AP645" t="s">
        <v>325</v>
      </c>
    </row>
    <row r="646" spans="1:42" customFormat="1">
      <c r="A646">
        <v>268521</v>
      </c>
      <c r="B646" t="s">
        <v>1140</v>
      </c>
      <c r="C646" t="s">
        <v>1141</v>
      </c>
      <c r="D646" s="22">
        <v>0</v>
      </c>
      <c r="E646" s="17">
        <v>42128</v>
      </c>
      <c r="F646" s="18">
        <v>0.69354166666666661</v>
      </c>
      <c r="G646" s="22">
        <v>15</v>
      </c>
      <c r="H646">
        <v>0</v>
      </c>
      <c r="I646" s="19" t="e">
        <f>I645 + (D646-G646)</f>
        <v>#VALUE!</v>
      </c>
      <c r="M646">
        <v>122836</v>
      </c>
      <c r="N646">
        <v>60</v>
      </c>
      <c r="O646" t="s">
        <v>60</v>
      </c>
      <c r="P646">
        <v>1</v>
      </c>
      <c r="R646">
        <v>575</v>
      </c>
      <c r="S646" s="17">
        <v>42130</v>
      </c>
      <c r="T646" s="17">
        <v>42130</v>
      </c>
      <c r="W646">
        <v>2015</v>
      </c>
      <c r="X646">
        <v>60</v>
      </c>
      <c r="AC646" t="s">
        <v>61</v>
      </c>
      <c r="AD646" t="s">
        <v>302</v>
      </c>
      <c r="AE646" t="s">
        <v>46</v>
      </c>
      <c r="AG646">
        <v>52</v>
      </c>
      <c r="AH646">
        <v>9</v>
      </c>
      <c r="AI646" t="s">
        <v>54</v>
      </c>
      <c r="AK646">
        <v>0</v>
      </c>
      <c r="AM646">
        <v>0</v>
      </c>
      <c r="AP646" t="s">
        <v>325</v>
      </c>
    </row>
    <row r="647" spans="1:42" customFormat="1">
      <c r="A647">
        <v>268522</v>
      </c>
      <c r="B647" t="s">
        <v>1142</v>
      </c>
      <c r="C647" t="s">
        <v>1143</v>
      </c>
      <c r="D647" s="22">
        <v>0</v>
      </c>
      <c r="E647" s="17">
        <v>42128</v>
      </c>
      <c r="F647" s="18">
        <v>0.69354166666666661</v>
      </c>
      <c r="G647" s="22">
        <v>15</v>
      </c>
      <c r="H647">
        <v>0</v>
      </c>
      <c r="I647" s="19" t="e">
        <f>I646 + (D647-G647)</f>
        <v>#VALUE!</v>
      </c>
      <c r="M647">
        <v>122837</v>
      </c>
      <c r="N647">
        <v>60</v>
      </c>
      <c r="O647" t="s">
        <v>60</v>
      </c>
      <c r="P647">
        <v>1</v>
      </c>
      <c r="R647">
        <v>575</v>
      </c>
      <c r="S647" s="17">
        <v>42130</v>
      </c>
      <c r="T647" s="17">
        <v>42130</v>
      </c>
      <c r="W647">
        <v>2015</v>
      </c>
      <c r="X647">
        <v>60</v>
      </c>
      <c r="AC647" t="s">
        <v>61</v>
      </c>
      <c r="AD647" t="s">
        <v>302</v>
      </c>
      <c r="AE647" t="s">
        <v>46</v>
      </c>
      <c r="AG647">
        <v>52</v>
      </c>
      <c r="AH647">
        <v>9</v>
      </c>
      <c r="AI647" t="s">
        <v>54</v>
      </c>
      <c r="AK647">
        <v>0</v>
      </c>
      <c r="AM647">
        <v>0</v>
      </c>
      <c r="AP647" t="s">
        <v>325</v>
      </c>
    </row>
    <row r="648" spans="1:42" customFormat="1">
      <c r="A648">
        <v>268523</v>
      </c>
      <c r="B648" t="s">
        <v>1144</v>
      </c>
      <c r="C648" t="s">
        <v>1145</v>
      </c>
      <c r="D648" s="22">
        <v>0</v>
      </c>
      <c r="E648" s="17">
        <v>42128</v>
      </c>
      <c r="F648" s="18">
        <v>0.69354166666666661</v>
      </c>
      <c r="G648" s="22">
        <v>15</v>
      </c>
      <c r="H648">
        <v>0</v>
      </c>
      <c r="I648" s="19" t="e">
        <f>I647 + (D648-G648)</f>
        <v>#VALUE!</v>
      </c>
      <c r="M648">
        <v>122838</v>
      </c>
      <c r="N648">
        <v>60</v>
      </c>
      <c r="O648" t="s">
        <v>60</v>
      </c>
      <c r="P648">
        <v>1</v>
      </c>
      <c r="R648">
        <v>575</v>
      </c>
      <c r="S648" s="17">
        <v>42130</v>
      </c>
      <c r="T648" s="17">
        <v>42130</v>
      </c>
      <c r="W648">
        <v>2015</v>
      </c>
      <c r="X648">
        <v>60</v>
      </c>
      <c r="AC648" t="s">
        <v>61</v>
      </c>
      <c r="AD648" t="s">
        <v>302</v>
      </c>
      <c r="AE648" t="s">
        <v>46</v>
      </c>
      <c r="AG648">
        <v>52</v>
      </c>
      <c r="AH648">
        <v>9</v>
      </c>
      <c r="AI648" t="s">
        <v>54</v>
      </c>
      <c r="AK648">
        <v>0</v>
      </c>
      <c r="AM648">
        <v>0</v>
      </c>
      <c r="AP648" t="s">
        <v>325</v>
      </c>
    </row>
    <row r="649" spans="1:42" customFormat="1">
      <c r="A649">
        <v>268528</v>
      </c>
      <c r="B649" t="s">
        <v>1148</v>
      </c>
      <c r="C649" t="s">
        <v>1149</v>
      </c>
      <c r="D649" s="22">
        <v>0</v>
      </c>
      <c r="E649" s="17">
        <v>42128</v>
      </c>
      <c r="F649" s="18">
        <v>0.69355324074074076</v>
      </c>
      <c r="G649" s="22">
        <v>16.64</v>
      </c>
      <c r="H649">
        <v>0</v>
      </c>
      <c r="I649" s="19" t="e">
        <f>I648 + (D649-G649)</f>
        <v>#VALUE!</v>
      </c>
      <c r="M649">
        <v>122847</v>
      </c>
      <c r="N649">
        <v>60</v>
      </c>
      <c r="O649" t="s">
        <v>60</v>
      </c>
      <c r="P649">
        <v>1</v>
      </c>
      <c r="R649">
        <v>575</v>
      </c>
      <c r="S649" s="17">
        <v>42130</v>
      </c>
      <c r="T649" s="17">
        <v>42130</v>
      </c>
      <c r="W649">
        <v>2015</v>
      </c>
      <c r="X649">
        <v>60</v>
      </c>
      <c r="AC649" t="s">
        <v>61</v>
      </c>
      <c r="AD649" t="s">
        <v>302</v>
      </c>
      <c r="AE649" t="s">
        <v>46</v>
      </c>
      <c r="AG649">
        <v>52</v>
      </c>
      <c r="AH649">
        <v>9</v>
      </c>
      <c r="AI649" t="s">
        <v>54</v>
      </c>
      <c r="AK649">
        <v>0</v>
      </c>
      <c r="AM649">
        <v>0</v>
      </c>
      <c r="AP649" t="s">
        <v>325</v>
      </c>
    </row>
    <row r="650" spans="1:42" customFormat="1">
      <c r="A650">
        <v>268529</v>
      </c>
      <c r="B650" t="s">
        <v>1150</v>
      </c>
      <c r="C650" t="s">
        <v>1151</v>
      </c>
      <c r="D650" s="22">
        <v>0</v>
      </c>
      <c r="E650" s="17">
        <v>42128</v>
      </c>
      <c r="F650" s="18">
        <v>0.69453703703703706</v>
      </c>
      <c r="G650" s="22">
        <v>15</v>
      </c>
      <c r="H650">
        <v>0</v>
      </c>
      <c r="I650" s="19" t="e">
        <f>I649 + (D650-G650)</f>
        <v>#VALUE!</v>
      </c>
      <c r="M650">
        <v>122850</v>
      </c>
      <c r="N650">
        <v>60</v>
      </c>
      <c r="O650" t="s">
        <v>60</v>
      </c>
      <c r="P650">
        <v>1</v>
      </c>
      <c r="R650">
        <v>575</v>
      </c>
      <c r="S650" s="17">
        <v>42130</v>
      </c>
      <c r="T650" s="17">
        <v>42130</v>
      </c>
      <c r="W650">
        <v>2015</v>
      </c>
      <c r="X650">
        <v>60</v>
      </c>
      <c r="AC650" t="s">
        <v>61</v>
      </c>
      <c r="AD650" t="s">
        <v>302</v>
      </c>
      <c r="AE650" t="s">
        <v>46</v>
      </c>
      <c r="AG650">
        <v>52</v>
      </c>
      <c r="AH650">
        <v>9</v>
      </c>
      <c r="AI650" t="s">
        <v>54</v>
      </c>
      <c r="AK650">
        <v>0</v>
      </c>
      <c r="AM650">
        <v>0</v>
      </c>
      <c r="AP650" t="s">
        <v>325</v>
      </c>
    </row>
    <row r="651" spans="1:42" customFormat="1">
      <c r="A651">
        <v>268530</v>
      </c>
      <c r="B651" t="s">
        <v>1152</v>
      </c>
      <c r="C651" t="s">
        <v>1153</v>
      </c>
      <c r="D651" s="22">
        <v>0</v>
      </c>
      <c r="E651" s="17">
        <v>42128</v>
      </c>
      <c r="F651" s="18">
        <v>0.69453703703703706</v>
      </c>
      <c r="G651" s="22">
        <v>15</v>
      </c>
      <c r="H651">
        <v>0</v>
      </c>
      <c r="I651" s="19" t="e">
        <f>I650 + (D651-G651)</f>
        <v>#VALUE!</v>
      </c>
      <c r="M651">
        <v>122851</v>
      </c>
      <c r="N651">
        <v>60</v>
      </c>
      <c r="O651" t="s">
        <v>60</v>
      </c>
      <c r="P651">
        <v>1</v>
      </c>
      <c r="R651">
        <v>575</v>
      </c>
      <c r="S651" s="17">
        <v>42130</v>
      </c>
      <c r="T651" s="17">
        <v>42130</v>
      </c>
      <c r="W651">
        <v>2015</v>
      </c>
      <c r="X651">
        <v>60</v>
      </c>
      <c r="AC651" t="s">
        <v>61</v>
      </c>
      <c r="AD651" t="s">
        <v>302</v>
      </c>
      <c r="AE651" t="s">
        <v>46</v>
      </c>
      <c r="AG651">
        <v>52</v>
      </c>
      <c r="AH651">
        <v>9</v>
      </c>
      <c r="AI651" t="s">
        <v>54</v>
      </c>
      <c r="AK651">
        <v>0</v>
      </c>
      <c r="AM651">
        <v>0</v>
      </c>
      <c r="AP651" t="s">
        <v>325</v>
      </c>
    </row>
    <row r="652" spans="1:42" customFormat="1">
      <c r="A652">
        <v>268531</v>
      </c>
      <c r="B652" t="s">
        <v>1154</v>
      </c>
      <c r="C652" t="s">
        <v>1155</v>
      </c>
      <c r="D652" s="22">
        <v>0</v>
      </c>
      <c r="E652" s="17">
        <v>42128</v>
      </c>
      <c r="F652" s="18">
        <v>0.69453703703703706</v>
      </c>
      <c r="G652" s="22">
        <v>15</v>
      </c>
      <c r="H652">
        <v>0</v>
      </c>
      <c r="I652" s="19" t="e">
        <f>I651 + (D652-G652)</f>
        <v>#VALUE!</v>
      </c>
      <c r="M652">
        <v>122852</v>
      </c>
      <c r="N652">
        <v>60</v>
      </c>
      <c r="O652" t="s">
        <v>60</v>
      </c>
      <c r="P652">
        <v>1</v>
      </c>
      <c r="R652">
        <v>575</v>
      </c>
      <c r="S652" s="17">
        <v>42130</v>
      </c>
      <c r="T652" s="17">
        <v>42130</v>
      </c>
      <c r="W652">
        <v>2015</v>
      </c>
      <c r="X652">
        <v>60</v>
      </c>
      <c r="AC652" t="s">
        <v>61</v>
      </c>
      <c r="AD652" t="s">
        <v>302</v>
      </c>
      <c r="AE652" t="s">
        <v>46</v>
      </c>
      <c r="AG652">
        <v>52</v>
      </c>
      <c r="AH652">
        <v>9</v>
      </c>
      <c r="AI652" t="s">
        <v>54</v>
      </c>
      <c r="AK652">
        <v>0</v>
      </c>
      <c r="AM652">
        <v>0</v>
      </c>
      <c r="AP652" t="s">
        <v>325</v>
      </c>
    </row>
    <row r="653" spans="1:42" customFormat="1">
      <c r="A653">
        <v>268532</v>
      </c>
      <c r="B653" t="s">
        <v>1156</v>
      </c>
      <c r="C653" t="s">
        <v>1157</v>
      </c>
      <c r="D653" s="22">
        <v>0</v>
      </c>
      <c r="E653" s="17">
        <v>42128</v>
      </c>
      <c r="F653" s="18">
        <v>0.69453703703703706</v>
      </c>
      <c r="G653" s="22">
        <v>15</v>
      </c>
      <c r="H653">
        <v>0</v>
      </c>
      <c r="I653" s="19" t="e">
        <f>I652 + (D653-G653)</f>
        <v>#VALUE!</v>
      </c>
      <c r="M653">
        <v>122853</v>
      </c>
      <c r="N653">
        <v>60</v>
      </c>
      <c r="O653" t="s">
        <v>60</v>
      </c>
      <c r="P653">
        <v>1</v>
      </c>
      <c r="R653">
        <v>575</v>
      </c>
      <c r="S653" s="17">
        <v>42130</v>
      </c>
      <c r="T653" s="17">
        <v>42130</v>
      </c>
      <c r="W653">
        <v>2015</v>
      </c>
      <c r="X653">
        <v>60</v>
      </c>
      <c r="AC653" t="s">
        <v>61</v>
      </c>
      <c r="AD653" t="s">
        <v>302</v>
      </c>
      <c r="AE653" t="s">
        <v>46</v>
      </c>
      <c r="AG653">
        <v>52</v>
      </c>
      <c r="AH653">
        <v>9</v>
      </c>
      <c r="AI653" t="s">
        <v>54</v>
      </c>
      <c r="AK653">
        <v>0</v>
      </c>
      <c r="AM653">
        <v>0</v>
      </c>
      <c r="AP653" t="s">
        <v>325</v>
      </c>
    </row>
    <row r="654" spans="1:42" customFormat="1">
      <c r="A654">
        <v>268533</v>
      </c>
      <c r="B654" t="s">
        <v>1158</v>
      </c>
      <c r="C654" t="s">
        <v>1159</v>
      </c>
      <c r="D654" s="22">
        <v>0</v>
      </c>
      <c r="E654" s="17">
        <v>42128</v>
      </c>
      <c r="F654" s="18">
        <v>0.69453703703703706</v>
      </c>
      <c r="G654" s="22">
        <v>15</v>
      </c>
      <c r="H654">
        <v>0</v>
      </c>
      <c r="I654" s="19" t="e">
        <f>I653 + (D654-G654)</f>
        <v>#VALUE!</v>
      </c>
      <c r="M654">
        <v>122854</v>
      </c>
      <c r="N654">
        <v>60</v>
      </c>
      <c r="O654" t="s">
        <v>60</v>
      </c>
      <c r="P654">
        <v>1</v>
      </c>
      <c r="R654">
        <v>575</v>
      </c>
      <c r="S654" s="17">
        <v>42130</v>
      </c>
      <c r="T654" s="17">
        <v>42130</v>
      </c>
      <c r="W654">
        <v>2015</v>
      </c>
      <c r="X654">
        <v>60</v>
      </c>
      <c r="AC654" t="s">
        <v>61</v>
      </c>
      <c r="AD654" t="s">
        <v>302</v>
      </c>
      <c r="AE654" t="s">
        <v>46</v>
      </c>
      <c r="AG654">
        <v>52</v>
      </c>
      <c r="AH654">
        <v>9</v>
      </c>
      <c r="AI654" t="s">
        <v>54</v>
      </c>
      <c r="AK654">
        <v>0</v>
      </c>
      <c r="AM654">
        <v>0</v>
      </c>
      <c r="AP654" t="s">
        <v>325</v>
      </c>
    </row>
    <row r="655" spans="1:42" customFormat="1">
      <c r="A655">
        <v>268534</v>
      </c>
      <c r="B655" t="s">
        <v>1160</v>
      </c>
      <c r="C655" t="s">
        <v>1161</v>
      </c>
      <c r="D655" s="22">
        <v>0</v>
      </c>
      <c r="E655" s="17">
        <v>42128</v>
      </c>
      <c r="F655" s="18">
        <v>0.69453703703703706</v>
      </c>
      <c r="G655" s="22">
        <v>15</v>
      </c>
      <c r="H655">
        <v>0</v>
      </c>
      <c r="I655" s="19" t="e">
        <f>I654 + (D655-G655)</f>
        <v>#VALUE!</v>
      </c>
      <c r="M655">
        <v>122855</v>
      </c>
      <c r="N655">
        <v>60</v>
      </c>
      <c r="O655" t="s">
        <v>60</v>
      </c>
      <c r="P655">
        <v>1</v>
      </c>
      <c r="R655">
        <v>575</v>
      </c>
      <c r="S655" s="17">
        <v>42130</v>
      </c>
      <c r="T655" s="17">
        <v>42130</v>
      </c>
      <c r="W655">
        <v>2015</v>
      </c>
      <c r="X655">
        <v>60</v>
      </c>
      <c r="AC655" t="s">
        <v>61</v>
      </c>
      <c r="AD655" t="s">
        <v>302</v>
      </c>
      <c r="AE655" t="s">
        <v>46</v>
      </c>
      <c r="AG655">
        <v>52</v>
      </c>
      <c r="AH655">
        <v>9</v>
      </c>
      <c r="AI655" t="s">
        <v>54</v>
      </c>
      <c r="AK655">
        <v>0</v>
      </c>
      <c r="AM655">
        <v>0</v>
      </c>
      <c r="AP655" t="s">
        <v>325</v>
      </c>
    </row>
    <row r="656" spans="1:42" customFormat="1">
      <c r="A656">
        <v>268535</v>
      </c>
      <c r="B656" t="s">
        <v>1162</v>
      </c>
      <c r="C656" t="s">
        <v>1163</v>
      </c>
      <c r="D656" s="22">
        <v>0</v>
      </c>
      <c r="E656" s="17">
        <v>42128</v>
      </c>
      <c r="F656" s="18">
        <v>0.69453703703703706</v>
      </c>
      <c r="G656" s="22">
        <v>15</v>
      </c>
      <c r="H656">
        <v>0</v>
      </c>
      <c r="I656" s="19" t="e">
        <f>I655 + (D656-G656)</f>
        <v>#VALUE!</v>
      </c>
      <c r="M656">
        <v>122856</v>
      </c>
      <c r="N656">
        <v>60</v>
      </c>
      <c r="O656" t="s">
        <v>60</v>
      </c>
      <c r="P656">
        <v>1</v>
      </c>
      <c r="R656">
        <v>575</v>
      </c>
      <c r="S656" s="17">
        <v>42130</v>
      </c>
      <c r="T656" s="17">
        <v>42130</v>
      </c>
      <c r="W656">
        <v>2015</v>
      </c>
      <c r="X656">
        <v>60</v>
      </c>
      <c r="AC656" t="s">
        <v>61</v>
      </c>
      <c r="AD656" t="s">
        <v>302</v>
      </c>
      <c r="AE656" t="s">
        <v>46</v>
      </c>
      <c r="AG656">
        <v>52</v>
      </c>
      <c r="AH656">
        <v>9</v>
      </c>
      <c r="AI656" t="s">
        <v>54</v>
      </c>
      <c r="AK656">
        <v>0</v>
      </c>
      <c r="AM656">
        <v>0</v>
      </c>
      <c r="AP656" t="s">
        <v>325</v>
      </c>
    </row>
    <row r="657" spans="1:42" customFormat="1">
      <c r="A657">
        <v>268557</v>
      </c>
      <c r="B657" t="s">
        <v>1172</v>
      </c>
      <c r="C657" t="s">
        <v>1173</v>
      </c>
      <c r="D657" s="22">
        <v>0</v>
      </c>
      <c r="E657" s="17">
        <v>42128</v>
      </c>
      <c r="F657" s="18">
        <v>0.69888888888888889</v>
      </c>
      <c r="G657" s="22">
        <v>528.75</v>
      </c>
      <c r="H657">
        <v>0</v>
      </c>
      <c r="I657" s="19" t="e">
        <f>I656 + (D657-G657)</f>
        <v>#VALUE!</v>
      </c>
      <c r="M657">
        <v>122860</v>
      </c>
      <c r="N657">
        <v>60</v>
      </c>
      <c r="O657" t="s">
        <v>60</v>
      </c>
      <c r="P657">
        <v>1</v>
      </c>
      <c r="R657">
        <v>575</v>
      </c>
      <c r="S657" s="17">
        <v>42130</v>
      </c>
      <c r="T657" s="17">
        <v>42130</v>
      </c>
      <c r="W657">
        <v>2015</v>
      </c>
      <c r="X657">
        <v>60</v>
      </c>
      <c r="AC657" t="s">
        <v>61</v>
      </c>
      <c r="AD657" t="s">
        <v>302</v>
      </c>
      <c r="AE657" t="s">
        <v>46</v>
      </c>
      <c r="AG657">
        <v>52</v>
      </c>
      <c r="AH657">
        <v>9</v>
      </c>
      <c r="AI657" t="s">
        <v>54</v>
      </c>
      <c r="AK657">
        <v>0</v>
      </c>
      <c r="AM657">
        <v>0</v>
      </c>
      <c r="AP657" t="s">
        <v>325</v>
      </c>
    </row>
    <row r="658" spans="1:42" customFormat="1">
      <c r="A658">
        <v>268558</v>
      </c>
      <c r="B658" t="s">
        <v>1174</v>
      </c>
      <c r="C658" t="s">
        <v>1175</v>
      </c>
      <c r="D658" s="22">
        <v>0</v>
      </c>
      <c r="E658" s="17">
        <v>42128</v>
      </c>
      <c r="F658" s="18">
        <v>0.69888888888888889</v>
      </c>
      <c r="G658" s="22">
        <v>25</v>
      </c>
      <c r="H658">
        <v>0</v>
      </c>
      <c r="I658" s="19" t="e">
        <f>I657 + (D658-G658)</f>
        <v>#VALUE!</v>
      </c>
      <c r="M658">
        <v>122861</v>
      </c>
      <c r="N658">
        <v>60</v>
      </c>
      <c r="O658" t="s">
        <v>60</v>
      </c>
      <c r="P658">
        <v>1</v>
      </c>
      <c r="R658">
        <v>575</v>
      </c>
      <c r="S658" s="17">
        <v>42130</v>
      </c>
      <c r="T658" s="17">
        <v>42130</v>
      </c>
      <c r="W658">
        <v>2015</v>
      </c>
      <c r="X658">
        <v>60</v>
      </c>
      <c r="AC658" t="s">
        <v>61</v>
      </c>
      <c r="AD658" t="s">
        <v>302</v>
      </c>
      <c r="AE658" t="s">
        <v>46</v>
      </c>
      <c r="AG658">
        <v>52</v>
      </c>
      <c r="AH658">
        <v>9</v>
      </c>
      <c r="AI658" t="s">
        <v>54</v>
      </c>
      <c r="AK658">
        <v>0</v>
      </c>
      <c r="AM658">
        <v>0</v>
      </c>
      <c r="AP658" t="s">
        <v>325</v>
      </c>
    </row>
    <row r="659" spans="1:42" customFormat="1">
      <c r="A659">
        <v>268556</v>
      </c>
      <c r="B659" t="s">
        <v>1180</v>
      </c>
      <c r="C659" t="s">
        <v>1181</v>
      </c>
      <c r="D659" s="22">
        <v>0</v>
      </c>
      <c r="E659" s="17">
        <v>42128</v>
      </c>
      <c r="F659" s="18">
        <v>0.69888888888888889</v>
      </c>
      <c r="G659" s="22">
        <v>18.75</v>
      </c>
      <c r="H659">
        <v>0</v>
      </c>
      <c r="I659" s="19" t="e">
        <f>I658 + (D659-G659)</f>
        <v>#VALUE!</v>
      </c>
      <c r="M659">
        <v>122857</v>
      </c>
      <c r="N659">
        <v>60</v>
      </c>
      <c r="O659" t="s">
        <v>60</v>
      </c>
      <c r="P659">
        <v>1</v>
      </c>
      <c r="R659">
        <v>575</v>
      </c>
      <c r="S659" s="17">
        <v>42130</v>
      </c>
      <c r="T659" s="17">
        <v>42130</v>
      </c>
      <c r="W659">
        <v>2015</v>
      </c>
      <c r="X659">
        <v>60</v>
      </c>
      <c r="AC659" t="s">
        <v>61</v>
      </c>
      <c r="AD659" t="s">
        <v>302</v>
      </c>
      <c r="AE659" t="s">
        <v>46</v>
      </c>
      <c r="AG659">
        <v>52</v>
      </c>
      <c r="AH659">
        <v>9</v>
      </c>
      <c r="AI659" t="s">
        <v>54</v>
      </c>
      <c r="AK659">
        <v>0</v>
      </c>
      <c r="AM659">
        <v>0</v>
      </c>
      <c r="AP659" t="s">
        <v>325</v>
      </c>
    </row>
    <row r="660" spans="1:42" customFormat="1">
      <c r="A660">
        <v>268618</v>
      </c>
      <c r="B660" t="s">
        <v>1271</v>
      </c>
      <c r="C660" t="s">
        <v>1272</v>
      </c>
      <c r="D660" s="22">
        <v>0</v>
      </c>
      <c r="E660" s="17">
        <v>42129</v>
      </c>
      <c r="F660" s="18">
        <v>0.36179398148148145</v>
      </c>
      <c r="G660" s="22">
        <v>17.5</v>
      </c>
      <c r="H660">
        <v>0</v>
      </c>
      <c r="I660" s="19" t="e">
        <f>I659 + (D660-G660)</f>
        <v>#VALUE!</v>
      </c>
      <c r="M660">
        <v>122872</v>
      </c>
      <c r="N660">
        <v>7</v>
      </c>
      <c r="O660" t="s">
        <v>44</v>
      </c>
      <c r="P660">
        <v>1</v>
      </c>
      <c r="R660">
        <v>575</v>
      </c>
      <c r="S660" s="17">
        <v>42131</v>
      </c>
      <c r="T660" s="17">
        <v>42131</v>
      </c>
      <c r="W660">
        <v>2015</v>
      </c>
      <c r="X660">
        <v>7</v>
      </c>
      <c r="AC660" t="s">
        <v>61</v>
      </c>
      <c r="AD660" t="s">
        <v>302</v>
      </c>
      <c r="AE660" t="s">
        <v>46</v>
      </c>
      <c r="AG660">
        <v>5</v>
      </c>
      <c r="AH660">
        <v>9</v>
      </c>
      <c r="AI660" t="s">
        <v>54</v>
      </c>
      <c r="AK660">
        <v>0</v>
      </c>
      <c r="AM660">
        <v>0</v>
      </c>
      <c r="AP660" t="s">
        <v>312</v>
      </c>
    </row>
    <row r="661" spans="1:42" customFormat="1">
      <c r="A661">
        <v>268629</v>
      </c>
      <c r="B661" t="s">
        <v>1275</v>
      </c>
      <c r="C661" t="s">
        <v>1276</v>
      </c>
      <c r="D661" s="22">
        <v>0</v>
      </c>
      <c r="E661" s="17">
        <v>42129</v>
      </c>
      <c r="F661" s="18">
        <v>0.37082175925925925</v>
      </c>
      <c r="G661" s="22">
        <v>51.8</v>
      </c>
      <c r="H661">
        <v>0</v>
      </c>
      <c r="I661" s="19" t="e">
        <f>I660 + (D661-G661)</f>
        <v>#VALUE!</v>
      </c>
      <c r="M661">
        <v>122877</v>
      </c>
      <c r="N661">
        <v>7</v>
      </c>
      <c r="O661" t="s">
        <v>44</v>
      </c>
      <c r="P661">
        <v>1</v>
      </c>
      <c r="R661">
        <v>575</v>
      </c>
      <c r="S661" s="17">
        <v>42131</v>
      </c>
      <c r="T661" s="17">
        <v>42131</v>
      </c>
      <c r="W661">
        <v>2015</v>
      </c>
      <c r="X661">
        <v>7</v>
      </c>
      <c r="AC661" t="s">
        <v>61</v>
      </c>
      <c r="AD661" t="s">
        <v>302</v>
      </c>
      <c r="AE661" t="s">
        <v>46</v>
      </c>
      <c r="AG661">
        <v>123</v>
      </c>
      <c r="AH661">
        <v>9</v>
      </c>
      <c r="AI661" t="s">
        <v>54</v>
      </c>
      <c r="AK661">
        <v>0</v>
      </c>
      <c r="AM661">
        <v>0</v>
      </c>
      <c r="AP661" t="s">
        <v>331</v>
      </c>
    </row>
    <row r="662" spans="1:42" customFormat="1">
      <c r="A662">
        <v>268655</v>
      </c>
      <c r="B662" t="s">
        <v>1279</v>
      </c>
      <c r="C662" t="s">
        <v>1280</v>
      </c>
      <c r="D662" s="22">
        <v>0</v>
      </c>
      <c r="E662" s="17">
        <v>42129</v>
      </c>
      <c r="F662" s="18">
        <v>0.3885763888888889</v>
      </c>
      <c r="G662" s="22">
        <v>31.3</v>
      </c>
      <c r="H662">
        <v>0</v>
      </c>
      <c r="I662" s="19" t="e">
        <f>I661 + (D662-G662)</f>
        <v>#VALUE!</v>
      </c>
      <c r="M662">
        <v>122890</v>
      </c>
      <c r="N662">
        <v>7</v>
      </c>
      <c r="O662" t="s">
        <v>44</v>
      </c>
      <c r="P662">
        <v>1</v>
      </c>
      <c r="R662">
        <v>575</v>
      </c>
      <c r="S662" s="17">
        <v>42131</v>
      </c>
      <c r="T662" s="17">
        <v>42131</v>
      </c>
      <c r="W662">
        <v>2015</v>
      </c>
      <c r="X662">
        <v>7</v>
      </c>
      <c r="AC662" t="s">
        <v>61</v>
      </c>
      <c r="AD662" t="s">
        <v>302</v>
      </c>
      <c r="AE662" t="s">
        <v>46</v>
      </c>
      <c r="AG662">
        <v>59</v>
      </c>
      <c r="AH662">
        <v>9</v>
      </c>
      <c r="AI662" t="s">
        <v>54</v>
      </c>
      <c r="AK662">
        <v>0</v>
      </c>
      <c r="AM662">
        <v>0</v>
      </c>
      <c r="AP662" t="s">
        <v>341</v>
      </c>
    </row>
    <row r="663" spans="1:42" customFormat="1">
      <c r="A663">
        <v>268656</v>
      </c>
      <c r="B663" t="s">
        <v>1281</v>
      </c>
      <c r="C663" t="s">
        <v>1282</v>
      </c>
      <c r="D663" s="22">
        <v>0</v>
      </c>
      <c r="E663" s="17">
        <v>42129</v>
      </c>
      <c r="F663" s="18">
        <v>0.3885763888888889</v>
      </c>
      <c r="G663" s="22">
        <v>3.9</v>
      </c>
      <c r="H663">
        <v>0</v>
      </c>
      <c r="I663" s="19" t="e">
        <f>I662 + (D663-G663)</f>
        <v>#VALUE!</v>
      </c>
      <c r="M663">
        <v>122891</v>
      </c>
      <c r="N663">
        <v>7</v>
      </c>
      <c r="O663" t="s">
        <v>44</v>
      </c>
      <c r="P663">
        <v>1</v>
      </c>
      <c r="R663">
        <v>575</v>
      </c>
      <c r="S663" s="17">
        <v>42131</v>
      </c>
      <c r="T663" s="17">
        <v>42131</v>
      </c>
      <c r="W663">
        <v>2015</v>
      </c>
      <c r="X663">
        <v>7</v>
      </c>
      <c r="AC663" t="s">
        <v>61</v>
      </c>
      <c r="AD663" t="s">
        <v>302</v>
      </c>
      <c r="AE663" t="s">
        <v>46</v>
      </c>
      <c r="AG663">
        <v>59</v>
      </c>
      <c r="AH663">
        <v>9</v>
      </c>
      <c r="AI663" t="s">
        <v>54</v>
      </c>
      <c r="AK663">
        <v>0</v>
      </c>
      <c r="AM663">
        <v>0</v>
      </c>
      <c r="AP663" t="s">
        <v>341</v>
      </c>
    </row>
    <row r="664" spans="1:42" customFormat="1">
      <c r="A664">
        <v>269530</v>
      </c>
      <c r="B664" t="s">
        <v>1301</v>
      </c>
      <c r="C664" t="s">
        <v>1302</v>
      </c>
      <c r="D664" s="22">
        <v>0</v>
      </c>
      <c r="E664" s="17">
        <v>42129</v>
      </c>
      <c r="F664" s="18">
        <v>0.45750000000000002</v>
      </c>
      <c r="G664" s="22">
        <v>220.69</v>
      </c>
      <c r="H664">
        <v>0</v>
      </c>
      <c r="I664" s="19" t="e">
        <f>I663 + (D664-G664)</f>
        <v>#VALUE!</v>
      </c>
      <c r="M664">
        <v>123175</v>
      </c>
      <c r="N664">
        <v>24</v>
      </c>
      <c r="O664" t="s">
        <v>68</v>
      </c>
      <c r="P664">
        <v>1</v>
      </c>
      <c r="R664">
        <v>575</v>
      </c>
      <c r="S664" s="17">
        <v>42136</v>
      </c>
      <c r="T664" s="17">
        <v>42136</v>
      </c>
      <c r="W664">
        <v>2015</v>
      </c>
      <c r="X664">
        <v>24</v>
      </c>
      <c r="AC664" t="s">
        <v>61</v>
      </c>
      <c r="AD664" t="s">
        <v>302</v>
      </c>
      <c r="AE664" t="s">
        <v>46</v>
      </c>
      <c r="AG664">
        <v>118</v>
      </c>
      <c r="AH664">
        <v>9</v>
      </c>
      <c r="AI664" t="s">
        <v>54</v>
      </c>
      <c r="AK664">
        <v>0</v>
      </c>
      <c r="AM664">
        <v>0</v>
      </c>
      <c r="AP664" t="s">
        <v>418</v>
      </c>
    </row>
    <row r="665" spans="1:42" customFormat="1">
      <c r="A665">
        <v>269533</v>
      </c>
      <c r="B665" t="s">
        <v>1307</v>
      </c>
      <c r="C665" t="s">
        <v>1308</v>
      </c>
      <c r="D665" s="22">
        <v>0</v>
      </c>
      <c r="E665" s="17">
        <v>42129</v>
      </c>
      <c r="F665" s="18">
        <v>0.45751157407407406</v>
      </c>
      <c r="G665" s="22">
        <v>5.2</v>
      </c>
      <c r="H665">
        <v>0</v>
      </c>
      <c r="I665" s="19" t="e">
        <f>I664 + (D665-G665)</f>
        <v>#VALUE!</v>
      </c>
      <c r="M665">
        <v>123178</v>
      </c>
      <c r="N665">
        <v>24</v>
      </c>
      <c r="O665" t="s">
        <v>68</v>
      </c>
      <c r="P665">
        <v>1</v>
      </c>
      <c r="R665">
        <v>575</v>
      </c>
      <c r="S665" s="17">
        <v>42136</v>
      </c>
      <c r="T665" s="17">
        <v>42136</v>
      </c>
      <c r="W665">
        <v>2015</v>
      </c>
      <c r="X665">
        <v>24</v>
      </c>
      <c r="AC665" t="s">
        <v>61</v>
      </c>
      <c r="AD665" t="s">
        <v>302</v>
      </c>
      <c r="AE665" t="s">
        <v>46</v>
      </c>
      <c r="AG665">
        <v>118</v>
      </c>
      <c r="AH665">
        <v>9</v>
      </c>
      <c r="AI665" t="s">
        <v>54</v>
      </c>
      <c r="AK665">
        <v>0</v>
      </c>
      <c r="AM665">
        <v>0</v>
      </c>
      <c r="AP665" t="s">
        <v>418</v>
      </c>
    </row>
    <row r="666" spans="1:42" customFormat="1">
      <c r="A666">
        <v>269534</v>
      </c>
      <c r="B666" t="s">
        <v>1309</v>
      </c>
      <c r="C666" t="s">
        <v>1310</v>
      </c>
      <c r="D666" s="22">
        <v>0</v>
      </c>
      <c r="E666" s="17">
        <v>42129</v>
      </c>
      <c r="F666" s="18">
        <v>0.45751157407407406</v>
      </c>
      <c r="G666" s="22">
        <v>1.95</v>
      </c>
      <c r="H666">
        <v>0</v>
      </c>
      <c r="I666" s="19" t="e">
        <f>I665 + (D666-G666)</f>
        <v>#VALUE!</v>
      </c>
      <c r="M666">
        <v>123179</v>
      </c>
      <c r="N666">
        <v>24</v>
      </c>
      <c r="O666" t="s">
        <v>68</v>
      </c>
      <c r="P666">
        <v>1</v>
      </c>
      <c r="R666">
        <v>575</v>
      </c>
      <c r="S666" s="17">
        <v>42136</v>
      </c>
      <c r="T666" s="17">
        <v>42136</v>
      </c>
      <c r="W666">
        <v>2015</v>
      </c>
      <c r="X666">
        <v>24</v>
      </c>
      <c r="AC666" t="s">
        <v>61</v>
      </c>
      <c r="AD666" t="s">
        <v>302</v>
      </c>
      <c r="AE666" t="s">
        <v>46</v>
      </c>
      <c r="AG666">
        <v>118</v>
      </c>
      <c r="AH666">
        <v>9</v>
      </c>
      <c r="AI666" t="s">
        <v>54</v>
      </c>
      <c r="AK666">
        <v>0</v>
      </c>
      <c r="AM666">
        <v>0</v>
      </c>
      <c r="AP666" t="s">
        <v>418</v>
      </c>
    </row>
    <row r="667" spans="1:42" customFormat="1">
      <c r="A667">
        <v>269535</v>
      </c>
      <c r="B667" t="s">
        <v>1311</v>
      </c>
      <c r="C667" t="s">
        <v>1312</v>
      </c>
      <c r="D667" s="22">
        <v>0</v>
      </c>
      <c r="E667" s="17">
        <v>42129</v>
      </c>
      <c r="F667" s="18">
        <v>0.45751157407407406</v>
      </c>
      <c r="G667" s="22">
        <v>29.45</v>
      </c>
      <c r="H667">
        <v>0</v>
      </c>
      <c r="I667" s="19" t="e">
        <f>I666 + (D667-G667)</f>
        <v>#VALUE!</v>
      </c>
      <c r="M667">
        <v>123180</v>
      </c>
      <c r="N667">
        <v>24</v>
      </c>
      <c r="O667" t="s">
        <v>68</v>
      </c>
      <c r="P667">
        <v>1</v>
      </c>
      <c r="R667">
        <v>575</v>
      </c>
      <c r="S667" s="17">
        <v>42136</v>
      </c>
      <c r="T667" s="17">
        <v>42136</v>
      </c>
      <c r="W667">
        <v>2015</v>
      </c>
      <c r="X667">
        <v>24</v>
      </c>
      <c r="AC667" t="s">
        <v>61</v>
      </c>
      <c r="AD667" t="s">
        <v>302</v>
      </c>
      <c r="AE667" t="s">
        <v>46</v>
      </c>
      <c r="AG667">
        <v>118</v>
      </c>
      <c r="AH667">
        <v>9</v>
      </c>
      <c r="AI667" t="s">
        <v>54</v>
      </c>
      <c r="AK667">
        <v>0</v>
      </c>
      <c r="AM667">
        <v>0</v>
      </c>
      <c r="AP667" t="s">
        <v>418</v>
      </c>
    </row>
    <row r="668" spans="1:42" customFormat="1">
      <c r="A668">
        <v>269536</v>
      </c>
      <c r="B668" t="s">
        <v>1313</v>
      </c>
      <c r="C668" t="s">
        <v>1314</v>
      </c>
      <c r="D668" s="22">
        <v>0</v>
      </c>
      <c r="E668" s="17">
        <v>42129</v>
      </c>
      <c r="F668" s="18">
        <v>0.45751157407407406</v>
      </c>
      <c r="G668" s="22">
        <v>103.25</v>
      </c>
      <c r="H668">
        <v>0</v>
      </c>
      <c r="I668" s="19" t="e">
        <f>I667 + (D668-G668)</f>
        <v>#VALUE!</v>
      </c>
      <c r="M668">
        <v>123181</v>
      </c>
      <c r="N668">
        <v>24</v>
      </c>
      <c r="O668" t="s">
        <v>68</v>
      </c>
      <c r="P668">
        <v>1</v>
      </c>
      <c r="R668">
        <v>575</v>
      </c>
      <c r="S668" s="17">
        <v>42136</v>
      </c>
      <c r="T668" s="17">
        <v>42136</v>
      </c>
      <c r="W668">
        <v>2015</v>
      </c>
      <c r="X668">
        <v>24</v>
      </c>
      <c r="AC668" t="s">
        <v>61</v>
      </c>
      <c r="AD668" t="s">
        <v>302</v>
      </c>
      <c r="AE668" t="s">
        <v>46</v>
      </c>
      <c r="AG668">
        <v>118</v>
      </c>
      <c r="AH668">
        <v>9</v>
      </c>
      <c r="AI668" t="s">
        <v>54</v>
      </c>
      <c r="AK668">
        <v>0</v>
      </c>
      <c r="AM668">
        <v>0</v>
      </c>
      <c r="AP668" t="s">
        <v>418</v>
      </c>
    </row>
    <row r="669" spans="1:42" customFormat="1">
      <c r="A669">
        <v>269537</v>
      </c>
      <c r="B669" t="s">
        <v>1315</v>
      </c>
      <c r="C669" t="s">
        <v>1316</v>
      </c>
      <c r="D669" s="22">
        <v>0</v>
      </c>
      <c r="E669" s="17">
        <v>42129</v>
      </c>
      <c r="F669" s="18">
        <v>0.45751157407407406</v>
      </c>
      <c r="G669" s="22">
        <v>27</v>
      </c>
      <c r="H669">
        <v>0</v>
      </c>
      <c r="I669" s="19" t="e">
        <f>I668 + (D669-G669)</f>
        <v>#VALUE!</v>
      </c>
      <c r="M669">
        <v>123182</v>
      </c>
      <c r="N669">
        <v>24</v>
      </c>
      <c r="O669" t="s">
        <v>68</v>
      </c>
      <c r="P669">
        <v>1</v>
      </c>
      <c r="R669">
        <v>575</v>
      </c>
      <c r="S669" s="17">
        <v>42136</v>
      </c>
      <c r="T669" s="17">
        <v>42136</v>
      </c>
      <c r="W669">
        <v>2015</v>
      </c>
      <c r="X669">
        <v>24</v>
      </c>
      <c r="AC669" t="s">
        <v>61</v>
      </c>
      <c r="AD669" t="s">
        <v>302</v>
      </c>
      <c r="AE669" t="s">
        <v>46</v>
      </c>
      <c r="AG669">
        <v>118</v>
      </c>
      <c r="AH669">
        <v>9</v>
      </c>
      <c r="AI669" t="s">
        <v>54</v>
      </c>
      <c r="AK669">
        <v>0</v>
      </c>
      <c r="AM669">
        <v>0</v>
      </c>
      <c r="AP669" t="s">
        <v>418</v>
      </c>
    </row>
    <row r="670" spans="1:42" customFormat="1">
      <c r="A670">
        <v>268316</v>
      </c>
      <c r="B670" t="s">
        <v>1392</v>
      </c>
      <c r="C670" t="s">
        <v>1393</v>
      </c>
      <c r="D670" s="22">
        <v>0</v>
      </c>
      <c r="E670" s="17">
        <v>42129</v>
      </c>
      <c r="F670" s="18">
        <v>0.64925925925925931</v>
      </c>
      <c r="G670" s="22">
        <v>30.97</v>
      </c>
      <c r="H670">
        <v>0</v>
      </c>
      <c r="I670" s="19" t="e">
        <f>I669 + (D670-G670)</f>
        <v>#VALUE!</v>
      </c>
      <c r="M670">
        <v>122716</v>
      </c>
      <c r="N670">
        <v>7</v>
      </c>
      <c r="O670" t="s">
        <v>44</v>
      </c>
      <c r="P670">
        <v>1</v>
      </c>
      <c r="R670">
        <v>575</v>
      </c>
      <c r="S670" s="17">
        <v>42130</v>
      </c>
      <c r="T670" s="17">
        <v>42130</v>
      </c>
      <c r="W670">
        <v>2015</v>
      </c>
      <c r="X670">
        <v>7</v>
      </c>
      <c r="AC670" t="s">
        <v>61</v>
      </c>
      <c r="AD670" t="s">
        <v>302</v>
      </c>
      <c r="AE670" t="s">
        <v>46</v>
      </c>
      <c r="AG670">
        <v>12</v>
      </c>
      <c r="AH670">
        <v>10</v>
      </c>
      <c r="AI670" t="s">
        <v>95</v>
      </c>
      <c r="AK670">
        <v>0</v>
      </c>
      <c r="AM670">
        <v>0</v>
      </c>
      <c r="AP670" t="s">
        <v>392</v>
      </c>
    </row>
    <row r="671" spans="1:42" customFormat="1">
      <c r="A671">
        <v>268325</v>
      </c>
      <c r="B671" t="s">
        <v>1414</v>
      </c>
      <c r="C671" t="s">
        <v>1415</v>
      </c>
      <c r="D671" s="22">
        <v>0</v>
      </c>
      <c r="E671" s="17">
        <v>42129</v>
      </c>
      <c r="F671" s="18">
        <v>0.64927083333333335</v>
      </c>
      <c r="G671" s="22">
        <v>110</v>
      </c>
      <c r="H671">
        <v>0</v>
      </c>
      <c r="I671" s="19" t="e">
        <f>I670 + (D671-G671)</f>
        <v>#VALUE!</v>
      </c>
      <c r="M671">
        <v>122717</v>
      </c>
      <c r="N671">
        <v>7</v>
      </c>
      <c r="O671" t="s">
        <v>44</v>
      </c>
      <c r="P671">
        <v>1</v>
      </c>
      <c r="R671">
        <v>575</v>
      </c>
      <c r="S671" s="17">
        <v>42130</v>
      </c>
      <c r="T671" s="17">
        <v>42130</v>
      </c>
      <c r="W671">
        <v>2015</v>
      </c>
      <c r="X671">
        <v>7</v>
      </c>
      <c r="AC671" t="s">
        <v>61</v>
      </c>
      <c r="AD671" t="s">
        <v>302</v>
      </c>
      <c r="AE671" t="s">
        <v>46</v>
      </c>
      <c r="AG671">
        <v>12</v>
      </c>
      <c r="AH671">
        <v>10</v>
      </c>
      <c r="AI671" t="s">
        <v>95</v>
      </c>
      <c r="AK671">
        <v>0</v>
      </c>
      <c r="AM671">
        <v>0</v>
      </c>
      <c r="AP671" t="s">
        <v>392</v>
      </c>
    </row>
    <row r="672" spans="1:42" customFormat="1">
      <c r="A672">
        <v>268334</v>
      </c>
      <c r="B672" t="s">
        <v>1428</v>
      </c>
      <c r="C672" t="s">
        <v>1429</v>
      </c>
      <c r="D672" s="22">
        <v>0</v>
      </c>
      <c r="E672" s="17">
        <v>42129</v>
      </c>
      <c r="F672" s="18">
        <v>0.64928240740740739</v>
      </c>
      <c r="G672" s="22">
        <v>27.5</v>
      </c>
      <c r="H672">
        <v>0</v>
      </c>
      <c r="I672" s="19" t="e">
        <f>I671 + (D672-G672)</f>
        <v>#VALUE!</v>
      </c>
      <c r="M672">
        <v>122718</v>
      </c>
      <c r="N672">
        <v>7</v>
      </c>
      <c r="O672" t="s">
        <v>44</v>
      </c>
      <c r="P672">
        <v>1</v>
      </c>
      <c r="R672">
        <v>575</v>
      </c>
      <c r="S672" s="17">
        <v>42130</v>
      </c>
      <c r="T672" s="17">
        <v>42130</v>
      </c>
      <c r="W672">
        <v>2015</v>
      </c>
      <c r="X672">
        <v>7</v>
      </c>
      <c r="AC672" t="s">
        <v>61</v>
      </c>
      <c r="AD672" t="s">
        <v>302</v>
      </c>
      <c r="AE672" t="s">
        <v>46</v>
      </c>
      <c r="AG672">
        <v>12</v>
      </c>
      <c r="AH672">
        <v>10</v>
      </c>
      <c r="AI672" t="s">
        <v>95</v>
      </c>
      <c r="AK672">
        <v>0</v>
      </c>
      <c r="AM672">
        <v>0</v>
      </c>
      <c r="AP672" t="s">
        <v>392</v>
      </c>
    </row>
    <row r="673" spans="1:42" customFormat="1">
      <c r="A673">
        <v>268344</v>
      </c>
      <c r="B673" t="s">
        <v>1450</v>
      </c>
      <c r="C673" t="s">
        <v>1451</v>
      </c>
      <c r="D673" s="22">
        <v>0</v>
      </c>
      <c r="E673" s="17">
        <v>42129</v>
      </c>
      <c r="F673" s="18">
        <v>0.64929398148148143</v>
      </c>
      <c r="G673" s="22">
        <v>15</v>
      </c>
      <c r="H673">
        <v>0</v>
      </c>
      <c r="I673" s="19" t="e">
        <f>I672 + (D673-G673)</f>
        <v>#VALUE!</v>
      </c>
      <c r="M673">
        <v>122719</v>
      </c>
      <c r="N673">
        <v>7</v>
      </c>
      <c r="O673" t="s">
        <v>44</v>
      </c>
      <c r="P673">
        <v>1</v>
      </c>
      <c r="R673">
        <v>575</v>
      </c>
      <c r="S673" s="17">
        <v>42130</v>
      </c>
      <c r="T673" s="17">
        <v>42130</v>
      </c>
      <c r="W673">
        <v>2015</v>
      </c>
      <c r="X673">
        <v>7</v>
      </c>
      <c r="AC673" t="s">
        <v>61</v>
      </c>
      <c r="AD673" t="s">
        <v>302</v>
      </c>
      <c r="AE673" t="s">
        <v>46</v>
      </c>
      <c r="AG673">
        <v>12</v>
      </c>
      <c r="AH673">
        <v>10</v>
      </c>
      <c r="AI673" t="s">
        <v>95</v>
      </c>
      <c r="AK673">
        <v>0</v>
      </c>
      <c r="AM673">
        <v>0</v>
      </c>
      <c r="AP673" t="s">
        <v>392</v>
      </c>
    </row>
    <row r="674" spans="1:42" customFormat="1">
      <c r="A674">
        <v>276174</v>
      </c>
      <c r="B674" t="s">
        <v>1567</v>
      </c>
      <c r="C674" t="s">
        <v>1568</v>
      </c>
      <c r="D674" s="22">
        <v>0</v>
      </c>
      <c r="E674" s="17">
        <v>42129</v>
      </c>
      <c r="F674" s="18">
        <v>0.69276620370370379</v>
      </c>
      <c r="G674" s="22">
        <v>54.72</v>
      </c>
      <c r="H674">
        <v>0</v>
      </c>
      <c r="I674" s="19" t="e">
        <f>I673 + (D674-G674)</f>
        <v>#VALUE!</v>
      </c>
      <c r="M674">
        <v>128704</v>
      </c>
      <c r="N674">
        <v>24</v>
      </c>
      <c r="O674" t="s">
        <v>68</v>
      </c>
      <c r="P674">
        <v>1</v>
      </c>
      <c r="R674">
        <v>575</v>
      </c>
      <c r="S674" s="17">
        <v>42188</v>
      </c>
      <c r="T674" s="17">
        <v>42188</v>
      </c>
      <c r="W674">
        <v>2015</v>
      </c>
      <c r="X674">
        <v>24</v>
      </c>
      <c r="AC674" t="s">
        <v>61</v>
      </c>
      <c r="AD674" t="s">
        <v>302</v>
      </c>
      <c r="AE674" t="s">
        <v>46</v>
      </c>
      <c r="AG674">
        <v>107</v>
      </c>
      <c r="AH674">
        <v>9</v>
      </c>
      <c r="AI674" t="s">
        <v>54</v>
      </c>
      <c r="AK674">
        <v>0</v>
      </c>
      <c r="AM674">
        <v>0</v>
      </c>
      <c r="AP674" t="s">
        <v>1121</v>
      </c>
    </row>
    <row r="675" spans="1:42" customFormat="1">
      <c r="A675">
        <v>268564</v>
      </c>
      <c r="B675" t="s">
        <v>1571</v>
      </c>
      <c r="C675" t="s">
        <v>1572</v>
      </c>
      <c r="D675" s="22">
        <v>0</v>
      </c>
      <c r="E675" s="17">
        <v>42129</v>
      </c>
      <c r="F675" s="18">
        <v>0.69909722222222215</v>
      </c>
      <c r="G675" s="22">
        <v>2.19</v>
      </c>
      <c r="H675">
        <v>0</v>
      </c>
      <c r="I675" s="19" t="e">
        <f>I674 + (D675-G675)</f>
        <v>#VALUE!</v>
      </c>
      <c r="M675">
        <v>122849</v>
      </c>
      <c r="N675">
        <v>7</v>
      </c>
      <c r="O675" t="s">
        <v>44</v>
      </c>
      <c r="P675">
        <v>1</v>
      </c>
      <c r="R675">
        <v>575</v>
      </c>
      <c r="S675" s="17">
        <v>42130</v>
      </c>
      <c r="T675" s="17">
        <v>42130</v>
      </c>
      <c r="W675">
        <v>2015</v>
      </c>
      <c r="X675">
        <v>7</v>
      </c>
      <c r="AC675" t="s">
        <v>61</v>
      </c>
      <c r="AD675" t="s">
        <v>302</v>
      </c>
      <c r="AE675" t="s">
        <v>46</v>
      </c>
      <c r="AG675">
        <v>26</v>
      </c>
      <c r="AH675">
        <v>9</v>
      </c>
      <c r="AI675" t="s">
        <v>54</v>
      </c>
      <c r="AK675">
        <v>0</v>
      </c>
      <c r="AM675">
        <v>0</v>
      </c>
      <c r="AP675" t="s">
        <v>501</v>
      </c>
    </row>
    <row r="676" spans="1:42" customFormat="1">
      <c r="A676">
        <v>268566</v>
      </c>
      <c r="B676" t="s">
        <v>1573</v>
      </c>
      <c r="C676" t="s">
        <v>1574</v>
      </c>
      <c r="D676" s="22">
        <v>0</v>
      </c>
      <c r="E676" s="17">
        <v>42129</v>
      </c>
      <c r="F676" s="18">
        <v>0.69909722222222215</v>
      </c>
      <c r="G676" s="22">
        <v>19</v>
      </c>
      <c r="H676">
        <v>0</v>
      </c>
      <c r="I676" s="19" t="e">
        <f>I675 + (D676-G676)</f>
        <v>#VALUE!</v>
      </c>
      <c r="M676">
        <v>122859</v>
      </c>
      <c r="N676">
        <v>7</v>
      </c>
      <c r="O676" t="s">
        <v>44</v>
      </c>
      <c r="P676">
        <v>1</v>
      </c>
      <c r="R676">
        <v>575</v>
      </c>
      <c r="S676" s="17">
        <v>42130</v>
      </c>
      <c r="T676" s="17">
        <v>42130</v>
      </c>
      <c r="W676">
        <v>2015</v>
      </c>
      <c r="X676">
        <v>7</v>
      </c>
      <c r="AC676" t="s">
        <v>61</v>
      </c>
      <c r="AD676" t="s">
        <v>302</v>
      </c>
      <c r="AE676" t="s">
        <v>46</v>
      </c>
      <c r="AG676">
        <v>26</v>
      </c>
      <c r="AH676">
        <v>9</v>
      </c>
      <c r="AI676" t="s">
        <v>54</v>
      </c>
      <c r="AK676">
        <v>0</v>
      </c>
      <c r="AM676">
        <v>0</v>
      </c>
      <c r="AP676" t="s">
        <v>501</v>
      </c>
    </row>
    <row r="677" spans="1:42" customFormat="1">
      <c r="A677">
        <v>268633</v>
      </c>
      <c r="B677" t="s">
        <v>1631</v>
      </c>
      <c r="C677" t="s">
        <v>1632</v>
      </c>
      <c r="D677" s="22">
        <v>0</v>
      </c>
      <c r="E677" s="17">
        <v>42130</v>
      </c>
      <c r="F677" s="18">
        <v>0.37187500000000001</v>
      </c>
      <c r="G677" s="22">
        <v>51.8</v>
      </c>
      <c r="H677">
        <v>0</v>
      </c>
      <c r="I677" s="19" t="e">
        <f>I676 + (D677-G677)</f>
        <v>#VALUE!</v>
      </c>
      <c r="M677">
        <v>122878</v>
      </c>
      <c r="N677">
        <v>7</v>
      </c>
      <c r="O677" t="s">
        <v>44</v>
      </c>
      <c r="P677">
        <v>1</v>
      </c>
      <c r="R677">
        <v>575</v>
      </c>
      <c r="S677" s="17">
        <v>42131</v>
      </c>
      <c r="T677" s="17">
        <v>42131</v>
      </c>
      <c r="W677">
        <v>2015</v>
      </c>
      <c r="X677">
        <v>7</v>
      </c>
      <c r="AC677" t="s">
        <v>61</v>
      </c>
      <c r="AD677" t="s">
        <v>302</v>
      </c>
      <c r="AE677" t="s">
        <v>46</v>
      </c>
      <c r="AG677">
        <v>7</v>
      </c>
      <c r="AH677">
        <v>12</v>
      </c>
      <c r="AI677" t="s">
        <v>104</v>
      </c>
      <c r="AK677">
        <v>0</v>
      </c>
      <c r="AM677">
        <v>0</v>
      </c>
      <c r="AP677" t="s">
        <v>220</v>
      </c>
    </row>
    <row r="678" spans="1:42" customFormat="1">
      <c r="A678">
        <v>268635</v>
      </c>
      <c r="B678" t="s">
        <v>1633</v>
      </c>
      <c r="C678" t="s">
        <v>1634</v>
      </c>
      <c r="D678" s="22">
        <v>0</v>
      </c>
      <c r="E678" s="17">
        <v>42130</v>
      </c>
      <c r="F678" s="18">
        <v>0.37236111111111114</v>
      </c>
      <c r="G678" s="22">
        <v>51.8</v>
      </c>
      <c r="H678">
        <v>0</v>
      </c>
      <c r="I678" s="19" t="e">
        <f>I677 + (D678-G678)</f>
        <v>#VALUE!</v>
      </c>
      <c r="M678">
        <v>122879</v>
      </c>
      <c r="N678">
        <v>7</v>
      </c>
      <c r="O678" t="s">
        <v>44</v>
      </c>
      <c r="P678">
        <v>1</v>
      </c>
      <c r="R678">
        <v>575</v>
      </c>
      <c r="S678" s="17">
        <v>42131</v>
      </c>
      <c r="T678" s="17">
        <v>42131</v>
      </c>
      <c r="W678">
        <v>2015</v>
      </c>
      <c r="X678">
        <v>7</v>
      </c>
      <c r="AC678" t="s">
        <v>61</v>
      </c>
      <c r="AD678" t="s">
        <v>302</v>
      </c>
      <c r="AE678" t="s">
        <v>46</v>
      </c>
      <c r="AG678">
        <v>123</v>
      </c>
      <c r="AH678">
        <v>12</v>
      </c>
      <c r="AI678" t="s">
        <v>104</v>
      </c>
      <c r="AK678">
        <v>0</v>
      </c>
      <c r="AM678">
        <v>0</v>
      </c>
      <c r="AP678" t="s">
        <v>331</v>
      </c>
    </row>
    <row r="679" spans="1:42" customFormat="1">
      <c r="A679">
        <v>270926</v>
      </c>
      <c r="B679" t="s">
        <v>1635</v>
      </c>
      <c r="C679" t="s">
        <v>1636</v>
      </c>
      <c r="D679" s="22">
        <v>0</v>
      </c>
      <c r="E679" s="17">
        <v>42130</v>
      </c>
      <c r="F679" s="18">
        <v>0.38378472222222221</v>
      </c>
      <c r="G679" s="22">
        <v>0.14000000000000001</v>
      </c>
      <c r="H679">
        <v>0</v>
      </c>
      <c r="I679" s="19" t="e">
        <f>I678 + (D679-G679)</f>
        <v>#VALUE!</v>
      </c>
      <c r="M679">
        <v>123119</v>
      </c>
      <c r="N679">
        <v>7</v>
      </c>
      <c r="O679" t="s">
        <v>44</v>
      </c>
      <c r="P679">
        <v>1</v>
      </c>
      <c r="R679">
        <v>575</v>
      </c>
      <c r="S679" s="17">
        <v>42149</v>
      </c>
      <c r="T679" s="17">
        <v>42149</v>
      </c>
      <c r="W679">
        <v>2015</v>
      </c>
      <c r="X679">
        <v>7</v>
      </c>
      <c r="AC679" t="s">
        <v>61</v>
      </c>
      <c r="AD679" t="s">
        <v>302</v>
      </c>
      <c r="AE679" t="s">
        <v>46</v>
      </c>
      <c r="AG679">
        <v>29</v>
      </c>
      <c r="AH679">
        <v>9</v>
      </c>
      <c r="AI679" t="s">
        <v>54</v>
      </c>
      <c r="AK679">
        <v>0</v>
      </c>
      <c r="AM679">
        <v>0</v>
      </c>
      <c r="AP679" t="s">
        <v>497</v>
      </c>
    </row>
    <row r="680" spans="1:42" customFormat="1">
      <c r="A680">
        <v>269538</v>
      </c>
      <c r="B680" t="s">
        <v>1672</v>
      </c>
      <c r="C680" t="s">
        <v>1673</v>
      </c>
      <c r="D680" s="22">
        <v>0</v>
      </c>
      <c r="E680" s="17">
        <v>42130</v>
      </c>
      <c r="F680" s="18">
        <v>0.45814814814814814</v>
      </c>
      <c r="G680" s="22">
        <v>1.3</v>
      </c>
      <c r="H680">
        <v>0</v>
      </c>
      <c r="I680" s="19" t="e">
        <f>I679 + (D680-G680)</f>
        <v>#VALUE!</v>
      </c>
      <c r="M680">
        <v>123183</v>
      </c>
      <c r="N680">
        <v>24</v>
      </c>
      <c r="O680" t="s">
        <v>68</v>
      </c>
      <c r="P680">
        <v>1</v>
      </c>
      <c r="R680">
        <v>575</v>
      </c>
      <c r="S680" s="17">
        <v>42136</v>
      </c>
      <c r="T680" s="17">
        <v>42136</v>
      </c>
      <c r="W680">
        <v>2015</v>
      </c>
      <c r="X680">
        <v>24</v>
      </c>
      <c r="AC680" t="s">
        <v>61</v>
      </c>
      <c r="AD680" t="s">
        <v>302</v>
      </c>
      <c r="AE680" t="s">
        <v>46</v>
      </c>
      <c r="AG680">
        <v>118</v>
      </c>
      <c r="AH680">
        <v>9</v>
      </c>
      <c r="AI680" t="s">
        <v>54</v>
      </c>
      <c r="AK680">
        <v>0</v>
      </c>
      <c r="AM680">
        <v>0</v>
      </c>
      <c r="AP680" t="s">
        <v>418</v>
      </c>
    </row>
    <row r="681" spans="1:42" customFormat="1">
      <c r="A681">
        <v>269539</v>
      </c>
      <c r="B681" t="s">
        <v>1674</v>
      </c>
      <c r="C681" t="s">
        <v>1675</v>
      </c>
      <c r="D681" s="22">
        <v>0</v>
      </c>
      <c r="E681" s="17">
        <v>42130</v>
      </c>
      <c r="F681" s="18">
        <v>0.45814814814814814</v>
      </c>
      <c r="G681" s="22">
        <v>6.2</v>
      </c>
      <c r="H681">
        <v>0</v>
      </c>
      <c r="I681" s="19" t="e">
        <f>I680 + (D681-G681)</f>
        <v>#VALUE!</v>
      </c>
      <c r="M681">
        <v>123184</v>
      </c>
      <c r="N681">
        <v>24</v>
      </c>
      <c r="O681" t="s">
        <v>68</v>
      </c>
      <c r="P681">
        <v>1</v>
      </c>
      <c r="R681">
        <v>575</v>
      </c>
      <c r="S681" s="17">
        <v>42136</v>
      </c>
      <c r="T681" s="17">
        <v>42136</v>
      </c>
      <c r="W681">
        <v>2015</v>
      </c>
      <c r="X681">
        <v>24</v>
      </c>
      <c r="AC681" t="s">
        <v>61</v>
      </c>
      <c r="AD681" t="s">
        <v>302</v>
      </c>
      <c r="AE681" t="s">
        <v>46</v>
      </c>
      <c r="AG681">
        <v>118</v>
      </c>
      <c r="AH681">
        <v>9</v>
      </c>
      <c r="AI681" t="s">
        <v>54</v>
      </c>
      <c r="AK681">
        <v>0</v>
      </c>
      <c r="AM681">
        <v>0</v>
      </c>
      <c r="AP681" t="s">
        <v>418</v>
      </c>
    </row>
    <row r="682" spans="1:42" customFormat="1">
      <c r="A682">
        <v>270658</v>
      </c>
      <c r="B682" t="s">
        <v>1679</v>
      </c>
      <c r="C682" t="s">
        <v>1680</v>
      </c>
      <c r="D682" s="22">
        <v>0</v>
      </c>
      <c r="E682" s="17">
        <v>42130</v>
      </c>
      <c r="F682" s="18">
        <v>0.4698032407407407</v>
      </c>
      <c r="G682" s="22">
        <v>51.8</v>
      </c>
      <c r="H682">
        <v>0</v>
      </c>
      <c r="I682" s="19" t="e">
        <f>I681 + (D682-G682)</f>
        <v>#VALUE!</v>
      </c>
      <c r="M682">
        <v>123809</v>
      </c>
      <c r="N682">
        <v>7</v>
      </c>
      <c r="O682" t="s">
        <v>44</v>
      </c>
      <c r="P682">
        <v>1</v>
      </c>
      <c r="R682">
        <v>575</v>
      </c>
      <c r="S682" s="17">
        <v>42145</v>
      </c>
      <c r="T682" s="17">
        <v>42145</v>
      </c>
      <c r="W682">
        <v>2015</v>
      </c>
      <c r="X682">
        <v>7</v>
      </c>
      <c r="AC682" t="s">
        <v>61</v>
      </c>
      <c r="AD682" t="s">
        <v>302</v>
      </c>
      <c r="AE682" t="s">
        <v>46</v>
      </c>
      <c r="AG682">
        <v>122</v>
      </c>
      <c r="AH682">
        <v>9</v>
      </c>
      <c r="AI682" t="s">
        <v>54</v>
      </c>
      <c r="AK682">
        <v>0</v>
      </c>
      <c r="AM682">
        <v>0</v>
      </c>
      <c r="AP682" t="s">
        <v>444</v>
      </c>
    </row>
    <row r="683" spans="1:42" customFormat="1">
      <c r="A683">
        <v>276175</v>
      </c>
      <c r="B683" t="s">
        <v>1908</v>
      </c>
      <c r="C683" t="s">
        <v>1909</v>
      </c>
      <c r="D683" s="22">
        <v>0</v>
      </c>
      <c r="E683" s="17">
        <v>42130</v>
      </c>
      <c r="F683" s="18">
        <v>0.69319444444444445</v>
      </c>
      <c r="G683" s="22">
        <v>5.76</v>
      </c>
      <c r="H683">
        <v>0</v>
      </c>
      <c r="I683" s="19" t="e">
        <f>I682 + (D683-G683)</f>
        <v>#VALUE!</v>
      </c>
      <c r="M683">
        <v>128705</v>
      </c>
      <c r="N683">
        <v>24</v>
      </c>
      <c r="O683" t="s">
        <v>68</v>
      </c>
      <c r="P683">
        <v>1</v>
      </c>
      <c r="R683">
        <v>575</v>
      </c>
      <c r="S683" s="17">
        <v>42188</v>
      </c>
      <c r="T683" s="17">
        <v>42188</v>
      </c>
      <c r="W683">
        <v>2015</v>
      </c>
      <c r="X683">
        <v>24</v>
      </c>
      <c r="AC683" t="s">
        <v>61</v>
      </c>
      <c r="AD683" t="s">
        <v>302</v>
      </c>
      <c r="AE683" t="s">
        <v>46</v>
      </c>
      <c r="AG683">
        <v>107</v>
      </c>
      <c r="AH683">
        <v>9</v>
      </c>
      <c r="AI683" t="s">
        <v>54</v>
      </c>
      <c r="AK683">
        <v>0</v>
      </c>
      <c r="AM683">
        <v>0</v>
      </c>
      <c r="AP683" t="s">
        <v>1121</v>
      </c>
    </row>
    <row r="684" spans="1:42" customFormat="1">
      <c r="A684">
        <v>269271</v>
      </c>
      <c r="B684" t="s">
        <v>1915</v>
      </c>
      <c r="C684" t="s">
        <v>1916</v>
      </c>
      <c r="D684" s="22">
        <v>0</v>
      </c>
      <c r="E684" s="17">
        <v>42130</v>
      </c>
      <c r="F684" s="18">
        <v>0.70140046296296299</v>
      </c>
      <c r="G684" s="22">
        <v>100</v>
      </c>
      <c r="H684">
        <v>0</v>
      </c>
      <c r="I684" s="19" t="e">
        <f>I683 + (D684-G684)</f>
        <v>#VALUE!</v>
      </c>
      <c r="M684">
        <v>123117</v>
      </c>
      <c r="N684">
        <v>24</v>
      </c>
      <c r="O684" t="s">
        <v>68</v>
      </c>
      <c r="P684">
        <v>1</v>
      </c>
      <c r="R684">
        <v>575</v>
      </c>
      <c r="S684" s="17">
        <v>42135</v>
      </c>
      <c r="T684" s="17">
        <v>42135</v>
      </c>
      <c r="W684">
        <v>2015</v>
      </c>
      <c r="X684">
        <v>24</v>
      </c>
      <c r="AC684" t="s">
        <v>61</v>
      </c>
      <c r="AD684" t="s">
        <v>302</v>
      </c>
      <c r="AE684" t="s">
        <v>46</v>
      </c>
      <c r="AG684">
        <v>29</v>
      </c>
      <c r="AH684">
        <v>9</v>
      </c>
      <c r="AI684" t="s">
        <v>54</v>
      </c>
      <c r="AK684">
        <v>0</v>
      </c>
      <c r="AM684">
        <v>0</v>
      </c>
      <c r="AP684" t="s">
        <v>497</v>
      </c>
    </row>
    <row r="685" spans="1:42" customFormat="1">
      <c r="A685">
        <v>269421</v>
      </c>
      <c r="B685" t="s">
        <v>1931</v>
      </c>
      <c r="C685" t="s">
        <v>1932</v>
      </c>
      <c r="D685" s="22">
        <v>0</v>
      </c>
      <c r="E685" s="17">
        <v>42131</v>
      </c>
      <c r="F685" s="18">
        <v>0.41994212962962968</v>
      </c>
      <c r="G685" s="22">
        <v>30</v>
      </c>
      <c r="H685">
        <v>0</v>
      </c>
      <c r="I685" s="19" t="e">
        <f>I684 + (D685-G685)</f>
        <v>#VALUE!</v>
      </c>
      <c r="M685">
        <v>123122</v>
      </c>
      <c r="N685">
        <v>24</v>
      </c>
      <c r="O685" t="s">
        <v>68</v>
      </c>
      <c r="P685">
        <v>1</v>
      </c>
      <c r="R685">
        <v>575</v>
      </c>
      <c r="S685" s="17">
        <v>42136</v>
      </c>
      <c r="T685" s="17">
        <v>42136</v>
      </c>
      <c r="W685">
        <v>2015</v>
      </c>
      <c r="X685">
        <v>24</v>
      </c>
      <c r="AC685" t="s">
        <v>61</v>
      </c>
      <c r="AD685" t="s">
        <v>302</v>
      </c>
      <c r="AE685" t="s">
        <v>46</v>
      </c>
      <c r="AG685">
        <v>52</v>
      </c>
      <c r="AH685">
        <v>9</v>
      </c>
      <c r="AI685" t="s">
        <v>54</v>
      </c>
      <c r="AK685">
        <v>0</v>
      </c>
      <c r="AM685">
        <v>0</v>
      </c>
      <c r="AP685" t="s">
        <v>325</v>
      </c>
    </row>
    <row r="686" spans="1:42" customFormat="1">
      <c r="A686">
        <v>269422</v>
      </c>
      <c r="B686" t="s">
        <v>1933</v>
      </c>
      <c r="C686" t="s">
        <v>1934</v>
      </c>
      <c r="D686" s="22">
        <v>0</v>
      </c>
      <c r="E686" s="17">
        <v>42131</v>
      </c>
      <c r="F686" s="18">
        <v>0.41994212962962968</v>
      </c>
      <c r="G686" s="22">
        <v>30</v>
      </c>
      <c r="H686">
        <v>0</v>
      </c>
      <c r="I686" s="19" t="e">
        <f>I685 + (D686-G686)</f>
        <v>#VALUE!</v>
      </c>
      <c r="M686">
        <v>123123</v>
      </c>
      <c r="N686">
        <v>24</v>
      </c>
      <c r="O686" t="s">
        <v>68</v>
      </c>
      <c r="P686">
        <v>1</v>
      </c>
      <c r="R686">
        <v>575</v>
      </c>
      <c r="S686" s="17">
        <v>42136</v>
      </c>
      <c r="T686" s="17">
        <v>42136</v>
      </c>
      <c r="W686">
        <v>2015</v>
      </c>
      <c r="X686">
        <v>24</v>
      </c>
      <c r="AC686" t="s">
        <v>61</v>
      </c>
      <c r="AD686" t="s">
        <v>302</v>
      </c>
      <c r="AE686" t="s">
        <v>46</v>
      </c>
      <c r="AG686">
        <v>52</v>
      </c>
      <c r="AH686">
        <v>9</v>
      </c>
      <c r="AI686" t="s">
        <v>54</v>
      </c>
      <c r="AK686">
        <v>0</v>
      </c>
      <c r="AM686">
        <v>0</v>
      </c>
      <c r="AP686" t="s">
        <v>325</v>
      </c>
    </row>
    <row r="687" spans="1:42" customFormat="1">
      <c r="A687">
        <v>269423</v>
      </c>
      <c r="B687" t="s">
        <v>1936</v>
      </c>
      <c r="C687" t="s">
        <v>1937</v>
      </c>
      <c r="D687" s="22">
        <v>0</v>
      </c>
      <c r="E687" s="17">
        <v>42131</v>
      </c>
      <c r="F687" s="18">
        <v>0.42054398148148148</v>
      </c>
      <c r="G687" s="22">
        <v>0.35</v>
      </c>
      <c r="H687">
        <v>0</v>
      </c>
      <c r="I687" s="19" t="e">
        <f>I686 + (D687-G687)</f>
        <v>#VALUE!</v>
      </c>
      <c r="M687">
        <v>123124</v>
      </c>
      <c r="N687">
        <v>24</v>
      </c>
      <c r="O687" t="s">
        <v>68</v>
      </c>
      <c r="P687">
        <v>1</v>
      </c>
      <c r="R687">
        <v>575</v>
      </c>
      <c r="S687" s="17">
        <v>42136</v>
      </c>
      <c r="T687" s="17">
        <v>42136</v>
      </c>
      <c r="W687">
        <v>2015</v>
      </c>
      <c r="X687">
        <v>24</v>
      </c>
      <c r="AC687" t="s">
        <v>61</v>
      </c>
      <c r="AD687" t="s">
        <v>302</v>
      </c>
      <c r="AE687" t="s">
        <v>46</v>
      </c>
      <c r="AG687">
        <v>52</v>
      </c>
      <c r="AH687">
        <v>9</v>
      </c>
      <c r="AI687" t="s">
        <v>54</v>
      </c>
      <c r="AK687">
        <v>0</v>
      </c>
      <c r="AM687">
        <v>0</v>
      </c>
      <c r="AP687" t="s">
        <v>325</v>
      </c>
    </row>
    <row r="688" spans="1:42" customFormat="1">
      <c r="A688">
        <v>269424</v>
      </c>
      <c r="B688" t="s">
        <v>1938</v>
      </c>
      <c r="C688" t="s">
        <v>1939</v>
      </c>
      <c r="D688" s="22">
        <v>0</v>
      </c>
      <c r="E688" s="17">
        <v>42131</v>
      </c>
      <c r="F688" s="18">
        <v>0.42054398148148148</v>
      </c>
      <c r="G688" s="22">
        <v>0.35</v>
      </c>
      <c r="H688">
        <v>0</v>
      </c>
      <c r="I688" s="19" t="e">
        <f>I687 + (D688-G688)</f>
        <v>#VALUE!</v>
      </c>
      <c r="M688">
        <v>123125</v>
      </c>
      <c r="N688">
        <v>24</v>
      </c>
      <c r="O688" t="s">
        <v>68</v>
      </c>
      <c r="P688">
        <v>1</v>
      </c>
      <c r="R688">
        <v>575</v>
      </c>
      <c r="S688" s="17">
        <v>42136</v>
      </c>
      <c r="T688" s="17">
        <v>42136</v>
      </c>
      <c r="W688">
        <v>2015</v>
      </c>
      <c r="X688">
        <v>24</v>
      </c>
      <c r="AC688" t="s">
        <v>61</v>
      </c>
      <c r="AD688" t="s">
        <v>302</v>
      </c>
      <c r="AE688" t="s">
        <v>46</v>
      </c>
      <c r="AG688">
        <v>52</v>
      </c>
      <c r="AH688">
        <v>9</v>
      </c>
      <c r="AI688" t="s">
        <v>54</v>
      </c>
      <c r="AK688">
        <v>0</v>
      </c>
      <c r="AM688">
        <v>0</v>
      </c>
      <c r="AP688" t="s">
        <v>325</v>
      </c>
    </row>
    <row r="689" spans="1:42" customFormat="1">
      <c r="A689">
        <v>269431</v>
      </c>
      <c r="B689" t="s">
        <v>1940</v>
      </c>
      <c r="C689" t="s">
        <v>1941</v>
      </c>
      <c r="D689" s="22">
        <v>0</v>
      </c>
      <c r="E689" s="17">
        <v>42131</v>
      </c>
      <c r="F689" s="18">
        <v>0.4221759259259259</v>
      </c>
      <c r="G689" s="22">
        <v>29.15</v>
      </c>
      <c r="H689">
        <v>0</v>
      </c>
      <c r="I689" s="19" t="e">
        <f>I688 + (D689-G689)</f>
        <v>#VALUE!</v>
      </c>
      <c r="M689">
        <v>123130</v>
      </c>
      <c r="N689">
        <v>24</v>
      </c>
      <c r="O689" t="s">
        <v>68</v>
      </c>
      <c r="P689">
        <v>1</v>
      </c>
      <c r="R689">
        <v>575</v>
      </c>
      <c r="S689" s="17">
        <v>42136</v>
      </c>
      <c r="T689" s="17">
        <v>42136</v>
      </c>
      <c r="W689">
        <v>2015</v>
      </c>
      <c r="X689">
        <v>24</v>
      </c>
      <c r="AC689" t="s">
        <v>61</v>
      </c>
      <c r="AD689" t="s">
        <v>302</v>
      </c>
      <c r="AE689" t="s">
        <v>46</v>
      </c>
      <c r="AG689">
        <v>52</v>
      </c>
      <c r="AH689">
        <v>9</v>
      </c>
      <c r="AI689" t="s">
        <v>54</v>
      </c>
      <c r="AK689">
        <v>0</v>
      </c>
      <c r="AM689">
        <v>0</v>
      </c>
      <c r="AP689" t="s">
        <v>325</v>
      </c>
    </row>
    <row r="690" spans="1:42" customFormat="1">
      <c r="A690">
        <v>269432</v>
      </c>
      <c r="B690" t="s">
        <v>1942</v>
      </c>
      <c r="C690" t="s">
        <v>1943</v>
      </c>
      <c r="D690" s="22">
        <v>0</v>
      </c>
      <c r="E690" s="17">
        <v>42131</v>
      </c>
      <c r="F690" s="18">
        <v>0.4221759259259259</v>
      </c>
      <c r="G690" s="22">
        <v>6.6</v>
      </c>
      <c r="H690">
        <v>0</v>
      </c>
      <c r="I690" s="19" t="e">
        <f>I689 + (D690-G690)</f>
        <v>#VALUE!</v>
      </c>
      <c r="M690">
        <v>123131</v>
      </c>
      <c r="N690">
        <v>24</v>
      </c>
      <c r="O690" t="s">
        <v>68</v>
      </c>
      <c r="P690">
        <v>1</v>
      </c>
      <c r="R690">
        <v>575</v>
      </c>
      <c r="S690" s="17">
        <v>42136</v>
      </c>
      <c r="T690" s="17">
        <v>42136</v>
      </c>
      <c r="W690">
        <v>2015</v>
      </c>
      <c r="X690">
        <v>24</v>
      </c>
      <c r="AC690" t="s">
        <v>61</v>
      </c>
      <c r="AD690" t="s">
        <v>302</v>
      </c>
      <c r="AE690" t="s">
        <v>46</v>
      </c>
      <c r="AG690">
        <v>52</v>
      </c>
      <c r="AH690">
        <v>9</v>
      </c>
      <c r="AI690" t="s">
        <v>54</v>
      </c>
      <c r="AK690">
        <v>0</v>
      </c>
      <c r="AM690">
        <v>0</v>
      </c>
      <c r="AP690" t="s">
        <v>325</v>
      </c>
    </row>
    <row r="691" spans="1:42" customFormat="1">
      <c r="A691">
        <v>269433</v>
      </c>
      <c r="B691" t="s">
        <v>1944</v>
      </c>
      <c r="C691" t="s">
        <v>1945</v>
      </c>
      <c r="D691" s="22">
        <v>0</v>
      </c>
      <c r="E691" s="17">
        <v>42131</v>
      </c>
      <c r="F691" s="18">
        <v>0.4221759259259259</v>
      </c>
      <c r="G691" s="22">
        <v>7.26</v>
      </c>
      <c r="H691">
        <v>0</v>
      </c>
      <c r="I691" s="19" t="e">
        <f>I690 + (D691-G691)</f>
        <v>#VALUE!</v>
      </c>
      <c r="M691">
        <v>123132</v>
      </c>
      <c r="N691">
        <v>24</v>
      </c>
      <c r="O691" t="s">
        <v>68</v>
      </c>
      <c r="P691">
        <v>1</v>
      </c>
      <c r="R691">
        <v>575</v>
      </c>
      <c r="S691" s="17">
        <v>42136</v>
      </c>
      <c r="T691" s="17">
        <v>42136</v>
      </c>
      <c r="W691">
        <v>2015</v>
      </c>
      <c r="X691">
        <v>24</v>
      </c>
      <c r="AC691" t="s">
        <v>61</v>
      </c>
      <c r="AD691" t="s">
        <v>302</v>
      </c>
      <c r="AE691" t="s">
        <v>46</v>
      </c>
      <c r="AG691">
        <v>52</v>
      </c>
      <c r="AH691">
        <v>9</v>
      </c>
      <c r="AI691" t="s">
        <v>54</v>
      </c>
      <c r="AK691">
        <v>0</v>
      </c>
      <c r="AM691">
        <v>0</v>
      </c>
      <c r="AP691" t="s">
        <v>325</v>
      </c>
    </row>
    <row r="692" spans="1:42" customFormat="1">
      <c r="A692">
        <v>269434</v>
      </c>
      <c r="B692" t="s">
        <v>1946</v>
      </c>
      <c r="C692" t="s">
        <v>1947</v>
      </c>
      <c r="D692" s="22">
        <v>0</v>
      </c>
      <c r="E692" s="17">
        <v>42131</v>
      </c>
      <c r="F692" s="18">
        <v>0.4221759259259259</v>
      </c>
      <c r="G692" s="22">
        <v>12.91</v>
      </c>
      <c r="H692">
        <v>0</v>
      </c>
      <c r="I692" s="19" t="e">
        <f>I691 + (D692-G692)</f>
        <v>#VALUE!</v>
      </c>
      <c r="M692">
        <v>123133</v>
      </c>
      <c r="N692">
        <v>24</v>
      </c>
      <c r="O692" t="s">
        <v>68</v>
      </c>
      <c r="P692">
        <v>1</v>
      </c>
      <c r="R692">
        <v>575</v>
      </c>
      <c r="S692" s="17">
        <v>42136</v>
      </c>
      <c r="T692" s="17">
        <v>42136</v>
      </c>
      <c r="W692">
        <v>2015</v>
      </c>
      <c r="X692">
        <v>24</v>
      </c>
      <c r="AC692" t="s">
        <v>61</v>
      </c>
      <c r="AD692" t="s">
        <v>302</v>
      </c>
      <c r="AE692" t="s">
        <v>46</v>
      </c>
      <c r="AG692">
        <v>52</v>
      </c>
      <c r="AH692">
        <v>9</v>
      </c>
      <c r="AI692" t="s">
        <v>54</v>
      </c>
      <c r="AK692">
        <v>0</v>
      </c>
      <c r="AM692">
        <v>0</v>
      </c>
      <c r="AP692" t="s">
        <v>325</v>
      </c>
    </row>
    <row r="693" spans="1:42" customFormat="1">
      <c r="A693">
        <v>269427</v>
      </c>
      <c r="B693" t="s">
        <v>1948</v>
      </c>
      <c r="C693" t="s">
        <v>1949</v>
      </c>
      <c r="D693" s="22">
        <v>0</v>
      </c>
      <c r="E693" s="17">
        <v>42131</v>
      </c>
      <c r="F693" s="18">
        <v>0.4221759259259259</v>
      </c>
      <c r="G693" s="22">
        <v>11</v>
      </c>
      <c r="H693">
        <v>0</v>
      </c>
      <c r="I693" s="19" t="e">
        <f>I692 + (D693-G693)</f>
        <v>#VALUE!</v>
      </c>
      <c r="M693">
        <v>123126</v>
      </c>
      <c r="N693">
        <v>24</v>
      </c>
      <c r="O693" t="s">
        <v>68</v>
      </c>
      <c r="P693">
        <v>1</v>
      </c>
      <c r="R693">
        <v>575</v>
      </c>
      <c r="S693" s="17">
        <v>42136</v>
      </c>
      <c r="T693" s="17">
        <v>42136</v>
      </c>
      <c r="W693">
        <v>2015</v>
      </c>
      <c r="X693">
        <v>24</v>
      </c>
      <c r="AC693" t="s">
        <v>61</v>
      </c>
      <c r="AD693" t="s">
        <v>302</v>
      </c>
      <c r="AE693" t="s">
        <v>46</v>
      </c>
      <c r="AG693">
        <v>52</v>
      </c>
      <c r="AH693">
        <v>9</v>
      </c>
      <c r="AI693" t="s">
        <v>54</v>
      </c>
      <c r="AK693">
        <v>0</v>
      </c>
      <c r="AM693">
        <v>0</v>
      </c>
      <c r="AP693" t="s">
        <v>325</v>
      </c>
    </row>
    <row r="694" spans="1:42" customFormat="1">
      <c r="A694">
        <v>269428</v>
      </c>
      <c r="B694" t="s">
        <v>1950</v>
      </c>
      <c r="C694" t="s">
        <v>1951</v>
      </c>
      <c r="D694" s="22">
        <v>0</v>
      </c>
      <c r="E694" s="17">
        <v>42131</v>
      </c>
      <c r="F694" s="18">
        <v>0.4221759259259259</v>
      </c>
      <c r="G694" s="22">
        <v>15</v>
      </c>
      <c r="H694">
        <v>0</v>
      </c>
      <c r="I694" s="19" t="e">
        <f>I693 + (D694-G694)</f>
        <v>#VALUE!</v>
      </c>
      <c r="M694">
        <v>123127</v>
      </c>
      <c r="N694">
        <v>24</v>
      </c>
      <c r="O694" t="s">
        <v>68</v>
      </c>
      <c r="P694">
        <v>1</v>
      </c>
      <c r="R694">
        <v>575</v>
      </c>
      <c r="S694" s="17">
        <v>42136</v>
      </c>
      <c r="T694" s="17">
        <v>42136</v>
      </c>
      <c r="W694">
        <v>2015</v>
      </c>
      <c r="X694">
        <v>24</v>
      </c>
      <c r="AC694" t="s">
        <v>61</v>
      </c>
      <c r="AD694" t="s">
        <v>302</v>
      </c>
      <c r="AE694" t="s">
        <v>46</v>
      </c>
      <c r="AG694">
        <v>52</v>
      </c>
      <c r="AH694">
        <v>9</v>
      </c>
      <c r="AI694" t="s">
        <v>54</v>
      </c>
      <c r="AK694">
        <v>0</v>
      </c>
      <c r="AM694">
        <v>0</v>
      </c>
      <c r="AP694" t="s">
        <v>325</v>
      </c>
    </row>
    <row r="695" spans="1:42" customFormat="1">
      <c r="A695">
        <v>269429</v>
      </c>
      <c r="B695" t="s">
        <v>1952</v>
      </c>
      <c r="C695" t="s">
        <v>1953</v>
      </c>
      <c r="D695" s="22">
        <v>0</v>
      </c>
      <c r="E695" s="17">
        <v>42131</v>
      </c>
      <c r="F695" s="18">
        <v>0.4221759259259259</v>
      </c>
      <c r="G695" s="22">
        <v>28.49</v>
      </c>
      <c r="H695">
        <v>0</v>
      </c>
      <c r="I695" s="19" t="e">
        <f>I694 + (D695-G695)</f>
        <v>#VALUE!</v>
      </c>
      <c r="M695">
        <v>123128</v>
      </c>
      <c r="N695">
        <v>24</v>
      </c>
      <c r="O695" t="s">
        <v>68</v>
      </c>
      <c r="P695">
        <v>1</v>
      </c>
      <c r="R695">
        <v>575</v>
      </c>
      <c r="S695" s="17">
        <v>42136</v>
      </c>
      <c r="T695" s="17">
        <v>42136</v>
      </c>
      <c r="W695">
        <v>2015</v>
      </c>
      <c r="X695">
        <v>24</v>
      </c>
      <c r="AC695" t="s">
        <v>61</v>
      </c>
      <c r="AD695" t="s">
        <v>302</v>
      </c>
      <c r="AE695" t="s">
        <v>46</v>
      </c>
      <c r="AG695">
        <v>52</v>
      </c>
      <c r="AH695">
        <v>9</v>
      </c>
      <c r="AI695" t="s">
        <v>54</v>
      </c>
      <c r="AK695">
        <v>0</v>
      </c>
      <c r="AM695">
        <v>0</v>
      </c>
      <c r="AP695" t="s">
        <v>325</v>
      </c>
    </row>
    <row r="696" spans="1:42" customFormat="1">
      <c r="A696">
        <v>269430</v>
      </c>
      <c r="B696" t="s">
        <v>1954</v>
      </c>
      <c r="C696" t="s">
        <v>1955</v>
      </c>
      <c r="D696" s="22">
        <v>0</v>
      </c>
      <c r="E696" s="17">
        <v>42131</v>
      </c>
      <c r="F696" s="18">
        <v>0.4221759259259259</v>
      </c>
      <c r="G696" s="22">
        <v>73.92</v>
      </c>
      <c r="H696">
        <v>0</v>
      </c>
      <c r="I696" s="19" t="e">
        <f>I695 + (D696-G696)</f>
        <v>#VALUE!</v>
      </c>
      <c r="M696">
        <v>123129</v>
      </c>
      <c r="N696">
        <v>24</v>
      </c>
      <c r="O696" t="s">
        <v>68</v>
      </c>
      <c r="P696">
        <v>1</v>
      </c>
      <c r="R696">
        <v>575</v>
      </c>
      <c r="S696" s="17">
        <v>42136</v>
      </c>
      <c r="T696" s="17">
        <v>42136</v>
      </c>
      <c r="W696">
        <v>2015</v>
      </c>
      <c r="X696">
        <v>24</v>
      </c>
      <c r="AC696" t="s">
        <v>61</v>
      </c>
      <c r="AD696" t="s">
        <v>302</v>
      </c>
      <c r="AE696" t="s">
        <v>46</v>
      </c>
      <c r="AG696">
        <v>52</v>
      </c>
      <c r="AH696">
        <v>9</v>
      </c>
      <c r="AI696" t="s">
        <v>54</v>
      </c>
      <c r="AK696">
        <v>0</v>
      </c>
      <c r="AM696">
        <v>0</v>
      </c>
      <c r="AP696" t="s">
        <v>325</v>
      </c>
    </row>
    <row r="697" spans="1:42" customFormat="1">
      <c r="A697">
        <v>269435</v>
      </c>
      <c r="B697" t="s">
        <v>1956</v>
      </c>
      <c r="C697" t="s">
        <v>1957</v>
      </c>
      <c r="D697" s="22">
        <v>0</v>
      </c>
      <c r="E697" s="17">
        <v>42131</v>
      </c>
      <c r="F697" s="18">
        <v>0.42298611111111112</v>
      </c>
      <c r="G697" s="22">
        <v>15</v>
      </c>
      <c r="H697">
        <v>0</v>
      </c>
      <c r="I697" s="19" t="e">
        <f>I696 + (D697-G697)</f>
        <v>#VALUE!</v>
      </c>
      <c r="M697">
        <v>123134</v>
      </c>
      <c r="N697">
        <v>24</v>
      </c>
      <c r="O697" t="s">
        <v>68</v>
      </c>
      <c r="P697">
        <v>1</v>
      </c>
      <c r="R697">
        <v>575</v>
      </c>
      <c r="S697" s="17">
        <v>42136</v>
      </c>
      <c r="T697" s="17">
        <v>42136</v>
      </c>
      <c r="W697">
        <v>2015</v>
      </c>
      <c r="X697">
        <v>24</v>
      </c>
      <c r="AC697" t="s">
        <v>61</v>
      </c>
      <c r="AD697" t="s">
        <v>302</v>
      </c>
      <c r="AE697" t="s">
        <v>46</v>
      </c>
      <c r="AG697">
        <v>52</v>
      </c>
      <c r="AH697">
        <v>9</v>
      </c>
      <c r="AI697" t="s">
        <v>54</v>
      </c>
      <c r="AK697">
        <v>0</v>
      </c>
      <c r="AM697">
        <v>0</v>
      </c>
      <c r="AP697" t="s">
        <v>325</v>
      </c>
    </row>
    <row r="698" spans="1:42" customFormat="1">
      <c r="A698">
        <v>269436</v>
      </c>
      <c r="B698" t="s">
        <v>1958</v>
      </c>
      <c r="C698" t="s">
        <v>1959</v>
      </c>
      <c r="D698" s="22">
        <v>0</v>
      </c>
      <c r="E698" s="17">
        <v>42131</v>
      </c>
      <c r="F698" s="18">
        <v>0.42298611111111112</v>
      </c>
      <c r="G698" s="22">
        <v>15</v>
      </c>
      <c r="H698">
        <v>0</v>
      </c>
      <c r="I698" s="19" t="e">
        <f>I697 + (D698-G698)</f>
        <v>#VALUE!</v>
      </c>
      <c r="M698">
        <v>123135</v>
      </c>
      <c r="N698">
        <v>24</v>
      </c>
      <c r="O698" t="s">
        <v>68</v>
      </c>
      <c r="P698">
        <v>1</v>
      </c>
      <c r="R698">
        <v>575</v>
      </c>
      <c r="S698" s="17">
        <v>42136</v>
      </c>
      <c r="T698" s="17">
        <v>42136</v>
      </c>
      <c r="W698">
        <v>2015</v>
      </c>
      <c r="X698">
        <v>24</v>
      </c>
      <c r="AC698" t="s">
        <v>61</v>
      </c>
      <c r="AD698" t="s">
        <v>302</v>
      </c>
      <c r="AE698" t="s">
        <v>46</v>
      </c>
      <c r="AG698">
        <v>52</v>
      </c>
      <c r="AH698">
        <v>9</v>
      </c>
      <c r="AI698" t="s">
        <v>54</v>
      </c>
      <c r="AK698">
        <v>0</v>
      </c>
      <c r="AM698">
        <v>0</v>
      </c>
      <c r="AP698" t="s">
        <v>325</v>
      </c>
    </row>
    <row r="699" spans="1:42" customFormat="1">
      <c r="A699">
        <v>269437</v>
      </c>
      <c r="B699" t="s">
        <v>1960</v>
      </c>
      <c r="C699" t="s">
        <v>1961</v>
      </c>
      <c r="D699" s="22">
        <v>0</v>
      </c>
      <c r="E699" s="17">
        <v>42131</v>
      </c>
      <c r="F699" s="18">
        <v>0.42298611111111112</v>
      </c>
      <c r="G699" s="22">
        <v>15</v>
      </c>
      <c r="H699">
        <v>0</v>
      </c>
      <c r="I699" s="19" t="e">
        <f>I698 + (D699-G699)</f>
        <v>#VALUE!</v>
      </c>
      <c r="M699">
        <v>123136</v>
      </c>
      <c r="N699">
        <v>24</v>
      </c>
      <c r="O699" t="s">
        <v>68</v>
      </c>
      <c r="P699">
        <v>1</v>
      </c>
      <c r="R699">
        <v>575</v>
      </c>
      <c r="S699" s="17">
        <v>42136</v>
      </c>
      <c r="T699" s="17">
        <v>42136</v>
      </c>
      <c r="W699">
        <v>2015</v>
      </c>
      <c r="X699">
        <v>24</v>
      </c>
      <c r="AC699" t="s">
        <v>61</v>
      </c>
      <c r="AD699" t="s">
        <v>302</v>
      </c>
      <c r="AE699" t="s">
        <v>46</v>
      </c>
      <c r="AG699">
        <v>52</v>
      </c>
      <c r="AH699">
        <v>9</v>
      </c>
      <c r="AI699" t="s">
        <v>54</v>
      </c>
      <c r="AK699">
        <v>0</v>
      </c>
      <c r="AM699">
        <v>0</v>
      </c>
      <c r="AP699" t="s">
        <v>325</v>
      </c>
    </row>
    <row r="700" spans="1:42" customFormat="1">
      <c r="A700">
        <v>269438</v>
      </c>
      <c r="B700" t="s">
        <v>1962</v>
      </c>
      <c r="C700" t="s">
        <v>1963</v>
      </c>
      <c r="D700" s="22">
        <v>0</v>
      </c>
      <c r="E700" s="17">
        <v>42131</v>
      </c>
      <c r="F700" s="18">
        <v>0.42298611111111112</v>
      </c>
      <c r="G700" s="22">
        <v>15</v>
      </c>
      <c r="H700">
        <v>0</v>
      </c>
      <c r="I700" s="19" t="e">
        <f>I699 + (D700-G700)</f>
        <v>#VALUE!</v>
      </c>
      <c r="M700">
        <v>123137</v>
      </c>
      <c r="N700">
        <v>24</v>
      </c>
      <c r="O700" t="s">
        <v>68</v>
      </c>
      <c r="P700">
        <v>1</v>
      </c>
      <c r="R700">
        <v>575</v>
      </c>
      <c r="S700" s="17">
        <v>42136</v>
      </c>
      <c r="T700" s="17">
        <v>42136</v>
      </c>
      <c r="W700">
        <v>2015</v>
      </c>
      <c r="X700">
        <v>24</v>
      </c>
      <c r="AC700" t="s">
        <v>61</v>
      </c>
      <c r="AD700" t="s">
        <v>302</v>
      </c>
      <c r="AE700" t="s">
        <v>46</v>
      </c>
      <c r="AG700">
        <v>52</v>
      </c>
      <c r="AH700">
        <v>9</v>
      </c>
      <c r="AI700" t="s">
        <v>54</v>
      </c>
      <c r="AK700">
        <v>0</v>
      </c>
      <c r="AM700">
        <v>0</v>
      </c>
      <c r="AP700" t="s">
        <v>325</v>
      </c>
    </row>
    <row r="701" spans="1:42" customFormat="1">
      <c r="A701">
        <v>269439</v>
      </c>
      <c r="B701" t="s">
        <v>1964</v>
      </c>
      <c r="C701" t="s">
        <v>1965</v>
      </c>
      <c r="D701" s="22">
        <v>0</v>
      </c>
      <c r="E701" s="17">
        <v>42131</v>
      </c>
      <c r="F701" s="18">
        <v>0.42298611111111112</v>
      </c>
      <c r="G701" s="22">
        <v>15</v>
      </c>
      <c r="H701">
        <v>0</v>
      </c>
      <c r="I701" s="19" t="e">
        <f>I700 + (D701-G701)</f>
        <v>#VALUE!</v>
      </c>
      <c r="M701">
        <v>123138</v>
      </c>
      <c r="N701">
        <v>24</v>
      </c>
      <c r="O701" t="s">
        <v>68</v>
      </c>
      <c r="P701">
        <v>1</v>
      </c>
      <c r="R701">
        <v>575</v>
      </c>
      <c r="S701" s="17">
        <v>42136</v>
      </c>
      <c r="T701" s="17">
        <v>42136</v>
      </c>
      <c r="W701">
        <v>2015</v>
      </c>
      <c r="X701">
        <v>24</v>
      </c>
      <c r="AC701" t="s">
        <v>61</v>
      </c>
      <c r="AD701" t="s">
        <v>302</v>
      </c>
      <c r="AE701" t="s">
        <v>46</v>
      </c>
      <c r="AG701">
        <v>52</v>
      </c>
      <c r="AH701">
        <v>9</v>
      </c>
      <c r="AI701" t="s">
        <v>54</v>
      </c>
      <c r="AK701">
        <v>0</v>
      </c>
      <c r="AM701">
        <v>0</v>
      </c>
      <c r="AP701" t="s">
        <v>325</v>
      </c>
    </row>
    <row r="702" spans="1:42" customFormat="1">
      <c r="A702">
        <v>269441</v>
      </c>
      <c r="B702" t="s">
        <v>1966</v>
      </c>
      <c r="C702" t="s">
        <v>1967</v>
      </c>
      <c r="D702" s="22">
        <v>0</v>
      </c>
      <c r="E702" s="17">
        <v>42131</v>
      </c>
      <c r="F702" s="18">
        <v>0.42299768518518516</v>
      </c>
      <c r="G702" s="22">
        <v>15</v>
      </c>
      <c r="H702">
        <v>0</v>
      </c>
      <c r="I702" s="19" t="e">
        <f>I701 + (D702-G702)</f>
        <v>#VALUE!</v>
      </c>
      <c r="M702">
        <v>123140</v>
      </c>
      <c r="N702">
        <v>24</v>
      </c>
      <c r="O702" t="s">
        <v>68</v>
      </c>
      <c r="P702">
        <v>1</v>
      </c>
      <c r="R702">
        <v>575</v>
      </c>
      <c r="S702" s="17">
        <v>42136</v>
      </c>
      <c r="T702" s="17">
        <v>42136</v>
      </c>
      <c r="W702">
        <v>2015</v>
      </c>
      <c r="X702">
        <v>24</v>
      </c>
      <c r="AC702" t="s">
        <v>61</v>
      </c>
      <c r="AD702" t="s">
        <v>302</v>
      </c>
      <c r="AE702" t="s">
        <v>46</v>
      </c>
      <c r="AG702">
        <v>52</v>
      </c>
      <c r="AH702">
        <v>9</v>
      </c>
      <c r="AI702" t="s">
        <v>54</v>
      </c>
      <c r="AK702">
        <v>0</v>
      </c>
      <c r="AM702">
        <v>0</v>
      </c>
      <c r="AP702" t="s">
        <v>325</v>
      </c>
    </row>
    <row r="703" spans="1:42" customFormat="1">
      <c r="A703">
        <v>269440</v>
      </c>
      <c r="B703" t="s">
        <v>1968</v>
      </c>
      <c r="C703" t="s">
        <v>1969</v>
      </c>
      <c r="D703" s="22">
        <v>0</v>
      </c>
      <c r="E703" s="17">
        <v>42131</v>
      </c>
      <c r="F703" s="18">
        <v>0.42299768518518516</v>
      </c>
      <c r="G703" s="22">
        <v>15</v>
      </c>
      <c r="H703">
        <v>0</v>
      </c>
      <c r="I703" s="19" t="e">
        <f>I702 + (D703-G703)</f>
        <v>#VALUE!</v>
      </c>
      <c r="M703">
        <v>123139</v>
      </c>
      <c r="N703">
        <v>24</v>
      </c>
      <c r="O703" t="s">
        <v>68</v>
      </c>
      <c r="P703">
        <v>1</v>
      </c>
      <c r="R703">
        <v>575</v>
      </c>
      <c r="S703" s="17">
        <v>42136</v>
      </c>
      <c r="T703" s="17">
        <v>42136</v>
      </c>
      <c r="W703">
        <v>2015</v>
      </c>
      <c r="X703">
        <v>24</v>
      </c>
      <c r="AC703" t="s">
        <v>61</v>
      </c>
      <c r="AD703" t="s">
        <v>302</v>
      </c>
      <c r="AE703" t="s">
        <v>46</v>
      </c>
      <c r="AG703">
        <v>52</v>
      </c>
      <c r="AH703">
        <v>9</v>
      </c>
      <c r="AI703" t="s">
        <v>54</v>
      </c>
      <c r="AK703">
        <v>0</v>
      </c>
      <c r="AM703">
        <v>0</v>
      </c>
      <c r="AP703" t="s">
        <v>325</v>
      </c>
    </row>
    <row r="704" spans="1:42" customFormat="1">
      <c r="A704">
        <v>269443</v>
      </c>
      <c r="B704" t="s">
        <v>1970</v>
      </c>
      <c r="C704" t="s">
        <v>1971</v>
      </c>
      <c r="D704" s="22">
        <v>0</v>
      </c>
      <c r="E704" s="17">
        <v>42131</v>
      </c>
      <c r="F704" s="18">
        <v>0.42552083333333335</v>
      </c>
      <c r="G704" s="22">
        <v>15</v>
      </c>
      <c r="H704">
        <v>0</v>
      </c>
      <c r="I704" s="19" t="e">
        <f>I703 + (D704-G704)</f>
        <v>#VALUE!</v>
      </c>
      <c r="M704">
        <v>123141</v>
      </c>
      <c r="N704">
        <v>24</v>
      </c>
      <c r="O704" t="s">
        <v>68</v>
      </c>
      <c r="P704">
        <v>1</v>
      </c>
      <c r="R704">
        <v>575</v>
      </c>
      <c r="S704" s="17">
        <v>42136</v>
      </c>
      <c r="T704" s="17">
        <v>42136</v>
      </c>
      <c r="W704">
        <v>2015</v>
      </c>
      <c r="X704">
        <v>24</v>
      </c>
      <c r="AC704" t="s">
        <v>61</v>
      </c>
      <c r="AD704" t="s">
        <v>302</v>
      </c>
      <c r="AE704" t="s">
        <v>46</v>
      </c>
      <c r="AG704">
        <v>52</v>
      </c>
      <c r="AH704">
        <v>9</v>
      </c>
      <c r="AI704" t="s">
        <v>54</v>
      </c>
      <c r="AK704">
        <v>0</v>
      </c>
      <c r="AM704">
        <v>0</v>
      </c>
      <c r="AP704" t="s">
        <v>325</v>
      </c>
    </row>
    <row r="705" spans="1:42" customFormat="1">
      <c r="A705">
        <v>269444</v>
      </c>
      <c r="B705" t="s">
        <v>1972</v>
      </c>
      <c r="C705" t="s">
        <v>1973</v>
      </c>
      <c r="D705" s="22">
        <v>0</v>
      </c>
      <c r="E705" s="17">
        <v>42131</v>
      </c>
      <c r="F705" s="18">
        <v>0.42552083333333335</v>
      </c>
      <c r="G705" s="22">
        <v>11.09</v>
      </c>
      <c r="H705">
        <v>0</v>
      </c>
      <c r="I705" s="19" t="e">
        <f>I704 + (D705-G705)</f>
        <v>#VALUE!</v>
      </c>
      <c r="M705">
        <v>123142</v>
      </c>
      <c r="N705">
        <v>24</v>
      </c>
      <c r="O705" t="s">
        <v>68</v>
      </c>
      <c r="P705">
        <v>1</v>
      </c>
      <c r="R705">
        <v>575</v>
      </c>
      <c r="S705" s="17">
        <v>42136</v>
      </c>
      <c r="T705" s="17">
        <v>42136</v>
      </c>
      <c r="W705">
        <v>2015</v>
      </c>
      <c r="X705">
        <v>24</v>
      </c>
      <c r="AC705" t="s">
        <v>61</v>
      </c>
      <c r="AD705" t="s">
        <v>302</v>
      </c>
      <c r="AE705" t="s">
        <v>46</v>
      </c>
      <c r="AG705">
        <v>52</v>
      </c>
      <c r="AH705">
        <v>9</v>
      </c>
      <c r="AI705" t="s">
        <v>54</v>
      </c>
      <c r="AK705">
        <v>0</v>
      </c>
      <c r="AM705">
        <v>0</v>
      </c>
      <c r="AP705" t="s">
        <v>325</v>
      </c>
    </row>
    <row r="706" spans="1:42" customFormat="1">
      <c r="A706">
        <v>269540</v>
      </c>
      <c r="B706" t="s">
        <v>1983</v>
      </c>
      <c r="C706" t="s">
        <v>1984</v>
      </c>
      <c r="D706" s="22">
        <v>0</v>
      </c>
      <c r="E706" s="17">
        <v>42131</v>
      </c>
      <c r="F706" s="18">
        <v>0.45921296296296293</v>
      </c>
      <c r="G706" s="22">
        <v>5.9</v>
      </c>
      <c r="H706">
        <v>0</v>
      </c>
      <c r="I706" s="19" t="e">
        <f>I705 + (D706-G706)</f>
        <v>#VALUE!</v>
      </c>
      <c r="M706">
        <v>123185</v>
      </c>
      <c r="N706">
        <v>24</v>
      </c>
      <c r="O706" t="s">
        <v>68</v>
      </c>
      <c r="P706">
        <v>1</v>
      </c>
      <c r="R706">
        <v>575</v>
      </c>
      <c r="S706" s="17">
        <v>42136</v>
      </c>
      <c r="T706" s="17">
        <v>42136</v>
      </c>
      <c r="W706">
        <v>2015</v>
      </c>
      <c r="X706">
        <v>24</v>
      </c>
      <c r="AC706" t="s">
        <v>61</v>
      </c>
      <c r="AD706" t="s">
        <v>302</v>
      </c>
      <c r="AE706" t="s">
        <v>46</v>
      </c>
      <c r="AG706">
        <v>118</v>
      </c>
      <c r="AH706">
        <v>9</v>
      </c>
      <c r="AI706" t="s">
        <v>54</v>
      </c>
      <c r="AK706">
        <v>0</v>
      </c>
      <c r="AM706">
        <v>0</v>
      </c>
      <c r="AP706" t="s">
        <v>418</v>
      </c>
    </row>
    <row r="707" spans="1:42" customFormat="1">
      <c r="A707">
        <v>269541</v>
      </c>
      <c r="B707" t="s">
        <v>1985</v>
      </c>
      <c r="C707" t="s">
        <v>1986</v>
      </c>
      <c r="D707" s="22">
        <v>0</v>
      </c>
      <c r="E707" s="17">
        <v>42131</v>
      </c>
      <c r="F707" s="18">
        <v>0.45921296296296293</v>
      </c>
      <c r="G707" s="22">
        <v>1.3</v>
      </c>
      <c r="H707">
        <v>0</v>
      </c>
      <c r="I707" s="19" t="e">
        <f>I706 + (D707-G707)</f>
        <v>#VALUE!</v>
      </c>
      <c r="M707">
        <v>123186</v>
      </c>
      <c r="N707">
        <v>24</v>
      </c>
      <c r="O707" t="s">
        <v>68</v>
      </c>
      <c r="P707">
        <v>1</v>
      </c>
      <c r="R707">
        <v>575</v>
      </c>
      <c r="S707" s="17">
        <v>42136</v>
      </c>
      <c r="T707" s="17">
        <v>42136</v>
      </c>
      <c r="W707">
        <v>2015</v>
      </c>
      <c r="X707">
        <v>24</v>
      </c>
      <c r="AC707" t="s">
        <v>61</v>
      </c>
      <c r="AD707" t="s">
        <v>302</v>
      </c>
      <c r="AE707" t="s">
        <v>46</v>
      </c>
      <c r="AG707">
        <v>118</v>
      </c>
      <c r="AH707">
        <v>9</v>
      </c>
      <c r="AI707" t="s">
        <v>54</v>
      </c>
      <c r="AK707">
        <v>0</v>
      </c>
      <c r="AM707">
        <v>0</v>
      </c>
      <c r="AP707" t="s">
        <v>418</v>
      </c>
    </row>
    <row r="708" spans="1:42" customFormat="1">
      <c r="A708">
        <v>269470</v>
      </c>
      <c r="B708" t="s">
        <v>2121</v>
      </c>
      <c r="C708" t="s">
        <v>2122</v>
      </c>
      <c r="D708" s="22">
        <v>0</v>
      </c>
      <c r="E708" s="17">
        <v>42132</v>
      </c>
      <c r="F708" s="18">
        <v>0.44059027777777776</v>
      </c>
      <c r="G708" s="22">
        <v>18.91</v>
      </c>
      <c r="H708">
        <v>0</v>
      </c>
      <c r="I708" s="19" t="e">
        <f>I707 + (D708-G708)</f>
        <v>#VALUE!</v>
      </c>
      <c r="M708">
        <v>123144</v>
      </c>
      <c r="N708">
        <v>24</v>
      </c>
      <c r="O708" t="s">
        <v>68</v>
      </c>
      <c r="P708">
        <v>1</v>
      </c>
      <c r="R708">
        <v>575</v>
      </c>
      <c r="S708" s="17">
        <v>42136</v>
      </c>
      <c r="T708" s="17">
        <v>42136</v>
      </c>
      <c r="W708">
        <v>2015</v>
      </c>
      <c r="X708">
        <v>24</v>
      </c>
      <c r="AC708" t="s">
        <v>61</v>
      </c>
      <c r="AD708" t="s">
        <v>302</v>
      </c>
      <c r="AE708" t="s">
        <v>46</v>
      </c>
      <c r="AG708">
        <v>52</v>
      </c>
      <c r="AH708">
        <v>9</v>
      </c>
      <c r="AI708" t="s">
        <v>54</v>
      </c>
      <c r="AK708">
        <v>0</v>
      </c>
      <c r="AM708">
        <v>0</v>
      </c>
      <c r="AP708" t="s">
        <v>325</v>
      </c>
    </row>
    <row r="709" spans="1:42" customFormat="1">
      <c r="A709">
        <v>269471</v>
      </c>
      <c r="B709" t="s">
        <v>2123</v>
      </c>
      <c r="C709" t="s">
        <v>2124</v>
      </c>
      <c r="D709" s="22">
        <v>0</v>
      </c>
      <c r="E709" s="17">
        <v>42132</v>
      </c>
      <c r="F709" s="18">
        <v>0.44059027777777776</v>
      </c>
      <c r="G709" s="22">
        <v>30</v>
      </c>
      <c r="H709">
        <v>0</v>
      </c>
      <c r="I709" s="19" t="e">
        <f>I708 + (D709-G709)</f>
        <v>#VALUE!</v>
      </c>
      <c r="M709">
        <v>123145</v>
      </c>
      <c r="N709">
        <v>24</v>
      </c>
      <c r="O709" t="s">
        <v>68</v>
      </c>
      <c r="P709">
        <v>1</v>
      </c>
      <c r="R709">
        <v>575</v>
      </c>
      <c r="S709" s="17">
        <v>42136</v>
      </c>
      <c r="T709" s="17">
        <v>42136</v>
      </c>
      <c r="W709">
        <v>2015</v>
      </c>
      <c r="X709">
        <v>24</v>
      </c>
      <c r="AC709" t="s">
        <v>61</v>
      </c>
      <c r="AD709" t="s">
        <v>302</v>
      </c>
      <c r="AE709" t="s">
        <v>46</v>
      </c>
      <c r="AG709">
        <v>52</v>
      </c>
      <c r="AH709">
        <v>9</v>
      </c>
      <c r="AI709" t="s">
        <v>54</v>
      </c>
      <c r="AK709">
        <v>0</v>
      </c>
      <c r="AM709">
        <v>0</v>
      </c>
      <c r="AP709" t="s">
        <v>325</v>
      </c>
    </row>
    <row r="710" spans="1:42" customFormat="1">
      <c r="A710">
        <v>269476</v>
      </c>
      <c r="B710" t="s">
        <v>2126</v>
      </c>
      <c r="C710" t="s">
        <v>2127</v>
      </c>
      <c r="D710" s="22">
        <v>0</v>
      </c>
      <c r="E710" s="17">
        <v>42132</v>
      </c>
      <c r="F710" s="18">
        <v>0.44148148148148153</v>
      </c>
      <c r="G710" s="22">
        <v>16.5</v>
      </c>
      <c r="H710">
        <v>0</v>
      </c>
      <c r="I710" s="19" t="e">
        <f>I709 + (D710-G710)</f>
        <v>#VALUE!</v>
      </c>
      <c r="M710">
        <v>123150</v>
      </c>
      <c r="N710">
        <v>24</v>
      </c>
      <c r="O710" t="s">
        <v>68</v>
      </c>
      <c r="P710">
        <v>1</v>
      </c>
      <c r="R710">
        <v>575</v>
      </c>
      <c r="S710" s="17">
        <v>42136</v>
      </c>
      <c r="T710" s="17">
        <v>42136</v>
      </c>
      <c r="W710">
        <v>2015</v>
      </c>
      <c r="X710">
        <v>24</v>
      </c>
      <c r="AC710" t="s">
        <v>61</v>
      </c>
      <c r="AD710" t="s">
        <v>302</v>
      </c>
      <c r="AE710" t="s">
        <v>46</v>
      </c>
      <c r="AG710">
        <v>52</v>
      </c>
      <c r="AH710">
        <v>9</v>
      </c>
      <c r="AI710" t="s">
        <v>54</v>
      </c>
      <c r="AK710">
        <v>0</v>
      </c>
      <c r="AM710">
        <v>0</v>
      </c>
      <c r="AP710" t="s">
        <v>325</v>
      </c>
    </row>
    <row r="711" spans="1:42" customFormat="1">
      <c r="A711">
        <v>269477</v>
      </c>
      <c r="B711" t="s">
        <v>2128</v>
      </c>
      <c r="C711" t="s">
        <v>2129</v>
      </c>
      <c r="D711" s="22">
        <v>0</v>
      </c>
      <c r="E711" s="17">
        <v>42132</v>
      </c>
      <c r="F711" s="18">
        <v>0.44148148148148153</v>
      </c>
      <c r="G711" s="22">
        <v>5.5</v>
      </c>
      <c r="H711">
        <v>0</v>
      </c>
      <c r="I711" s="19" t="e">
        <f>I710 + (D711-G711)</f>
        <v>#VALUE!</v>
      </c>
      <c r="M711">
        <v>123151</v>
      </c>
      <c r="N711">
        <v>24</v>
      </c>
      <c r="O711" t="s">
        <v>68</v>
      </c>
      <c r="P711">
        <v>1</v>
      </c>
      <c r="R711">
        <v>575</v>
      </c>
      <c r="S711" s="17">
        <v>42136</v>
      </c>
      <c r="T711" s="17">
        <v>42136</v>
      </c>
      <c r="W711">
        <v>2015</v>
      </c>
      <c r="X711">
        <v>24</v>
      </c>
      <c r="AC711" t="s">
        <v>61</v>
      </c>
      <c r="AD711" t="s">
        <v>302</v>
      </c>
      <c r="AE711" t="s">
        <v>46</v>
      </c>
      <c r="AG711">
        <v>52</v>
      </c>
      <c r="AH711">
        <v>9</v>
      </c>
      <c r="AI711" t="s">
        <v>54</v>
      </c>
      <c r="AK711">
        <v>0</v>
      </c>
      <c r="AM711">
        <v>0</v>
      </c>
      <c r="AP711" t="s">
        <v>325</v>
      </c>
    </row>
    <row r="712" spans="1:42" customFormat="1">
      <c r="A712">
        <v>269472</v>
      </c>
      <c r="B712" t="s">
        <v>2130</v>
      </c>
      <c r="C712" t="s">
        <v>2131</v>
      </c>
      <c r="D712" s="22">
        <v>0</v>
      </c>
      <c r="E712" s="17">
        <v>42132</v>
      </c>
      <c r="F712" s="18">
        <v>0.44148148148148153</v>
      </c>
      <c r="G712" s="22">
        <v>15.55</v>
      </c>
      <c r="H712">
        <v>0</v>
      </c>
      <c r="I712" s="19" t="e">
        <f>I711 + (D712-G712)</f>
        <v>#VALUE!</v>
      </c>
      <c r="M712">
        <v>123146</v>
      </c>
      <c r="N712">
        <v>24</v>
      </c>
      <c r="O712" t="s">
        <v>68</v>
      </c>
      <c r="P712">
        <v>1</v>
      </c>
      <c r="R712">
        <v>575</v>
      </c>
      <c r="S712" s="17">
        <v>42136</v>
      </c>
      <c r="T712" s="17">
        <v>42136</v>
      </c>
      <c r="W712">
        <v>2015</v>
      </c>
      <c r="X712">
        <v>24</v>
      </c>
      <c r="AC712" t="s">
        <v>61</v>
      </c>
      <c r="AD712" t="s">
        <v>302</v>
      </c>
      <c r="AE712" t="s">
        <v>46</v>
      </c>
      <c r="AG712">
        <v>52</v>
      </c>
      <c r="AH712">
        <v>9</v>
      </c>
      <c r="AI712" t="s">
        <v>54</v>
      </c>
      <c r="AK712">
        <v>0</v>
      </c>
      <c r="AM712">
        <v>0</v>
      </c>
      <c r="AP712" t="s">
        <v>325</v>
      </c>
    </row>
    <row r="713" spans="1:42" customFormat="1">
      <c r="A713">
        <v>269473</v>
      </c>
      <c r="B713" t="s">
        <v>2132</v>
      </c>
      <c r="C713" t="s">
        <v>2133</v>
      </c>
      <c r="D713" s="22">
        <v>0</v>
      </c>
      <c r="E713" s="17">
        <v>42132</v>
      </c>
      <c r="F713" s="18">
        <v>0.44148148148148153</v>
      </c>
      <c r="G713" s="22">
        <v>12.96</v>
      </c>
      <c r="H713">
        <v>0</v>
      </c>
      <c r="I713" s="19" t="e">
        <f>I712 + (D713-G713)</f>
        <v>#VALUE!</v>
      </c>
      <c r="M713">
        <v>123147</v>
      </c>
      <c r="N713">
        <v>24</v>
      </c>
      <c r="O713" t="s">
        <v>68</v>
      </c>
      <c r="P713">
        <v>1</v>
      </c>
      <c r="R713">
        <v>575</v>
      </c>
      <c r="S713" s="17">
        <v>42136</v>
      </c>
      <c r="T713" s="17">
        <v>42136</v>
      </c>
      <c r="W713">
        <v>2015</v>
      </c>
      <c r="X713">
        <v>24</v>
      </c>
      <c r="AC713" t="s">
        <v>61</v>
      </c>
      <c r="AD713" t="s">
        <v>302</v>
      </c>
      <c r="AE713" t="s">
        <v>46</v>
      </c>
      <c r="AG713">
        <v>52</v>
      </c>
      <c r="AH713">
        <v>9</v>
      </c>
      <c r="AI713" t="s">
        <v>54</v>
      </c>
      <c r="AK713">
        <v>0</v>
      </c>
      <c r="AM713">
        <v>0</v>
      </c>
      <c r="AP713" t="s">
        <v>325</v>
      </c>
    </row>
    <row r="714" spans="1:42" customFormat="1">
      <c r="A714">
        <v>269474</v>
      </c>
      <c r="B714" t="s">
        <v>2134</v>
      </c>
      <c r="C714" t="s">
        <v>2135</v>
      </c>
      <c r="D714" s="22">
        <v>0</v>
      </c>
      <c r="E714" s="17">
        <v>42132</v>
      </c>
      <c r="F714" s="18">
        <v>0.44148148148148153</v>
      </c>
      <c r="G714" s="22">
        <v>12.96</v>
      </c>
      <c r="H714">
        <v>0</v>
      </c>
      <c r="I714" s="19" t="e">
        <f>I713 + (D714-G714)</f>
        <v>#VALUE!</v>
      </c>
      <c r="M714">
        <v>123148</v>
      </c>
      <c r="N714">
        <v>24</v>
      </c>
      <c r="O714" t="s">
        <v>68</v>
      </c>
      <c r="P714">
        <v>1</v>
      </c>
      <c r="R714">
        <v>575</v>
      </c>
      <c r="S714" s="17">
        <v>42136</v>
      </c>
      <c r="T714" s="17">
        <v>42136</v>
      </c>
      <c r="W714">
        <v>2015</v>
      </c>
      <c r="X714">
        <v>24</v>
      </c>
      <c r="AC714" t="s">
        <v>61</v>
      </c>
      <c r="AD714" t="s">
        <v>302</v>
      </c>
      <c r="AE714" t="s">
        <v>46</v>
      </c>
      <c r="AG714">
        <v>52</v>
      </c>
      <c r="AH714">
        <v>9</v>
      </c>
      <c r="AI714" t="s">
        <v>54</v>
      </c>
      <c r="AK714">
        <v>0</v>
      </c>
      <c r="AM714">
        <v>0</v>
      </c>
      <c r="AP714" t="s">
        <v>325</v>
      </c>
    </row>
    <row r="715" spans="1:42" customFormat="1">
      <c r="A715">
        <v>269475</v>
      </c>
      <c r="B715" t="s">
        <v>2136</v>
      </c>
      <c r="C715" t="s">
        <v>2137</v>
      </c>
      <c r="D715" s="22">
        <v>0</v>
      </c>
      <c r="E715" s="17">
        <v>42132</v>
      </c>
      <c r="F715" s="18">
        <v>0.44148148148148153</v>
      </c>
      <c r="G715" s="22">
        <v>7.77</v>
      </c>
      <c r="H715">
        <v>0</v>
      </c>
      <c r="I715" s="19" t="e">
        <f>I714 + (D715-G715)</f>
        <v>#VALUE!</v>
      </c>
      <c r="M715">
        <v>123149</v>
      </c>
      <c r="N715">
        <v>24</v>
      </c>
      <c r="O715" t="s">
        <v>68</v>
      </c>
      <c r="P715">
        <v>1</v>
      </c>
      <c r="R715">
        <v>575</v>
      </c>
      <c r="S715" s="17">
        <v>42136</v>
      </c>
      <c r="T715" s="17">
        <v>42136</v>
      </c>
      <c r="W715">
        <v>2015</v>
      </c>
      <c r="X715">
        <v>24</v>
      </c>
      <c r="AC715" t="s">
        <v>61</v>
      </c>
      <c r="AD715" t="s">
        <v>302</v>
      </c>
      <c r="AE715" t="s">
        <v>46</v>
      </c>
      <c r="AG715">
        <v>52</v>
      </c>
      <c r="AH715">
        <v>9</v>
      </c>
      <c r="AI715" t="s">
        <v>54</v>
      </c>
      <c r="AK715">
        <v>0</v>
      </c>
      <c r="AM715">
        <v>0</v>
      </c>
      <c r="AP715" t="s">
        <v>325</v>
      </c>
    </row>
    <row r="716" spans="1:42" customFormat="1">
      <c r="A716">
        <v>269478</v>
      </c>
      <c r="B716" t="s">
        <v>2138</v>
      </c>
      <c r="C716" t="s">
        <v>2139</v>
      </c>
      <c r="D716" s="22">
        <v>0</v>
      </c>
      <c r="E716" s="17">
        <v>42132</v>
      </c>
      <c r="F716" s="18">
        <v>0.44312499999999999</v>
      </c>
      <c r="G716" s="22">
        <v>15</v>
      </c>
      <c r="H716">
        <v>0</v>
      </c>
      <c r="I716" s="19" t="e">
        <f>I715 + (D716-G716)</f>
        <v>#VALUE!</v>
      </c>
      <c r="M716">
        <v>123161</v>
      </c>
      <c r="N716">
        <v>24</v>
      </c>
      <c r="O716" t="s">
        <v>68</v>
      </c>
      <c r="P716">
        <v>1</v>
      </c>
      <c r="R716">
        <v>575</v>
      </c>
      <c r="S716" s="17">
        <v>42136</v>
      </c>
      <c r="T716" s="17">
        <v>42136</v>
      </c>
      <c r="W716">
        <v>2015</v>
      </c>
      <c r="X716">
        <v>24</v>
      </c>
      <c r="AC716" t="s">
        <v>61</v>
      </c>
      <c r="AD716" t="s">
        <v>302</v>
      </c>
      <c r="AE716" t="s">
        <v>46</v>
      </c>
      <c r="AG716">
        <v>52</v>
      </c>
      <c r="AH716">
        <v>9</v>
      </c>
      <c r="AI716" t="s">
        <v>54</v>
      </c>
      <c r="AK716">
        <v>0</v>
      </c>
      <c r="AM716">
        <v>0</v>
      </c>
      <c r="AP716" t="s">
        <v>325</v>
      </c>
    </row>
    <row r="717" spans="1:42" customFormat="1">
      <c r="A717">
        <v>269479</v>
      </c>
      <c r="B717" t="s">
        <v>2140</v>
      </c>
      <c r="C717" t="s">
        <v>2141</v>
      </c>
      <c r="D717" s="22">
        <v>0</v>
      </c>
      <c r="E717" s="17">
        <v>42132</v>
      </c>
      <c r="F717" s="18">
        <v>0.44312499999999999</v>
      </c>
      <c r="G717" s="22">
        <v>15</v>
      </c>
      <c r="H717">
        <v>0</v>
      </c>
      <c r="I717" s="19" t="e">
        <f>I716 + (D717-G717)</f>
        <v>#VALUE!</v>
      </c>
      <c r="M717">
        <v>123152</v>
      </c>
      <c r="N717">
        <v>24</v>
      </c>
      <c r="O717" t="s">
        <v>68</v>
      </c>
      <c r="P717">
        <v>1</v>
      </c>
      <c r="R717">
        <v>575</v>
      </c>
      <c r="S717" s="17">
        <v>42136</v>
      </c>
      <c r="T717" s="17">
        <v>42136</v>
      </c>
      <c r="W717">
        <v>2015</v>
      </c>
      <c r="X717">
        <v>24</v>
      </c>
      <c r="AC717" t="s">
        <v>61</v>
      </c>
      <c r="AD717" t="s">
        <v>302</v>
      </c>
      <c r="AE717" t="s">
        <v>46</v>
      </c>
      <c r="AG717">
        <v>52</v>
      </c>
      <c r="AH717">
        <v>9</v>
      </c>
      <c r="AI717" t="s">
        <v>54</v>
      </c>
      <c r="AK717">
        <v>0</v>
      </c>
      <c r="AM717">
        <v>0</v>
      </c>
      <c r="AP717" t="s">
        <v>325</v>
      </c>
    </row>
    <row r="718" spans="1:42" customFormat="1">
      <c r="A718">
        <v>269487</v>
      </c>
      <c r="B718" t="s">
        <v>2142</v>
      </c>
      <c r="C718" t="s">
        <v>2143</v>
      </c>
      <c r="D718" s="22">
        <v>0</v>
      </c>
      <c r="E718" s="17">
        <v>42132</v>
      </c>
      <c r="F718" s="18">
        <v>0.44313657407407409</v>
      </c>
      <c r="G718" s="22">
        <v>15</v>
      </c>
      <c r="H718">
        <v>0</v>
      </c>
      <c r="I718" s="19" t="e">
        <f>I717 + (D718-G718)</f>
        <v>#VALUE!</v>
      </c>
      <c r="M718">
        <v>123160</v>
      </c>
      <c r="N718">
        <v>24</v>
      </c>
      <c r="O718" t="s">
        <v>68</v>
      </c>
      <c r="P718">
        <v>1</v>
      </c>
      <c r="R718">
        <v>575</v>
      </c>
      <c r="S718" s="17">
        <v>42136</v>
      </c>
      <c r="T718" s="17">
        <v>42136</v>
      </c>
      <c r="W718">
        <v>2015</v>
      </c>
      <c r="X718">
        <v>24</v>
      </c>
      <c r="AC718" t="s">
        <v>61</v>
      </c>
      <c r="AD718" t="s">
        <v>302</v>
      </c>
      <c r="AE718" t="s">
        <v>46</v>
      </c>
      <c r="AG718">
        <v>52</v>
      </c>
      <c r="AH718">
        <v>9</v>
      </c>
      <c r="AI718" t="s">
        <v>54</v>
      </c>
      <c r="AK718">
        <v>0</v>
      </c>
      <c r="AM718">
        <v>0</v>
      </c>
      <c r="AP718" t="s">
        <v>325</v>
      </c>
    </row>
    <row r="719" spans="1:42" customFormat="1">
      <c r="A719">
        <v>269480</v>
      </c>
      <c r="B719" t="s">
        <v>2144</v>
      </c>
      <c r="C719" t="s">
        <v>2145</v>
      </c>
      <c r="D719" s="22">
        <v>0</v>
      </c>
      <c r="E719" s="17">
        <v>42132</v>
      </c>
      <c r="F719" s="18">
        <v>0.44313657407407409</v>
      </c>
      <c r="G719" s="22">
        <v>15</v>
      </c>
      <c r="H719">
        <v>0</v>
      </c>
      <c r="I719" s="19" t="e">
        <f>I718 + (D719-G719)</f>
        <v>#VALUE!</v>
      </c>
      <c r="M719">
        <v>123153</v>
      </c>
      <c r="N719">
        <v>24</v>
      </c>
      <c r="O719" t="s">
        <v>68</v>
      </c>
      <c r="P719">
        <v>1</v>
      </c>
      <c r="R719">
        <v>575</v>
      </c>
      <c r="S719" s="17">
        <v>42136</v>
      </c>
      <c r="T719" s="17">
        <v>42136</v>
      </c>
      <c r="W719">
        <v>2015</v>
      </c>
      <c r="X719">
        <v>24</v>
      </c>
      <c r="AC719" t="s">
        <v>61</v>
      </c>
      <c r="AD719" t="s">
        <v>302</v>
      </c>
      <c r="AE719" t="s">
        <v>46</v>
      </c>
      <c r="AG719">
        <v>52</v>
      </c>
      <c r="AH719">
        <v>9</v>
      </c>
      <c r="AI719" t="s">
        <v>54</v>
      </c>
      <c r="AK719">
        <v>0</v>
      </c>
      <c r="AM719">
        <v>0</v>
      </c>
      <c r="AP719" t="s">
        <v>325</v>
      </c>
    </row>
    <row r="720" spans="1:42" customFormat="1">
      <c r="A720">
        <v>269481</v>
      </c>
      <c r="B720" t="s">
        <v>2146</v>
      </c>
      <c r="C720" t="s">
        <v>2147</v>
      </c>
      <c r="D720" s="22">
        <v>0</v>
      </c>
      <c r="E720" s="17">
        <v>42132</v>
      </c>
      <c r="F720" s="18">
        <v>0.44313657407407409</v>
      </c>
      <c r="G720" s="22">
        <v>15</v>
      </c>
      <c r="H720">
        <v>0</v>
      </c>
      <c r="I720" s="19" t="e">
        <f>I719 + (D720-G720)</f>
        <v>#VALUE!</v>
      </c>
      <c r="M720">
        <v>123154</v>
      </c>
      <c r="N720">
        <v>24</v>
      </c>
      <c r="O720" t="s">
        <v>68</v>
      </c>
      <c r="P720">
        <v>1</v>
      </c>
      <c r="R720">
        <v>575</v>
      </c>
      <c r="S720" s="17">
        <v>42136</v>
      </c>
      <c r="T720" s="17">
        <v>42136</v>
      </c>
      <c r="W720">
        <v>2015</v>
      </c>
      <c r="X720">
        <v>24</v>
      </c>
      <c r="AC720" t="s">
        <v>61</v>
      </c>
      <c r="AD720" t="s">
        <v>302</v>
      </c>
      <c r="AE720" t="s">
        <v>46</v>
      </c>
      <c r="AG720">
        <v>52</v>
      </c>
      <c r="AH720">
        <v>9</v>
      </c>
      <c r="AI720" t="s">
        <v>54</v>
      </c>
      <c r="AK720">
        <v>0</v>
      </c>
      <c r="AM720">
        <v>0</v>
      </c>
      <c r="AP720" t="s">
        <v>325</v>
      </c>
    </row>
    <row r="721" spans="1:42" customFormat="1">
      <c r="A721">
        <v>269482</v>
      </c>
      <c r="B721" t="s">
        <v>2148</v>
      </c>
      <c r="C721" t="s">
        <v>2149</v>
      </c>
      <c r="D721" s="22">
        <v>0</v>
      </c>
      <c r="E721" s="17">
        <v>42132</v>
      </c>
      <c r="F721" s="18">
        <v>0.44313657407407409</v>
      </c>
      <c r="G721" s="22">
        <v>15</v>
      </c>
      <c r="H721">
        <v>0</v>
      </c>
      <c r="I721" s="19" t="e">
        <f>I720 + (D721-G721)</f>
        <v>#VALUE!</v>
      </c>
      <c r="M721">
        <v>123155</v>
      </c>
      <c r="N721">
        <v>24</v>
      </c>
      <c r="O721" t="s">
        <v>68</v>
      </c>
      <c r="P721">
        <v>1</v>
      </c>
      <c r="R721">
        <v>575</v>
      </c>
      <c r="S721" s="17">
        <v>42136</v>
      </c>
      <c r="T721" s="17">
        <v>42136</v>
      </c>
      <c r="W721">
        <v>2015</v>
      </c>
      <c r="X721">
        <v>24</v>
      </c>
      <c r="AC721" t="s">
        <v>61</v>
      </c>
      <c r="AD721" t="s">
        <v>302</v>
      </c>
      <c r="AE721" t="s">
        <v>46</v>
      </c>
      <c r="AG721">
        <v>52</v>
      </c>
      <c r="AH721">
        <v>9</v>
      </c>
      <c r="AI721" t="s">
        <v>54</v>
      </c>
      <c r="AK721">
        <v>0</v>
      </c>
      <c r="AM721">
        <v>0</v>
      </c>
      <c r="AP721" t="s">
        <v>325</v>
      </c>
    </row>
    <row r="722" spans="1:42" customFormat="1">
      <c r="A722">
        <v>269483</v>
      </c>
      <c r="B722" t="s">
        <v>2150</v>
      </c>
      <c r="C722" t="s">
        <v>2151</v>
      </c>
      <c r="D722" s="22">
        <v>0</v>
      </c>
      <c r="E722" s="17">
        <v>42132</v>
      </c>
      <c r="F722" s="18">
        <v>0.44313657407407409</v>
      </c>
      <c r="G722" s="22">
        <v>15</v>
      </c>
      <c r="H722">
        <v>0</v>
      </c>
      <c r="I722" s="19" t="e">
        <f>I721 + (D722-G722)</f>
        <v>#VALUE!</v>
      </c>
      <c r="M722">
        <v>123156</v>
      </c>
      <c r="N722">
        <v>24</v>
      </c>
      <c r="O722" t="s">
        <v>68</v>
      </c>
      <c r="P722">
        <v>1</v>
      </c>
      <c r="R722">
        <v>575</v>
      </c>
      <c r="S722" s="17">
        <v>42136</v>
      </c>
      <c r="T722" s="17">
        <v>42136</v>
      </c>
      <c r="W722">
        <v>2015</v>
      </c>
      <c r="X722">
        <v>24</v>
      </c>
      <c r="AC722" t="s">
        <v>61</v>
      </c>
      <c r="AD722" t="s">
        <v>302</v>
      </c>
      <c r="AE722" t="s">
        <v>46</v>
      </c>
      <c r="AG722">
        <v>52</v>
      </c>
      <c r="AH722">
        <v>9</v>
      </c>
      <c r="AI722" t="s">
        <v>54</v>
      </c>
      <c r="AK722">
        <v>0</v>
      </c>
      <c r="AM722">
        <v>0</v>
      </c>
      <c r="AP722" t="s">
        <v>325</v>
      </c>
    </row>
    <row r="723" spans="1:42" customFormat="1">
      <c r="A723">
        <v>269484</v>
      </c>
      <c r="B723" t="s">
        <v>2152</v>
      </c>
      <c r="C723" t="s">
        <v>2153</v>
      </c>
      <c r="D723" s="22">
        <v>0</v>
      </c>
      <c r="E723" s="17">
        <v>42132</v>
      </c>
      <c r="F723" s="18">
        <v>0.44313657407407409</v>
      </c>
      <c r="G723" s="22">
        <v>15</v>
      </c>
      <c r="H723">
        <v>0</v>
      </c>
      <c r="I723" s="19" t="e">
        <f>I722 + (D723-G723)</f>
        <v>#VALUE!</v>
      </c>
      <c r="M723">
        <v>123157</v>
      </c>
      <c r="N723">
        <v>24</v>
      </c>
      <c r="O723" t="s">
        <v>68</v>
      </c>
      <c r="P723">
        <v>1</v>
      </c>
      <c r="R723">
        <v>575</v>
      </c>
      <c r="S723" s="17">
        <v>42136</v>
      </c>
      <c r="T723" s="17">
        <v>42136</v>
      </c>
      <c r="W723">
        <v>2015</v>
      </c>
      <c r="X723">
        <v>24</v>
      </c>
      <c r="AC723" t="s">
        <v>61</v>
      </c>
      <c r="AD723" t="s">
        <v>302</v>
      </c>
      <c r="AE723" t="s">
        <v>46</v>
      </c>
      <c r="AG723">
        <v>52</v>
      </c>
      <c r="AH723">
        <v>9</v>
      </c>
      <c r="AI723" t="s">
        <v>54</v>
      </c>
      <c r="AK723">
        <v>0</v>
      </c>
      <c r="AM723">
        <v>0</v>
      </c>
      <c r="AP723" t="s">
        <v>325</v>
      </c>
    </row>
    <row r="724" spans="1:42" customFormat="1">
      <c r="A724">
        <v>269485</v>
      </c>
      <c r="B724" t="s">
        <v>2154</v>
      </c>
      <c r="C724" t="s">
        <v>2155</v>
      </c>
      <c r="D724" s="22">
        <v>0</v>
      </c>
      <c r="E724" s="17">
        <v>42132</v>
      </c>
      <c r="F724" s="18">
        <v>0.44313657407407409</v>
      </c>
      <c r="G724" s="22">
        <v>15</v>
      </c>
      <c r="H724">
        <v>0</v>
      </c>
      <c r="I724" s="19" t="e">
        <f>I723 + (D724-G724)</f>
        <v>#VALUE!</v>
      </c>
      <c r="M724">
        <v>123158</v>
      </c>
      <c r="N724">
        <v>24</v>
      </c>
      <c r="O724" t="s">
        <v>68</v>
      </c>
      <c r="P724">
        <v>1</v>
      </c>
      <c r="R724">
        <v>575</v>
      </c>
      <c r="S724" s="17">
        <v>42136</v>
      </c>
      <c r="T724" s="17">
        <v>42136</v>
      </c>
      <c r="W724">
        <v>2015</v>
      </c>
      <c r="X724">
        <v>24</v>
      </c>
      <c r="AC724" t="s">
        <v>61</v>
      </c>
      <c r="AD724" t="s">
        <v>302</v>
      </c>
      <c r="AE724" t="s">
        <v>46</v>
      </c>
      <c r="AG724">
        <v>52</v>
      </c>
      <c r="AH724">
        <v>9</v>
      </c>
      <c r="AI724" t="s">
        <v>54</v>
      </c>
      <c r="AK724">
        <v>0</v>
      </c>
      <c r="AM724">
        <v>0</v>
      </c>
      <c r="AP724" t="s">
        <v>325</v>
      </c>
    </row>
    <row r="725" spans="1:42" customFormat="1">
      <c r="A725">
        <v>269486</v>
      </c>
      <c r="B725" t="s">
        <v>2156</v>
      </c>
      <c r="C725" t="s">
        <v>2157</v>
      </c>
      <c r="D725" s="22">
        <v>0</v>
      </c>
      <c r="E725" s="17">
        <v>42132</v>
      </c>
      <c r="F725" s="18">
        <v>0.44313657407407409</v>
      </c>
      <c r="G725" s="22">
        <v>15</v>
      </c>
      <c r="H725">
        <v>0</v>
      </c>
      <c r="I725" s="19" t="e">
        <f>I724 + (D725-G725)</f>
        <v>#VALUE!</v>
      </c>
      <c r="M725">
        <v>123159</v>
      </c>
      <c r="N725">
        <v>24</v>
      </c>
      <c r="O725" t="s">
        <v>68</v>
      </c>
      <c r="P725">
        <v>1</v>
      </c>
      <c r="R725">
        <v>575</v>
      </c>
      <c r="S725" s="17">
        <v>42136</v>
      </c>
      <c r="T725" s="17">
        <v>42136</v>
      </c>
      <c r="W725">
        <v>2015</v>
      </c>
      <c r="X725">
        <v>24</v>
      </c>
      <c r="AC725" t="s">
        <v>61</v>
      </c>
      <c r="AD725" t="s">
        <v>302</v>
      </c>
      <c r="AE725" t="s">
        <v>46</v>
      </c>
      <c r="AG725">
        <v>52</v>
      </c>
      <c r="AH725">
        <v>9</v>
      </c>
      <c r="AI725" t="s">
        <v>54</v>
      </c>
      <c r="AK725">
        <v>0</v>
      </c>
      <c r="AM725">
        <v>0</v>
      </c>
      <c r="AP725" t="s">
        <v>325</v>
      </c>
    </row>
    <row r="726" spans="1:42" customFormat="1">
      <c r="A726">
        <v>269488</v>
      </c>
      <c r="B726" t="s">
        <v>2158</v>
      </c>
      <c r="C726" t="s">
        <v>2159</v>
      </c>
      <c r="D726" s="22">
        <v>0</v>
      </c>
      <c r="E726" s="17">
        <v>42132</v>
      </c>
      <c r="F726" s="18">
        <v>0.44398148148148148</v>
      </c>
      <c r="G726" s="22">
        <v>30</v>
      </c>
      <c r="H726">
        <v>0</v>
      </c>
      <c r="I726" s="19" t="e">
        <f>I725 + (D726-G726)</f>
        <v>#VALUE!</v>
      </c>
      <c r="M726">
        <v>123162</v>
      </c>
      <c r="N726">
        <v>24</v>
      </c>
      <c r="O726" t="s">
        <v>68</v>
      </c>
      <c r="P726">
        <v>1</v>
      </c>
      <c r="R726">
        <v>575</v>
      </c>
      <c r="S726" s="17">
        <v>42136</v>
      </c>
      <c r="T726" s="17">
        <v>42136</v>
      </c>
      <c r="W726">
        <v>2015</v>
      </c>
      <c r="X726">
        <v>24</v>
      </c>
      <c r="AC726" t="s">
        <v>61</v>
      </c>
      <c r="AD726" t="s">
        <v>302</v>
      </c>
      <c r="AE726" t="s">
        <v>46</v>
      </c>
      <c r="AG726">
        <v>52</v>
      </c>
      <c r="AH726">
        <v>9</v>
      </c>
      <c r="AI726" t="s">
        <v>54</v>
      </c>
      <c r="AK726">
        <v>0</v>
      </c>
      <c r="AM726">
        <v>0</v>
      </c>
      <c r="AP726" t="s">
        <v>325</v>
      </c>
    </row>
    <row r="727" spans="1:42" customFormat="1">
      <c r="A727">
        <v>269489</v>
      </c>
      <c r="B727" t="s">
        <v>2160</v>
      </c>
      <c r="C727" t="s">
        <v>2161</v>
      </c>
      <c r="D727" s="22">
        <v>0</v>
      </c>
      <c r="E727" s="17">
        <v>42132</v>
      </c>
      <c r="F727" s="18">
        <v>0.44398148148148148</v>
      </c>
      <c r="G727" s="22">
        <v>30</v>
      </c>
      <c r="H727">
        <v>0</v>
      </c>
      <c r="I727" s="19" t="e">
        <f>I726 + (D727-G727)</f>
        <v>#VALUE!</v>
      </c>
      <c r="M727">
        <v>123163</v>
      </c>
      <c r="N727">
        <v>24</v>
      </c>
      <c r="O727" t="s">
        <v>68</v>
      </c>
      <c r="P727">
        <v>1</v>
      </c>
      <c r="R727">
        <v>575</v>
      </c>
      <c r="S727" s="17">
        <v>42136</v>
      </c>
      <c r="T727" s="17">
        <v>42136</v>
      </c>
      <c r="W727">
        <v>2015</v>
      </c>
      <c r="X727">
        <v>24</v>
      </c>
      <c r="AC727" t="s">
        <v>61</v>
      </c>
      <c r="AD727" t="s">
        <v>302</v>
      </c>
      <c r="AE727" t="s">
        <v>46</v>
      </c>
      <c r="AG727">
        <v>52</v>
      </c>
      <c r="AH727">
        <v>9</v>
      </c>
      <c r="AI727" t="s">
        <v>54</v>
      </c>
      <c r="AK727">
        <v>0</v>
      </c>
      <c r="AM727">
        <v>0</v>
      </c>
      <c r="AP727" t="s">
        <v>325</v>
      </c>
    </row>
    <row r="728" spans="1:42" customFormat="1">
      <c r="A728">
        <v>269490</v>
      </c>
      <c r="B728" t="s">
        <v>2162</v>
      </c>
      <c r="C728" t="s">
        <v>2163</v>
      </c>
      <c r="D728" s="22">
        <v>0</v>
      </c>
      <c r="E728" s="17">
        <v>42132</v>
      </c>
      <c r="F728" s="18">
        <v>0.44398148148148148</v>
      </c>
      <c r="G728" s="22">
        <v>30</v>
      </c>
      <c r="H728">
        <v>0</v>
      </c>
      <c r="I728" s="19" t="e">
        <f>I727 + (D728-G728)</f>
        <v>#VALUE!</v>
      </c>
      <c r="M728">
        <v>123164</v>
      </c>
      <c r="N728">
        <v>24</v>
      </c>
      <c r="O728" t="s">
        <v>68</v>
      </c>
      <c r="P728">
        <v>1</v>
      </c>
      <c r="R728">
        <v>575</v>
      </c>
      <c r="S728" s="17">
        <v>42136</v>
      </c>
      <c r="T728" s="17">
        <v>42136</v>
      </c>
      <c r="W728">
        <v>2015</v>
      </c>
      <c r="X728">
        <v>24</v>
      </c>
      <c r="AC728" t="s">
        <v>61</v>
      </c>
      <c r="AD728" t="s">
        <v>302</v>
      </c>
      <c r="AE728" t="s">
        <v>46</v>
      </c>
      <c r="AG728">
        <v>52</v>
      </c>
      <c r="AH728">
        <v>9</v>
      </c>
      <c r="AI728" t="s">
        <v>54</v>
      </c>
      <c r="AK728">
        <v>0</v>
      </c>
      <c r="AM728">
        <v>0</v>
      </c>
      <c r="AP728" t="s">
        <v>325</v>
      </c>
    </row>
    <row r="729" spans="1:42" customFormat="1">
      <c r="A729">
        <v>269491</v>
      </c>
      <c r="B729" t="s">
        <v>2164</v>
      </c>
      <c r="C729" t="s">
        <v>2165</v>
      </c>
      <c r="D729" s="22">
        <v>0</v>
      </c>
      <c r="E729" s="17">
        <v>42132</v>
      </c>
      <c r="F729" s="18">
        <v>0.44398148148148148</v>
      </c>
      <c r="G729" s="22">
        <v>30</v>
      </c>
      <c r="H729">
        <v>0</v>
      </c>
      <c r="I729" s="19" t="e">
        <f>I728 + (D729-G729)</f>
        <v>#VALUE!</v>
      </c>
      <c r="M729">
        <v>123165</v>
      </c>
      <c r="N729">
        <v>24</v>
      </c>
      <c r="O729" t="s">
        <v>68</v>
      </c>
      <c r="P729">
        <v>1</v>
      </c>
      <c r="R729">
        <v>575</v>
      </c>
      <c r="S729" s="17">
        <v>42136</v>
      </c>
      <c r="T729" s="17">
        <v>42136</v>
      </c>
      <c r="W729">
        <v>2015</v>
      </c>
      <c r="X729">
        <v>24</v>
      </c>
      <c r="AC729" t="s">
        <v>61</v>
      </c>
      <c r="AD729" t="s">
        <v>302</v>
      </c>
      <c r="AE729" t="s">
        <v>46</v>
      </c>
      <c r="AG729">
        <v>52</v>
      </c>
      <c r="AH729">
        <v>9</v>
      </c>
      <c r="AI729" t="s">
        <v>54</v>
      </c>
      <c r="AK729">
        <v>0</v>
      </c>
      <c r="AM729">
        <v>0</v>
      </c>
      <c r="AP729" t="s">
        <v>325</v>
      </c>
    </row>
    <row r="730" spans="1:42" customFormat="1">
      <c r="A730">
        <v>269492</v>
      </c>
      <c r="B730" t="s">
        <v>2166</v>
      </c>
      <c r="C730" t="s">
        <v>2167</v>
      </c>
      <c r="D730" s="22">
        <v>0</v>
      </c>
      <c r="E730" s="17">
        <v>42132</v>
      </c>
      <c r="F730" s="18">
        <v>0.44504629629629627</v>
      </c>
      <c r="G730" s="22">
        <v>0.35</v>
      </c>
      <c r="H730">
        <v>0</v>
      </c>
      <c r="I730" s="19" t="e">
        <f>I729 + (D730-G730)</f>
        <v>#VALUE!</v>
      </c>
      <c r="M730">
        <v>123166</v>
      </c>
      <c r="N730">
        <v>24</v>
      </c>
      <c r="O730" t="s">
        <v>68</v>
      </c>
      <c r="P730">
        <v>1</v>
      </c>
      <c r="R730">
        <v>575</v>
      </c>
      <c r="S730" s="17">
        <v>42136</v>
      </c>
      <c r="T730" s="17">
        <v>42136</v>
      </c>
      <c r="W730">
        <v>2015</v>
      </c>
      <c r="X730">
        <v>24</v>
      </c>
      <c r="AC730" t="s">
        <v>61</v>
      </c>
      <c r="AD730" t="s">
        <v>302</v>
      </c>
      <c r="AE730" t="s">
        <v>46</v>
      </c>
      <c r="AG730">
        <v>52</v>
      </c>
      <c r="AH730">
        <v>9</v>
      </c>
      <c r="AI730" t="s">
        <v>54</v>
      </c>
      <c r="AK730">
        <v>0</v>
      </c>
      <c r="AM730">
        <v>0</v>
      </c>
      <c r="AP730" t="s">
        <v>325</v>
      </c>
    </row>
    <row r="731" spans="1:42" customFormat="1">
      <c r="A731">
        <v>269493</v>
      </c>
      <c r="B731" t="s">
        <v>2168</v>
      </c>
      <c r="C731" t="s">
        <v>2169</v>
      </c>
      <c r="D731" s="22">
        <v>0</v>
      </c>
      <c r="E731" s="17">
        <v>42132</v>
      </c>
      <c r="F731" s="18">
        <v>0.44504629629629627</v>
      </c>
      <c r="G731" s="22">
        <v>0.35</v>
      </c>
      <c r="H731">
        <v>0</v>
      </c>
      <c r="I731" s="19" t="e">
        <f>I730 + (D731-G731)</f>
        <v>#VALUE!</v>
      </c>
      <c r="M731">
        <v>123167</v>
      </c>
      <c r="N731">
        <v>24</v>
      </c>
      <c r="O731" t="s">
        <v>68</v>
      </c>
      <c r="P731">
        <v>1</v>
      </c>
      <c r="R731">
        <v>575</v>
      </c>
      <c r="S731" s="17">
        <v>42136</v>
      </c>
      <c r="T731" s="17">
        <v>42136</v>
      </c>
      <c r="W731">
        <v>2015</v>
      </c>
      <c r="X731">
        <v>24</v>
      </c>
      <c r="AC731" t="s">
        <v>61</v>
      </c>
      <c r="AD731" t="s">
        <v>302</v>
      </c>
      <c r="AE731" t="s">
        <v>46</v>
      </c>
      <c r="AG731">
        <v>52</v>
      </c>
      <c r="AH731">
        <v>9</v>
      </c>
      <c r="AI731" t="s">
        <v>54</v>
      </c>
      <c r="AK731">
        <v>0</v>
      </c>
      <c r="AM731">
        <v>0</v>
      </c>
      <c r="AP731" t="s">
        <v>325</v>
      </c>
    </row>
    <row r="732" spans="1:42" customFormat="1">
      <c r="A732">
        <v>269494</v>
      </c>
      <c r="B732" t="s">
        <v>2170</v>
      </c>
      <c r="C732" t="s">
        <v>2171</v>
      </c>
      <c r="D732" s="22">
        <v>0</v>
      </c>
      <c r="E732" s="17">
        <v>42132</v>
      </c>
      <c r="F732" s="18">
        <v>0.44504629629629627</v>
      </c>
      <c r="G732" s="22">
        <v>0.35</v>
      </c>
      <c r="H732">
        <v>0</v>
      </c>
      <c r="I732" s="19" t="e">
        <f>I731 + (D732-G732)</f>
        <v>#VALUE!</v>
      </c>
      <c r="M732">
        <v>123168</v>
      </c>
      <c r="N732">
        <v>24</v>
      </c>
      <c r="O732" t="s">
        <v>68</v>
      </c>
      <c r="P732">
        <v>1</v>
      </c>
      <c r="R732">
        <v>575</v>
      </c>
      <c r="S732" s="17">
        <v>42136</v>
      </c>
      <c r="T732" s="17">
        <v>42136</v>
      </c>
      <c r="W732">
        <v>2015</v>
      </c>
      <c r="X732">
        <v>24</v>
      </c>
      <c r="AC732" t="s">
        <v>61</v>
      </c>
      <c r="AD732" t="s">
        <v>302</v>
      </c>
      <c r="AE732" t="s">
        <v>46</v>
      </c>
      <c r="AG732">
        <v>52</v>
      </c>
      <c r="AH732">
        <v>9</v>
      </c>
      <c r="AI732" t="s">
        <v>54</v>
      </c>
      <c r="AK732">
        <v>0</v>
      </c>
      <c r="AM732">
        <v>0</v>
      </c>
      <c r="AP732" t="s">
        <v>325</v>
      </c>
    </row>
    <row r="733" spans="1:42" customFormat="1">
      <c r="A733">
        <v>269495</v>
      </c>
      <c r="B733" t="s">
        <v>2172</v>
      </c>
      <c r="C733" t="s">
        <v>2173</v>
      </c>
      <c r="D733" s="22">
        <v>0</v>
      </c>
      <c r="E733" s="17">
        <v>42132</v>
      </c>
      <c r="F733" s="18">
        <v>0.44504629629629627</v>
      </c>
      <c r="G733" s="22">
        <v>0.35</v>
      </c>
      <c r="H733">
        <v>0</v>
      </c>
      <c r="I733" s="19" t="e">
        <f>I732 + (D733-G733)</f>
        <v>#VALUE!</v>
      </c>
      <c r="M733">
        <v>123169</v>
      </c>
      <c r="N733">
        <v>24</v>
      </c>
      <c r="O733" t="s">
        <v>68</v>
      </c>
      <c r="P733">
        <v>1</v>
      </c>
      <c r="R733">
        <v>575</v>
      </c>
      <c r="S733" s="17">
        <v>42136</v>
      </c>
      <c r="T733" s="17">
        <v>42136</v>
      </c>
      <c r="W733">
        <v>2015</v>
      </c>
      <c r="X733">
        <v>24</v>
      </c>
      <c r="AC733" t="s">
        <v>61</v>
      </c>
      <c r="AD733" t="s">
        <v>302</v>
      </c>
      <c r="AE733" t="s">
        <v>46</v>
      </c>
      <c r="AG733">
        <v>52</v>
      </c>
      <c r="AH733">
        <v>9</v>
      </c>
      <c r="AI733" t="s">
        <v>54</v>
      </c>
      <c r="AK733">
        <v>0</v>
      </c>
      <c r="AM733">
        <v>0</v>
      </c>
      <c r="AP733" t="s">
        <v>325</v>
      </c>
    </row>
    <row r="734" spans="1:42" customFormat="1">
      <c r="A734">
        <v>269542</v>
      </c>
      <c r="B734" t="s">
        <v>2187</v>
      </c>
      <c r="C734" t="s">
        <v>2188</v>
      </c>
      <c r="D734" s="22">
        <v>0</v>
      </c>
      <c r="E734" s="17">
        <v>42132</v>
      </c>
      <c r="F734" s="18">
        <v>0.46004629629629629</v>
      </c>
      <c r="G734" s="22">
        <v>0.3</v>
      </c>
      <c r="H734">
        <v>0</v>
      </c>
      <c r="I734" s="19" t="e">
        <f>I733 + (D734-G734)</f>
        <v>#VALUE!</v>
      </c>
      <c r="M734">
        <v>123187</v>
      </c>
      <c r="N734">
        <v>24</v>
      </c>
      <c r="O734" t="s">
        <v>68</v>
      </c>
      <c r="P734">
        <v>1</v>
      </c>
      <c r="R734">
        <v>575</v>
      </c>
      <c r="S734" s="17">
        <v>42136</v>
      </c>
      <c r="T734" s="17">
        <v>42136</v>
      </c>
      <c r="W734">
        <v>2015</v>
      </c>
      <c r="X734">
        <v>24</v>
      </c>
      <c r="AC734" t="s">
        <v>61</v>
      </c>
      <c r="AD734" t="s">
        <v>302</v>
      </c>
      <c r="AE734" t="s">
        <v>46</v>
      </c>
      <c r="AG734">
        <v>118</v>
      </c>
      <c r="AH734">
        <v>9</v>
      </c>
      <c r="AI734" t="s">
        <v>54</v>
      </c>
      <c r="AK734">
        <v>0</v>
      </c>
      <c r="AM734">
        <v>0</v>
      </c>
      <c r="AP734" t="s">
        <v>418</v>
      </c>
    </row>
    <row r="735" spans="1:42" customFormat="1">
      <c r="A735">
        <v>269543</v>
      </c>
      <c r="B735" t="s">
        <v>2189</v>
      </c>
      <c r="C735" t="s">
        <v>2190</v>
      </c>
      <c r="D735" s="22">
        <v>0</v>
      </c>
      <c r="E735" s="17">
        <v>42132</v>
      </c>
      <c r="F735" s="18">
        <v>0.46004629629629629</v>
      </c>
      <c r="G735" s="22">
        <v>7.75</v>
      </c>
      <c r="H735">
        <v>0</v>
      </c>
      <c r="I735" s="19" t="e">
        <f>I734 + (D735-G735)</f>
        <v>#VALUE!</v>
      </c>
      <c r="M735">
        <v>123188</v>
      </c>
      <c r="N735">
        <v>24</v>
      </c>
      <c r="O735" t="s">
        <v>68</v>
      </c>
      <c r="P735">
        <v>1</v>
      </c>
      <c r="R735">
        <v>575</v>
      </c>
      <c r="S735" s="17">
        <v>42136</v>
      </c>
      <c r="T735" s="17">
        <v>42136</v>
      </c>
      <c r="W735">
        <v>2015</v>
      </c>
      <c r="X735">
        <v>24</v>
      </c>
      <c r="AC735" t="s">
        <v>61</v>
      </c>
      <c r="AD735" t="s">
        <v>302</v>
      </c>
      <c r="AE735" t="s">
        <v>46</v>
      </c>
      <c r="AG735">
        <v>118</v>
      </c>
      <c r="AH735">
        <v>9</v>
      </c>
      <c r="AI735" t="s">
        <v>54</v>
      </c>
      <c r="AK735">
        <v>0</v>
      </c>
      <c r="AM735">
        <v>0</v>
      </c>
      <c r="AP735" t="s">
        <v>418</v>
      </c>
    </row>
    <row r="736" spans="1:42" customFormat="1">
      <c r="A736">
        <v>269564</v>
      </c>
      <c r="B736" t="s">
        <v>2211</v>
      </c>
      <c r="C736" t="s">
        <v>2212</v>
      </c>
      <c r="D736" s="22">
        <v>0</v>
      </c>
      <c r="E736" s="17">
        <v>42132</v>
      </c>
      <c r="F736" s="18">
        <v>0.48773148148148149</v>
      </c>
      <c r="G736" s="22">
        <v>400</v>
      </c>
      <c r="H736">
        <v>0</v>
      </c>
      <c r="I736" s="19" t="e">
        <f>I735 + (D736-G736)</f>
        <v>#VALUE!</v>
      </c>
      <c r="M736">
        <v>123200</v>
      </c>
      <c r="N736">
        <v>24</v>
      </c>
      <c r="O736" t="s">
        <v>68</v>
      </c>
      <c r="P736">
        <v>1</v>
      </c>
      <c r="R736">
        <v>575</v>
      </c>
      <c r="S736" s="17">
        <v>42136</v>
      </c>
      <c r="T736" s="17">
        <v>42136</v>
      </c>
      <c r="W736">
        <v>2015</v>
      </c>
      <c r="X736">
        <v>24</v>
      </c>
      <c r="AC736" t="s">
        <v>61</v>
      </c>
      <c r="AD736" t="s">
        <v>302</v>
      </c>
      <c r="AE736" t="s">
        <v>46</v>
      </c>
      <c r="AG736">
        <v>5</v>
      </c>
      <c r="AH736">
        <v>9</v>
      </c>
      <c r="AI736" t="s">
        <v>54</v>
      </c>
      <c r="AK736">
        <v>0</v>
      </c>
      <c r="AM736">
        <v>0</v>
      </c>
      <c r="AP736" t="s">
        <v>312</v>
      </c>
    </row>
    <row r="737" spans="1:42" customFormat="1">
      <c r="A737">
        <v>269119</v>
      </c>
      <c r="B737" t="s">
        <v>2229</v>
      </c>
      <c r="C737" t="s">
        <v>2230</v>
      </c>
      <c r="D737" s="22">
        <v>0</v>
      </c>
      <c r="E737" s="17">
        <v>42132</v>
      </c>
      <c r="F737" s="18">
        <v>0.66182870370370372</v>
      </c>
      <c r="G737" s="22">
        <v>1.8</v>
      </c>
      <c r="H737">
        <v>0</v>
      </c>
      <c r="I737" s="19" t="e">
        <f>I736 + (D737-G737)</f>
        <v>#VALUE!</v>
      </c>
      <c r="M737">
        <v>123070</v>
      </c>
      <c r="N737">
        <v>24</v>
      </c>
      <c r="O737" t="s">
        <v>68</v>
      </c>
      <c r="P737">
        <v>1</v>
      </c>
      <c r="R737">
        <v>575</v>
      </c>
      <c r="S737" s="17">
        <v>42135</v>
      </c>
      <c r="T737" s="17">
        <v>42135</v>
      </c>
      <c r="W737">
        <v>2015</v>
      </c>
      <c r="X737">
        <v>24</v>
      </c>
      <c r="AC737" t="s">
        <v>61</v>
      </c>
      <c r="AD737" t="s">
        <v>302</v>
      </c>
      <c r="AE737" t="s">
        <v>46</v>
      </c>
      <c r="AG737">
        <v>12</v>
      </c>
      <c r="AH737">
        <v>9</v>
      </c>
      <c r="AI737" t="s">
        <v>54</v>
      </c>
      <c r="AK737">
        <v>0</v>
      </c>
      <c r="AM737">
        <v>0</v>
      </c>
      <c r="AP737" t="s">
        <v>392</v>
      </c>
    </row>
    <row r="738" spans="1:42" customFormat="1">
      <c r="A738">
        <v>269120</v>
      </c>
      <c r="B738" t="s">
        <v>2231</v>
      </c>
      <c r="C738" t="s">
        <v>2232</v>
      </c>
      <c r="D738" s="22">
        <v>0</v>
      </c>
      <c r="E738" s="17">
        <v>42132</v>
      </c>
      <c r="F738" s="18">
        <v>0.66182870370370372</v>
      </c>
      <c r="G738" s="22">
        <v>307.5</v>
      </c>
      <c r="H738">
        <v>0</v>
      </c>
      <c r="I738" s="19" t="e">
        <f>I737 + (D738-G738)</f>
        <v>#VALUE!</v>
      </c>
      <c r="M738">
        <v>123071</v>
      </c>
      <c r="N738">
        <v>24</v>
      </c>
      <c r="O738" t="s">
        <v>68</v>
      </c>
      <c r="P738">
        <v>1</v>
      </c>
      <c r="R738">
        <v>575</v>
      </c>
      <c r="S738" s="17">
        <v>42135</v>
      </c>
      <c r="T738" s="17">
        <v>42135</v>
      </c>
      <c r="W738">
        <v>2015</v>
      </c>
      <c r="X738">
        <v>24</v>
      </c>
      <c r="AC738" t="s">
        <v>61</v>
      </c>
      <c r="AD738" t="s">
        <v>302</v>
      </c>
      <c r="AE738" t="s">
        <v>46</v>
      </c>
      <c r="AG738">
        <v>12</v>
      </c>
      <c r="AH738">
        <v>9</v>
      </c>
      <c r="AI738" t="s">
        <v>54</v>
      </c>
      <c r="AK738">
        <v>0</v>
      </c>
      <c r="AM738">
        <v>0</v>
      </c>
      <c r="AP738" t="s">
        <v>392</v>
      </c>
    </row>
    <row r="739" spans="1:42" customFormat="1">
      <c r="A739">
        <v>269118</v>
      </c>
      <c r="B739" t="s">
        <v>2233</v>
      </c>
      <c r="C739" t="s">
        <v>2234</v>
      </c>
      <c r="D739" s="22">
        <v>0</v>
      </c>
      <c r="E739" s="17">
        <v>42132</v>
      </c>
      <c r="F739" s="18">
        <v>0.66182870370370372</v>
      </c>
      <c r="G739" s="22">
        <v>28.67</v>
      </c>
      <c r="H739">
        <v>0</v>
      </c>
      <c r="I739" s="19" t="e">
        <f>I738 + (D739-G739)</f>
        <v>#VALUE!</v>
      </c>
      <c r="M739">
        <v>123069</v>
      </c>
      <c r="N739">
        <v>24</v>
      </c>
      <c r="O739" t="s">
        <v>68</v>
      </c>
      <c r="P739">
        <v>1</v>
      </c>
      <c r="R739">
        <v>575</v>
      </c>
      <c r="S739" s="17">
        <v>42135</v>
      </c>
      <c r="T739" s="17">
        <v>42135</v>
      </c>
      <c r="W739">
        <v>2015</v>
      </c>
      <c r="X739">
        <v>24</v>
      </c>
      <c r="AC739" t="s">
        <v>61</v>
      </c>
      <c r="AD739" t="s">
        <v>302</v>
      </c>
      <c r="AE739" t="s">
        <v>46</v>
      </c>
      <c r="AG739">
        <v>12</v>
      </c>
      <c r="AH739">
        <v>9</v>
      </c>
      <c r="AI739" t="s">
        <v>54</v>
      </c>
      <c r="AK739">
        <v>0</v>
      </c>
      <c r="AM739">
        <v>0</v>
      </c>
      <c r="AP739" t="s">
        <v>392</v>
      </c>
    </row>
    <row r="740" spans="1:42" customFormat="1">
      <c r="A740">
        <v>275896</v>
      </c>
      <c r="B740" t="s">
        <v>2334</v>
      </c>
      <c r="C740" t="s">
        <v>2335</v>
      </c>
      <c r="D740" s="22">
        <v>0</v>
      </c>
      <c r="E740" s="17">
        <v>42132</v>
      </c>
      <c r="F740" s="18">
        <v>0.7114583333333333</v>
      </c>
      <c r="G740" s="22">
        <v>12.5</v>
      </c>
      <c r="H740">
        <v>0</v>
      </c>
      <c r="I740" s="19" t="e">
        <f>I739 + (D740-G740)</f>
        <v>#VALUE!</v>
      </c>
      <c r="M740">
        <v>128446</v>
      </c>
      <c r="N740">
        <v>7</v>
      </c>
      <c r="O740" t="s">
        <v>44</v>
      </c>
      <c r="P740">
        <v>2</v>
      </c>
      <c r="R740">
        <v>575</v>
      </c>
      <c r="S740" s="17">
        <v>42187</v>
      </c>
      <c r="T740" s="17">
        <v>42187</v>
      </c>
      <c r="W740">
        <v>2015</v>
      </c>
      <c r="X740">
        <v>7</v>
      </c>
      <c r="AC740" t="s">
        <v>61</v>
      </c>
      <c r="AD740" t="s">
        <v>302</v>
      </c>
      <c r="AE740" t="s">
        <v>46</v>
      </c>
      <c r="AG740">
        <v>13</v>
      </c>
      <c r="AH740">
        <v>9</v>
      </c>
      <c r="AI740" t="s">
        <v>54</v>
      </c>
      <c r="AK740">
        <v>0</v>
      </c>
      <c r="AM740">
        <v>0</v>
      </c>
      <c r="AP740" t="s">
        <v>1212</v>
      </c>
    </row>
    <row r="741" spans="1:42" customFormat="1">
      <c r="A741">
        <v>275984</v>
      </c>
      <c r="B741" t="s">
        <v>2336</v>
      </c>
      <c r="C741" t="s">
        <v>2337</v>
      </c>
      <c r="D741" s="22">
        <v>0</v>
      </c>
      <c r="E741" s="17">
        <v>42132</v>
      </c>
      <c r="F741" s="18">
        <v>0.73402777777777783</v>
      </c>
      <c r="G741" s="22">
        <v>12.5</v>
      </c>
      <c r="H741">
        <v>0</v>
      </c>
      <c r="I741" s="19" t="e">
        <f>I740 + (D741-G741)</f>
        <v>#VALUE!</v>
      </c>
      <c r="M741">
        <v>128528</v>
      </c>
      <c r="N741">
        <v>60</v>
      </c>
      <c r="O741" t="s">
        <v>60</v>
      </c>
      <c r="P741">
        <v>1</v>
      </c>
      <c r="R741">
        <v>575</v>
      </c>
      <c r="S741" s="17">
        <v>42187</v>
      </c>
      <c r="T741" s="17">
        <v>42187</v>
      </c>
      <c r="W741">
        <v>2015</v>
      </c>
      <c r="X741">
        <v>60</v>
      </c>
      <c r="AC741" t="s">
        <v>61</v>
      </c>
      <c r="AD741" t="s">
        <v>302</v>
      </c>
      <c r="AE741" t="s">
        <v>46</v>
      </c>
      <c r="AG741">
        <v>14</v>
      </c>
      <c r="AH741">
        <v>9</v>
      </c>
      <c r="AI741" t="s">
        <v>54</v>
      </c>
      <c r="AK741">
        <v>0</v>
      </c>
      <c r="AM741">
        <v>0</v>
      </c>
      <c r="AP741" t="s">
        <v>1224</v>
      </c>
    </row>
    <row r="742" spans="1:42" customFormat="1">
      <c r="A742">
        <v>271025</v>
      </c>
      <c r="B742" t="s">
        <v>2491</v>
      </c>
      <c r="C742" t="s">
        <v>2492</v>
      </c>
      <c r="D742" s="22">
        <v>0</v>
      </c>
      <c r="E742" s="17">
        <v>42135</v>
      </c>
      <c r="F742" s="18">
        <v>0.42587962962962966</v>
      </c>
      <c r="G742" s="22">
        <v>223.6</v>
      </c>
      <c r="H742">
        <v>0</v>
      </c>
      <c r="I742" s="19" t="e">
        <f>I741 + (D742-G742)</f>
        <v>#VALUE!</v>
      </c>
      <c r="M742">
        <v>124033</v>
      </c>
      <c r="N742">
        <v>7</v>
      </c>
      <c r="O742" t="s">
        <v>44</v>
      </c>
      <c r="P742">
        <v>1</v>
      </c>
      <c r="R742">
        <v>575</v>
      </c>
      <c r="S742" s="17">
        <v>42150</v>
      </c>
      <c r="T742" s="17">
        <v>42150</v>
      </c>
      <c r="W742">
        <v>2015</v>
      </c>
      <c r="X742">
        <v>7</v>
      </c>
      <c r="AC742" t="s">
        <v>61</v>
      </c>
      <c r="AD742" t="s">
        <v>302</v>
      </c>
      <c r="AE742" t="s">
        <v>46</v>
      </c>
      <c r="AG742">
        <v>118</v>
      </c>
      <c r="AH742">
        <v>9</v>
      </c>
      <c r="AI742" t="s">
        <v>54</v>
      </c>
      <c r="AK742">
        <v>0</v>
      </c>
      <c r="AM742">
        <v>0</v>
      </c>
      <c r="AP742" t="s">
        <v>418</v>
      </c>
    </row>
    <row r="743" spans="1:42" customFormat="1">
      <c r="A743">
        <v>269896</v>
      </c>
      <c r="B743" t="s">
        <v>2497</v>
      </c>
      <c r="C743" t="s">
        <v>2498</v>
      </c>
      <c r="D743" s="22">
        <v>0</v>
      </c>
      <c r="E743" s="17">
        <v>42135</v>
      </c>
      <c r="F743" s="18">
        <v>0.4380324074074074</v>
      </c>
      <c r="G743" s="22">
        <v>97.5</v>
      </c>
      <c r="H743">
        <v>0</v>
      </c>
      <c r="I743" s="19" t="e">
        <f>I742 + (D743-G743)</f>
        <v>#VALUE!</v>
      </c>
      <c r="M743">
        <v>123296</v>
      </c>
      <c r="N743">
        <v>24</v>
      </c>
      <c r="O743" t="s">
        <v>68</v>
      </c>
      <c r="P743">
        <v>1</v>
      </c>
      <c r="R743">
        <v>575</v>
      </c>
      <c r="S743" s="17">
        <v>42138</v>
      </c>
      <c r="T743" s="17">
        <v>42138</v>
      </c>
      <c r="W743">
        <v>2015</v>
      </c>
      <c r="X743">
        <v>24</v>
      </c>
      <c r="AC743" t="s">
        <v>61</v>
      </c>
      <c r="AD743" t="s">
        <v>302</v>
      </c>
      <c r="AE743" t="s">
        <v>46</v>
      </c>
      <c r="AG743">
        <v>12</v>
      </c>
      <c r="AH743">
        <v>9</v>
      </c>
      <c r="AI743" t="s">
        <v>54</v>
      </c>
      <c r="AK743">
        <v>0</v>
      </c>
      <c r="AM743">
        <v>0</v>
      </c>
      <c r="AP743" t="s">
        <v>392</v>
      </c>
    </row>
    <row r="744" spans="1:42" customFormat="1">
      <c r="A744">
        <v>269917</v>
      </c>
      <c r="B744" t="s">
        <v>2538</v>
      </c>
      <c r="C744" t="s">
        <v>2539</v>
      </c>
      <c r="D744" s="22">
        <v>0</v>
      </c>
      <c r="E744" s="17">
        <v>42135</v>
      </c>
      <c r="F744" s="18">
        <v>0.46253472222222225</v>
      </c>
      <c r="G744" s="22">
        <v>2.95</v>
      </c>
      <c r="H744">
        <v>0</v>
      </c>
      <c r="I744" s="19" t="e">
        <f>I743 + (D744-G744)</f>
        <v>#VALUE!</v>
      </c>
      <c r="M744">
        <v>123310</v>
      </c>
      <c r="N744">
        <v>24</v>
      </c>
      <c r="O744" t="s">
        <v>68</v>
      </c>
      <c r="P744">
        <v>1</v>
      </c>
      <c r="R744">
        <v>575</v>
      </c>
      <c r="S744" s="17">
        <v>42138</v>
      </c>
      <c r="T744" s="17">
        <v>42138</v>
      </c>
      <c r="W744">
        <v>2015</v>
      </c>
      <c r="X744">
        <v>24</v>
      </c>
      <c r="AC744" t="s">
        <v>61</v>
      </c>
      <c r="AD744" t="s">
        <v>302</v>
      </c>
      <c r="AE744" t="s">
        <v>46</v>
      </c>
      <c r="AG744">
        <v>118</v>
      </c>
      <c r="AH744">
        <v>9</v>
      </c>
      <c r="AI744" t="s">
        <v>54</v>
      </c>
      <c r="AK744">
        <v>0</v>
      </c>
      <c r="AM744">
        <v>0</v>
      </c>
      <c r="AP744" t="s">
        <v>418</v>
      </c>
    </row>
    <row r="745" spans="1:42" customFormat="1">
      <c r="A745">
        <v>269918</v>
      </c>
      <c r="B745" t="s">
        <v>2540</v>
      </c>
      <c r="C745" t="s">
        <v>2541</v>
      </c>
      <c r="D745" s="22">
        <v>0</v>
      </c>
      <c r="E745" s="17">
        <v>42135</v>
      </c>
      <c r="F745" s="18">
        <v>0.46253472222222225</v>
      </c>
      <c r="G745" s="22">
        <v>2.95</v>
      </c>
      <c r="H745">
        <v>0</v>
      </c>
      <c r="I745" s="19" t="e">
        <f>I744 + (D745-G745)</f>
        <v>#VALUE!</v>
      </c>
      <c r="M745">
        <v>123311</v>
      </c>
      <c r="N745">
        <v>24</v>
      </c>
      <c r="O745" t="s">
        <v>68</v>
      </c>
      <c r="P745">
        <v>1</v>
      </c>
      <c r="R745">
        <v>575</v>
      </c>
      <c r="S745" s="17">
        <v>42138</v>
      </c>
      <c r="T745" s="17">
        <v>42138</v>
      </c>
      <c r="W745">
        <v>2015</v>
      </c>
      <c r="X745">
        <v>24</v>
      </c>
      <c r="AC745" t="s">
        <v>61</v>
      </c>
      <c r="AD745" t="s">
        <v>302</v>
      </c>
      <c r="AE745" t="s">
        <v>46</v>
      </c>
      <c r="AG745">
        <v>118</v>
      </c>
      <c r="AH745">
        <v>9</v>
      </c>
      <c r="AI745" t="s">
        <v>54</v>
      </c>
      <c r="AK745">
        <v>0</v>
      </c>
      <c r="AM745">
        <v>0</v>
      </c>
      <c r="AP745" t="s">
        <v>418</v>
      </c>
    </row>
    <row r="746" spans="1:42" customFormat="1">
      <c r="A746">
        <v>269919</v>
      </c>
      <c r="B746" t="s">
        <v>2542</v>
      </c>
      <c r="C746" t="s">
        <v>2543</v>
      </c>
      <c r="D746" s="22">
        <v>0</v>
      </c>
      <c r="E746" s="17">
        <v>42135</v>
      </c>
      <c r="F746" s="18">
        <v>0.46304398148148151</v>
      </c>
      <c r="G746" s="22">
        <v>3.1</v>
      </c>
      <c r="H746">
        <v>0</v>
      </c>
      <c r="I746" s="19" t="e">
        <f>I745 + (D746-G746)</f>
        <v>#VALUE!</v>
      </c>
      <c r="M746">
        <v>123312</v>
      </c>
      <c r="N746">
        <v>24</v>
      </c>
      <c r="O746" t="s">
        <v>68</v>
      </c>
      <c r="P746">
        <v>1</v>
      </c>
      <c r="R746">
        <v>575</v>
      </c>
      <c r="S746" s="17">
        <v>42138</v>
      </c>
      <c r="T746" s="17">
        <v>42138</v>
      </c>
      <c r="W746">
        <v>2015</v>
      </c>
      <c r="X746">
        <v>24</v>
      </c>
      <c r="AC746" t="s">
        <v>61</v>
      </c>
      <c r="AD746" t="s">
        <v>302</v>
      </c>
      <c r="AE746" t="s">
        <v>46</v>
      </c>
      <c r="AG746">
        <v>118</v>
      </c>
      <c r="AH746">
        <v>9</v>
      </c>
      <c r="AI746" t="s">
        <v>54</v>
      </c>
      <c r="AK746">
        <v>0</v>
      </c>
      <c r="AM746">
        <v>0</v>
      </c>
      <c r="AP746" t="s">
        <v>418</v>
      </c>
    </row>
    <row r="747" spans="1:42" customFormat="1">
      <c r="A747">
        <v>270659</v>
      </c>
      <c r="B747" t="s">
        <v>2545</v>
      </c>
      <c r="C747" t="s">
        <v>2546</v>
      </c>
      <c r="D747" s="22">
        <v>0</v>
      </c>
      <c r="E747" s="17">
        <v>42135</v>
      </c>
      <c r="F747" s="18">
        <v>0.46993055555555552</v>
      </c>
      <c r="G747" s="22">
        <v>5.17</v>
      </c>
      <c r="H747">
        <v>0</v>
      </c>
      <c r="I747" s="19" t="e">
        <f>I746 + (D747-G747)</f>
        <v>#VALUE!</v>
      </c>
      <c r="M747">
        <v>123810</v>
      </c>
      <c r="N747">
        <v>7</v>
      </c>
      <c r="O747" t="s">
        <v>44</v>
      </c>
      <c r="P747">
        <v>1</v>
      </c>
      <c r="R747">
        <v>575</v>
      </c>
      <c r="S747" s="17">
        <v>42145</v>
      </c>
      <c r="T747" s="17">
        <v>42145</v>
      </c>
      <c r="W747">
        <v>2015</v>
      </c>
      <c r="X747">
        <v>7</v>
      </c>
      <c r="AC747" t="s">
        <v>61</v>
      </c>
      <c r="AD747" t="s">
        <v>302</v>
      </c>
      <c r="AE747" t="s">
        <v>46</v>
      </c>
      <c r="AG747">
        <v>122</v>
      </c>
      <c r="AH747">
        <v>9</v>
      </c>
      <c r="AI747" t="s">
        <v>54</v>
      </c>
      <c r="AK747">
        <v>0</v>
      </c>
      <c r="AM747">
        <v>0</v>
      </c>
      <c r="AP747" t="s">
        <v>444</v>
      </c>
    </row>
    <row r="748" spans="1:42" customFormat="1">
      <c r="A748">
        <v>270660</v>
      </c>
      <c r="B748" t="s">
        <v>2547</v>
      </c>
      <c r="C748" t="s">
        <v>2548</v>
      </c>
      <c r="D748" s="22">
        <v>0</v>
      </c>
      <c r="E748" s="17">
        <v>42135</v>
      </c>
      <c r="F748" s="18">
        <v>0.46993055555555552</v>
      </c>
      <c r="G748" s="22">
        <v>78</v>
      </c>
      <c r="H748">
        <v>0</v>
      </c>
      <c r="I748" s="19" t="e">
        <f>I747 + (D748-G748)</f>
        <v>#VALUE!</v>
      </c>
      <c r="M748">
        <v>123811</v>
      </c>
      <c r="N748">
        <v>7</v>
      </c>
      <c r="O748" t="s">
        <v>44</v>
      </c>
      <c r="P748">
        <v>1</v>
      </c>
      <c r="R748">
        <v>575</v>
      </c>
      <c r="S748" s="17">
        <v>42145</v>
      </c>
      <c r="T748" s="17">
        <v>42145</v>
      </c>
      <c r="W748">
        <v>2015</v>
      </c>
      <c r="X748">
        <v>7</v>
      </c>
      <c r="AC748" t="s">
        <v>61</v>
      </c>
      <c r="AD748" t="s">
        <v>302</v>
      </c>
      <c r="AE748" t="s">
        <v>46</v>
      </c>
      <c r="AG748">
        <v>122</v>
      </c>
      <c r="AH748">
        <v>9</v>
      </c>
      <c r="AI748" t="s">
        <v>54</v>
      </c>
      <c r="AK748">
        <v>0</v>
      </c>
      <c r="AM748">
        <v>0</v>
      </c>
      <c r="AP748" t="s">
        <v>444</v>
      </c>
    </row>
    <row r="749" spans="1:42" customFormat="1">
      <c r="A749">
        <v>270661</v>
      </c>
      <c r="B749" t="s">
        <v>2549</v>
      </c>
      <c r="C749" t="s">
        <v>2550</v>
      </c>
      <c r="D749" s="22">
        <v>0</v>
      </c>
      <c r="E749" s="17">
        <v>42135</v>
      </c>
      <c r="F749" s="18">
        <v>0.46993055555555552</v>
      </c>
      <c r="G749" s="22">
        <v>78</v>
      </c>
      <c r="H749">
        <v>0</v>
      </c>
      <c r="I749" s="19" t="e">
        <f>I748 + (D749-G749)</f>
        <v>#VALUE!</v>
      </c>
      <c r="M749">
        <v>123812</v>
      </c>
      <c r="N749">
        <v>7</v>
      </c>
      <c r="O749" t="s">
        <v>44</v>
      </c>
      <c r="P749">
        <v>1</v>
      </c>
      <c r="R749">
        <v>575</v>
      </c>
      <c r="S749" s="17">
        <v>42145</v>
      </c>
      <c r="T749" s="17">
        <v>42145</v>
      </c>
      <c r="W749">
        <v>2015</v>
      </c>
      <c r="X749">
        <v>7</v>
      </c>
      <c r="AC749" t="s">
        <v>61</v>
      </c>
      <c r="AD749" t="s">
        <v>302</v>
      </c>
      <c r="AE749" t="s">
        <v>46</v>
      </c>
      <c r="AG749">
        <v>122</v>
      </c>
      <c r="AH749">
        <v>9</v>
      </c>
      <c r="AI749" t="s">
        <v>54</v>
      </c>
      <c r="AK749">
        <v>0</v>
      </c>
      <c r="AM749">
        <v>0</v>
      </c>
      <c r="AP749" t="s">
        <v>444</v>
      </c>
    </row>
    <row r="750" spans="1:42" customFormat="1">
      <c r="A750">
        <v>269939</v>
      </c>
      <c r="B750" t="s">
        <v>2562</v>
      </c>
      <c r="C750" t="s">
        <v>2563</v>
      </c>
      <c r="D750" s="22">
        <v>0</v>
      </c>
      <c r="E750" s="17">
        <v>42135</v>
      </c>
      <c r="F750" s="18">
        <v>0.48112268518518514</v>
      </c>
      <c r="G750" s="22">
        <v>78</v>
      </c>
      <c r="H750">
        <v>0</v>
      </c>
      <c r="I750" s="19" t="e">
        <f>I749 + (D750-G750)</f>
        <v>#VALUE!</v>
      </c>
      <c r="M750">
        <v>123321</v>
      </c>
      <c r="N750">
        <v>24</v>
      </c>
      <c r="O750" t="s">
        <v>68</v>
      </c>
      <c r="P750">
        <v>1</v>
      </c>
      <c r="R750">
        <v>575</v>
      </c>
      <c r="S750" s="17">
        <v>42138</v>
      </c>
      <c r="T750" s="17">
        <v>42138</v>
      </c>
      <c r="W750">
        <v>2015</v>
      </c>
      <c r="X750">
        <v>24</v>
      </c>
      <c r="AC750" t="s">
        <v>61</v>
      </c>
      <c r="AD750" t="s">
        <v>302</v>
      </c>
      <c r="AE750" t="s">
        <v>46</v>
      </c>
      <c r="AG750">
        <v>123</v>
      </c>
      <c r="AH750">
        <v>9</v>
      </c>
      <c r="AI750" t="s">
        <v>54</v>
      </c>
      <c r="AK750">
        <v>0</v>
      </c>
      <c r="AM750">
        <v>0</v>
      </c>
      <c r="AP750" t="s">
        <v>331</v>
      </c>
    </row>
    <row r="751" spans="1:42" customFormat="1">
      <c r="A751">
        <v>269567</v>
      </c>
      <c r="B751" t="s">
        <v>2566</v>
      </c>
      <c r="C751" t="s">
        <v>2567</v>
      </c>
      <c r="D751" s="22">
        <v>0</v>
      </c>
      <c r="E751" s="17">
        <v>42135</v>
      </c>
      <c r="F751" s="18">
        <v>0.49057870370370371</v>
      </c>
      <c r="G751" s="22">
        <v>78</v>
      </c>
      <c r="H751">
        <v>0</v>
      </c>
      <c r="I751" s="19" t="e">
        <f>I750 + (D751-G751)</f>
        <v>#VALUE!</v>
      </c>
      <c r="M751">
        <v>123203</v>
      </c>
      <c r="N751">
        <v>24</v>
      </c>
      <c r="O751" t="s">
        <v>68</v>
      </c>
      <c r="P751">
        <v>1</v>
      </c>
      <c r="R751">
        <v>575</v>
      </c>
      <c r="S751" s="17">
        <v>42136</v>
      </c>
      <c r="T751" s="17">
        <v>42136</v>
      </c>
      <c r="W751">
        <v>2015</v>
      </c>
      <c r="X751">
        <v>24</v>
      </c>
      <c r="AC751" t="s">
        <v>61</v>
      </c>
      <c r="AD751" t="s">
        <v>302</v>
      </c>
      <c r="AE751" t="s">
        <v>46</v>
      </c>
      <c r="AG751">
        <v>7</v>
      </c>
      <c r="AH751">
        <v>9</v>
      </c>
      <c r="AI751" t="s">
        <v>54</v>
      </c>
      <c r="AK751">
        <v>0</v>
      </c>
      <c r="AM751">
        <v>0</v>
      </c>
      <c r="AP751" t="s">
        <v>220</v>
      </c>
    </row>
    <row r="752" spans="1:42" customFormat="1">
      <c r="A752">
        <v>269568</v>
      </c>
      <c r="B752" t="s">
        <v>2568</v>
      </c>
      <c r="C752" t="s">
        <v>2569</v>
      </c>
      <c r="D752" s="22">
        <v>0</v>
      </c>
      <c r="E752" s="17">
        <v>42135</v>
      </c>
      <c r="F752" s="18">
        <v>0.49057870370370371</v>
      </c>
      <c r="G752" s="22">
        <v>5.17</v>
      </c>
      <c r="H752">
        <v>0</v>
      </c>
      <c r="I752" s="19" t="e">
        <f>I751 + (D752-G752)</f>
        <v>#VALUE!</v>
      </c>
      <c r="M752">
        <v>123204</v>
      </c>
      <c r="N752">
        <v>24</v>
      </c>
      <c r="O752" t="s">
        <v>68</v>
      </c>
      <c r="P752">
        <v>1</v>
      </c>
      <c r="R752">
        <v>575</v>
      </c>
      <c r="S752" s="17">
        <v>42136</v>
      </c>
      <c r="T752" s="17">
        <v>42136</v>
      </c>
      <c r="W752">
        <v>2015</v>
      </c>
      <c r="X752">
        <v>24</v>
      </c>
      <c r="AC752" t="s">
        <v>61</v>
      </c>
      <c r="AD752" t="s">
        <v>302</v>
      </c>
      <c r="AE752" t="s">
        <v>46</v>
      </c>
      <c r="AG752">
        <v>7</v>
      </c>
      <c r="AH752">
        <v>9</v>
      </c>
      <c r="AI752" t="s">
        <v>54</v>
      </c>
      <c r="AK752">
        <v>0</v>
      </c>
      <c r="AM752">
        <v>0</v>
      </c>
      <c r="AP752" t="s">
        <v>220</v>
      </c>
    </row>
    <row r="753" spans="1:42" customFormat="1">
      <c r="A753">
        <v>269962</v>
      </c>
      <c r="B753" t="s">
        <v>2694</v>
      </c>
      <c r="C753" t="s">
        <v>2695</v>
      </c>
      <c r="D753" s="22">
        <v>0</v>
      </c>
      <c r="E753" s="17">
        <v>42135</v>
      </c>
      <c r="F753" s="18">
        <v>0.66821759259259261</v>
      </c>
      <c r="G753" s="22">
        <v>77</v>
      </c>
      <c r="H753">
        <v>0</v>
      </c>
      <c r="I753" s="19" t="e">
        <f>I752 + (D753-G753)</f>
        <v>#VALUE!</v>
      </c>
      <c r="M753">
        <v>123341</v>
      </c>
      <c r="N753">
        <v>24</v>
      </c>
      <c r="O753" t="s">
        <v>68</v>
      </c>
      <c r="P753">
        <v>1</v>
      </c>
      <c r="R753">
        <v>575</v>
      </c>
      <c r="S753" s="17">
        <v>42138</v>
      </c>
      <c r="T753" s="17">
        <v>42138</v>
      </c>
      <c r="W753">
        <v>2015</v>
      </c>
      <c r="X753">
        <v>24</v>
      </c>
      <c r="AC753" t="s">
        <v>61</v>
      </c>
      <c r="AD753" t="s">
        <v>302</v>
      </c>
      <c r="AE753" t="s">
        <v>46</v>
      </c>
      <c r="AG753">
        <v>4</v>
      </c>
      <c r="AH753">
        <v>9</v>
      </c>
      <c r="AI753" t="s">
        <v>54</v>
      </c>
      <c r="AK753">
        <v>0</v>
      </c>
      <c r="AM753">
        <v>0</v>
      </c>
      <c r="AP753" t="s">
        <v>389</v>
      </c>
    </row>
    <row r="754" spans="1:42" customFormat="1">
      <c r="A754">
        <v>270051</v>
      </c>
      <c r="B754" t="s">
        <v>2697</v>
      </c>
      <c r="C754" t="s">
        <v>2698</v>
      </c>
      <c r="D754" s="22">
        <v>0</v>
      </c>
      <c r="E754" s="17">
        <v>42135</v>
      </c>
      <c r="F754" s="18">
        <v>0.67106481481481473</v>
      </c>
      <c r="G754" s="22">
        <v>15.4</v>
      </c>
      <c r="H754">
        <v>0</v>
      </c>
      <c r="I754" s="19" t="e">
        <f>I753 + (D754-G754)</f>
        <v>#VALUE!</v>
      </c>
      <c r="M754">
        <v>123471</v>
      </c>
      <c r="N754">
        <v>24</v>
      </c>
      <c r="O754" t="s">
        <v>68</v>
      </c>
      <c r="P754">
        <v>1</v>
      </c>
      <c r="R754">
        <v>575</v>
      </c>
      <c r="S754" s="17">
        <v>42139</v>
      </c>
      <c r="T754" s="17">
        <v>42139</v>
      </c>
      <c r="W754">
        <v>2015</v>
      </c>
      <c r="X754">
        <v>24</v>
      </c>
      <c r="AC754" t="s">
        <v>61</v>
      </c>
      <c r="AD754" t="s">
        <v>302</v>
      </c>
      <c r="AE754" t="s">
        <v>46</v>
      </c>
      <c r="AG754">
        <v>52</v>
      </c>
      <c r="AH754">
        <v>9</v>
      </c>
      <c r="AI754" t="s">
        <v>54</v>
      </c>
      <c r="AK754">
        <v>0</v>
      </c>
      <c r="AM754">
        <v>0</v>
      </c>
      <c r="AP754" t="s">
        <v>325</v>
      </c>
    </row>
    <row r="755" spans="1:42" customFormat="1">
      <c r="A755">
        <v>270052</v>
      </c>
      <c r="B755" t="s">
        <v>2699</v>
      </c>
      <c r="C755" t="s">
        <v>2700</v>
      </c>
      <c r="D755" s="22">
        <v>0</v>
      </c>
      <c r="E755" s="17">
        <v>42135</v>
      </c>
      <c r="F755" s="18">
        <v>0.67106481481481473</v>
      </c>
      <c r="G755" s="22">
        <v>11</v>
      </c>
      <c r="H755">
        <v>0</v>
      </c>
      <c r="I755" s="19" t="e">
        <f>I754 + (D755-G755)</f>
        <v>#VALUE!</v>
      </c>
      <c r="M755">
        <v>123472</v>
      </c>
      <c r="N755">
        <v>24</v>
      </c>
      <c r="O755" t="s">
        <v>68</v>
      </c>
      <c r="P755">
        <v>1</v>
      </c>
      <c r="R755">
        <v>575</v>
      </c>
      <c r="S755" s="17">
        <v>42139</v>
      </c>
      <c r="T755" s="17">
        <v>42139</v>
      </c>
      <c r="W755">
        <v>2015</v>
      </c>
      <c r="X755">
        <v>24</v>
      </c>
      <c r="AC755" t="s">
        <v>61</v>
      </c>
      <c r="AD755" t="s">
        <v>302</v>
      </c>
      <c r="AE755" t="s">
        <v>46</v>
      </c>
      <c r="AG755">
        <v>52</v>
      </c>
      <c r="AH755">
        <v>9</v>
      </c>
      <c r="AI755" t="s">
        <v>54</v>
      </c>
      <c r="AK755">
        <v>0</v>
      </c>
      <c r="AM755">
        <v>0</v>
      </c>
      <c r="AP755" t="s">
        <v>325</v>
      </c>
    </row>
    <row r="756" spans="1:42" customFormat="1">
      <c r="A756">
        <v>270053</v>
      </c>
      <c r="B756" t="s">
        <v>2701</v>
      </c>
      <c r="C756" t="s">
        <v>2702</v>
      </c>
      <c r="D756" s="22">
        <v>0</v>
      </c>
      <c r="E756" s="17">
        <v>42135</v>
      </c>
      <c r="F756" s="18">
        <v>0.67106481481481473</v>
      </c>
      <c r="G756" s="22">
        <v>6.05</v>
      </c>
      <c r="H756">
        <v>0</v>
      </c>
      <c r="I756" s="19" t="e">
        <f>I755 + (D756-G756)</f>
        <v>#VALUE!</v>
      </c>
      <c r="M756">
        <v>123473</v>
      </c>
      <c r="N756">
        <v>24</v>
      </c>
      <c r="O756" t="s">
        <v>68</v>
      </c>
      <c r="P756">
        <v>1</v>
      </c>
      <c r="R756">
        <v>575</v>
      </c>
      <c r="S756" s="17">
        <v>42139</v>
      </c>
      <c r="T756" s="17">
        <v>42139</v>
      </c>
      <c r="W756">
        <v>2015</v>
      </c>
      <c r="X756">
        <v>24</v>
      </c>
      <c r="AC756" t="s">
        <v>61</v>
      </c>
      <c r="AD756" t="s">
        <v>302</v>
      </c>
      <c r="AE756" t="s">
        <v>46</v>
      </c>
      <c r="AG756">
        <v>52</v>
      </c>
      <c r="AH756">
        <v>9</v>
      </c>
      <c r="AI756" t="s">
        <v>54</v>
      </c>
      <c r="AK756">
        <v>0</v>
      </c>
      <c r="AM756">
        <v>0</v>
      </c>
      <c r="AP756" t="s">
        <v>325</v>
      </c>
    </row>
    <row r="757" spans="1:42" customFormat="1">
      <c r="A757">
        <v>270054</v>
      </c>
      <c r="B757" t="s">
        <v>2703</v>
      </c>
      <c r="C757" t="s">
        <v>2704</v>
      </c>
      <c r="D757" s="22">
        <v>0</v>
      </c>
      <c r="E757" s="17">
        <v>42135</v>
      </c>
      <c r="F757" s="18">
        <v>0.67107638888888888</v>
      </c>
      <c r="G757" s="22">
        <v>15</v>
      </c>
      <c r="H757">
        <v>0</v>
      </c>
      <c r="I757" s="19" t="e">
        <f>I756 + (D757-G757)</f>
        <v>#VALUE!</v>
      </c>
      <c r="M757">
        <v>123474</v>
      </c>
      <c r="N757">
        <v>24</v>
      </c>
      <c r="O757" t="s">
        <v>68</v>
      </c>
      <c r="P757">
        <v>1</v>
      </c>
      <c r="R757">
        <v>575</v>
      </c>
      <c r="S757" s="17">
        <v>42139</v>
      </c>
      <c r="T757" s="17">
        <v>42139</v>
      </c>
      <c r="W757">
        <v>2015</v>
      </c>
      <c r="X757">
        <v>24</v>
      </c>
      <c r="AC757" t="s">
        <v>61</v>
      </c>
      <c r="AD757" t="s">
        <v>302</v>
      </c>
      <c r="AE757" t="s">
        <v>46</v>
      </c>
      <c r="AG757">
        <v>52</v>
      </c>
      <c r="AH757">
        <v>9</v>
      </c>
      <c r="AI757" t="s">
        <v>54</v>
      </c>
      <c r="AK757">
        <v>0</v>
      </c>
      <c r="AM757">
        <v>0</v>
      </c>
      <c r="AP757" t="s">
        <v>325</v>
      </c>
    </row>
    <row r="758" spans="1:42" customFormat="1">
      <c r="A758">
        <v>270055</v>
      </c>
      <c r="B758" t="s">
        <v>2705</v>
      </c>
      <c r="C758" t="s">
        <v>2706</v>
      </c>
      <c r="D758" s="22">
        <v>0</v>
      </c>
      <c r="E758" s="17">
        <v>42135</v>
      </c>
      <c r="F758" s="18">
        <v>0.67107638888888888</v>
      </c>
      <c r="G758" s="22">
        <v>15</v>
      </c>
      <c r="H758">
        <v>0</v>
      </c>
      <c r="I758" s="19" t="e">
        <f>I757 + (D758-G758)</f>
        <v>#VALUE!</v>
      </c>
      <c r="M758">
        <v>123475</v>
      </c>
      <c r="N758">
        <v>24</v>
      </c>
      <c r="O758" t="s">
        <v>68</v>
      </c>
      <c r="P758">
        <v>1</v>
      </c>
      <c r="R758">
        <v>575</v>
      </c>
      <c r="S758" s="17">
        <v>42139</v>
      </c>
      <c r="T758" s="17">
        <v>42139</v>
      </c>
      <c r="W758">
        <v>2015</v>
      </c>
      <c r="X758">
        <v>24</v>
      </c>
      <c r="AC758" t="s">
        <v>61</v>
      </c>
      <c r="AD758" t="s">
        <v>302</v>
      </c>
      <c r="AE758" t="s">
        <v>46</v>
      </c>
      <c r="AG758">
        <v>52</v>
      </c>
      <c r="AH758">
        <v>9</v>
      </c>
      <c r="AI758" t="s">
        <v>54</v>
      </c>
      <c r="AK758">
        <v>0</v>
      </c>
      <c r="AM758">
        <v>0</v>
      </c>
      <c r="AP758" t="s">
        <v>325</v>
      </c>
    </row>
    <row r="759" spans="1:42" customFormat="1">
      <c r="A759">
        <v>269908</v>
      </c>
      <c r="B759" t="s">
        <v>2904</v>
      </c>
      <c r="C759" t="s">
        <v>2905</v>
      </c>
      <c r="D759" s="22">
        <v>0</v>
      </c>
      <c r="E759" s="17">
        <v>42136</v>
      </c>
      <c r="F759" s="18">
        <v>0.45263888888888887</v>
      </c>
      <c r="G759" s="22">
        <v>82.5</v>
      </c>
      <c r="H759">
        <v>0</v>
      </c>
      <c r="I759" s="19" t="e">
        <f>I758 + (D759-G759)</f>
        <v>#VALUE!</v>
      </c>
      <c r="M759">
        <v>123304</v>
      </c>
      <c r="N759">
        <v>24</v>
      </c>
      <c r="O759" t="s">
        <v>68</v>
      </c>
      <c r="P759">
        <v>1</v>
      </c>
      <c r="R759">
        <v>575</v>
      </c>
      <c r="S759" s="17">
        <v>42138</v>
      </c>
      <c r="T759" s="17">
        <v>42138</v>
      </c>
      <c r="W759">
        <v>2015</v>
      </c>
      <c r="X759">
        <v>24</v>
      </c>
      <c r="AC759" t="s">
        <v>61</v>
      </c>
      <c r="AD759" t="s">
        <v>302</v>
      </c>
      <c r="AE759" t="s">
        <v>46</v>
      </c>
      <c r="AG759">
        <v>12</v>
      </c>
      <c r="AH759">
        <v>9</v>
      </c>
      <c r="AI759" t="s">
        <v>54</v>
      </c>
      <c r="AK759">
        <v>0</v>
      </c>
      <c r="AM759">
        <v>0</v>
      </c>
      <c r="AP759" t="s">
        <v>392</v>
      </c>
    </row>
    <row r="760" spans="1:42" customFormat="1">
      <c r="A760">
        <v>269920</v>
      </c>
      <c r="B760" t="s">
        <v>2913</v>
      </c>
      <c r="C760" t="s">
        <v>2914</v>
      </c>
      <c r="D760" s="22">
        <v>0</v>
      </c>
      <c r="E760" s="17">
        <v>42136</v>
      </c>
      <c r="F760" s="18">
        <v>0.46357638888888886</v>
      </c>
      <c r="G760" s="22">
        <v>7.75</v>
      </c>
      <c r="H760">
        <v>0</v>
      </c>
      <c r="I760" s="19" t="e">
        <f>I759 + (D760-G760)</f>
        <v>#VALUE!</v>
      </c>
      <c r="M760">
        <v>123313</v>
      </c>
      <c r="N760">
        <v>24</v>
      </c>
      <c r="O760" t="s">
        <v>68</v>
      </c>
      <c r="P760">
        <v>1</v>
      </c>
      <c r="R760">
        <v>575</v>
      </c>
      <c r="S760" s="17">
        <v>42138</v>
      </c>
      <c r="T760" s="17">
        <v>42138</v>
      </c>
      <c r="W760">
        <v>2015</v>
      </c>
      <c r="X760">
        <v>24</v>
      </c>
      <c r="AC760" t="s">
        <v>61</v>
      </c>
      <c r="AD760" t="s">
        <v>302</v>
      </c>
      <c r="AE760" t="s">
        <v>46</v>
      </c>
      <c r="AG760">
        <v>118</v>
      </c>
      <c r="AH760">
        <v>9</v>
      </c>
      <c r="AI760" t="s">
        <v>54</v>
      </c>
      <c r="AK760">
        <v>0</v>
      </c>
      <c r="AM760">
        <v>0</v>
      </c>
      <c r="AP760" t="s">
        <v>418</v>
      </c>
    </row>
    <row r="761" spans="1:42" customFormat="1">
      <c r="A761">
        <v>269921</v>
      </c>
      <c r="B761" t="s">
        <v>2915</v>
      </c>
      <c r="C761" t="s">
        <v>2916</v>
      </c>
      <c r="D761" s="22">
        <v>0</v>
      </c>
      <c r="E761" s="17">
        <v>42136</v>
      </c>
      <c r="F761" s="18">
        <v>0.46357638888888886</v>
      </c>
      <c r="G761" s="22">
        <v>2.95</v>
      </c>
      <c r="H761">
        <v>0</v>
      </c>
      <c r="I761" s="19" t="e">
        <f>I760 + (D761-G761)</f>
        <v>#VALUE!</v>
      </c>
      <c r="M761">
        <v>123314</v>
      </c>
      <c r="N761">
        <v>24</v>
      </c>
      <c r="O761" t="s">
        <v>68</v>
      </c>
      <c r="P761">
        <v>1</v>
      </c>
      <c r="R761">
        <v>575</v>
      </c>
      <c r="S761" s="17">
        <v>42138</v>
      </c>
      <c r="T761" s="17">
        <v>42138</v>
      </c>
      <c r="W761">
        <v>2015</v>
      </c>
      <c r="X761">
        <v>24</v>
      </c>
      <c r="AC761" t="s">
        <v>61</v>
      </c>
      <c r="AD761" t="s">
        <v>302</v>
      </c>
      <c r="AE761" t="s">
        <v>46</v>
      </c>
      <c r="AG761">
        <v>118</v>
      </c>
      <c r="AH761">
        <v>9</v>
      </c>
      <c r="AI761" t="s">
        <v>54</v>
      </c>
      <c r="AK761">
        <v>0</v>
      </c>
      <c r="AM761">
        <v>0</v>
      </c>
      <c r="AP761" t="s">
        <v>418</v>
      </c>
    </row>
    <row r="762" spans="1:42" customFormat="1">
      <c r="A762">
        <v>269934</v>
      </c>
      <c r="B762" t="s">
        <v>2920</v>
      </c>
      <c r="C762" t="s">
        <v>2921</v>
      </c>
      <c r="D762" s="22">
        <v>0</v>
      </c>
      <c r="E762" s="17">
        <v>42136</v>
      </c>
      <c r="F762" s="18">
        <v>0.47343750000000001</v>
      </c>
      <c r="G762" s="22">
        <v>7.95</v>
      </c>
      <c r="H762">
        <v>0</v>
      </c>
      <c r="I762" s="19" t="e">
        <f>I761 + (D762-G762)</f>
        <v>#VALUE!</v>
      </c>
      <c r="M762">
        <v>123316</v>
      </c>
      <c r="N762">
        <v>60</v>
      </c>
      <c r="O762" t="s">
        <v>60</v>
      </c>
      <c r="P762">
        <v>1</v>
      </c>
      <c r="R762">
        <v>575</v>
      </c>
      <c r="S762" s="17">
        <v>42138</v>
      </c>
      <c r="T762" s="17">
        <v>42138</v>
      </c>
      <c r="W762">
        <v>2015</v>
      </c>
      <c r="X762">
        <v>60</v>
      </c>
      <c r="AC762" t="s">
        <v>61</v>
      </c>
      <c r="AD762" t="s">
        <v>302</v>
      </c>
      <c r="AE762" t="s">
        <v>46</v>
      </c>
      <c r="AG762">
        <v>26</v>
      </c>
      <c r="AH762">
        <v>9</v>
      </c>
      <c r="AI762" t="s">
        <v>54</v>
      </c>
      <c r="AK762">
        <v>0</v>
      </c>
      <c r="AM762">
        <v>0</v>
      </c>
      <c r="AP762" t="s">
        <v>501</v>
      </c>
    </row>
    <row r="763" spans="1:42" customFormat="1">
      <c r="A763">
        <v>270036</v>
      </c>
      <c r="B763" t="s">
        <v>2927</v>
      </c>
      <c r="C763" t="s">
        <v>2928</v>
      </c>
      <c r="D763" s="22">
        <v>0</v>
      </c>
      <c r="E763" s="17">
        <v>42136</v>
      </c>
      <c r="F763" s="18">
        <v>0.62644675925925919</v>
      </c>
      <c r="G763" s="22">
        <v>580</v>
      </c>
      <c r="H763">
        <v>0</v>
      </c>
      <c r="I763" s="19" t="e">
        <f>I762 + (D763-G763)</f>
        <v>#VALUE!</v>
      </c>
      <c r="M763">
        <v>123440</v>
      </c>
      <c r="N763">
        <v>24</v>
      </c>
      <c r="O763" t="s">
        <v>68</v>
      </c>
      <c r="P763">
        <v>1</v>
      </c>
      <c r="R763">
        <v>575</v>
      </c>
      <c r="S763" s="17">
        <v>42139</v>
      </c>
      <c r="T763" s="17">
        <v>42139</v>
      </c>
      <c r="W763">
        <v>2015</v>
      </c>
      <c r="X763">
        <v>24</v>
      </c>
      <c r="AC763" t="s">
        <v>61</v>
      </c>
      <c r="AD763" t="s">
        <v>302</v>
      </c>
      <c r="AE763" t="s">
        <v>46</v>
      </c>
      <c r="AG763">
        <v>69</v>
      </c>
      <c r="AH763">
        <v>9</v>
      </c>
      <c r="AI763" t="s">
        <v>54</v>
      </c>
      <c r="AK763">
        <v>0</v>
      </c>
      <c r="AM763">
        <v>0</v>
      </c>
      <c r="AP763" t="s">
        <v>339</v>
      </c>
    </row>
    <row r="764" spans="1:42" customFormat="1">
      <c r="A764">
        <v>270928</v>
      </c>
      <c r="B764" t="s">
        <v>2952</v>
      </c>
      <c r="C764" t="s">
        <v>2953</v>
      </c>
      <c r="D764" s="22">
        <v>0</v>
      </c>
      <c r="E764" s="17">
        <v>42137</v>
      </c>
      <c r="F764" s="18">
        <v>0.39445601851851847</v>
      </c>
      <c r="G764" s="22">
        <v>3.1</v>
      </c>
      <c r="H764">
        <v>0</v>
      </c>
      <c r="I764" s="19" t="e">
        <f>I763 + (D764-G764)</f>
        <v>#VALUE!</v>
      </c>
      <c r="M764">
        <v>123966</v>
      </c>
      <c r="N764">
        <v>7</v>
      </c>
      <c r="O764" t="s">
        <v>44</v>
      </c>
      <c r="P764">
        <v>1</v>
      </c>
      <c r="R764">
        <v>575</v>
      </c>
      <c r="S764" s="17">
        <v>42149</v>
      </c>
      <c r="T764" s="17">
        <v>42149</v>
      </c>
      <c r="W764">
        <v>2015</v>
      </c>
      <c r="X764">
        <v>7</v>
      </c>
      <c r="AC764" t="s">
        <v>61</v>
      </c>
      <c r="AD764" t="s">
        <v>302</v>
      </c>
      <c r="AE764" t="s">
        <v>46</v>
      </c>
      <c r="AG764">
        <v>118</v>
      </c>
      <c r="AH764">
        <v>9</v>
      </c>
      <c r="AI764" t="s">
        <v>54</v>
      </c>
      <c r="AK764">
        <v>0</v>
      </c>
      <c r="AM764">
        <v>0</v>
      </c>
      <c r="AP764" t="s">
        <v>418</v>
      </c>
    </row>
    <row r="765" spans="1:42" customFormat="1">
      <c r="A765">
        <v>270122</v>
      </c>
      <c r="B765" t="s">
        <v>3118</v>
      </c>
      <c r="C765" t="s">
        <v>3119</v>
      </c>
      <c r="D765" s="22">
        <v>0</v>
      </c>
      <c r="E765" s="17">
        <v>42137</v>
      </c>
      <c r="F765" s="18">
        <v>0.71177083333333335</v>
      </c>
      <c r="G765" s="22">
        <v>30</v>
      </c>
      <c r="H765">
        <v>0</v>
      </c>
      <c r="I765" s="19" t="e">
        <f>I764 + (D765-G765)</f>
        <v>#VALUE!</v>
      </c>
      <c r="M765">
        <v>123483</v>
      </c>
      <c r="N765">
        <v>24</v>
      </c>
      <c r="O765" t="s">
        <v>68</v>
      </c>
      <c r="P765">
        <v>1</v>
      </c>
      <c r="R765">
        <v>575</v>
      </c>
      <c r="S765" s="17">
        <v>42139</v>
      </c>
      <c r="T765" s="17">
        <v>42139</v>
      </c>
      <c r="W765">
        <v>2015</v>
      </c>
      <c r="X765">
        <v>24</v>
      </c>
      <c r="AC765" t="s">
        <v>61</v>
      </c>
      <c r="AD765" t="s">
        <v>302</v>
      </c>
      <c r="AE765" t="s">
        <v>46</v>
      </c>
      <c r="AG765">
        <v>52</v>
      </c>
      <c r="AH765">
        <v>9</v>
      </c>
      <c r="AI765" t="s">
        <v>54</v>
      </c>
      <c r="AK765">
        <v>0</v>
      </c>
      <c r="AM765">
        <v>0</v>
      </c>
      <c r="AP765" t="s">
        <v>325</v>
      </c>
    </row>
    <row r="766" spans="1:42" customFormat="1">
      <c r="A766">
        <v>270123</v>
      </c>
      <c r="B766" t="s">
        <v>3120</v>
      </c>
      <c r="C766" t="s">
        <v>3121</v>
      </c>
      <c r="D766" s="22">
        <v>0</v>
      </c>
      <c r="E766" s="17">
        <v>42137</v>
      </c>
      <c r="F766" s="18">
        <v>0.71177083333333335</v>
      </c>
      <c r="G766" s="22">
        <v>35.200000000000003</v>
      </c>
      <c r="H766">
        <v>0</v>
      </c>
      <c r="I766" s="19" t="e">
        <f>I765 + (D766-G766)</f>
        <v>#VALUE!</v>
      </c>
      <c r="M766">
        <v>123484</v>
      </c>
      <c r="N766">
        <v>24</v>
      </c>
      <c r="O766" t="s">
        <v>68</v>
      </c>
      <c r="P766">
        <v>1</v>
      </c>
      <c r="R766">
        <v>575</v>
      </c>
      <c r="S766" s="17">
        <v>42139</v>
      </c>
      <c r="T766" s="17">
        <v>42139</v>
      </c>
      <c r="W766">
        <v>2015</v>
      </c>
      <c r="X766">
        <v>24</v>
      </c>
      <c r="AC766" t="s">
        <v>61</v>
      </c>
      <c r="AD766" t="s">
        <v>302</v>
      </c>
      <c r="AE766" t="s">
        <v>46</v>
      </c>
      <c r="AG766">
        <v>52</v>
      </c>
      <c r="AH766">
        <v>9</v>
      </c>
      <c r="AI766" t="s">
        <v>54</v>
      </c>
      <c r="AK766">
        <v>0</v>
      </c>
      <c r="AM766">
        <v>0</v>
      </c>
      <c r="AP766" t="s">
        <v>325</v>
      </c>
    </row>
    <row r="767" spans="1:42" customFormat="1">
      <c r="A767">
        <v>270124</v>
      </c>
      <c r="B767" t="s">
        <v>3122</v>
      </c>
      <c r="C767" t="s">
        <v>3123</v>
      </c>
      <c r="D767" s="22">
        <v>0</v>
      </c>
      <c r="E767" s="17">
        <v>42137</v>
      </c>
      <c r="F767" s="18">
        <v>0.71177083333333335</v>
      </c>
      <c r="G767" s="22">
        <v>3.55</v>
      </c>
      <c r="H767">
        <v>0</v>
      </c>
      <c r="I767" s="19" t="e">
        <f>I766 + (D767-G767)</f>
        <v>#VALUE!</v>
      </c>
      <c r="M767">
        <v>123485</v>
      </c>
      <c r="N767">
        <v>24</v>
      </c>
      <c r="O767" t="s">
        <v>68</v>
      </c>
      <c r="P767">
        <v>1</v>
      </c>
      <c r="R767">
        <v>575</v>
      </c>
      <c r="S767" s="17">
        <v>42139</v>
      </c>
      <c r="T767" s="17">
        <v>42139</v>
      </c>
      <c r="W767">
        <v>2015</v>
      </c>
      <c r="X767">
        <v>24</v>
      </c>
      <c r="AC767" t="s">
        <v>61</v>
      </c>
      <c r="AD767" t="s">
        <v>302</v>
      </c>
      <c r="AE767" t="s">
        <v>46</v>
      </c>
      <c r="AG767">
        <v>52</v>
      </c>
      <c r="AH767">
        <v>9</v>
      </c>
      <c r="AI767" t="s">
        <v>54</v>
      </c>
      <c r="AK767">
        <v>0</v>
      </c>
      <c r="AM767">
        <v>0</v>
      </c>
      <c r="AP767" t="s">
        <v>325</v>
      </c>
    </row>
    <row r="768" spans="1:42" customFormat="1">
      <c r="A768">
        <v>270451</v>
      </c>
      <c r="B768" t="s">
        <v>3126</v>
      </c>
      <c r="C768" t="s">
        <v>3127</v>
      </c>
      <c r="D768" s="22">
        <v>0</v>
      </c>
      <c r="E768" s="17">
        <v>42138</v>
      </c>
      <c r="F768" s="18">
        <v>0.3629398148148148</v>
      </c>
      <c r="G768" s="22">
        <v>74.900000000000006</v>
      </c>
      <c r="H768">
        <v>0</v>
      </c>
      <c r="I768" s="19" t="e">
        <f>I767 + (D768-G768)</f>
        <v>#VALUE!</v>
      </c>
      <c r="M768">
        <v>123656</v>
      </c>
      <c r="N768">
        <v>24</v>
      </c>
      <c r="O768" t="s">
        <v>68</v>
      </c>
      <c r="P768">
        <v>1</v>
      </c>
      <c r="R768">
        <v>575</v>
      </c>
      <c r="S768" s="17">
        <v>42145</v>
      </c>
      <c r="T768" s="17">
        <v>42145</v>
      </c>
      <c r="W768">
        <v>2015</v>
      </c>
      <c r="X768">
        <v>24</v>
      </c>
      <c r="AC768" t="s">
        <v>61</v>
      </c>
      <c r="AD768" t="s">
        <v>302</v>
      </c>
      <c r="AE768" t="s">
        <v>46</v>
      </c>
      <c r="AG768">
        <v>42</v>
      </c>
      <c r="AH768">
        <v>9</v>
      </c>
      <c r="AI768" t="s">
        <v>54</v>
      </c>
      <c r="AK768">
        <v>0</v>
      </c>
      <c r="AM768">
        <v>0</v>
      </c>
      <c r="AP768" t="s">
        <v>1602</v>
      </c>
    </row>
    <row r="769" spans="1:42" customFormat="1">
      <c r="A769">
        <v>270929</v>
      </c>
      <c r="B769" t="s">
        <v>3134</v>
      </c>
      <c r="C769" t="s">
        <v>3135</v>
      </c>
      <c r="D769" s="22">
        <v>0</v>
      </c>
      <c r="E769" s="17">
        <v>42138</v>
      </c>
      <c r="F769" s="18">
        <v>0.39456018518518521</v>
      </c>
      <c r="G769" s="22">
        <v>1.55</v>
      </c>
      <c r="H769">
        <v>0</v>
      </c>
      <c r="I769" s="19" t="e">
        <f>I768 + (D769-G769)</f>
        <v>#VALUE!</v>
      </c>
      <c r="M769">
        <v>123968</v>
      </c>
      <c r="N769">
        <v>7</v>
      </c>
      <c r="O769" t="s">
        <v>44</v>
      </c>
      <c r="P769">
        <v>1</v>
      </c>
      <c r="R769">
        <v>575</v>
      </c>
      <c r="S769" s="17">
        <v>42149</v>
      </c>
      <c r="T769" s="17">
        <v>42149</v>
      </c>
      <c r="W769">
        <v>2015</v>
      </c>
      <c r="X769">
        <v>7</v>
      </c>
      <c r="AC769" t="s">
        <v>61</v>
      </c>
      <c r="AD769" t="s">
        <v>302</v>
      </c>
      <c r="AE769" t="s">
        <v>46</v>
      </c>
      <c r="AG769">
        <v>118</v>
      </c>
      <c r="AH769">
        <v>9</v>
      </c>
      <c r="AI769" t="s">
        <v>54</v>
      </c>
      <c r="AK769">
        <v>0</v>
      </c>
      <c r="AM769">
        <v>0</v>
      </c>
      <c r="AP769" t="s">
        <v>418</v>
      </c>
    </row>
    <row r="770" spans="1:42" customFormat="1">
      <c r="A770">
        <v>270650</v>
      </c>
      <c r="B770" t="s">
        <v>3179</v>
      </c>
      <c r="C770" t="s">
        <v>3180</v>
      </c>
      <c r="D770" s="22">
        <v>0</v>
      </c>
      <c r="E770" s="17">
        <v>42138</v>
      </c>
      <c r="F770" s="18">
        <v>0.4692013888888889</v>
      </c>
      <c r="G770" s="22">
        <v>0.35</v>
      </c>
      <c r="H770">
        <v>0</v>
      </c>
      <c r="I770" s="19" t="e">
        <f>I769 + (D770-G770)</f>
        <v>#VALUE!</v>
      </c>
      <c r="M770">
        <v>123815</v>
      </c>
      <c r="N770">
        <v>24</v>
      </c>
      <c r="O770" t="s">
        <v>68</v>
      </c>
      <c r="P770">
        <v>1</v>
      </c>
      <c r="R770">
        <v>575</v>
      </c>
      <c r="S770" s="17">
        <v>42145</v>
      </c>
      <c r="T770" s="17">
        <v>42145</v>
      </c>
      <c r="W770">
        <v>2015</v>
      </c>
      <c r="X770">
        <v>24</v>
      </c>
      <c r="AC770" t="s">
        <v>61</v>
      </c>
      <c r="AD770" t="s">
        <v>302</v>
      </c>
      <c r="AE770" t="s">
        <v>46</v>
      </c>
      <c r="AG770">
        <v>2</v>
      </c>
      <c r="AH770">
        <v>9</v>
      </c>
      <c r="AI770" t="s">
        <v>54</v>
      </c>
      <c r="AK770">
        <v>0</v>
      </c>
      <c r="AM770">
        <v>0</v>
      </c>
      <c r="AP770" t="s">
        <v>2544</v>
      </c>
    </row>
    <row r="771" spans="1:42" customFormat="1">
      <c r="A771">
        <v>270485</v>
      </c>
      <c r="B771" t="s">
        <v>3282</v>
      </c>
      <c r="C771" t="s">
        <v>3283</v>
      </c>
      <c r="D771" s="22">
        <v>0</v>
      </c>
      <c r="E771" s="17">
        <v>42139</v>
      </c>
      <c r="F771" s="18">
        <v>0.39012731481481483</v>
      </c>
      <c r="G771" s="22">
        <v>1.8</v>
      </c>
      <c r="H771">
        <v>0</v>
      </c>
      <c r="I771" s="19" t="e">
        <f>I770 + (D771-G771)</f>
        <v>#VALUE!</v>
      </c>
      <c r="M771">
        <v>123685</v>
      </c>
      <c r="N771">
        <v>7</v>
      </c>
      <c r="O771" t="s">
        <v>44</v>
      </c>
      <c r="P771">
        <v>1</v>
      </c>
      <c r="R771">
        <v>575</v>
      </c>
      <c r="S771" s="17">
        <v>42145</v>
      </c>
      <c r="T771" s="17">
        <v>42145</v>
      </c>
      <c r="W771">
        <v>2015</v>
      </c>
      <c r="X771">
        <v>7</v>
      </c>
      <c r="AC771" t="s">
        <v>61</v>
      </c>
      <c r="AD771" t="s">
        <v>302</v>
      </c>
      <c r="AE771" t="s">
        <v>46</v>
      </c>
      <c r="AG771">
        <v>26</v>
      </c>
      <c r="AH771">
        <v>9</v>
      </c>
      <c r="AI771" t="s">
        <v>54</v>
      </c>
      <c r="AK771">
        <v>0</v>
      </c>
      <c r="AM771">
        <v>0</v>
      </c>
      <c r="AP771" t="s">
        <v>501</v>
      </c>
    </row>
    <row r="772" spans="1:42" customFormat="1">
      <c r="A772">
        <v>270486</v>
      </c>
      <c r="B772" t="s">
        <v>3284</v>
      </c>
      <c r="C772" t="s">
        <v>3285</v>
      </c>
      <c r="D772" s="22">
        <v>0</v>
      </c>
      <c r="E772" s="17">
        <v>42139</v>
      </c>
      <c r="F772" s="18">
        <v>0.39012731481481483</v>
      </c>
      <c r="G772" s="22">
        <v>0.9</v>
      </c>
      <c r="H772">
        <v>0</v>
      </c>
      <c r="I772" s="19" t="e">
        <f>I771 + (D772-G772)</f>
        <v>#VALUE!</v>
      </c>
      <c r="M772">
        <v>123688</v>
      </c>
      <c r="N772">
        <v>7</v>
      </c>
      <c r="O772" t="s">
        <v>44</v>
      </c>
      <c r="P772">
        <v>1</v>
      </c>
      <c r="R772">
        <v>575</v>
      </c>
      <c r="S772" s="17">
        <v>42145</v>
      </c>
      <c r="T772" s="17">
        <v>42145</v>
      </c>
      <c r="W772">
        <v>2015</v>
      </c>
      <c r="X772">
        <v>7</v>
      </c>
      <c r="AC772" t="s">
        <v>61</v>
      </c>
      <c r="AD772" t="s">
        <v>302</v>
      </c>
      <c r="AE772" t="s">
        <v>46</v>
      </c>
      <c r="AG772">
        <v>26</v>
      </c>
      <c r="AH772">
        <v>9</v>
      </c>
      <c r="AI772" t="s">
        <v>54</v>
      </c>
      <c r="AK772">
        <v>0</v>
      </c>
      <c r="AM772">
        <v>0</v>
      </c>
      <c r="AP772" t="s">
        <v>501</v>
      </c>
    </row>
    <row r="773" spans="1:42" customFormat="1">
      <c r="A773">
        <v>270930</v>
      </c>
      <c r="B773" t="s">
        <v>3355</v>
      </c>
      <c r="C773" t="s">
        <v>3356</v>
      </c>
      <c r="D773" s="22">
        <v>0</v>
      </c>
      <c r="E773" s="17">
        <v>42139</v>
      </c>
      <c r="F773" s="18">
        <v>0.39462962962962966</v>
      </c>
      <c r="G773" s="22">
        <v>168</v>
      </c>
      <c r="H773">
        <v>0</v>
      </c>
      <c r="I773" s="19" t="e">
        <f>I772 + (D773-G773)</f>
        <v>#VALUE!</v>
      </c>
      <c r="M773">
        <v>123969</v>
      </c>
      <c r="N773">
        <v>7</v>
      </c>
      <c r="O773" t="s">
        <v>44</v>
      </c>
      <c r="P773">
        <v>1</v>
      </c>
      <c r="R773">
        <v>575</v>
      </c>
      <c r="S773" s="17">
        <v>42149</v>
      </c>
      <c r="T773" s="17">
        <v>42149</v>
      </c>
      <c r="W773">
        <v>2015</v>
      </c>
      <c r="X773">
        <v>7</v>
      </c>
      <c r="AC773" t="s">
        <v>61</v>
      </c>
      <c r="AD773" t="s">
        <v>302</v>
      </c>
      <c r="AE773" t="s">
        <v>46</v>
      </c>
      <c r="AG773">
        <v>118</v>
      </c>
      <c r="AH773">
        <v>9</v>
      </c>
      <c r="AI773" t="s">
        <v>54</v>
      </c>
      <c r="AK773">
        <v>0</v>
      </c>
      <c r="AM773">
        <v>0</v>
      </c>
      <c r="AP773" t="s">
        <v>418</v>
      </c>
    </row>
    <row r="774" spans="1:42" customFormat="1">
      <c r="A774">
        <v>272798</v>
      </c>
      <c r="B774" t="s">
        <v>3429</v>
      </c>
      <c r="C774" t="s">
        <v>3430</v>
      </c>
      <c r="D774" s="22">
        <v>0</v>
      </c>
      <c r="E774" s="17">
        <v>42139</v>
      </c>
      <c r="F774" s="18">
        <v>0.44229166666666669</v>
      </c>
      <c r="G774" s="22">
        <v>67.5</v>
      </c>
      <c r="H774">
        <v>0</v>
      </c>
      <c r="I774" s="19" t="e">
        <f>I773 + (D774-G774)</f>
        <v>#VALUE!</v>
      </c>
      <c r="M774">
        <v>125057</v>
      </c>
      <c r="N774">
        <v>60</v>
      </c>
      <c r="O774" t="s">
        <v>60</v>
      </c>
      <c r="P774">
        <v>1</v>
      </c>
      <c r="R774">
        <v>575</v>
      </c>
      <c r="S774" s="17">
        <v>42166</v>
      </c>
      <c r="T774" s="17">
        <v>42166</v>
      </c>
      <c r="W774">
        <v>2015</v>
      </c>
      <c r="X774">
        <v>60</v>
      </c>
      <c r="AC774" t="s">
        <v>61</v>
      </c>
      <c r="AD774" t="s">
        <v>302</v>
      </c>
      <c r="AE774" t="s">
        <v>46</v>
      </c>
      <c r="AG774">
        <v>52</v>
      </c>
      <c r="AH774">
        <v>9</v>
      </c>
      <c r="AI774" t="s">
        <v>54</v>
      </c>
      <c r="AK774">
        <v>0</v>
      </c>
      <c r="AM774">
        <v>0</v>
      </c>
      <c r="AP774" t="s">
        <v>325</v>
      </c>
    </row>
    <row r="775" spans="1:42" customFormat="1">
      <c r="A775">
        <v>272799</v>
      </c>
      <c r="B775" t="s">
        <v>3431</v>
      </c>
      <c r="C775" t="s">
        <v>3432</v>
      </c>
      <c r="D775" s="22">
        <v>0</v>
      </c>
      <c r="E775" s="17">
        <v>42139</v>
      </c>
      <c r="F775" s="18">
        <v>0.44233796296296296</v>
      </c>
      <c r="G775" s="22">
        <v>37.5</v>
      </c>
      <c r="H775">
        <v>0</v>
      </c>
      <c r="I775" s="19" t="e">
        <f>I774 + (D775-G775)</f>
        <v>#VALUE!</v>
      </c>
      <c r="M775">
        <v>125058</v>
      </c>
      <c r="N775">
        <v>24</v>
      </c>
      <c r="O775" t="s">
        <v>68</v>
      </c>
      <c r="P775">
        <v>1</v>
      </c>
      <c r="R775">
        <v>575</v>
      </c>
      <c r="S775" s="17">
        <v>42166</v>
      </c>
      <c r="T775" s="17">
        <v>42166</v>
      </c>
      <c r="W775">
        <v>2015</v>
      </c>
      <c r="X775">
        <v>24</v>
      </c>
      <c r="AC775" t="s">
        <v>61</v>
      </c>
      <c r="AD775" t="s">
        <v>302</v>
      </c>
      <c r="AE775" t="s">
        <v>46</v>
      </c>
      <c r="AG775">
        <v>12</v>
      </c>
      <c r="AH775">
        <v>9</v>
      </c>
      <c r="AI775" t="s">
        <v>54</v>
      </c>
      <c r="AK775">
        <v>0</v>
      </c>
      <c r="AM775">
        <v>0</v>
      </c>
      <c r="AP775" t="s">
        <v>392</v>
      </c>
    </row>
    <row r="776" spans="1:42" customFormat="1">
      <c r="A776">
        <v>270664</v>
      </c>
      <c r="B776" t="s">
        <v>3452</v>
      </c>
      <c r="C776" t="s">
        <v>3453</v>
      </c>
      <c r="D776" s="22">
        <v>0</v>
      </c>
      <c r="E776" s="17">
        <v>42139</v>
      </c>
      <c r="F776" s="18">
        <v>0.47230324074074076</v>
      </c>
      <c r="G776" s="22">
        <v>62.4</v>
      </c>
      <c r="H776">
        <v>0</v>
      </c>
      <c r="I776" s="19" t="e">
        <f>I775 + (D776-G776)</f>
        <v>#VALUE!</v>
      </c>
      <c r="M776">
        <v>123817</v>
      </c>
      <c r="N776">
        <v>24</v>
      </c>
      <c r="O776" t="s">
        <v>68</v>
      </c>
      <c r="P776">
        <v>1</v>
      </c>
      <c r="R776">
        <v>575</v>
      </c>
      <c r="S776" s="17">
        <v>42145</v>
      </c>
      <c r="T776" s="17">
        <v>42145</v>
      </c>
      <c r="W776">
        <v>2015</v>
      </c>
      <c r="X776">
        <v>24</v>
      </c>
      <c r="AC776" t="s">
        <v>61</v>
      </c>
      <c r="AD776" t="s">
        <v>302</v>
      </c>
      <c r="AE776" t="s">
        <v>46</v>
      </c>
      <c r="AG776">
        <v>2</v>
      </c>
      <c r="AH776">
        <v>9</v>
      </c>
      <c r="AI776" t="s">
        <v>54</v>
      </c>
      <c r="AK776">
        <v>0</v>
      </c>
      <c r="AM776">
        <v>0</v>
      </c>
      <c r="AP776" t="s">
        <v>2544</v>
      </c>
    </row>
    <row r="777" spans="1:42" customFormat="1">
      <c r="A777">
        <v>270665</v>
      </c>
      <c r="B777" t="s">
        <v>3454</v>
      </c>
      <c r="C777" t="s">
        <v>3455</v>
      </c>
      <c r="D777" s="22">
        <v>0</v>
      </c>
      <c r="E777" s="17">
        <v>42139</v>
      </c>
      <c r="F777" s="18">
        <v>0.47274305555555557</v>
      </c>
      <c r="G777" s="22">
        <v>0.35</v>
      </c>
      <c r="H777">
        <v>0</v>
      </c>
      <c r="I777" s="19" t="e">
        <f>I776 + (D777-G777)</f>
        <v>#VALUE!</v>
      </c>
      <c r="M777">
        <v>123818</v>
      </c>
      <c r="N777">
        <v>24</v>
      </c>
      <c r="O777" t="s">
        <v>68</v>
      </c>
      <c r="P777">
        <v>1</v>
      </c>
      <c r="R777">
        <v>575</v>
      </c>
      <c r="S777" s="17">
        <v>42145</v>
      </c>
      <c r="T777" s="17">
        <v>42145</v>
      </c>
      <c r="W777">
        <v>2015</v>
      </c>
      <c r="X777">
        <v>24</v>
      </c>
      <c r="AC777" t="s">
        <v>61</v>
      </c>
      <c r="AD777" t="s">
        <v>302</v>
      </c>
      <c r="AE777" t="s">
        <v>46</v>
      </c>
      <c r="AG777">
        <v>2</v>
      </c>
      <c r="AH777">
        <v>9</v>
      </c>
      <c r="AI777" t="s">
        <v>54</v>
      </c>
      <c r="AK777">
        <v>0</v>
      </c>
      <c r="AM777">
        <v>0</v>
      </c>
      <c r="AP777" t="s">
        <v>2544</v>
      </c>
    </row>
    <row r="778" spans="1:42" customFormat="1">
      <c r="A778">
        <v>270931</v>
      </c>
      <c r="B778" t="s">
        <v>3615</v>
      </c>
      <c r="C778" t="s">
        <v>3616</v>
      </c>
      <c r="D778" s="22">
        <v>0</v>
      </c>
      <c r="E778" s="17">
        <v>42143</v>
      </c>
      <c r="F778" s="18">
        <v>0.39469907407407406</v>
      </c>
      <c r="G778" s="22">
        <v>1.55</v>
      </c>
      <c r="H778">
        <v>0</v>
      </c>
      <c r="I778" s="19" t="e">
        <f>I777 + (D778-G778)</f>
        <v>#VALUE!</v>
      </c>
      <c r="M778">
        <v>123971</v>
      </c>
      <c r="N778">
        <v>7</v>
      </c>
      <c r="O778" t="s">
        <v>44</v>
      </c>
      <c r="P778">
        <v>1</v>
      </c>
      <c r="R778">
        <v>575</v>
      </c>
      <c r="S778" s="17">
        <v>42149</v>
      </c>
      <c r="T778" s="17">
        <v>42149</v>
      </c>
      <c r="W778">
        <v>2015</v>
      </c>
      <c r="X778">
        <v>7</v>
      </c>
      <c r="AC778" t="s">
        <v>61</v>
      </c>
      <c r="AD778" t="s">
        <v>302</v>
      </c>
      <c r="AE778" t="s">
        <v>46</v>
      </c>
      <c r="AG778">
        <v>118</v>
      </c>
      <c r="AH778">
        <v>9</v>
      </c>
      <c r="AI778" t="s">
        <v>54</v>
      </c>
      <c r="AK778">
        <v>0</v>
      </c>
      <c r="AM778">
        <v>0</v>
      </c>
      <c r="AP778" t="s">
        <v>418</v>
      </c>
    </row>
    <row r="779" spans="1:42" customFormat="1">
      <c r="A779">
        <v>270561</v>
      </c>
      <c r="B779" t="s">
        <v>3626</v>
      </c>
      <c r="C779" t="s">
        <v>3627</v>
      </c>
      <c r="D779" s="22">
        <v>0</v>
      </c>
      <c r="E779" s="17">
        <v>42143</v>
      </c>
      <c r="F779" s="18">
        <v>0.41332175925925929</v>
      </c>
      <c r="G779" s="22">
        <v>6.6</v>
      </c>
      <c r="H779">
        <v>0</v>
      </c>
      <c r="I779" s="19" t="e">
        <f>I778 + (D779-G779)</f>
        <v>#VALUE!</v>
      </c>
      <c r="M779">
        <v>123740</v>
      </c>
      <c r="N779">
        <v>24</v>
      </c>
      <c r="O779" t="s">
        <v>68</v>
      </c>
      <c r="P779">
        <v>1</v>
      </c>
      <c r="R779">
        <v>575</v>
      </c>
      <c r="S779" s="17">
        <v>42145</v>
      </c>
      <c r="T779" s="17">
        <v>42145</v>
      </c>
      <c r="W779">
        <v>2015</v>
      </c>
      <c r="X779">
        <v>24</v>
      </c>
      <c r="AC779" t="s">
        <v>61</v>
      </c>
      <c r="AD779" t="s">
        <v>302</v>
      </c>
      <c r="AE779" t="s">
        <v>46</v>
      </c>
      <c r="AG779">
        <v>52</v>
      </c>
      <c r="AH779">
        <v>9</v>
      </c>
      <c r="AI779" t="s">
        <v>54</v>
      </c>
      <c r="AK779">
        <v>0</v>
      </c>
      <c r="AM779">
        <v>0</v>
      </c>
      <c r="AP779" t="s">
        <v>325</v>
      </c>
    </row>
    <row r="780" spans="1:42" customFormat="1">
      <c r="A780">
        <v>270562</v>
      </c>
      <c r="B780" t="s">
        <v>3628</v>
      </c>
      <c r="C780" t="s">
        <v>3629</v>
      </c>
      <c r="D780" s="22">
        <v>0</v>
      </c>
      <c r="E780" s="17">
        <v>42143</v>
      </c>
      <c r="F780" s="18">
        <v>0.41332175925925929</v>
      </c>
      <c r="G780" s="22">
        <v>6.48</v>
      </c>
      <c r="H780">
        <v>0</v>
      </c>
      <c r="I780" s="19" t="e">
        <f>I779 + (D780-G780)</f>
        <v>#VALUE!</v>
      </c>
      <c r="M780">
        <v>123741</v>
      </c>
      <c r="N780">
        <v>24</v>
      </c>
      <c r="O780" t="s">
        <v>68</v>
      </c>
      <c r="P780">
        <v>1</v>
      </c>
      <c r="R780">
        <v>575</v>
      </c>
      <c r="S780" s="17">
        <v>42145</v>
      </c>
      <c r="T780" s="17">
        <v>42145</v>
      </c>
      <c r="W780">
        <v>2015</v>
      </c>
      <c r="X780">
        <v>24</v>
      </c>
      <c r="AC780" t="s">
        <v>61</v>
      </c>
      <c r="AD780" t="s">
        <v>302</v>
      </c>
      <c r="AE780" t="s">
        <v>46</v>
      </c>
      <c r="AG780">
        <v>52</v>
      </c>
      <c r="AH780">
        <v>9</v>
      </c>
      <c r="AI780" t="s">
        <v>54</v>
      </c>
      <c r="AK780">
        <v>0</v>
      </c>
      <c r="AM780">
        <v>0</v>
      </c>
      <c r="AP780" t="s">
        <v>325</v>
      </c>
    </row>
    <row r="781" spans="1:42" customFormat="1">
      <c r="A781">
        <v>270563</v>
      </c>
      <c r="B781" t="s">
        <v>3630</v>
      </c>
      <c r="C781" t="s">
        <v>3631</v>
      </c>
      <c r="D781" s="22">
        <v>0</v>
      </c>
      <c r="E781" s="17">
        <v>42143</v>
      </c>
      <c r="F781" s="18">
        <v>0.41332175925925929</v>
      </c>
      <c r="G781" s="22">
        <v>7.53</v>
      </c>
      <c r="H781">
        <v>0</v>
      </c>
      <c r="I781" s="19" t="e">
        <f>I780 + (D781-G781)</f>
        <v>#VALUE!</v>
      </c>
      <c r="M781">
        <v>123742</v>
      </c>
      <c r="N781">
        <v>24</v>
      </c>
      <c r="O781" t="s">
        <v>68</v>
      </c>
      <c r="P781">
        <v>1</v>
      </c>
      <c r="R781">
        <v>575</v>
      </c>
      <c r="S781" s="17">
        <v>42145</v>
      </c>
      <c r="T781" s="17">
        <v>42145</v>
      </c>
      <c r="W781">
        <v>2015</v>
      </c>
      <c r="X781">
        <v>24</v>
      </c>
      <c r="AC781" t="s">
        <v>61</v>
      </c>
      <c r="AD781" t="s">
        <v>302</v>
      </c>
      <c r="AE781" t="s">
        <v>46</v>
      </c>
      <c r="AG781">
        <v>52</v>
      </c>
      <c r="AH781">
        <v>9</v>
      </c>
      <c r="AI781" t="s">
        <v>54</v>
      </c>
      <c r="AK781">
        <v>0</v>
      </c>
      <c r="AM781">
        <v>0</v>
      </c>
      <c r="AP781" t="s">
        <v>325</v>
      </c>
    </row>
    <row r="782" spans="1:42" customFormat="1">
      <c r="A782">
        <v>270558</v>
      </c>
      <c r="B782" t="s">
        <v>3632</v>
      </c>
      <c r="C782" t="s">
        <v>3633</v>
      </c>
      <c r="D782" s="22">
        <v>0</v>
      </c>
      <c r="E782" s="17">
        <v>42143</v>
      </c>
      <c r="F782" s="18">
        <v>0.41332175925925929</v>
      </c>
      <c r="G782" s="22">
        <v>4.0999999999999996</v>
      </c>
      <c r="H782">
        <v>0</v>
      </c>
      <c r="I782" s="19" t="e">
        <f>I781 + (D782-G782)</f>
        <v>#VALUE!</v>
      </c>
      <c r="M782">
        <v>123737</v>
      </c>
      <c r="N782">
        <v>24</v>
      </c>
      <c r="O782" t="s">
        <v>68</v>
      </c>
      <c r="P782">
        <v>1</v>
      </c>
      <c r="R782">
        <v>575</v>
      </c>
      <c r="S782" s="17">
        <v>42145</v>
      </c>
      <c r="T782" s="17">
        <v>42145</v>
      </c>
      <c r="W782">
        <v>2015</v>
      </c>
      <c r="X782">
        <v>24</v>
      </c>
      <c r="AC782" t="s">
        <v>61</v>
      </c>
      <c r="AD782" t="s">
        <v>302</v>
      </c>
      <c r="AE782" t="s">
        <v>46</v>
      </c>
      <c r="AG782">
        <v>52</v>
      </c>
      <c r="AH782">
        <v>9</v>
      </c>
      <c r="AI782" t="s">
        <v>54</v>
      </c>
      <c r="AK782">
        <v>0</v>
      </c>
      <c r="AM782">
        <v>0</v>
      </c>
      <c r="AP782" t="s">
        <v>325</v>
      </c>
    </row>
    <row r="783" spans="1:42" customFormat="1">
      <c r="A783">
        <v>270559</v>
      </c>
      <c r="B783" t="s">
        <v>3634</v>
      </c>
      <c r="C783" t="s">
        <v>3635</v>
      </c>
      <c r="D783" s="22">
        <v>0</v>
      </c>
      <c r="E783" s="17">
        <v>42143</v>
      </c>
      <c r="F783" s="18">
        <v>0.41332175925925929</v>
      </c>
      <c r="G783" s="22">
        <v>30.86</v>
      </c>
      <c r="H783">
        <v>0</v>
      </c>
      <c r="I783" s="19" t="e">
        <f>I782 + (D783-G783)</f>
        <v>#VALUE!</v>
      </c>
      <c r="M783">
        <v>123738</v>
      </c>
      <c r="N783">
        <v>24</v>
      </c>
      <c r="O783" t="s">
        <v>68</v>
      </c>
      <c r="P783">
        <v>1</v>
      </c>
      <c r="R783">
        <v>575</v>
      </c>
      <c r="S783" s="17">
        <v>42145</v>
      </c>
      <c r="T783" s="17">
        <v>42145</v>
      </c>
      <c r="W783">
        <v>2015</v>
      </c>
      <c r="X783">
        <v>24</v>
      </c>
      <c r="AC783" t="s">
        <v>61</v>
      </c>
      <c r="AD783" t="s">
        <v>302</v>
      </c>
      <c r="AE783" t="s">
        <v>46</v>
      </c>
      <c r="AG783">
        <v>52</v>
      </c>
      <c r="AH783">
        <v>9</v>
      </c>
      <c r="AI783" t="s">
        <v>54</v>
      </c>
      <c r="AK783">
        <v>0</v>
      </c>
      <c r="AM783">
        <v>0</v>
      </c>
      <c r="AP783" t="s">
        <v>325</v>
      </c>
    </row>
    <row r="784" spans="1:42" customFormat="1">
      <c r="A784">
        <v>270560</v>
      </c>
      <c r="B784" t="s">
        <v>3636</v>
      </c>
      <c r="C784" t="s">
        <v>3637</v>
      </c>
      <c r="D784" s="22">
        <v>0</v>
      </c>
      <c r="E784" s="17">
        <v>42143</v>
      </c>
      <c r="F784" s="18">
        <v>0.41332175925925929</v>
      </c>
      <c r="G784" s="22">
        <v>16.920000000000002</v>
      </c>
      <c r="H784">
        <v>0</v>
      </c>
      <c r="I784" s="19" t="e">
        <f>I783 + (D784-G784)</f>
        <v>#VALUE!</v>
      </c>
      <c r="M784">
        <v>123739</v>
      </c>
      <c r="N784">
        <v>24</v>
      </c>
      <c r="O784" t="s">
        <v>68</v>
      </c>
      <c r="P784">
        <v>1</v>
      </c>
      <c r="R784">
        <v>575</v>
      </c>
      <c r="S784" s="17">
        <v>42145</v>
      </c>
      <c r="T784" s="17">
        <v>42145</v>
      </c>
      <c r="W784">
        <v>2015</v>
      </c>
      <c r="X784">
        <v>24</v>
      </c>
      <c r="AC784" t="s">
        <v>61</v>
      </c>
      <c r="AD784" t="s">
        <v>302</v>
      </c>
      <c r="AE784" t="s">
        <v>46</v>
      </c>
      <c r="AG784">
        <v>52</v>
      </c>
      <c r="AH784">
        <v>9</v>
      </c>
      <c r="AI784" t="s">
        <v>54</v>
      </c>
      <c r="AK784">
        <v>0</v>
      </c>
      <c r="AM784">
        <v>0</v>
      </c>
      <c r="AP784" t="s">
        <v>325</v>
      </c>
    </row>
    <row r="785" spans="1:42" customFormat="1">
      <c r="A785">
        <v>270564</v>
      </c>
      <c r="B785" t="s">
        <v>3638</v>
      </c>
      <c r="C785" t="s">
        <v>3639</v>
      </c>
      <c r="D785" s="22">
        <v>0</v>
      </c>
      <c r="E785" s="17">
        <v>42143</v>
      </c>
      <c r="F785" s="18">
        <v>0.41512731481481485</v>
      </c>
      <c r="G785" s="22">
        <v>15</v>
      </c>
      <c r="H785">
        <v>0</v>
      </c>
      <c r="I785" s="19" t="e">
        <f>I784 + (D785-G785)</f>
        <v>#VALUE!</v>
      </c>
      <c r="M785">
        <v>123752</v>
      </c>
      <c r="N785">
        <v>24</v>
      </c>
      <c r="O785" t="s">
        <v>68</v>
      </c>
      <c r="P785">
        <v>1</v>
      </c>
      <c r="R785">
        <v>575</v>
      </c>
      <c r="S785" s="17">
        <v>42145</v>
      </c>
      <c r="T785" s="17">
        <v>42145</v>
      </c>
      <c r="W785">
        <v>2015</v>
      </c>
      <c r="X785">
        <v>24</v>
      </c>
      <c r="AC785" t="s">
        <v>61</v>
      </c>
      <c r="AD785" t="s">
        <v>302</v>
      </c>
      <c r="AE785" t="s">
        <v>46</v>
      </c>
      <c r="AG785">
        <v>52</v>
      </c>
      <c r="AH785">
        <v>9</v>
      </c>
      <c r="AI785" t="s">
        <v>54</v>
      </c>
      <c r="AK785">
        <v>0</v>
      </c>
      <c r="AM785">
        <v>0</v>
      </c>
      <c r="AP785" t="s">
        <v>325</v>
      </c>
    </row>
    <row r="786" spans="1:42" customFormat="1">
      <c r="A786">
        <v>270565</v>
      </c>
      <c r="B786" t="s">
        <v>3640</v>
      </c>
      <c r="C786" t="s">
        <v>3641</v>
      </c>
      <c r="D786" s="22">
        <v>0</v>
      </c>
      <c r="E786" s="17">
        <v>42143</v>
      </c>
      <c r="F786" s="18">
        <v>0.41512731481481485</v>
      </c>
      <c r="G786" s="22">
        <v>15</v>
      </c>
      <c r="H786">
        <v>0</v>
      </c>
      <c r="I786" s="19" t="e">
        <f>I785 + (D786-G786)</f>
        <v>#VALUE!</v>
      </c>
      <c r="M786">
        <v>123762</v>
      </c>
      <c r="N786">
        <v>24</v>
      </c>
      <c r="O786" t="s">
        <v>68</v>
      </c>
      <c r="P786">
        <v>1</v>
      </c>
      <c r="R786">
        <v>575</v>
      </c>
      <c r="S786" s="17">
        <v>42145</v>
      </c>
      <c r="T786" s="17">
        <v>42145</v>
      </c>
      <c r="W786">
        <v>2015</v>
      </c>
      <c r="X786">
        <v>24</v>
      </c>
      <c r="AC786" t="s">
        <v>61</v>
      </c>
      <c r="AD786" t="s">
        <v>302</v>
      </c>
      <c r="AE786" t="s">
        <v>46</v>
      </c>
      <c r="AG786">
        <v>52</v>
      </c>
      <c r="AH786">
        <v>9</v>
      </c>
      <c r="AI786" t="s">
        <v>54</v>
      </c>
      <c r="AK786">
        <v>0</v>
      </c>
      <c r="AM786">
        <v>0</v>
      </c>
      <c r="AP786" t="s">
        <v>325</v>
      </c>
    </row>
    <row r="787" spans="1:42" customFormat="1">
      <c r="A787">
        <v>270566</v>
      </c>
      <c r="B787" t="s">
        <v>3642</v>
      </c>
      <c r="C787" t="s">
        <v>3643</v>
      </c>
      <c r="D787" s="22">
        <v>0</v>
      </c>
      <c r="E787" s="17">
        <v>42143</v>
      </c>
      <c r="F787" s="18">
        <v>0.41513888888888889</v>
      </c>
      <c r="G787" s="22">
        <v>15</v>
      </c>
      <c r="H787">
        <v>0</v>
      </c>
      <c r="I787" s="19" t="e">
        <f>I786 + (D787-G787)</f>
        <v>#VALUE!</v>
      </c>
      <c r="M787">
        <v>123772</v>
      </c>
      <c r="N787">
        <v>24</v>
      </c>
      <c r="O787" t="s">
        <v>68</v>
      </c>
      <c r="P787">
        <v>1</v>
      </c>
      <c r="R787">
        <v>575</v>
      </c>
      <c r="S787" s="17">
        <v>42145</v>
      </c>
      <c r="T787" s="17">
        <v>42145</v>
      </c>
      <c r="W787">
        <v>2015</v>
      </c>
      <c r="X787">
        <v>24</v>
      </c>
      <c r="AC787" t="s">
        <v>61</v>
      </c>
      <c r="AD787" t="s">
        <v>302</v>
      </c>
      <c r="AE787" t="s">
        <v>46</v>
      </c>
      <c r="AG787">
        <v>52</v>
      </c>
      <c r="AH787">
        <v>9</v>
      </c>
      <c r="AI787" t="s">
        <v>54</v>
      </c>
      <c r="AK787">
        <v>0</v>
      </c>
      <c r="AM787">
        <v>0</v>
      </c>
      <c r="AP787" t="s">
        <v>325</v>
      </c>
    </row>
    <row r="788" spans="1:42" customFormat="1">
      <c r="A788">
        <v>270567</v>
      </c>
      <c r="B788" t="s">
        <v>3644</v>
      </c>
      <c r="C788" t="s">
        <v>3645</v>
      </c>
      <c r="D788" s="22">
        <v>0</v>
      </c>
      <c r="E788" s="17">
        <v>42143</v>
      </c>
      <c r="F788" s="18">
        <v>0.41513888888888889</v>
      </c>
      <c r="G788" s="22">
        <v>11.09</v>
      </c>
      <c r="H788">
        <v>0</v>
      </c>
      <c r="I788" s="19" t="e">
        <f>I787 + (D788-G788)</f>
        <v>#VALUE!</v>
      </c>
      <c r="M788">
        <v>123743</v>
      </c>
      <c r="N788">
        <v>24</v>
      </c>
      <c r="O788" t="s">
        <v>68</v>
      </c>
      <c r="P788">
        <v>1</v>
      </c>
      <c r="R788">
        <v>575</v>
      </c>
      <c r="S788" s="17">
        <v>42145</v>
      </c>
      <c r="T788" s="17">
        <v>42145</v>
      </c>
      <c r="W788">
        <v>2015</v>
      </c>
      <c r="X788">
        <v>24</v>
      </c>
      <c r="AC788" t="s">
        <v>61</v>
      </c>
      <c r="AD788" t="s">
        <v>302</v>
      </c>
      <c r="AE788" t="s">
        <v>46</v>
      </c>
      <c r="AG788">
        <v>52</v>
      </c>
      <c r="AH788">
        <v>9</v>
      </c>
      <c r="AI788" t="s">
        <v>54</v>
      </c>
      <c r="AK788">
        <v>0</v>
      </c>
      <c r="AM788">
        <v>0</v>
      </c>
      <c r="AP788" t="s">
        <v>325</v>
      </c>
    </row>
    <row r="789" spans="1:42" customFormat="1">
      <c r="A789">
        <v>270568</v>
      </c>
      <c r="B789" t="s">
        <v>3646</v>
      </c>
      <c r="C789" t="s">
        <v>3647</v>
      </c>
      <c r="D789" s="22">
        <v>0</v>
      </c>
      <c r="E789" s="17">
        <v>42143</v>
      </c>
      <c r="F789" s="18">
        <v>0.41513888888888889</v>
      </c>
      <c r="G789" s="22">
        <v>15</v>
      </c>
      <c r="H789">
        <v>0</v>
      </c>
      <c r="I789" s="19" t="e">
        <f>I788 + (D789-G789)</f>
        <v>#VALUE!</v>
      </c>
      <c r="M789">
        <v>123753</v>
      </c>
      <c r="N789">
        <v>24</v>
      </c>
      <c r="O789" t="s">
        <v>68</v>
      </c>
      <c r="P789">
        <v>1</v>
      </c>
      <c r="R789">
        <v>575</v>
      </c>
      <c r="S789" s="17">
        <v>42145</v>
      </c>
      <c r="T789" s="17">
        <v>42145</v>
      </c>
      <c r="W789">
        <v>2015</v>
      </c>
      <c r="X789">
        <v>24</v>
      </c>
      <c r="AC789" t="s">
        <v>61</v>
      </c>
      <c r="AD789" t="s">
        <v>302</v>
      </c>
      <c r="AE789" t="s">
        <v>46</v>
      </c>
      <c r="AG789">
        <v>52</v>
      </c>
      <c r="AH789">
        <v>9</v>
      </c>
      <c r="AI789" t="s">
        <v>54</v>
      </c>
      <c r="AK789">
        <v>0</v>
      </c>
      <c r="AM789">
        <v>0</v>
      </c>
      <c r="AP789" t="s">
        <v>325</v>
      </c>
    </row>
    <row r="790" spans="1:42" customFormat="1">
      <c r="A790">
        <v>270569</v>
      </c>
      <c r="B790" t="s">
        <v>3648</v>
      </c>
      <c r="C790" t="s">
        <v>3649</v>
      </c>
      <c r="D790" s="22">
        <v>0</v>
      </c>
      <c r="E790" s="17">
        <v>42143</v>
      </c>
      <c r="F790" s="18">
        <v>0.41513888888888889</v>
      </c>
      <c r="G790" s="22">
        <v>15</v>
      </c>
      <c r="H790">
        <v>0</v>
      </c>
      <c r="I790" s="19" t="e">
        <f>I789 + (D790-G790)</f>
        <v>#VALUE!</v>
      </c>
      <c r="M790">
        <v>123763</v>
      </c>
      <c r="N790">
        <v>24</v>
      </c>
      <c r="O790" t="s">
        <v>68</v>
      </c>
      <c r="P790">
        <v>1</v>
      </c>
      <c r="R790">
        <v>575</v>
      </c>
      <c r="S790" s="17">
        <v>42145</v>
      </c>
      <c r="T790" s="17">
        <v>42145</v>
      </c>
      <c r="W790">
        <v>2015</v>
      </c>
      <c r="X790">
        <v>24</v>
      </c>
      <c r="AC790" t="s">
        <v>61</v>
      </c>
      <c r="AD790" t="s">
        <v>302</v>
      </c>
      <c r="AE790" t="s">
        <v>46</v>
      </c>
      <c r="AG790">
        <v>52</v>
      </c>
      <c r="AH790">
        <v>9</v>
      </c>
      <c r="AI790" t="s">
        <v>54</v>
      </c>
      <c r="AK790">
        <v>0</v>
      </c>
      <c r="AM790">
        <v>0</v>
      </c>
      <c r="AP790" t="s">
        <v>325</v>
      </c>
    </row>
    <row r="791" spans="1:42" customFormat="1">
      <c r="A791">
        <v>270570</v>
      </c>
      <c r="B791" t="s">
        <v>3650</v>
      </c>
      <c r="C791" t="s">
        <v>3651</v>
      </c>
      <c r="D791" s="22">
        <v>0</v>
      </c>
      <c r="E791" s="17">
        <v>42143</v>
      </c>
      <c r="F791" s="18">
        <v>0.41513888888888889</v>
      </c>
      <c r="G791" s="22">
        <v>15</v>
      </c>
      <c r="H791">
        <v>0</v>
      </c>
      <c r="I791" s="19" t="e">
        <f>I790 + (D791-G791)</f>
        <v>#VALUE!</v>
      </c>
      <c r="M791">
        <v>123773</v>
      </c>
      <c r="N791">
        <v>24</v>
      </c>
      <c r="O791" t="s">
        <v>68</v>
      </c>
      <c r="P791">
        <v>1</v>
      </c>
      <c r="R791">
        <v>575</v>
      </c>
      <c r="S791" s="17">
        <v>42145</v>
      </c>
      <c r="T791" s="17">
        <v>42145</v>
      </c>
      <c r="W791">
        <v>2015</v>
      </c>
      <c r="X791">
        <v>24</v>
      </c>
      <c r="AC791" t="s">
        <v>61</v>
      </c>
      <c r="AD791" t="s">
        <v>302</v>
      </c>
      <c r="AE791" t="s">
        <v>46</v>
      </c>
      <c r="AG791">
        <v>52</v>
      </c>
      <c r="AH791">
        <v>9</v>
      </c>
      <c r="AI791" t="s">
        <v>54</v>
      </c>
      <c r="AK791">
        <v>0</v>
      </c>
      <c r="AM791">
        <v>0</v>
      </c>
      <c r="AP791" t="s">
        <v>325</v>
      </c>
    </row>
    <row r="792" spans="1:42" customFormat="1">
      <c r="A792">
        <v>270571</v>
      </c>
      <c r="B792" t="s">
        <v>3652</v>
      </c>
      <c r="C792" t="s">
        <v>3653</v>
      </c>
      <c r="D792" s="22">
        <v>0</v>
      </c>
      <c r="E792" s="17">
        <v>42143</v>
      </c>
      <c r="F792" s="18">
        <v>0.41513888888888889</v>
      </c>
      <c r="G792" s="22">
        <v>15</v>
      </c>
      <c r="H792">
        <v>0</v>
      </c>
      <c r="I792" s="19" t="e">
        <f>I791 + (D792-G792)</f>
        <v>#VALUE!</v>
      </c>
      <c r="M792">
        <v>123744</v>
      </c>
      <c r="N792">
        <v>24</v>
      </c>
      <c r="O792" t="s">
        <v>68</v>
      </c>
      <c r="P792">
        <v>1</v>
      </c>
      <c r="R792">
        <v>575</v>
      </c>
      <c r="S792" s="17">
        <v>42145</v>
      </c>
      <c r="T792" s="17">
        <v>42145</v>
      </c>
      <c r="W792">
        <v>2015</v>
      </c>
      <c r="X792">
        <v>24</v>
      </c>
      <c r="AC792" t="s">
        <v>61</v>
      </c>
      <c r="AD792" t="s">
        <v>302</v>
      </c>
      <c r="AE792" t="s">
        <v>46</v>
      </c>
      <c r="AG792">
        <v>52</v>
      </c>
      <c r="AH792">
        <v>9</v>
      </c>
      <c r="AI792" t="s">
        <v>54</v>
      </c>
      <c r="AK792">
        <v>0</v>
      </c>
      <c r="AM792">
        <v>0</v>
      </c>
      <c r="AP792" t="s">
        <v>325</v>
      </c>
    </row>
    <row r="793" spans="1:42" customFormat="1">
      <c r="A793">
        <v>270572</v>
      </c>
      <c r="B793" t="s">
        <v>3654</v>
      </c>
      <c r="C793" t="s">
        <v>3655</v>
      </c>
      <c r="D793" s="22">
        <v>0</v>
      </c>
      <c r="E793" s="17">
        <v>42143</v>
      </c>
      <c r="F793" s="18">
        <v>0.41513888888888889</v>
      </c>
      <c r="G793" s="22">
        <v>15</v>
      </c>
      <c r="H793">
        <v>0</v>
      </c>
      <c r="I793" s="19" t="e">
        <f>I792 + (D793-G793)</f>
        <v>#VALUE!</v>
      </c>
      <c r="M793">
        <v>123754</v>
      </c>
      <c r="N793">
        <v>24</v>
      </c>
      <c r="O793" t="s">
        <v>68</v>
      </c>
      <c r="P793">
        <v>1</v>
      </c>
      <c r="R793">
        <v>575</v>
      </c>
      <c r="S793" s="17">
        <v>42145</v>
      </c>
      <c r="T793" s="17">
        <v>42145</v>
      </c>
      <c r="W793">
        <v>2015</v>
      </c>
      <c r="X793">
        <v>24</v>
      </c>
      <c r="AC793" t="s">
        <v>61</v>
      </c>
      <c r="AD793" t="s">
        <v>302</v>
      </c>
      <c r="AE793" t="s">
        <v>46</v>
      </c>
      <c r="AG793">
        <v>52</v>
      </c>
      <c r="AH793">
        <v>9</v>
      </c>
      <c r="AI793" t="s">
        <v>54</v>
      </c>
      <c r="AK793">
        <v>0</v>
      </c>
      <c r="AM793">
        <v>0</v>
      </c>
      <c r="AP793" t="s">
        <v>325</v>
      </c>
    </row>
    <row r="794" spans="1:42" customFormat="1">
      <c r="A794">
        <v>270573</v>
      </c>
      <c r="B794" t="s">
        <v>3656</v>
      </c>
      <c r="C794" t="s">
        <v>3657</v>
      </c>
      <c r="D794" s="22">
        <v>0</v>
      </c>
      <c r="E794" s="17">
        <v>42143</v>
      </c>
      <c r="F794" s="18">
        <v>0.41513888888888889</v>
      </c>
      <c r="G794" s="22">
        <v>15</v>
      </c>
      <c r="H794">
        <v>0</v>
      </c>
      <c r="I794" s="19" t="e">
        <f>I793 + (D794-G794)</f>
        <v>#VALUE!</v>
      </c>
      <c r="M794">
        <v>123764</v>
      </c>
      <c r="N794">
        <v>24</v>
      </c>
      <c r="O794" t="s">
        <v>68</v>
      </c>
      <c r="P794">
        <v>1</v>
      </c>
      <c r="R794">
        <v>575</v>
      </c>
      <c r="S794" s="17">
        <v>42145</v>
      </c>
      <c r="T794" s="17">
        <v>42145</v>
      </c>
      <c r="W794">
        <v>2015</v>
      </c>
      <c r="X794">
        <v>24</v>
      </c>
      <c r="AC794" t="s">
        <v>61</v>
      </c>
      <c r="AD794" t="s">
        <v>302</v>
      </c>
      <c r="AE794" t="s">
        <v>46</v>
      </c>
      <c r="AG794">
        <v>52</v>
      </c>
      <c r="AH794">
        <v>9</v>
      </c>
      <c r="AI794" t="s">
        <v>54</v>
      </c>
      <c r="AK794">
        <v>0</v>
      </c>
      <c r="AM794">
        <v>0</v>
      </c>
      <c r="AP794" t="s">
        <v>325</v>
      </c>
    </row>
    <row r="795" spans="1:42" customFormat="1">
      <c r="A795">
        <v>270574</v>
      </c>
      <c r="B795" t="s">
        <v>3658</v>
      </c>
      <c r="C795" t="s">
        <v>3659</v>
      </c>
      <c r="D795" s="22">
        <v>0</v>
      </c>
      <c r="E795" s="17">
        <v>42143</v>
      </c>
      <c r="F795" s="18">
        <v>0.41513888888888889</v>
      </c>
      <c r="G795" s="22">
        <v>15</v>
      </c>
      <c r="H795">
        <v>0</v>
      </c>
      <c r="I795" s="19" t="e">
        <f>I794 + (D795-G795)</f>
        <v>#VALUE!</v>
      </c>
      <c r="M795">
        <v>123774</v>
      </c>
      <c r="N795">
        <v>24</v>
      </c>
      <c r="O795" t="s">
        <v>68</v>
      </c>
      <c r="P795">
        <v>1</v>
      </c>
      <c r="R795">
        <v>575</v>
      </c>
      <c r="S795" s="17">
        <v>42145</v>
      </c>
      <c r="T795" s="17">
        <v>42145</v>
      </c>
      <c r="W795">
        <v>2015</v>
      </c>
      <c r="X795">
        <v>24</v>
      </c>
      <c r="AC795" t="s">
        <v>61</v>
      </c>
      <c r="AD795" t="s">
        <v>302</v>
      </c>
      <c r="AE795" t="s">
        <v>46</v>
      </c>
      <c r="AG795">
        <v>52</v>
      </c>
      <c r="AH795">
        <v>9</v>
      </c>
      <c r="AI795" t="s">
        <v>54</v>
      </c>
      <c r="AK795">
        <v>0</v>
      </c>
      <c r="AM795">
        <v>0</v>
      </c>
      <c r="AP795" t="s">
        <v>325</v>
      </c>
    </row>
    <row r="796" spans="1:42" customFormat="1">
      <c r="A796">
        <v>270575</v>
      </c>
      <c r="B796" t="s">
        <v>3660</v>
      </c>
      <c r="C796" t="s">
        <v>3661</v>
      </c>
      <c r="D796" s="22">
        <v>0</v>
      </c>
      <c r="E796" s="17">
        <v>42143</v>
      </c>
      <c r="F796" s="18">
        <v>0.41513888888888889</v>
      </c>
      <c r="G796" s="22">
        <v>15</v>
      </c>
      <c r="H796">
        <v>0</v>
      </c>
      <c r="I796" s="19" t="e">
        <f>I795 + (D796-G796)</f>
        <v>#VALUE!</v>
      </c>
      <c r="M796">
        <v>123745</v>
      </c>
      <c r="N796">
        <v>24</v>
      </c>
      <c r="O796" t="s">
        <v>68</v>
      </c>
      <c r="P796">
        <v>1</v>
      </c>
      <c r="R796">
        <v>575</v>
      </c>
      <c r="S796" s="17">
        <v>42145</v>
      </c>
      <c r="T796" s="17">
        <v>42145</v>
      </c>
      <c r="W796">
        <v>2015</v>
      </c>
      <c r="X796">
        <v>24</v>
      </c>
      <c r="AC796" t="s">
        <v>61</v>
      </c>
      <c r="AD796" t="s">
        <v>302</v>
      </c>
      <c r="AE796" t="s">
        <v>46</v>
      </c>
      <c r="AG796">
        <v>52</v>
      </c>
      <c r="AH796">
        <v>9</v>
      </c>
      <c r="AI796" t="s">
        <v>54</v>
      </c>
      <c r="AK796">
        <v>0</v>
      </c>
      <c r="AM796">
        <v>0</v>
      </c>
      <c r="AP796" t="s">
        <v>325</v>
      </c>
    </row>
    <row r="797" spans="1:42" customFormat="1">
      <c r="A797">
        <v>270576</v>
      </c>
      <c r="B797" t="s">
        <v>3662</v>
      </c>
      <c r="C797" t="s">
        <v>3663</v>
      </c>
      <c r="D797" s="22">
        <v>0</v>
      </c>
      <c r="E797" s="17">
        <v>42143</v>
      </c>
      <c r="F797" s="18">
        <v>0.41513888888888889</v>
      </c>
      <c r="G797" s="22">
        <v>15</v>
      </c>
      <c r="H797">
        <v>0</v>
      </c>
      <c r="I797" s="19" t="e">
        <f>I796 + (D797-G797)</f>
        <v>#VALUE!</v>
      </c>
      <c r="M797">
        <v>123755</v>
      </c>
      <c r="N797">
        <v>24</v>
      </c>
      <c r="O797" t="s">
        <v>68</v>
      </c>
      <c r="P797">
        <v>1</v>
      </c>
      <c r="R797">
        <v>575</v>
      </c>
      <c r="S797" s="17">
        <v>42145</v>
      </c>
      <c r="T797" s="17">
        <v>42145</v>
      </c>
      <c r="W797">
        <v>2015</v>
      </c>
      <c r="X797">
        <v>24</v>
      </c>
      <c r="AC797" t="s">
        <v>61</v>
      </c>
      <c r="AD797" t="s">
        <v>302</v>
      </c>
      <c r="AE797" t="s">
        <v>46</v>
      </c>
      <c r="AG797">
        <v>52</v>
      </c>
      <c r="AH797">
        <v>9</v>
      </c>
      <c r="AI797" t="s">
        <v>54</v>
      </c>
      <c r="AK797">
        <v>0</v>
      </c>
      <c r="AM797">
        <v>0</v>
      </c>
      <c r="AP797" t="s">
        <v>325</v>
      </c>
    </row>
    <row r="798" spans="1:42" customFormat="1">
      <c r="A798">
        <v>270577</v>
      </c>
      <c r="B798" t="s">
        <v>3664</v>
      </c>
      <c r="C798" t="s">
        <v>3665</v>
      </c>
      <c r="D798" s="22">
        <v>0</v>
      </c>
      <c r="E798" s="17">
        <v>42143</v>
      </c>
      <c r="F798" s="18">
        <v>0.41513888888888889</v>
      </c>
      <c r="G798" s="22">
        <v>15</v>
      </c>
      <c r="H798">
        <v>0</v>
      </c>
      <c r="I798" s="19" t="e">
        <f>I797 + (D798-G798)</f>
        <v>#VALUE!</v>
      </c>
      <c r="M798">
        <v>123765</v>
      </c>
      <c r="N798">
        <v>24</v>
      </c>
      <c r="O798" t="s">
        <v>68</v>
      </c>
      <c r="P798">
        <v>1</v>
      </c>
      <c r="R798">
        <v>575</v>
      </c>
      <c r="S798" s="17">
        <v>42145</v>
      </c>
      <c r="T798" s="17">
        <v>42145</v>
      </c>
      <c r="W798">
        <v>2015</v>
      </c>
      <c r="X798">
        <v>24</v>
      </c>
      <c r="AC798" t="s">
        <v>61</v>
      </c>
      <c r="AD798" t="s">
        <v>302</v>
      </c>
      <c r="AE798" t="s">
        <v>46</v>
      </c>
      <c r="AG798">
        <v>52</v>
      </c>
      <c r="AH798">
        <v>9</v>
      </c>
      <c r="AI798" t="s">
        <v>54</v>
      </c>
      <c r="AK798">
        <v>0</v>
      </c>
      <c r="AM798">
        <v>0</v>
      </c>
      <c r="AP798" t="s">
        <v>325</v>
      </c>
    </row>
    <row r="799" spans="1:42" customFormat="1">
      <c r="A799">
        <v>270578</v>
      </c>
      <c r="B799" t="s">
        <v>3666</v>
      </c>
      <c r="C799" t="s">
        <v>3667</v>
      </c>
      <c r="D799" s="22">
        <v>0</v>
      </c>
      <c r="E799" s="17">
        <v>42143</v>
      </c>
      <c r="F799" s="18">
        <v>0.41513888888888889</v>
      </c>
      <c r="G799" s="22">
        <v>15</v>
      </c>
      <c r="H799">
        <v>0</v>
      </c>
      <c r="I799" s="19" t="e">
        <f>I798 + (D799-G799)</f>
        <v>#VALUE!</v>
      </c>
      <c r="M799">
        <v>123775</v>
      </c>
      <c r="N799">
        <v>24</v>
      </c>
      <c r="O799" t="s">
        <v>68</v>
      </c>
      <c r="P799">
        <v>1</v>
      </c>
      <c r="R799">
        <v>575</v>
      </c>
      <c r="S799" s="17">
        <v>42145</v>
      </c>
      <c r="T799" s="17">
        <v>42145</v>
      </c>
      <c r="W799">
        <v>2015</v>
      </c>
      <c r="X799">
        <v>24</v>
      </c>
      <c r="AC799" t="s">
        <v>61</v>
      </c>
      <c r="AD799" t="s">
        <v>302</v>
      </c>
      <c r="AE799" t="s">
        <v>46</v>
      </c>
      <c r="AG799">
        <v>52</v>
      </c>
      <c r="AH799">
        <v>9</v>
      </c>
      <c r="AI799" t="s">
        <v>54</v>
      </c>
      <c r="AK799">
        <v>0</v>
      </c>
      <c r="AM799">
        <v>0</v>
      </c>
      <c r="AP799" t="s">
        <v>325</v>
      </c>
    </row>
    <row r="800" spans="1:42" customFormat="1">
      <c r="A800">
        <v>270579</v>
      </c>
      <c r="B800" t="s">
        <v>3668</v>
      </c>
      <c r="C800" t="s">
        <v>3669</v>
      </c>
      <c r="D800" s="22">
        <v>0</v>
      </c>
      <c r="E800" s="17">
        <v>42143</v>
      </c>
      <c r="F800" s="18">
        <v>0.41515046296296299</v>
      </c>
      <c r="G800" s="22">
        <v>15</v>
      </c>
      <c r="H800">
        <v>0</v>
      </c>
      <c r="I800" s="19" t="e">
        <f>I799 + (D800-G800)</f>
        <v>#VALUE!</v>
      </c>
      <c r="M800">
        <v>123746</v>
      </c>
      <c r="N800">
        <v>24</v>
      </c>
      <c r="O800" t="s">
        <v>68</v>
      </c>
      <c r="P800">
        <v>1</v>
      </c>
      <c r="R800">
        <v>575</v>
      </c>
      <c r="S800" s="17">
        <v>42145</v>
      </c>
      <c r="T800" s="17">
        <v>42145</v>
      </c>
      <c r="W800">
        <v>2015</v>
      </c>
      <c r="X800">
        <v>24</v>
      </c>
      <c r="AC800" t="s">
        <v>61</v>
      </c>
      <c r="AD800" t="s">
        <v>302</v>
      </c>
      <c r="AE800" t="s">
        <v>46</v>
      </c>
      <c r="AG800">
        <v>52</v>
      </c>
      <c r="AH800">
        <v>9</v>
      </c>
      <c r="AI800" t="s">
        <v>54</v>
      </c>
      <c r="AK800">
        <v>0</v>
      </c>
      <c r="AM800">
        <v>0</v>
      </c>
      <c r="AP800" t="s">
        <v>325</v>
      </c>
    </row>
    <row r="801" spans="1:42" customFormat="1">
      <c r="A801">
        <v>270580</v>
      </c>
      <c r="B801" t="s">
        <v>3670</v>
      </c>
      <c r="C801" t="s">
        <v>3671</v>
      </c>
      <c r="D801" s="22">
        <v>0</v>
      </c>
      <c r="E801" s="17">
        <v>42143</v>
      </c>
      <c r="F801" s="18">
        <v>0.41515046296296299</v>
      </c>
      <c r="G801" s="22">
        <v>15</v>
      </c>
      <c r="H801">
        <v>0</v>
      </c>
      <c r="I801" s="19" t="e">
        <f>I800 + (D801-G801)</f>
        <v>#VALUE!</v>
      </c>
      <c r="M801">
        <v>123756</v>
      </c>
      <c r="N801">
        <v>24</v>
      </c>
      <c r="O801" t="s">
        <v>68</v>
      </c>
      <c r="P801">
        <v>1</v>
      </c>
      <c r="R801">
        <v>575</v>
      </c>
      <c r="S801" s="17">
        <v>42145</v>
      </c>
      <c r="T801" s="17">
        <v>42145</v>
      </c>
      <c r="W801">
        <v>2015</v>
      </c>
      <c r="X801">
        <v>24</v>
      </c>
      <c r="AC801" t="s">
        <v>61</v>
      </c>
      <c r="AD801" t="s">
        <v>302</v>
      </c>
      <c r="AE801" t="s">
        <v>46</v>
      </c>
      <c r="AG801">
        <v>52</v>
      </c>
      <c r="AH801">
        <v>9</v>
      </c>
      <c r="AI801" t="s">
        <v>54</v>
      </c>
      <c r="AK801">
        <v>0</v>
      </c>
      <c r="AM801">
        <v>0</v>
      </c>
      <c r="AP801" t="s">
        <v>325</v>
      </c>
    </row>
    <row r="802" spans="1:42" customFormat="1">
      <c r="A802">
        <v>270581</v>
      </c>
      <c r="B802" t="s">
        <v>3672</v>
      </c>
      <c r="C802" t="s">
        <v>3673</v>
      </c>
      <c r="D802" s="22">
        <v>0</v>
      </c>
      <c r="E802" s="17">
        <v>42143</v>
      </c>
      <c r="F802" s="18">
        <v>0.41515046296296299</v>
      </c>
      <c r="G802" s="22">
        <v>15</v>
      </c>
      <c r="H802">
        <v>0</v>
      </c>
      <c r="I802" s="19" t="e">
        <f>I801 + (D802-G802)</f>
        <v>#VALUE!</v>
      </c>
      <c r="M802">
        <v>123766</v>
      </c>
      <c r="N802">
        <v>24</v>
      </c>
      <c r="O802" t="s">
        <v>68</v>
      </c>
      <c r="P802">
        <v>1</v>
      </c>
      <c r="R802">
        <v>575</v>
      </c>
      <c r="S802" s="17">
        <v>42145</v>
      </c>
      <c r="T802" s="17">
        <v>42145</v>
      </c>
      <c r="W802">
        <v>2015</v>
      </c>
      <c r="X802">
        <v>24</v>
      </c>
      <c r="AC802" t="s">
        <v>61</v>
      </c>
      <c r="AD802" t="s">
        <v>302</v>
      </c>
      <c r="AE802" t="s">
        <v>46</v>
      </c>
      <c r="AG802">
        <v>52</v>
      </c>
      <c r="AH802">
        <v>9</v>
      </c>
      <c r="AI802" t="s">
        <v>54</v>
      </c>
      <c r="AK802">
        <v>0</v>
      </c>
      <c r="AM802">
        <v>0</v>
      </c>
      <c r="AP802" t="s">
        <v>325</v>
      </c>
    </row>
    <row r="803" spans="1:42" customFormat="1">
      <c r="A803">
        <v>270582</v>
      </c>
      <c r="B803" t="s">
        <v>3674</v>
      </c>
      <c r="C803" t="s">
        <v>3675</v>
      </c>
      <c r="D803" s="22">
        <v>0</v>
      </c>
      <c r="E803" s="17">
        <v>42143</v>
      </c>
      <c r="F803" s="18">
        <v>0.41515046296296299</v>
      </c>
      <c r="G803" s="22">
        <v>15</v>
      </c>
      <c r="H803">
        <v>0</v>
      </c>
      <c r="I803" s="19" t="e">
        <f>I802 + (D803-G803)</f>
        <v>#VALUE!</v>
      </c>
      <c r="M803">
        <v>123776</v>
      </c>
      <c r="N803">
        <v>24</v>
      </c>
      <c r="O803" t="s">
        <v>68</v>
      </c>
      <c r="P803">
        <v>1</v>
      </c>
      <c r="R803">
        <v>575</v>
      </c>
      <c r="S803" s="17">
        <v>42145</v>
      </c>
      <c r="T803" s="17">
        <v>42145</v>
      </c>
      <c r="W803">
        <v>2015</v>
      </c>
      <c r="X803">
        <v>24</v>
      </c>
      <c r="AC803" t="s">
        <v>61</v>
      </c>
      <c r="AD803" t="s">
        <v>302</v>
      </c>
      <c r="AE803" t="s">
        <v>46</v>
      </c>
      <c r="AG803">
        <v>52</v>
      </c>
      <c r="AH803">
        <v>9</v>
      </c>
      <c r="AI803" t="s">
        <v>54</v>
      </c>
      <c r="AK803">
        <v>0</v>
      </c>
      <c r="AM803">
        <v>0</v>
      </c>
      <c r="AP803" t="s">
        <v>325</v>
      </c>
    </row>
    <row r="804" spans="1:42" customFormat="1">
      <c r="A804">
        <v>270583</v>
      </c>
      <c r="B804" t="s">
        <v>3676</v>
      </c>
      <c r="C804" t="s">
        <v>3677</v>
      </c>
      <c r="D804" s="22">
        <v>0</v>
      </c>
      <c r="E804" s="17">
        <v>42143</v>
      </c>
      <c r="F804" s="18">
        <v>0.41515046296296299</v>
      </c>
      <c r="G804" s="22">
        <v>15</v>
      </c>
      <c r="H804">
        <v>0</v>
      </c>
      <c r="I804" s="19" t="e">
        <f>I803 + (D804-G804)</f>
        <v>#VALUE!</v>
      </c>
      <c r="M804">
        <v>123747</v>
      </c>
      <c r="N804">
        <v>24</v>
      </c>
      <c r="O804" t="s">
        <v>68</v>
      </c>
      <c r="P804">
        <v>1</v>
      </c>
      <c r="R804">
        <v>575</v>
      </c>
      <c r="S804" s="17">
        <v>42145</v>
      </c>
      <c r="T804" s="17">
        <v>42145</v>
      </c>
      <c r="W804">
        <v>2015</v>
      </c>
      <c r="X804">
        <v>24</v>
      </c>
      <c r="AC804" t="s">
        <v>61</v>
      </c>
      <c r="AD804" t="s">
        <v>302</v>
      </c>
      <c r="AE804" t="s">
        <v>46</v>
      </c>
      <c r="AG804">
        <v>52</v>
      </c>
      <c r="AH804">
        <v>9</v>
      </c>
      <c r="AI804" t="s">
        <v>54</v>
      </c>
      <c r="AK804">
        <v>0</v>
      </c>
      <c r="AM804">
        <v>0</v>
      </c>
      <c r="AP804" t="s">
        <v>325</v>
      </c>
    </row>
    <row r="805" spans="1:42" customFormat="1">
      <c r="A805">
        <v>270584</v>
      </c>
      <c r="B805" t="s">
        <v>3678</v>
      </c>
      <c r="C805" t="s">
        <v>3679</v>
      </c>
      <c r="D805" s="22">
        <v>0</v>
      </c>
      <c r="E805" s="17">
        <v>42143</v>
      </c>
      <c r="F805" s="18">
        <v>0.41515046296296299</v>
      </c>
      <c r="G805" s="22">
        <v>15</v>
      </c>
      <c r="H805">
        <v>0</v>
      </c>
      <c r="I805" s="19" t="e">
        <f>I804 + (D805-G805)</f>
        <v>#VALUE!</v>
      </c>
      <c r="M805">
        <v>123757</v>
      </c>
      <c r="N805">
        <v>24</v>
      </c>
      <c r="O805" t="s">
        <v>68</v>
      </c>
      <c r="P805">
        <v>1</v>
      </c>
      <c r="R805">
        <v>575</v>
      </c>
      <c r="S805" s="17">
        <v>42145</v>
      </c>
      <c r="T805" s="17">
        <v>42145</v>
      </c>
      <c r="W805">
        <v>2015</v>
      </c>
      <c r="X805">
        <v>24</v>
      </c>
      <c r="AC805" t="s">
        <v>61</v>
      </c>
      <c r="AD805" t="s">
        <v>302</v>
      </c>
      <c r="AE805" t="s">
        <v>46</v>
      </c>
      <c r="AG805">
        <v>52</v>
      </c>
      <c r="AH805">
        <v>9</v>
      </c>
      <c r="AI805" t="s">
        <v>54</v>
      </c>
      <c r="AK805">
        <v>0</v>
      </c>
      <c r="AM805">
        <v>0</v>
      </c>
      <c r="AP805" t="s">
        <v>325</v>
      </c>
    </row>
    <row r="806" spans="1:42" customFormat="1">
      <c r="A806">
        <v>270585</v>
      </c>
      <c r="B806" t="s">
        <v>3680</v>
      </c>
      <c r="C806" t="s">
        <v>3681</v>
      </c>
      <c r="D806" s="22">
        <v>0</v>
      </c>
      <c r="E806" s="17">
        <v>42143</v>
      </c>
      <c r="F806" s="18">
        <v>0.41515046296296299</v>
      </c>
      <c r="G806" s="22">
        <v>15</v>
      </c>
      <c r="H806">
        <v>0</v>
      </c>
      <c r="I806" s="19" t="e">
        <f>I805 + (D806-G806)</f>
        <v>#VALUE!</v>
      </c>
      <c r="M806">
        <v>123767</v>
      </c>
      <c r="N806">
        <v>24</v>
      </c>
      <c r="O806" t="s">
        <v>68</v>
      </c>
      <c r="P806">
        <v>1</v>
      </c>
      <c r="R806">
        <v>575</v>
      </c>
      <c r="S806" s="17">
        <v>42145</v>
      </c>
      <c r="T806" s="17">
        <v>42145</v>
      </c>
      <c r="W806">
        <v>2015</v>
      </c>
      <c r="X806">
        <v>24</v>
      </c>
      <c r="AC806" t="s">
        <v>61</v>
      </c>
      <c r="AD806" t="s">
        <v>302</v>
      </c>
      <c r="AE806" t="s">
        <v>46</v>
      </c>
      <c r="AG806">
        <v>52</v>
      </c>
      <c r="AH806">
        <v>9</v>
      </c>
      <c r="AI806" t="s">
        <v>54</v>
      </c>
      <c r="AK806">
        <v>0</v>
      </c>
      <c r="AM806">
        <v>0</v>
      </c>
      <c r="AP806" t="s">
        <v>325</v>
      </c>
    </row>
    <row r="807" spans="1:42" customFormat="1">
      <c r="A807">
        <v>270586</v>
      </c>
      <c r="B807" t="s">
        <v>3682</v>
      </c>
      <c r="C807" t="s">
        <v>3683</v>
      </c>
      <c r="D807" s="22">
        <v>0</v>
      </c>
      <c r="E807" s="17">
        <v>42143</v>
      </c>
      <c r="F807" s="18">
        <v>0.41515046296296299</v>
      </c>
      <c r="G807" s="22">
        <v>15</v>
      </c>
      <c r="H807">
        <v>0</v>
      </c>
      <c r="I807" s="19" t="e">
        <f>I806 + (D807-G807)</f>
        <v>#VALUE!</v>
      </c>
      <c r="M807">
        <v>123777</v>
      </c>
      <c r="N807">
        <v>24</v>
      </c>
      <c r="O807" t="s">
        <v>68</v>
      </c>
      <c r="P807">
        <v>1</v>
      </c>
      <c r="R807">
        <v>575</v>
      </c>
      <c r="S807" s="17">
        <v>42145</v>
      </c>
      <c r="T807" s="17">
        <v>42145</v>
      </c>
      <c r="W807">
        <v>2015</v>
      </c>
      <c r="X807">
        <v>24</v>
      </c>
      <c r="AC807" t="s">
        <v>61</v>
      </c>
      <c r="AD807" t="s">
        <v>302</v>
      </c>
      <c r="AE807" t="s">
        <v>46</v>
      </c>
      <c r="AG807">
        <v>52</v>
      </c>
      <c r="AH807">
        <v>9</v>
      </c>
      <c r="AI807" t="s">
        <v>54</v>
      </c>
      <c r="AK807">
        <v>0</v>
      </c>
      <c r="AM807">
        <v>0</v>
      </c>
      <c r="AP807" t="s">
        <v>325</v>
      </c>
    </row>
    <row r="808" spans="1:42" customFormat="1">
      <c r="A808">
        <v>270587</v>
      </c>
      <c r="B808" t="s">
        <v>3684</v>
      </c>
      <c r="C808" t="s">
        <v>3685</v>
      </c>
      <c r="D808" s="22">
        <v>0</v>
      </c>
      <c r="E808" s="17">
        <v>42143</v>
      </c>
      <c r="F808" s="18">
        <v>0.41515046296296299</v>
      </c>
      <c r="G808" s="22">
        <v>15</v>
      </c>
      <c r="H808">
        <v>0</v>
      </c>
      <c r="I808" s="19" t="e">
        <f>I807 + (D808-G808)</f>
        <v>#VALUE!</v>
      </c>
      <c r="M808">
        <v>123748</v>
      </c>
      <c r="N808">
        <v>24</v>
      </c>
      <c r="O808" t="s">
        <v>68</v>
      </c>
      <c r="P808">
        <v>1</v>
      </c>
      <c r="R808">
        <v>575</v>
      </c>
      <c r="S808" s="17">
        <v>42145</v>
      </c>
      <c r="T808" s="17">
        <v>42145</v>
      </c>
      <c r="W808">
        <v>2015</v>
      </c>
      <c r="X808">
        <v>24</v>
      </c>
      <c r="AC808" t="s">
        <v>61</v>
      </c>
      <c r="AD808" t="s">
        <v>302</v>
      </c>
      <c r="AE808" t="s">
        <v>46</v>
      </c>
      <c r="AG808">
        <v>52</v>
      </c>
      <c r="AH808">
        <v>9</v>
      </c>
      <c r="AI808" t="s">
        <v>54</v>
      </c>
      <c r="AK808">
        <v>0</v>
      </c>
      <c r="AM808">
        <v>0</v>
      </c>
      <c r="AP808" t="s">
        <v>325</v>
      </c>
    </row>
    <row r="809" spans="1:42" customFormat="1">
      <c r="A809">
        <v>270588</v>
      </c>
      <c r="B809" t="s">
        <v>3686</v>
      </c>
      <c r="C809" t="s">
        <v>3687</v>
      </c>
      <c r="D809" s="22">
        <v>0</v>
      </c>
      <c r="E809" s="17">
        <v>42143</v>
      </c>
      <c r="F809" s="18">
        <v>0.41515046296296299</v>
      </c>
      <c r="G809" s="22">
        <v>15</v>
      </c>
      <c r="H809">
        <v>0</v>
      </c>
      <c r="I809" s="19" t="e">
        <f>I808 + (D809-G809)</f>
        <v>#VALUE!</v>
      </c>
      <c r="M809">
        <v>123758</v>
      </c>
      <c r="N809">
        <v>24</v>
      </c>
      <c r="O809" t="s">
        <v>68</v>
      </c>
      <c r="P809">
        <v>1</v>
      </c>
      <c r="R809">
        <v>575</v>
      </c>
      <c r="S809" s="17">
        <v>42145</v>
      </c>
      <c r="T809" s="17">
        <v>42145</v>
      </c>
      <c r="W809">
        <v>2015</v>
      </c>
      <c r="X809">
        <v>24</v>
      </c>
      <c r="AC809" t="s">
        <v>61</v>
      </c>
      <c r="AD809" t="s">
        <v>302</v>
      </c>
      <c r="AE809" t="s">
        <v>46</v>
      </c>
      <c r="AG809">
        <v>52</v>
      </c>
      <c r="AH809">
        <v>9</v>
      </c>
      <c r="AI809" t="s">
        <v>54</v>
      </c>
      <c r="AK809">
        <v>0</v>
      </c>
      <c r="AM809">
        <v>0</v>
      </c>
      <c r="AP809" t="s">
        <v>325</v>
      </c>
    </row>
    <row r="810" spans="1:42" customFormat="1">
      <c r="A810">
        <v>270589</v>
      </c>
      <c r="B810" t="s">
        <v>3688</v>
      </c>
      <c r="C810" t="s">
        <v>3689</v>
      </c>
      <c r="D810" s="22">
        <v>0</v>
      </c>
      <c r="E810" s="17">
        <v>42143</v>
      </c>
      <c r="F810" s="18">
        <v>0.41515046296296299</v>
      </c>
      <c r="G810" s="22">
        <v>15</v>
      </c>
      <c r="H810">
        <v>0</v>
      </c>
      <c r="I810" s="19" t="e">
        <f>I809 + (D810-G810)</f>
        <v>#VALUE!</v>
      </c>
      <c r="M810">
        <v>123768</v>
      </c>
      <c r="N810">
        <v>24</v>
      </c>
      <c r="O810" t="s">
        <v>68</v>
      </c>
      <c r="P810">
        <v>1</v>
      </c>
      <c r="R810">
        <v>575</v>
      </c>
      <c r="S810" s="17">
        <v>42145</v>
      </c>
      <c r="T810" s="17">
        <v>42145</v>
      </c>
      <c r="W810">
        <v>2015</v>
      </c>
      <c r="X810">
        <v>24</v>
      </c>
      <c r="AC810" t="s">
        <v>61</v>
      </c>
      <c r="AD810" t="s">
        <v>302</v>
      </c>
      <c r="AE810" t="s">
        <v>46</v>
      </c>
      <c r="AG810">
        <v>52</v>
      </c>
      <c r="AH810">
        <v>9</v>
      </c>
      <c r="AI810" t="s">
        <v>54</v>
      </c>
      <c r="AK810">
        <v>0</v>
      </c>
      <c r="AM810">
        <v>0</v>
      </c>
      <c r="AP810" t="s">
        <v>325</v>
      </c>
    </row>
    <row r="811" spans="1:42" customFormat="1">
      <c r="A811">
        <v>270594</v>
      </c>
      <c r="B811" t="s">
        <v>3690</v>
      </c>
      <c r="C811" t="s">
        <v>3691</v>
      </c>
      <c r="D811" s="22">
        <v>0</v>
      </c>
      <c r="E811" s="17">
        <v>42143</v>
      </c>
      <c r="F811" s="18">
        <v>0.41516203703703702</v>
      </c>
      <c r="G811" s="22">
        <v>15</v>
      </c>
      <c r="H811">
        <v>0</v>
      </c>
      <c r="I811" s="19" t="e">
        <f>I810 + (D811-G811)</f>
        <v>#VALUE!</v>
      </c>
      <c r="M811">
        <v>123750</v>
      </c>
      <c r="N811">
        <v>24</v>
      </c>
      <c r="O811" t="s">
        <v>68</v>
      </c>
      <c r="P811">
        <v>1</v>
      </c>
      <c r="R811">
        <v>575</v>
      </c>
      <c r="S811" s="17">
        <v>42145</v>
      </c>
      <c r="T811" s="17">
        <v>42145</v>
      </c>
      <c r="W811">
        <v>2015</v>
      </c>
      <c r="X811">
        <v>24</v>
      </c>
      <c r="AC811" t="s">
        <v>61</v>
      </c>
      <c r="AD811" t="s">
        <v>302</v>
      </c>
      <c r="AE811" t="s">
        <v>46</v>
      </c>
      <c r="AG811">
        <v>52</v>
      </c>
      <c r="AH811">
        <v>9</v>
      </c>
      <c r="AI811" t="s">
        <v>54</v>
      </c>
      <c r="AK811">
        <v>0</v>
      </c>
      <c r="AM811">
        <v>0</v>
      </c>
      <c r="AP811" t="s">
        <v>325</v>
      </c>
    </row>
    <row r="812" spans="1:42" customFormat="1">
      <c r="A812">
        <v>270595</v>
      </c>
      <c r="B812" t="s">
        <v>3692</v>
      </c>
      <c r="C812" t="s">
        <v>3693</v>
      </c>
      <c r="D812" s="22">
        <v>0</v>
      </c>
      <c r="E812" s="17">
        <v>42143</v>
      </c>
      <c r="F812" s="18">
        <v>0.41516203703703702</v>
      </c>
      <c r="G812" s="22">
        <v>15</v>
      </c>
      <c r="H812">
        <v>0</v>
      </c>
      <c r="I812" s="19" t="e">
        <f>I811 + (D812-G812)</f>
        <v>#VALUE!</v>
      </c>
      <c r="M812">
        <v>123760</v>
      </c>
      <c r="N812">
        <v>24</v>
      </c>
      <c r="O812" t="s">
        <v>68</v>
      </c>
      <c r="P812">
        <v>1</v>
      </c>
      <c r="R812">
        <v>575</v>
      </c>
      <c r="S812" s="17">
        <v>42145</v>
      </c>
      <c r="T812" s="17">
        <v>42145</v>
      </c>
      <c r="W812">
        <v>2015</v>
      </c>
      <c r="X812">
        <v>24</v>
      </c>
      <c r="AC812" t="s">
        <v>61</v>
      </c>
      <c r="AD812" t="s">
        <v>302</v>
      </c>
      <c r="AE812" t="s">
        <v>46</v>
      </c>
      <c r="AG812">
        <v>52</v>
      </c>
      <c r="AH812">
        <v>9</v>
      </c>
      <c r="AI812" t="s">
        <v>54</v>
      </c>
      <c r="AK812">
        <v>0</v>
      </c>
      <c r="AM812">
        <v>0</v>
      </c>
      <c r="AP812" t="s">
        <v>325</v>
      </c>
    </row>
    <row r="813" spans="1:42" customFormat="1">
      <c r="A813">
        <v>270596</v>
      </c>
      <c r="B813" t="s">
        <v>3694</v>
      </c>
      <c r="C813" t="s">
        <v>3695</v>
      </c>
      <c r="D813" s="22">
        <v>0</v>
      </c>
      <c r="E813" s="17">
        <v>42143</v>
      </c>
      <c r="F813" s="18">
        <v>0.41516203703703702</v>
      </c>
      <c r="G813" s="22">
        <v>15</v>
      </c>
      <c r="H813">
        <v>0</v>
      </c>
      <c r="I813" s="19" t="e">
        <f>I812 + (D813-G813)</f>
        <v>#VALUE!</v>
      </c>
      <c r="M813">
        <v>123770</v>
      </c>
      <c r="N813">
        <v>24</v>
      </c>
      <c r="O813" t="s">
        <v>68</v>
      </c>
      <c r="P813">
        <v>1</v>
      </c>
      <c r="R813">
        <v>575</v>
      </c>
      <c r="S813" s="17">
        <v>42145</v>
      </c>
      <c r="T813" s="17">
        <v>42145</v>
      </c>
      <c r="W813">
        <v>2015</v>
      </c>
      <c r="X813">
        <v>24</v>
      </c>
      <c r="AC813" t="s">
        <v>61</v>
      </c>
      <c r="AD813" t="s">
        <v>302</v>
      </c>
      <c r="AE813" t="s">
        <v>46</v>
      </c>
      <c r="AG813">
        <v>52</v>
      </c>
      <c r="AH813">
        <v>9</v>
      </c>
      <c r="AI813" t="s">
        <v>54</v>
      </c>
      <c r="AK813">
        <v>0</v>
      </c>
      <c r="AM813">
        <v>0</v>
      </c>
      <c r="AP813" t="s">
        <v>325</v>
      </c>
    </row>
    <row r="814" spans="1:42" customFormat="1">
      <c r="A814">
        <v>270597</v>
      </c>
      <c r="B814" t="s">
        <v>3696</v>
      </c>
      <c r="C814" t="s">
        <v>3697</v>
      </c>
      <c r="D814" s="22">
        <v>0</v>
      </c>
      <c r="E814" s="17">
        <v>42143</v>
      </c>
      <c r="F814" s="18">
        <v>0.41516203703703702</v>
      </c>
      <c r="G814" s="22">
        <v>15</v>
      </c>
      <c r="H814">
        <v>0</v>
      </c>
      <c r="I814" s="19" t="e">
        <f>I813 + (D814-G814)</f>
        <v>#VALUE!</v>
      </c>
      <c r="M814">
        <v>123751</v>
      </c>
      <c r="N814">
        <v>24</v>
      </c>
      <c r="O814" t="s">
        <v>68</v>
      </c>
      <c r="P814">
        <v>1</v>
      </c>
      <c r="R814">
        <v>575</v>
      </c>
      <c r="S814" s="17">
        <v>42145</v>
      </c>
      <c r="T814" s="17">
        <v>42145</v>
      </c>
      <c r="W814">
        <v>2015</v>
      </c>
      <c r="X814">
        <v>24</v>
      </c>
      <c r="AC814" t="s">
        <v>61</v>
      </c>
      <c r="AD814" t="s">
        <v>302</v>
      </c>
      <c r="AE814" t="s">
        <v>46</v>
      </c>
      <c r="AG814">
        <v>52</v>
      </c>
      <c r="AH814">
        <v>9</v>
      </c>
      <c r="AI814" t="s">
        <v>54</v>
      </c>
      <c r="AK814">
        <v>0</v>
      </c>
      <c r="AM814">
        <v>0</v>
      </c>
      <c r="AP814" t="s">
        <v>325</v>
      </c>
    </row>
    <row r="815" spans="1:42" customFormat="1">
      <c r="A815">
        <v>270598</v>
      </c>
      <c r="B815" t="s">
        <v>3698</v>
      </c>
      <c r="C815" t="s">
        <v>3699</v>
      </c>
      <c r="D815" s="22">
        <v>0</v>
      </c>
      <c r="E815" s="17">
        <v>42143</v>
      </c>
      <c r="F815" s="18">
        <v>0.41516203703703702</v>
      </c>
      <c r="G815" s="22">
        <v>15</v>
      </c>
      <c r="H815">
        <v>0</v>
      </c>
      <c r="I815" s="19" t="e">
        <f>I814 + (D815-G815)</f>
        <v>#VALUE!</v>
      </c>
      <c r="M815">
        <v>123761</v>
      </c>
      <c r="N815">
        <v>24</v>
      </c>
      <c r="O815" t="s">
        <v>68</v>
      </c>
      <c r="P815">
        <v>1</v>
      </c>
      <c r="R815">
        <v>575</v>
      </c>
      <c r="S815" s="17">
        <v>42145</v>
      </c>
      <c r="T815" s="17">
        <v>42145</v>
      </c>
      <c r="W815">
        <v>2015</v>
      </c>
      <c r="X815">
        <v>24</v>
      </c>
      <c r="AC815" t="s">
        <v>61</v>
      </c>
      <c r="AD815" t="s">
        <v>302</v>
      </c>
      <c r="AE815" t="s">
        <v>46</v>
      </c>
      <c r="AG815">
        <v>52</v>
      </c>
      <c r="AH815">
        <v>9</v>
      </c>
      <c r="AI815" t="s">
        <v>54</v>
      </c>
      <c r="AK815">
        <v>0</v>
      </c>
      <c r="AM815">
        <v>0</v>
      </c>
      <c r="AP815" t="s">
        <v>325</v>
      </c>
    </row>
    <row r="816" spans="1:42" customFormat="1">
      <c r="A816">
        <v>270599</v>
      </c>
      <c r="B816" t="s">
        <v>3700</v>
      </c>
      <c r="C816" t="s">
        <v>3701</v>
      </c>
      <c r="D816" s="22">
        <v>0</v>
      </c>
      <c r="E816" s="17">
        <v>42143</v>
      </c>
      <c r="F816" s="18">
        <v>0.41516203703703702</v>
      </c>
      <c r="G816" s="22">
        <v>15</v>
      </c>
      <c r="H816">
        <v>0</v>
      </c>
      <c r="I816" s="19" t="e">
        <f>I815 + (D816-G816)</f>
        <v>#VALUE!</v>
      </c>
      <c r="M816">
        <v>123771</v>
      </c>
      <c r="N816">
        <v>24</v>
      </c>
      <c r="O816" t="s">
        <v>68</v>
      </c>
      <c r="P816">
        <v>1</v>
      </c>
      <c r="R816">
        <v>575</v>
      </c>
      <c r="S816" s="17">
        <v>42145</v>
      </c>
      <c r="T816" s="17">
        <v>42145</v>
      </c>
      <c r="W816">
        <v>2015</v>
      </c>
      <c r="X816">
        <v>24</v>
      </c>
      <c r="AC816" t="s">
        <v>61</v>
      </c>
      <c r="AD816" t="s">
        <v>302</v>
      </c>
      <c r="AE816" t="s">
        <v>46</v>
      </c>
      <c r="AG816">
        <v>52</v>
      </c>
      <c r="AH816">
        <v>9</v>
      </c>
      <c r="AI816" t="s">
        <v>54</v>
      </c>
      <c r="AK816">
        <v>0</v>
      </c>
      <c r="AM816">
        <v>0</v>
      </c>
      <c r="AP816" t="s">
        <v>325</v>
      </c>
    </row>
    <row r="817" spans="1:42" customFormat="1">
      <c r="A817">
        <v>270590</v>
      </c>
      <c r="B817" t="s">
        <v>3702</v>
      </c>
      <c r="C817" t="s">
        <v>3703</v>
      </c>
      <c r="D817" s="22">
        <v>0</v>
      </c>
      <c r="E817" s="17">
        <v>42143</v>
      </c>
      <c r="F817" s="18">
        <v>0.41516203703703702</v>
      </c>
      <c r="G817" s="22">
        <v>14.62</v>
      </c>
      <c r="H817">
        <v>0</v>
      </c>
      <c r="I817" s="19" t="e">
        <f>I816 + (D817-G817)</f>
        <v>#VALUE!</v>
      </c>
      <c r="M817">
        <v>123778</v>
      </c>
      <c r="N817">
        <v>24</v>
      </c>
      <c r="O817" t="s">
        <v>68</v>
      </c>
      <c r="P817">
        <v>1</v>
      </c>
      <c r="R817">
        <v>575</v>
      </c>
      <c r="S817" s="17">
        <v>42145</v>
      </c>
      <c r="T817" s="17">
        <v>42145</v>
      </c>
      <c r="W817">
        <v>2015</v>
      </c>
      <c r="X817">
        <v>24</v>
      </c>
      <c r="AC817" t="s">
        <v>61</v>
      </c>
      <c r="AD817" t="s">
        <v>302</v>
      </c>
      <c r="AE817" t="s">
        <v>46</v>
      </c>
      <c r="AG817">
        <v>52</v>
      </c>
      <c r="AH817">
        <v>9</v>
      </c>
      <c r="AI817" t="s">
        <v>54</v>
      </c>
      <c r="AK817">
        <v>0</v>
      </c>
      <c r="AM817">
        <v>0</v>
      </c>
      <c r="AP817" t="s">
        <v>325</v>
      </c>
    </row>
    <row r="818" spans="1:42" customFormat="1">
      <c r="A818">
        <v>270591</v>
      </c>
      <c r="B818" t="s">
        <v>3704</v>
      </c>
      <c r="C818" t="s">
        <v>3705</v>
      </c>
      <c r="D818" s="22">
        <v>0</v>
      </c>
      <c r="E818" s="17">
        <v>42143</v>
      </c>
      <c r="F818" s="18">
        <v>0.41516203703703702</v>
      </c>
      <c r="G818" s="22">
        <v>15</v>
      </c>
      <c r="H818">
        <v>0</v>
      </c>
      <c r="I818" s="19" t="e">
        <f>I817 + (D818-G818)</f>
        <v>#VALUE!</v>
      </c>
      <c r="M818">
        <v>123749</v>
      </c>
      <c r="N818">
        <v>24</v>
      </c>
      <c r="O818" t="s">
        <v>68</v>
      </c>
      <c r="P818">
        <v>1</v>
      </c>
      <c r="R818">
        <v>575</v>
      </c>
      <c r="S818" s="17">
        <v>42145</v>
      </c>
      <c r="T818" s="17">
        <v>42145</v>
      </c>
      <c r="W818">
        <v>2015</v>
      </c>
      <c r="X818">
        <v>24</v>
      </c>
      <c r="AC818" t="s">
        <v>61</v>
      </c>
      <c r="AD818" t="s">
        <v>302</v>
      </c>
      <c r="AE818" t="s">
        <v>46</v>
      </c>
      <c r="AG818">
        <v>52</v>
      </c>
      <c r="AH818">
        <v>9</v>
      </c>
      <c r="AI818" t="s">
        <v>54</v>
      </c>
      <c r="AK818">
        <v>0</v>
      </c>
      <c r="AM818">
        <v>0</v>
      </c>
      <c r="AP818" t="s">
        <v>325</v>
      </c>
    </row>
    <row r="819" spans="1:42" customFormat="1">
      <c r="A819">
        <v>270592</v>
      </c>
      <c r="B819" t="s">
        <v>3706</v>
      </c>
      <c r="C819" t="s">
        <v>3707</v>
      </c>
      <c r="D819" s="22">
        <v>0</v>
      </c>
      <c r="E819" s="17">
        <v>42143</v>
      </c>
      <c r="F819" s="18">
        <v>0.41516203703703702</v>
      </c>
      <c r="G819" s="22">
        <v>15</v>
      </c>
      <c r="H819">
        <v>0</v>
      </c>
      <c r="I819" s="19" t="e">
        <f>I818 + (D819-G819)</f>
        <v>#VALUE!</v>
      </c>
      <c r="M819">
        <v>123759</v>
      </c>
      <c r="N819">
        <v>24</v>
      </c>
      <c r="O819" t="s">
        <v>68</v>
      </c>
      <c r="P819">
        <v>1</v>
      </c>
      <c r="R819">
        <v>575</v>
      </c>
      <c r="S819" s="17">
        <v>42145</v>
      </c>
      <c r="T819" s="17">
        <v>42145</v>
      </c>
      <c r="W819">
        <v>2015</v>
      </c>
      <c r="X819">
        <v>24</v>
      </c>
      <c r="AC819" t="s">
        <v>61</v>
      </c>
      <c r="AD819" t="s">
        <v>302</v>
      </c>
      <c r="AE819" t="s">
        <v>46</v>
      </c>
      <c r="AG819">
        <v>52</v>
      </c>
      <c r="AH819">
        <v>9</v>
      </c>
      <c r="AI819" t="s">
        <v>54</v>
      </c>
      <c r="AK819">
        <v>0</v>
      </c>
      <c r="AM819">
        <v>0</v>
      </c>
      <c r="AP819" t="s">
        <v>325</v>
      </c>
    </row>
    <row r="820" spans="1:42" customFormat="1">
      <c r="A820">
        <v>270593</v>
      </c>
      <c r="B820" t="s">
        <v>3708</v>
      </c>
      <c r="C820" t="s">
        <v>3709</v>
      </c>
      <c r="D820" s="22">
        <v>0</v>
      </c>
      <c r="E820" s="17">
        <v>42143</v>
      </c>
      <c r="F820" s="18">
        <v>0.41516203703703702</v>
      </c>
      <c r="G820" s="22">
        <v>15</v>
      </c>
      <c r="H820">
        <v>0</v>
      </c>
      <c r="I820" s="19" t="e">
        <f>I819 + (D820-G820)</f>
        <v>#VALUE!</v>
      </c>
      <c r="M820">
        <v>123769</v>
      </c>
      <c r="N820">
        <v>24</v>
      </c>
      <c r="O820" t="s">
        <v>68</v>
      </c>
      <c r="P820">
        <v>1</v>
      </c>
      <c r="R820">
        <v>575</v>
      </c>
      <c r="S820" s="17">
        <v>42145</v>
      </c>
      <c r="T820" s="17">
        <v>42145</v>
      </c>
      <c r="W820">
        <v>2015</v>
      </c>
      <c r="X820">
        <v>24</v>
      </c>
      <c r="AC820" t="s">
        <v>61</v>
      </c>
      <c r="AD820" t="s">
        <v>302</v>
      </c>
      <c r="AE820" t="s">
        <v>46</v>
      </c>
      <c r="AG820">
        <v>52</v>
      </c>
      <c r="AH820">
        <v>9</v>
      </c>
      <c r="AI820" t="s">
        <v>54</v>
      </c>
      <c r="AK820">
        <v>0</v>
      </c>
      <c r="AM820">
        <v>0</v>
      </c>
      <c r="AP820" t="s">
        <v>325</v>
      </c>
    </row>
    <row r="821" spans="1:42" customFormat="1">
      <c r="A821">
        <v>270670</v>
      </c>
      <c r="B821" t="s">
        <v>3762</v>
      </c>
      <c r="C821" t="s">
        <v>3763</v>
      </c>
      <c r="D821" s="22">
        <v>0</v>
      </c>
      <c r="E821" s="17">
        <v>42143</v>
      </c>
      <c r="F821" s="18">
        <v>0.47640046296296296</v>
      </c>
      <c r="G821" s="22">
        <v>27</v>
      </c>
      <c r="H821">
        <v>0</v>
      </c>
      <c r="I821" s="19" t="e">
        <f>I820 + (D821-G821)</f>
        <v>#VALUE!</v>
      </c>
      <c r="M821">
        <v>123819</v>
      </c>
      <c r="N821">
        <v>24</v>
      </c>
      <c r="O821" t="s">
        <v>68</v>
      </c>
      <c r="P821">
        <v>1</v>
      </c>
      <c r="R821">
        <v>575</v>
      </c>
      <c r="S821" s="17">
        <v>42145</v>
      </c>
      <c r="T821" s="17">
        <v>42145</v>
      </c>
      <c r="W821">
        <v>2015</v>
      </c>
      <c r="X821">
        <v>24</v>
      </c>
      <c r="AC821" t="s">
        <v>61</v>
      </c>
      <c r="AD821" t="s">
        <v>302</v>
      </c>
      <c r="AE821" t="s">
        <v>46</v>
      </c>
      <c r="AG821">
        <v>2</v>
      </c>
      <c r="AH821">
        <v>9</v>
      </c>
      <c r="AI821" t="s">
        <v>54</v>
      </c>
      <c r="AK821">
        <v>0</v>
      </c>
      <c r="AM821">
        <v>0</v>
      </c>
      <c r="AP821" t="s">
        <v>2544</v>
      </c>
    </row>
    <row r="822" spans="1:42" customFormat="1">
      <c r="A822">
        <v>270871</v>
      </c>
      <c r="B822" t="s">
        <v>3805</v>
      </c>
      <c r="C822" t="s">
        <v>3806</v>
      </c>
      <c r="D822" s="22">
        <v>0</v>
      </c>
      <c r="E822" s="17">
        <v>42143</v>
      </c>
      <c r="F822" s="18">
        <v>0.65364583333333337</v>
      </c>
      <c r="G822" s="22">
        <v>77</v>
      </c>
      <c r="H822">
        <v>0</v>
      </c>
      <c r="I822" s="19" t="e">
        <f>I821 + (D822-G822)</f>
        <v>#VALUE!</v>
      </c>
      <c r="M822">
        <v>123951</v>
      </c>
      <c r="N822">
        <v>24</v>
      </c>
      <c r="O822" t="s">
        <v>68</v>
      </c>
      <c r="P822">
        <v>1</v>
      </c>
      <c r="R822">
        <v>575</v>
      </c>
      <c r="S822" s="17">
        <v>42146</v>
      </c>
      <c r="T822" s="17">
        <v>42146</v>
      </c>
      <c r="W822">
        <v>2015</v>
      </c>
      <c r="X822">
        <v>24</v>
      </c>
      <c r="AC822" t="s">
        <v>61</v>
      </c>
      <c r="AD822" t="s">
        <v>302</v>
      </c>
      <c r="AE822" t="s">
        <v>46</v>
      </c>
      <c r="AG822">
        <v>2</v>
      </c>
      <c r="AH822">
        <v>9</v>
      </c>
      <c r="AI822" t="s">
        <v>54</v>
      </c>
      <c r="AK822">
        <v>0</v>
      </c>
      <c r="AM822">
        <v>0</v>
      </c>
      <c r="AP822" t="s">
        <v>2544</v>
      </c>
    </row>
    <row r="823" spans="1:42" customFormat="1">
      <c r="A823">
        <v>270932</v>
      </c>
      <c r="B823" t="s">
        <v>3826</v>
      </c>
      <c r="C823" t="s">
        <v>3827</v>
      </c>
      <c r="D823" s="22">
        <v>0</v>
      </c>
      <c r="E823" s="17">
        <v>42144</v>
      </c>
      <c r="F823" s="18">
        <v>0.3955555555555556</v>
      </c>
      <c r="G823" s="22">
        <v>1.55</v>
      </c>
      <c r="H823">
        <v>0</v>
      </c>
      <c r="I823" s="19" t="e">
        <f>I822 + (D823-G823)</f>
        <v>#VALUE!</v>
      </c>
      <c r="M823">
        <v>123972</v>
      </c>
      <c r="N823">
        <v>7</v>
      </c>
      <c r="O823" t="s">
        <v>44</v>
      </c>
      <c r="P823">
        <v>1</v>
      </c>
      <c r="R823">
        <v>575</v>
      </c>
      <c r="S823" s="17">
        <v>42149</v>
      </c>
      <c r="T823" s="17">
        <v>42149</v>
      </c>
      <c r="W823">
        <v>2015</v>
      </c>
      <c r="X823">
        <v>7</v>
      </c>
      <c r="AC823" t="s">
        <v>61</v>
      </c>
      <c r="AD823" t="s">
        <v>302</v>
      </c>
      <c r="AE823" t="s">
        <v>46</v>
      </c>
      <c r="AG823">
        <v>118</v>
      </c>
      <c r="AH823">
        <v>9</v>
      </c>
      <c r="AI823" t="s">
        <v>54</v>
      </c>
      <c r="AK823">
        <v>0</v>
      </c>
      <c r="AM823">
        <v>0</v>
      </c>
      <c r="AP823" t="s">
        <v>418</v>
      </c>
    </row>
    <row r="824" spans="1:42" customFormat="1">
      <c r="A824">
        <v>270933</v>
      </c>
      <c r="B824" t="s">
        <v>3828</v>
      </c>
      <c r="C824" t="s">
        <v>3829</v>
      </c>
      <c r="D824" s="22">
        <v>0</v>
      </c>
      <c r="E824" s="17">
        <v>42144</v>
      </c>
      <c r="F824" s="18">
        <v>0.3955555555555556</v>
      </c>
      <c r="G824" s="22">
        <v>5.9</v>
      </c>
      <c r="H824">
        <v>0</v>
      </c>
      <c r="I824" s="19" t="e">
        <f>I823 + (D824-G824)</f>
        <v>#VALUE!</v>
      </c>
      <c r="M824">
        <v>123973</v>
      </c>
      <c r="N824">
        <v>7</v>
      </c>
      <c r="O824" t="s">
        <v>44</v>
      </c>
      <c r="P824">
        <v>1</v>
      </c>
      <c r="R824">
        <v>575</v>
      </c>
      <c r="S824" s="17">
        <v>42149</v>
      </c>
      <c r="T824" s="17">
        <v>42149</v>
      </c>
      <c r="W824">
        <v>2015</v>
      </c>
      <c r="X824">
        <v>7</v>
      </c>
      <c r="AC824" t="s">
        <v>61</v>
      </c>
      <c r="AD824" t="s">
        <v>302</v>
      </c>
      <c r="AE824" t="s">
        <v>46</v>
      </c>
      <c r="AG824">
        <v>118</v>
      </c>
      <c r="AH824">
        <v>9</v>
      </c>
      <c r="AI824" t="s">
        <v>54</v>
      </c>
      <c r="AK824">
        <v>0</v>
      </c>
      <c r="AM824">
        <v>0</v>
      </c>
      <c r="AP824" t="s">
        <v>418</v>
      </c>
    </row>
    <row r="825" spans="1:42" customFormat="1">
      <c r="A825">
        <v>270978</v>
      </c>
      <c r="B825" t="s">
        <v>3844</v>
      </c>
      <c r="C825" t="s">
        <v>3845</v>
      </c>
      <c r="D825" s="22">
        <v>0</v>
      </c>
      <c r="E825" s="17">
        <v>42144</v>
      </c>
      <c r="F825" s="18">
        <v>0.47886574074074079</v>
      </c>
      <c r="G825" s="22">
        <v>40.5</v>
      </c>
      <c r="H825">
        <v>0</v>
      </c>
      <c r="I825" s="19" t="e">
        <f>I824 + (D825-G825)</f>
        <v>#VALUE!</v>
      </c>
      <c r="M825">
        <v>124017</v>
      </c>
      <c r="N825">
        <v>7</v>
      </c>
      <c r="O825" t="s">
        <v>44</v>
      </c>
      <c r="P825">
        <v>1</v>
      </c>
      <c r="R825">
        <v>575</v>
      </c>
      <c r="S825" s="17">
        <v>42149</v>
      </c>
      <c r="T825" s="17">
        <v>42149</v>
      </c>
      <c r="W825">
        <v>2015</v>
      </c>
      <c r="X825">
        <v>7</v>
      </c>
      <c r="AC825" t="s">
        <v>61</v>
      </c>
      <c r="AD825" t="s">
        <v>302</v>
      </c>
      <c r="AE825" t="s">
        <v>46</v>
      </c>
      <c r="AG825">
        <v>2</v>
      </c>
      <c r="AH825">
        <v>9</v>
      </c>
      <c r="AI825" t="s">
        <v>54</v>
      </c>
      <c r="AK825">
        <v>0</v>
      </c>
      <c r="AM825">
        <v>0</v>
      </c>
      <c r="AP825" t="s">
        <v>2544</v>
      </c>
    </row>
    <row r="826" spans="1:42" customFormat="1">
      <c r="A826">
        <v>270979</v>
      </c>
      <c r="B826" t="s">
        <v>3846</v>
      </c>
      <c r="C826" t="s">
        <v>3847</v>
      </c>
      <c r="D826" s="22">
        <v>0</v>
      </c>
      <c r="E826" s="17">
        <v>42144</v>
      </c>
      <c r="F826" s="18">
        <v>0.47886574074074079</v>
      </c>
      <c r="G826" s="22">
        <v>22</v>
      </c>
      <c r="H826">
        <v>0</v>
      </c>
      <c r="I826" s="19" t="e">
        <f>I825 + (D826-G826)</f>
        <v>#VALUE!</v>
      </c>
      <c r="M826">
        <v>124018</v>
      </c>
      <c r="N826">
        <v>7</v>
      </c>
      <c r="O826" t="s">
        <v>44</v>
      </c>
      <c r="P826">
        <v>1</v>
      </c>
      <c r="R826">
        <v>575</v>
      </c>
      <c r="S826" s="17">
        <v>42149</v>
      </c>
      <c r="T826" s="17">
        <v>42149</v>
      </c>
      <c r="W826">
        <v>2015</v>
      </c>
      <c r="X826">
        <v>7</v>
      </c>
      <c r="AC826" t="s">
        <v>61</v>
      </c>
      <c r="AD826" t="s">
        <v>302</v>
      </c>
      <c r="AE826" t="s">
        <v>46</v>
      </c>
      <c r="AG826">
        <v>2</v>
      </c>
      <c r="AH826">
        <v>9</v>
      </c>
      <c r="AI826" t="s">
        <v>54</v>
      </c>
      <c r="AK826">
        <v>0</v>
      </c>
      <c r="AM826">
        <v>0</v>
      </c>
      <c r="AP826" t="s">
        <v>2544</v>
      </c>
    </row>
    <row r="827" spans="1:42" customFormat="1">
      <c r="A827">
        <v>270934</v>
      </c>
      <c r="B827" t="s">
        <v>3979</v>
      </c>
      <c r="C827" t="s">
        <v>3980</v>
      </c>
      <c r="D827" s="22">
        <v>0</v>
      </c>
      <c r="E827" s="17">
        <v>42145</v>
      </c>
      <c r="F827" s="18">
        <v>0.39562499999999995</v>
      </c>
      <c r="G827" s="22">
        <v>3.1</v>
      </c>
      <c r="H827">
        <v>0</v>
      </c>
      <c r="I827" s="19" t="e">
        <f>I826 + (D827-G827)</f>
        <v>#VALUE!</v>
      </c>
      <c r="M827">
        <v>123974</v>
      </c>
      <c r="N827">
        <v>7</v>
      </c>
      <c r="O827" t="s">
        <v>44</v>
      </c>
      <c r="P827">
        <v>1</v>
      </c>
      <c r="R827">
        <v>575</v>
      </c>
      <c r="S827" s="17">
        <v>42149</v>
      </c>
      <c r="T827" s="17">
        <v>42149</v>
      </c>
      <c r="W827">
        <v>2015</v>
      </c>
      <c r="X827">
        <v>7</v>
      </c>
      <c r="AC827" t="s">
        <v>61</v>
      </c>
      <c r="AD827" t="s">
        <v>302</v>
      </c>
      <c r="AE827" t="s">
        <v>46</v>
      </c>
      <c r="AG827">
        <v>118</v>
      </c>
      <c r="AH827">
        <v>9</v>
      </c>
      <c r="AI827" t="s">
        <v>54</v>
      </c>
      <c r="AK827">
        <v>0</v>
      </c>
      <c r="AM827">
        <v>0</v>
      </c>
      <c r="AP827" t="s">
        <v>418</v>
      </c>
    </row>
    <row r="828" spans="1:42" customFormat="1">
      <c r="A828">
        <v>272818</v>
      </c>
      <c r="B828" t="s">
        <v>4029</v>
      </c>
      <c r="C828" t="s">
        <v>4030</v>
      </c>
      <c r="D828" s="22">
        <v>0</v>
      </c>
      <c r="E828" s="17">
        <v>42145</v>
      </c>
      <c r="F828" s="18">
        <v>0.45594907407407409</v>
      </c>
      <c r="G828" s="22">
        <v>0.38</v>
      </c>
      <c r="H828">
        <v>0</v>
      </c>
      <c r="I828" s="19" t="e">
        <f>I827 + (D828-G828)</f>
        <v>#VALUE!</v>
      </c>
      <c r="M828">
        <v>123905</v>
      </c>
      <c r="N828">
        <v>60</v>
      </c>
      <c r="O828" t="s">
        <v>60</v>
      </c>
      <c r="P828">
        <v>1</v>
      </c>
      <c r="R828">
        <v>575</v>
      </c>
      <c r="S828" s="17">
        <v>42166</v>
      </c>
      <c r="T828" s="17">
        <v>42166</v>
      </c>
      <c r="W828">
        <v>2015</v>
      </c>
      <c r="X828">
        <v>60</v>
      </c>
      <c r="AC828" t="s">
        <v>61</v>
      </c>
      <c r="AD828" t="s">
        <v>302</v>
      </c>
      <c r="AE828" t="s">
        <v>46</v>
      </c>
      <c r="AG828">
        <v>52</v>
      </c>
      <c r="AH828">
        <v>9</v>
      </c>
      <c r="AI828" t="s">
        <v>54</v>
      </c>
      <c r="AK828">
        <v>0</v>
      </c>
      <c r="AM828">
        <v>0</v>
      </c>
      <c r="AP828" t="s">
        <v>325</v>
      </c>
    </row>
    <row r="829" spans="1:42" customFormat="1">
      <c r="A829">
        <v>270804</v>
      </c>
      <c r="B829" t="s">
        <v>4039</v>
      </c>
      <c r="C829" t="s">
        <v>4040</v>
      </c>
      <c r="D829" s="22">
        <v>0</v>
      </c>
      <c r="E829" s="17">
        <v>42145</v>
      </c>
      <c r="F829" s="18">
        <v>0.54812499999999997</v>
      </c>
      <c r="G829" s="22">
        <v>15</v>
      </c>
      <c r="H829">
        <v>0</v>
      </c>
      <c r="I829" s="19" t="e">
        <f>I828 + (D829-G829)</f>
        <v>#VALUE!</v>
      </c>
      <c r="M829">
        <v>123914</v>
      </c>
      <c r="N829">
        <v>24</v>
      </c>
      <c r="O829" t="s">
        <v>68</v>
      </c>
      <c r="P829">
        <v>1</v>
      </c>
      <c r="R829">
        <v>575</v>
      </c>
      <c r="S829" s="17">
        <v>42146</v>
      </c>
      <c r="T829" s="17">
        <v>42146</v>
      </c>
      <c r="W829">
        <v>2015</v>
      </c>
      <c r="X829">
        <v>24</v>
      </c>
      <c r="AC829" t="s">
        <v>61</v>
      </c>
      <c r="AD829" t="s">
        <v>302</v>
      </c>
      <c r="AE829" t="s">
        <v>46</v>
      </c>
      <c r="AG829">
        <v>52</v>
      </c>
      <c r="AH829">
        <v>9</v>
      </c>
      <c r="AI829" t="s">
        <v>54</v>
      </c>
      <c r="AK829">
        <v>0</v>
      </c>
      <c r="AM829">
        <v>0</v>
      </c>
      <c r="AP829" t="s">
        <v>325</v>
      </c>
    </row>
    <row r="830" spans="1:42" customFormat="1">
      <c r="A830">
        <v>270805</v>
      </c>
      <c r="B830" t="s">
        <v>4041</v>
      </c>
      <c r="C830" t="s">
        <v>4042</v>
      </c>
      <c r="D830" s="22">
        <v>0</v>
      </c>
      <c r="E830" s="17">
        <v>42145</v>
      </c>
      <c r="F830" s="18">
        <v>0.54812499999999997</v>
      </c>
      <c r="G830" s="22">
        <v>15</v>
      </c>
      <c r="H830">
        <v>0</v>
      </c>
      <c r="I830" s="19" t="e">
        <f>I829 + (D830-G830)</f>
        <v>#VALUE!</v>
      </c>
      <c r="M830">
        <v>123924</v>
      </c>
      <c r="N830">
        <v>24</v>
      </c>
      <c r="O830" t="s">
        <v>68</v>
      </c>
      <c r="P830">
        <v>1</v>
      </c>
      <c r="R830">
        <v>575</v>
      </c>
      <c r="S830" s="17">
        <v>42146</v>
      </c>
      <c r="T830" s="17">
        <v>42146</v>
      </c>
      <c r="W830">
        <v>2015</v>
      </c>
      <c r="X830">
        <v>24</v>
      </c>
      <c r="AC830" t="s">
        <v>61</v>
      </c>
      <c r="AD830" t="s">
        <v>302</v>
      </c>
      <c r="AE830" t="s">
        <v>46</v>
      </c>
      <c r="AG830">
        <v>52</v>
      </c>
      <c r="AH830">
        <v>9</v>
      </c>
      <c r="AI830" t="s">
        <v>54</v>
      </c>
      <c r="AK830">
        <v>0</v>
      </c>
      <c r="AM830">
        <v>0</v>
      </c>
      <c r="AP830" t="s">
        <v>325</v>
      </c>
    </row>
    <row r="831" spans="1:42" customFormat="1">
      <c r="A831">
        <v>270807</v>
      </c>
      <c r="B831" t="s">
        <v>4043</v>
      </c>
      <c r="C831" t="s">
        <v>4044</v>
      </c>
      <c r="D831" s="22">
        <v>0</v>
      </c>
      <c r="E831" s="17">
        <v>42145</v>
      </c>
      <c r="F831" s="18">
        <v>0.54812499999999997</v>
      </c>
      <c r="G831" s="22">
        <v>15</v>
      </c>
      <c r="H831">
        <v>0</v>
      </c>
      <c r="I831" s="19" t="e">
        <f>I830 + (D831-G831)</f>
        <v>#VALUE!</v>
      </c>
      <c r="M831">
        <v>123915</v>
      </c>
      <c r="N831">
        <v>24</v>
      </c>
      <c r="O831" t="s">
        <v>68</v>
      </c>
      <c r="P831">
        <v>1</v>
      </c>
      <c r="R831">
        <v>575</v>
      </c>
      <c r="S831" s="17">
        <v>42146</v>
      </c>
      <c r="T831" s="17">
        <v>42146</v>
      </c>
      <c r="W831">
        <v>2015</v>
      </c>
      <c r="X831">
        <v>24</v>
      </c>
      <c r="AC831" t="s">
        <v>61</v>
      </c>
      <c r="AD831" t="s">
        <v>302</v>
      </c>
      <c r="AE831" t="s">
        <v>46</v>
      </c>
      <c r="AG831">
        <v>52</v>
      </c>
      <c r="AH831">
        <v>9</v>
      </c>
      <c r="AI831" t="s">
        <v>54</v>
      </c>
      <c r="AK831">
        <v>0</v>
      </c>
      <c r="AM831">
        <v>0</v>
      </c>
      <c r="AP831" t="s">
        <v>325</v>
      </c>
    </row>
    <row r="832" spans="1:42" customFormat="1">
      <c r="A832">
        <v>270808</v>
      </c>
      <c r="B832" t="s">
        <v>4045</v>
      </c>
      <c r="C832" t="s">
        <v>4046</v>
      </c>
      <c r="D832" s="22">
        <v>0</v>
      </c>
      <c r="E832" s="17">
        <v>42145</v>
      </c>
      <c r="F832" s="18">
        <v>0.54812499999999997</v>
      </c>
      <c r="G832" s="22">
        <v>15</v>
      </c>
      <c r="H832">
        <v>0</v>
      </c>
      <c r="I832" s="19" t="e">
        <f>I831 + (D832-G832)</f>
        <v>#VALUE!</v>
      </c>
      <c r="M832">
        <v>123925</v>
      </c>
      <c r="N832">
        <v>24</v>
      </c>
      <c r="O832" t="s">
        <v>68</v>
      </c>
      <c r="P832">
        <v>1</v>
      </c>
      <c r="R832">
        <v>575</v>
      </c>
      <c r="S832" s="17">
        <v>42146</v>
      </c>
      <c r="T832" s="17">
        <v>42146</v>
      </c>
      <c r="W832">
        <v>2015</v>
      </c>
      <c r="X832">
        <v>24</v>
      </c>
      <c r="AC832" t="s">
        <v>61</v>
      </c>
      <c r="AD832" t="s">
        <v>302</v>
      </c>
      <c r="AE832" t="s">
        <v>46</v>
      </c>
      <c r="AG832">
        <v>52</v>
      </c>
      <c r="AH832">
        <v>9</v>
      </c>
      <c r="AI832" t="s">
        <v>54</v>
      </c>
      <c r="AK832">
        <v>0</v>
      </c>
      <c r="AM832">
        <v>0</v>
      </c>
      <c r="AP832" t="s">
        <v>325</v>
      </c>
    </row>
    <row r="833" spans="1:42" customFormat="1">
      <c r="A833">
        <v>270821</v>
      </c>
      <c r="B833" t="s">
        <v>4047</v>
      </c>
      <c r="C833" t="s">
        <v>4048</v>
      </c>
      <c r="D833" s="22">
        <v>0</v>
      </c>
      <c r="E833" s="17">
        <v>42145</v>
      </c>
      <c r="F833" s="18">
        <v>0.54813657407407412</v>
      </c>
      <c r="G833" s="22">
        <v>15</v>
      </c>
      <c r="H833">
        <v>0</v>
      </c>
      <c r="I833" s="19" t="e">
        <f>I832 + (D833-G833)</f>
        <v>#VALUE!</v>
      </c>
      <c r="M833">
        <v>123910</v>
      </c>
      <c r="N833">
        <v>24</v>
      </c>
      <c r="O833" t="s">
        <v>68</v>
      </c>
      <c r="P833">
        <v>1</v>
      </c>
      <c r="R833">
        <v>575</v>
      </c>
      <c r="S833" s="17">
        <v>42146</v>
      </c>
      <c r="T833" s="17">
        <v>42146</v>
      </c>
      <c r="W833">
        <v>2015</v>
      </c>
      <c r="X833">
        <v>24</v>
      </c>
      <c r="AC833" t="s">
        <v>61</v>
      </c>
      <c r="AD833" t="s">
        <v>302</v>
      </c>
      <c r="AE833" t="s">
        <v>46</v>
      </c>
      <c r="AG833">
        <v>52</v>
      </c>
      <c r="AH833">
        <v>9</v>
      </c>
      <c r="AI833" t="s">
        <v>54</v>
      </c>
      <c r="AK833">
        <v>0</v>
      </c>
      <c r="AM833">
        <v>0</v>
      </c>
      <c r="AP833" t="s">
        <v>325</v>
      </c>
    </row>
    <row r="834" spans="1:42" customFormat="1">
      <c r="A834">
        <v>270822</v>
      </c>
      <c r="B834" t="s">
        <v>4049</v>
      </c>
      <c r="C834" t="s">
        <v>4050</v>
      </c>
      <c r="D834" s="22">
        <v>0</v>
      </c>
      <c r="E834" s="17">
        <v>42145</v>
      </c>
      <c r="F834" s="18">
        <v>0.54813657407407412</v>
      </c>
      <c r="G834" s="22">
        <v>15</v>
      </c>
      <c r="H834">
        <v>0</v>
      </c>
      <c r="I834" s="19" t="e">
        <f>I833 + (D834-G834)</f>
        <v>#VALUE!</v>
      </c>
      <c r="M834">
        <v>123920</v>
      </c>
      <c r="N834">
        <v>24</v>
      </c>
      <c r="O834" t="s">
        <v>68</v>
      </c>
      <c r="P834">
        <v>1</v>
      </c>
      <c r="R834">
        <v>575</v>
      </c>
      <c r="S834" s="17">
        <v>42146</v>
      </c>
      <c r="T834" s="17">
        <v>42146</v>
      </c>
      <c r="W834">
        <v>2015</v>
      </c>
      <c r="X834">
        <v>24</v>
      </c>
      <c r="AC834" t="s">
        <v>61</v>
      </c>
      <c r="AD834" t="s">
        <v>302</v>
      </c>
      <c r="AE834" t="s">
        <v>46</v>
      </c>
      <c r="AG834">
        <v>52</v>
      </c>
      <c r="AH834">
        <v>9</v>
      </c>
      <c r="AI834" t="s">
        <v>54</v>
      </c>
      <c r="AK834">
        <v>0</v>
      </c>
      <c r="AM834">
        <v>0</v>
      </c>
      <c r="AP834" t="s">
        <v>325</v>
      </c>
    </row>
    <row r="835" spans="1:42" customFormat="1">
      <c r="A835">
        <v>270823</v>
      </c>
      <c r="B835" t="s">
        <v>4051</v>
      </c>
      <c r="C835" t="s">
        <v>4052</v>
      </c>
      <c r="D835" s="22">
        <v>0</v>
      </c>
      <c r="E835" s="17">
        <v>42145</v>
      </c>
      <c r="F835" s="18">
        <v>0.54813657407407412</v>
      </c>
      <c r="G835" s="22">
        <v>15</v>
      </c>
      <c r="H835">
        <v>0</v>
      </c>
      <c r="I835" s="19" t="e">
        <f>I834 + (D835-G835)</f>
        <v>#VALUE!</v>
      </c>
      <c r="M835">
        <v>123930</v>
      </c>
      <c r="N835">
        <v>24</v>
      </c>
      <c r="O835" t="s">
        <v>68</v>
      </c>
      <c r="P835">
        <v>1</v>
      </c>
      <c r="R835">
        <v>575</v>
      </c>
      <c r="S835" s="17">
        <v>42146</v>
      </c>
      <c r="T835" s="17">
        <v>42146</v>
      </c>
      <c r="W835">
        <v>2015</v>
      </c>
      <c r="X835">
        <v>24</v>
      </c>
      <c r="AC835" t="s">
        <v>61</v>
      </c>
      <c r="AD835" t="s">
        <v>302</v>
      </c>
      <c r="AE835" t="s">
        <v>46</v>
      </c>
      <c r="AG835">
        <v>52</v>
      </c>
      <c r="AH835">
        <v>9</v>
      </c>
      <c r="AI835" t="s">
        <v>54</v>
      </c>
      <c r="AK835">
        <v>0</v>
      </c>
      <c r="AM835">
        <v>0</v>
      </c>
      <c r="AP835" t="s">
        <v>325</v>
      </c>
    </row>
    <row r="836" spans="1:42" customFormat="1">
      <c r="A836">
        <v>270824</v>
      </c>
      <c r="B836" t="s">
        <v>4053</v>
      </c>
      <c r="C836" t="s">
        <v>4054</v>
      </c>
      <c r="D836" s="22">
        <v>0</v>
      </c>
      <c r="E836" s="17">
        <v>42145</v>
      </c>
      <c r="F836" s="18">
        <v>0.54813657407407412</v>
      </c>
      <c r="G836" s="22">
        <v>15</v>
      </c>
      <c r="H836">
        <v>0</v>
      </c>
      <c r="I836" s="19" t="e">
        <f>I835 + (D836-G836)</f>
        <v>#VALUE!</v>
      </c>
      <c r="M836">
        <v>123911</v>
      </c>
      <c r="N836">
        <v>24</v>
      </c>
      <c r="O836" t="s">
        <v>68</v>
      </c>
      <c r="P836">
        <v>1</v>
      </c>
      <c r="R836">
        <v>575</v>
      </c>
      <c r="S836" s="17">
        <v>42146</v>
      </c>
      <c r="T836" s="17">
        <v>42146</v>
      </c>
      <c r="W836">
        <v>2015</v>
      </c>
      <c r="X836">
        <v>24</v>
      </c>
      <c r="AC836" t="s">
        <v>61</v>
      </c>
      <c r="AD836" t="s">
        <v>302</v>
      </c>
      <c r="AE836" t="s">
        <v>46</v>
      </c>
      <c r="AG836">
        <v>52</v>
      </c>
      <c r="AH836">
        <v>9</v>
      </c>
      <c r="AI836" t="s">
        <v>54</v>
      </c>
      <c r="AK836">
        <v>0</v>
      </c>
      <c r="AM836">
        <v>0</v>
      </c>
      <c r="AP836" t="s">
        <v>325</v>
      </c>
    </row>
    <row r="837" spans="1:42" customFormat="1">
      <c r="A837">
        <v>270825</v>
      </c>
      <c r="B837" t="s">
        <v>4055</v>
      </c>
      <c r="C837" t="s">
        <v>4056</v>
      </c>
      <c r="D837" s="22">
        <v>0</v>
      </c>
      <c r="E837" s="17">
        <v>42145</v>
      </c>
      <c r="F837" s="18">
        <v>0.54813657407407412</v>
      </c>
      <c r="G837" s="22">
        <v>15</v>
      </c>
      <c r="H837">
        <v>0</v>
      </c>
      <c r="I837" s="19" t="e">
        <f>I836 + (D837-G837)</f>
        <v>#VALUE!</v>
      </c>
      <c r="M837">
        <v>123921</v>
      </c>
      <c r="N837">
        <v>24</v>
      </c>
      <c r="O837" t="s">
        <v>68</v>
      </c>
      <c r="P837">
        <v>1</v>
      </c>
      <c r="R837">
        <v>575</v>
      </c>
      <c r="S837" s="17">
        <v>42146</v>
      </c>
      <c r="T837" s="17">
        <v>42146</v>
      </c>
      <c r="W837">
        <v>2015</v>
      </c>
      <c r="X837">
        <v>24</v>
      </c>
      <c r="AC837" t="s">
        <v>61</v>
      </c>
      <c r="AD837" t="s">
        <v>302</v>
      </c>
      <c r="AE837" t="s">
        <v>46</v>
      </c>
      <c r="AG837">
        <v>52</v>
      </c>
      <c r="AH837">
        <v>9</v>
      </c>
      <c r="AI837" t="s">
        <v>54</v>
      </c>
      <c r="AK837">
        <v>0</v>
      </c>
      <c r="AM837">
        <v>0</v>
      </c>
      <c r="AP837" t="s">
        <v>325</v>
      </c>
    </row>
    <row r="838" spans="1:42" customFormat="1">
      <c r="A838">
        <v>270826</v>
      </c>
      <c r="B838" t="s">
        <v>4057</v>
      </c>
      <c r="C838" t="s">
        <v>4058</v>
      </c>
      <c r="D838" s="22">
        <v>0</v>
      </c>
      <c r="E838" s="17">
        <v>42145</v>
      </c>
      <c r="F838" s="18">
        <v>0.54813657407407412</v>
      </c>
      <c r="G838" s="22">
        <v>15</v>
      </c>
      <c r="H838">
        <v>0</v>
      </c>
      <c r="I838" s="19" t="e">
        <f>I837 + (D838-G838)</f>
        <v>#VALUE!</v>
      </c>
      <c r="M838">
        <v>123931</v>
      </c>
      <c r="N838">
        <v>24</v>
      </c>
      <c r="O838" t="s">
        <v>68</v>
      </c>
      <c r="P838">
        <v>1</v>
      </c>
      <c r="R838">
        <v>575</v>
      </c>
      <c r="S838" s="17">
        <v>42146</v>
      </c>
      <c r="T838" s="17">
        <v>42146</v>
      </c>
      <c r="W838">
        <v>2015</v>
      </c>
      <c r="X838">
        <v>24</v>
      </c>
      <c r="AC838" t="s">
        <v>61</v>
      </c>
      <c r="AD838" t="s">
        <v>302</v>
      </c>
      <c r="AE838" t="s">
        <v>46</v>
      </c>
      <c r="AG838">
        <v>52</v>
      </c>
      <c r="AH838">
        <v>9</v>
      </c>
      <c r="AI838" t="s">
        <v>54</v>
      </c>
      <c r="AK838">
        <v>0</v>
      </c>
      <c r="AM838">
        <v>0</v>
      </c>
      <c r="AP838" t="s">
        <v>325</v>
      </c>
    </row>
    <row r="839" spans="1:42" customFormat="1">
      <c r="A839">
        <v>270827</v>
      </c>
      <c r="B839" t="s">
        <v>4059</v>
      </c>
      <c r="C839" t="s">
        <v>4060</v>
      </c>
      <c r="D839" s="22">
        <v>0</v>
      </c>
      <c r="E839" s="17">
        <v>42145</v>
      </c>
      <c r="F839" s="18">
        <v>0.54813657407407412</v>
      </c>
      <c r="G839" s="22">
        <v>15</v>
      </c>
      <c r="H839">
        <v>0</v>
      </c>
      <c r="I839" s="19" t="e">
        <f>I838 + (D839-G839)</f>
        <v>#VALUE!</v>
      </c>
      <c r="M839">
        <v>123912</v>
      </c>
      <c r="N839">
        <v>24</v>
      </c>
      <c r="O839" t="s">
        <v>68</v>
      </c>
      <c r="P839">
        <v>1</v>
      </c>
      <c r="R839">
        <v>575</v>
      </c>
      <c r="S839" s="17">
        <v>42146</v>
      </c>
      <c r="T839" s="17">
        <v>42146</v>
      </c>
      <c r="W839">
        <v>2015</v>
      </c>
      <c r="X839">
        <v>24</v>
      </c>
      <c r="AC839" t="s">
        <v>61</v>
      </c>
      <c r="AD839" t="s">
        <v>302</v>
      </c>
      <c r="AE839" t="s">
        <v>46</v>
      </c>
      <c r="AG839">
        <v>52</v>
      </c>
      <c r="AH839">
        <v>9</v>
      </c>
      <c r="AI839" t="s">
        <v>54</v>
      </c>
      <c r="AK839">
        <v>0</v>
      </c>
      <c r="AM839">
        <v>0</v>
      </c>
      <c r="AP839" t="s">
        <v>325</v>
      </c>
    </row>
    <row r="840" spans="1:42" customFormat="1">
      <c r="A840">
        <v>270828</v>
      </c>
      <c r="B840" t="s">
        <v>4061</v>
      </c>
      <c r="C840" t="s">
        <v>4062</v>
      </c>
      <c r="D840" s="22">
        <v>0</v>
      </c>
      <c r="E840" s="17">
        <v>42145</v>
      </c>
      <c r="F840" s="18">
        <v>0.54813657407407412</v>
      </c>
      <c r="G840" s="22">
        <v>15</v>
      </c>
      <c r="H840">
        <v>0</v>
      </c>
      <c r="I840" s="19" t="e">
        <f>I839 + (D840-G840)</f>
        <v>#VALUE!</v>
      </c>
      <c r="M840">
        <v>123922</v>
      </c>
      <c r="N840">
        <v>24</v>
      </c>
      <c r="O840" t="s">
        <v>68</v>
      </c>
      <c r="P840">
        <v>1</v>
      </c>
      <c r="R840">
        <v>575</v>
      </c>
      <c r="S840" s="17">
        <v>42146</v>
      </c>
      <c r="T840" s="17">
        <v>42146</v>
      </c>
      <c r="W840">
        <v>2015</v>
      </c>
      <c r="X840">
        <v>24</v>
      </c>
      <c r="AC840" t="s">
        <v>61</v>
      </c>
      <c r="AD840" t="s">
        <v>302</v>
      </c>
      <c r="AE840" t="s">
        <v>46</v>
      </c>
      <c r="AG840">
        <v>52</v>
      </c>
      <c r="AH840">
        <v>9</v>
      </c>
      <c r="AI840" t="s">
        <v>54</v>
      </c>
      <c r="AK840">
        <v>0</v>
      </c>
      <c r="AM840">
        <v>0</v>
      </c>
      <c r="AP840" t="s">
        <v>325</v>
      </c>
    </row>
    <row r="841" spans="1:42" customFormat="1">
      <c r="A841">
        <v>270829</v>
      </c>
      <c r="B841" t="s">
        <v>4063</v>
      </c>
      <c r="C841" t="s">
        <v>4064</v>
      </c>
      <c r="D841" s="22">
        <v>0</v>
      </c>
      <c r="E841" s="17">
        <v>42145</v>
      </c>
      <c r="F841" s="18">
        <v>0.54813657407407412</v>
      </c>
      <c r="G841" s="22">
        <v>11.74</v>
      </c>
      <c r="H841">
        <v>0</v>
      </c>
      <c r="I841" s="19" t="e">
        <f>I840 + (D841-G841)</f>
        <v>#VALUE!</v>
      </c>
      <c r="M841">
        <v>123932</v>
      </c>
      <c r="N841">
        <v>24</v>
      </c>
      <c r="O841" t="s">
        <v>68</v>
      </c>
      <c r="P841">
        <v>1</v>
      </c>
      <c r="R841">
        <v>575</v>
      </c>
      <c r="S841" s="17">
        <v>42146</v>
      </c>
      <c r="T841" s="17">
        <v>42146</v>
      </c>
      <c r="W841">
        <v>2015</v>
      </c>
      <c r="X841">
        <v>24</v>
      </c>
      <c r="AC841" t="s">
        <v>61</v>
      </c>
      <c r="AD841" t="s">
        <v>302</v>
      </c>
      <c r="AE841" t="s">
        <v>46</v>
      </c>
      <c r="AG841">
        <v>52</v>
      </c>
      <c r="AH841">
        <v>9</v>
      </c>
      <c r="AI841" t="s">
        <v>54</v>
      </c>
      <c r="AK841">
        <v>0</v>
      </c>
      <c r="AM841">
        <v>0</v>
      </c>
      <c r="AP841" t="s">
        <v>325</v>
      </c>
    </row>
    <row r="842" spans="1:42" customFormat="1">
      <c r="A842">
        <v>270809</v>
      </c>
      <c r="B842" t="s">
        <v>4065</v>
      </c>
      <c r="C842" t="s">
        <v>4066</v>
      </c>
      <c r="D842" s="22">
        <v>0</v>
      </c>
      <c r="E842" s="17">
        <v>42145</v>
      </c>
      <c r="F842" s="18">
        <v>0.54813657407407412</v>
      </c>
      <c r="G842" s="22">
        <v>15</v>
      </c>
      <c r="H842">
        <v>0</v>
      </c>
      <c r="I842" s="19" t="e">
        <f>I841 + (D842-G842)</f>
        <v>#VALUE!</v>
      </c>
      <c r="M842">
        <v>123906</v>
      </c>
      <c r="N842">
        <v>24</v>
      </c>
      <c r="O842" t="s">
        <v>68</v>
      </c>
      <c r="P842">
        <v>1</v>
      </c>
      <c r="R842">
        <v>575</v>
      </c>
      <c r="S842" s="17">
        <v>42146</v>
      </c>
      <c r="T842" s="17">
        <v>42146</v>
      </c>
      <c r="W842">
        <v>2015</v>
      </c>
      <c r="X842">
        <v>24</v>
      </c>
      <c r="AC842" t="s">
        <v>61</v>
      </c>
      <c r="AD842" t="s">
        <v>302</v>
      </c>
      <c r="AE842" t="s">
        <v>46</v>
      </c>
      <c r="AG842">
        <v>52</v>
      </c>
      <c r="AH842">
        <v>9</v>
      </c>
      <c r="AI842" t="s">
        <v>54</v>
      </c>
      <c r="AK842">
        <v>0</v>
      </c>
      <c r="AM842">
        <v>0</v>
      </c>
      <c r="AP842" t="s">
        <v>325</v>
      </c>
    </row>
    <row r="843" spans="1:42" customFormat="1">
      <c r="A843">
        <v>270810</v>
      </c>
      <c r="B843" t="s">
        <v>4067</v>
      </c>
      <c r="C843" t="s">
        <v>4068</v>
      </c>
      <c r="D843" s="22">
        <v>0</v>
      </c>
      <c r="E843" s="17">
        <v>42145</v>
      </c>
      <c r="F843" s="18">
        <v>0.54813657407407412</v>
      </c>
      <c r="G843" s="22">
        <v>15</v>
      </c>
      <c r="H843">
        <v>0</v>
      </c>
      <c r="I843" s="19" t="e">
        <f>I842 + (D843-G843)</f>
        <v>#VALUE!</v>
      </c>
      <c r="M843">
        <v>123916</v>
      </c>
      <c r="N843">
        <v>24</v>
      </c>
      <c r="O843" t="s">
        <v>68</v>
      </c>
      <c r="P843">
        <v>1</v>
      </c>
      <c r="R843">
        <v>575</v>
      </c>
      <c r="S843" s="17">
        <v>42146</v>
      </c>
      <c r="T843" s="17">
        <v>42146</v>
      </c>
      <c r="W843">
        <v>2015</v>
      </c>
      <c r="X843">
        <v>24</v>
      </c>
      <c r="AC843" t="s">
        <v>61</v>
      </c>
      <c r="AD843" t="s">
        <v>302</v>
      </c>
      <c r="AE843" t="s">
        <v>46</v>
      </c>
      <c r="AG843">
        <v>52</v>
      </c>
      <c r="AH843">
        <v>9</v>
      </c>
      <c r="AI843" t="s">
        <v>54</v>
      </c>
      <c r="AK843">
        <v>0</v>
      </c>
      <c r="AM843">
        <v>0</v>
      </c>
      <c r="AP843" t="s">
        <v>325</v>
      </c>
    </row>
    <row r="844" spans="1:42" customFormat="1">
      <c r="A844">
        <v>270811</v>
      </c>
      <c r="B844" t="s">
        <v>4069</v>
      </c>
      <c r="C844" t="s">
        <v>4070</v>
      </c>
      <c r="D844" s="22">
        <v>0</v>
      </c>
      <c r="E844" s="17">
        <v>42145</v>
      </c>
      <c r="F844" s="18">
        <v>0.54813657407407412</v>
      </c>
      <c r="G844" s="22">
        <v>15</v>
      </c>
      <c r="H844">
        <v>0</v>
      </c>
      <c r="I844" s="19" t="e">
        <f>I843 + (D844-G844)</f>
        <v>#VALUE!</v>
      </c>
      <c r="M844">
        <v>123926</v>
      </c>
      <c r="N844">
        <v>24</v>
      </c>
      <c r="O844" t="s">
        <v>68</v>
      </c>
      <c r="P844">
        <v>1</v>
      </c>
      <c r="R844">
        <v>575</v>
      </c>
      <c r="S844" s="17">
        <v>42146</v>
      </c>
      <c r="T844" s="17">
        <v>42146</v>
      </c>
      <c r="W844">
        <v>2015</v>
      </c>
      <c r="X844">
        <v>24</v>
      </c>
      <c r="AC844" t="s">
        <v>61</v>
      </c>
      <c r="AD844" t="s">
        <v>302</v>
      </c>
      <c r="AE844" t="s">
        <v>46</v>
      </c>
      <c r="AG844">
        <v>52</v>
      </c>
      <c r="AH844">
        <v>9</v>
      </c>
      <c r="AI844" t="s">
        <v>54</v>
      </c>
      <c r="AK844">
        <v>0</v>
      </c>
      <c r="AM844">
        <v>0</v>
      </c>
      <c r="AP844" t="s">
        <v>325</v>
      </c>
    </row>
    <row r="845" spans="1:42" customFormat="1">
      <c r="A845">
        <v>270812</v>
      </c>
      <c r="B845" t="s">
        <v>4071</v>
      </c>
      <c r="C845" t="s">
        <v>4072</v>
      </c>
      <c r="D845" s="22">
        <v>0</v>
      </c>
      <c r="E845" s="17">
        <v>42145</v>
      </c>
      <c r="F845" s="18">
        <v>0.54813657407407412</v>
      </c>
      <c r="G845" s="22">
        <v>15</v>
      </c>
      <c r="H845">
        <v>0</v>
      </c>
      <c r="I845" s="19" t="e">
        <f>I844 + (D845-G845)</f>
        <v>#VALUE!</v>
      </c>
      <c r="M845">
        <v>123907</v>
      </c>
      <c r="N845">
        <v>24</v>
      </c>
      <c r="O845" t="s">
        <v>68</v>
      </c>
      <c r="P845">
        <v>1</v>
      </c>
      <c r="R845">
        <v>575</v>
      </c>
      <c r="S845" s="17">
        <v>42146</v>
      </c>
      <c r="T845" s="17">
        <v>42146</v>
      </c>
      <c r="W845">
        <v>2015</v>
      </c>
      <c r="X845">
        <v>24</v>
      </c>
      <c r="AC845" t="s">
        <v>61</v>
      </c>
      <c r="AD845" t="s">
        <v>302</v>
      </c>
      <c r="AE845" t="s">
        <v>46</v>
      </c>
      <c r="AG845">
        <v>52</v>
      </c>
      <c r="AH845">
        <v>9</v>
      </c>
      <c r="AI845" t="s">
        <v>54</v>
      </c>
      <c r="AK845">
        <v>0</v>
      </c>
      <c r="AM845">
        <v>0</v>
      </c>
      <c r="AP845" t="s">
        <v>325</v>
      </c>
    </row>
    <row r="846" spans="1:42" customFormat="1">
      <c r="A846">
        <v>270813</v>
      </c>
      <c r="B846" t="s">
        <v>4073</v>
      </c>
      <c r="C846" t="s">
        <v>4074</v>
      </c>
      <c r="D846" s="22">
        <v>0</v>
      </c>
      <c r="E846" s="17">
        <v>42145</v>
      </c>
      <c r="F846" s="18">
        <v>0.54813657407407412</v>
      </c>
      <c r="G846" s="22">
        <v>15</v>
      </c>
      <c r="H846">
        <v>0</v>
      </c>
      <c r="I846" s="19" t="e">
        <f>I845 + (D846-G846)</f>
        <v>#VALUE!</v>
      </c>
      <c r="M846">
        <v>123917</v>
      </c>
      <c r="N846">
        <v>24</v>
      </c>
      <c r="O846" t="s">
        <v>68</v>
      </c>
      <c r="P846">
        <v>1</v>
      </c>
      <c r="R846">
        <v>575</v>
      </c>
      <c r="S846" s="17">
        <v>42146</v>
      </c>
      <c r="T846" s="17">
        <v>42146</v>
      </c>
      <c r="W846">
        <v>2015</v>
      </c>
      <c r="X846">
        <v>24</v>
      </c>
      <c r="AC846" t="s">
        <v>61</v>
      </c>
      <c r="AD846" t="s">
        <v>302</v>
      </c>
      <c r="AE846" t="s">
        <v>46</v>
      </c>
      <c r="AG846">
        <v>52</v>
      </c>
      <c r="AH846">
        <v>9</v>
      </c>
      <c r="AI846" t="s">
        <v>54</v>
      </c>
      <c r="AK846">
        <v>0</v>
      </c>
      <c r="AM846">
        <v>0</v>
      </c>
      <c r="AP846" t="s">
        <v>325</v>
      </c>
    </row>
    <row r="847" spans="1:42" customFormat="1">
      <c r="A847">
        <v>270814</v>
      </c>
      <c r="B847" t="s">
        <v>4075</v>
      </c>
      <c r="C847" t="s">
        <v>4076</v>
      </c>
      <c r="D847" s="22">
        <v>0</v>
      </c>
      <c r="E847" s="17">
        <v>42145</v>
      </c>
      <c r="F847" s="18">
        <v>0.54813657407407412</v>
      </c>
      <c r="G847" s="22">
        <v>15</v>
      </c>
      <c r="H847">
        <v>0</v>
      </c>
      <c r="I847" s="19" t="e">
        <f>I846 + (D847-G847)</f>
        <v>#VALUE!</v>
      </c>
      <c r="M847">
        <v>123927</v>
      </c>
      <c r="N847">
        <v>24</v>
      </c>
      <c r="O847" t="s">
        <v>68</v>
      </c>
      <c r="P847">
        <v>1</v>
      </c>
      <c r="R847">
        <v>575</v>
      </c>
      <c r="S847" s="17">
        <v>42146</v>
      </c>
      <c r="T847" s="17">
        <v>42146</v>
      </c>
      <c r="W847">
        <v>2015</v>
      </c>
      <c r="X847">
        <v>24</v>
      </c>
      <c r="AC847" t="s">
        <v>61</v>
      </c>
      <c r="AD847" t="s">
        <v>302</v>
      </c>
      <c r="AE847" t="s">
        <v>46</v>
      </c>
      <c r="AG847">
        <v>52</v>
      </c>
      <c r="AH847">
        <v>9</v>
      </c>
      <c r="AI847" t="s">
        <v>54</v>
      </c>
      <c r="AK847">
        <v>0</v>
      </c>
      <c r="AM847">
        <v>0</v>
      </c>
      <c r="AP847" t="s">
        <v>325</v>
      </c>
    </row>
    <row r="848" spans="1:42" customFormat="1">
      <c r="A848">
        <v>270815</v>
      </c>
      <c r="B848" t="s">
        <v>4077</v>
      </c>
      <c r="C848" t="s">
        <v>4078</v>
      </c>
      <c r="D848" s="22">
        <v>0</v>
      </c>
      <c r="E848" s="17">
        <v>42145</v>
      </c>
      <c r="F848" s="18">
        <v>0.54813657407407412</v>
      </c>
      <c r="G848" s="22">
        <v>15</v>
      </c>
      <c r="H848">
        <v>0</v>
      </c>
      <c r="I848" s="19" t="e">
        <f>I847 + (D848-G848)</f>
        <v>#VALUE!</v>
      </c>
      <c r="M848">
        <v>123908</v>
      </c>
      <c r="N848">
        <v>24</v>
      </c>
      <c r="O848" t="s">
        <v>68</v>
      </c>
      <c r="P848">
        <v>1</v>
      </c>
      <c r="R848">
        <v>575</v>
      </c>
      <c r="S848" s="17">
        <v>42146</v>
      </c>
      <c r="T848" s="17">
        <v>42146</v>
      </c>
      <c r="W848">
        <v>2015</v>
      </c>
      <c r="X848">
        <v>24</v>
      </c>
      <c r="AC848" t="s">
        <v>61</v>
      </c>
      <c r="AD848" t="s">
        <v>302</v>
      </c>
      <c r="AE848" t="s">
        <v>46</v>
      </c>
      <c r="AG848">
        <v>52</v>
      </c>
      <c r="AH848">
        <v>9</v>
      </c>
      <c r="AI848" t="s">
        <v>54</v>
      </c>
      <c r="AK848">
        <v>0</v>
      </c>
      <c r="AM848">
        <v>0</v>
      </c>
      <c r="AP848" t="s">
        <v>325</v>
      </c>
    </row>
    <row r="849" spans="1:42" customFormat="1">
      <c r="A849">
        <v>270816</v>
      </c>
      <c r="B849" t="s">
        <v>4079</v>
      </c>
      <c r="C849" t="s">
        <v>4080</v>
      </c>
      <c r="D849" s="22">
        <v>0</v>
      </c>
      <c r="E849" s="17">
        <v>42145</v>
      </c>
      <c r="F849" s="18">
        <v>0.54813657407407412</v>
      </c>
      <c r="G849" s="22">
        <v>15</v>
      </c>
      <c r="H849">
        <v>0</v>
      </c>
      <c r="I849" s="19" t="e">
        <f>I848 + (D849-G849)</f>
        <v>#VALUE!</v>
      </c>
      <c r="M849">
        <v>123918</v>
      </c>
      <c r="N849">
        <v>24</v>
      </c>
      <c r="O849" t="s">
        <v>68</v>
      </c>
      <c r="P849">
        <v>1</v>
      </c>
      <c r="R849">
        <v>575</v>
      </c>
      <c r="S849" s="17">
        <v>42146</v>
      </c>
      <c r="T849" s="17">
        <v>42146</v>
      </c>
      <c r="W849">
        <v>2015</v>
      </c>
      <c r="X849">
        <v>24</v>
      </c>
      <c r="AC849" t="s">
        <v>61</v>
      </c>
      <c r="AD849" t="s">
        <v>302</v>
      </c>
      <c r="AE849" t="s">
        <v>46</v>
      </c>
      <c r="AG849">
        <v>52</v>
      </c>
      <c r="AH849">
        <v>9</v>
      </c>
      <c r="AI849" t="s">
        <v>54</v>
      </c>
      <c r="AK849">
        <v>0</v>
      </c>
      <c r="AM849">
        <v>0</v>
      </c>
      <c r="AP849" t="s">
        <v>325</v>
      </c>
    </row>
    <row r="850" spans="1:42" customFormat="1">
      <c r="A850">
        <v>270817</v>
      </c>
      <c r="B850" t="s">
        <v>4081</v>
      </c>
      <c r="C850" t="s">
        <v>4082</v>
      </c>
      <c r="D850" s="22">
        <v>0</v>
      </c>
      <c r="E850" s="17">
        <v>42145</v>
      </c>
      <c r="F850" s="18">
        <v>0.54813657407407412</v>
      </c>
      <c r="G850" s="22">
        <v>15</v>
      </c>
      <c r="H850">
        <v>0</v>
      </c>
      <c r="I850" s="19" t="e">
        <f>I849 + (D850-G850)</f>
        <v>#VALUE!</v>
      </c>
      <c r="M850">
        <v>123928</v>
      </c>
      <c r="N850">
        <v>24</v>
      </c>
      <c r="O850" t="s">
        <v>68</v>
      </c>
      <c r="P850">
        <v>1</v>
      </c>
      <c r="R850">
        <v>575</v>
      </c>
      <c r="S850" s="17">
        <v>42146</v>
      </c>
      <c r="T850" s="17">
        <v>42146</v>
      </c>
      <c r="W850">
        <v>2015</v>
      </c>
      <c r="X850">
        <v>24</v>
      </c>
      <c r="AC850" t="s">
        <v>61</v>
      </c>
      <c r="AD850" t="s">
        <v>302</v>
      </c>
      <c r="AE850" t="s">
        <v>46</v>
      </c>
      <c r="AG850">
        <v>52</v>
      </c>
      <c r="AH850">
        <v>9</v>
      </c>
      <c r="AI850" t="s">
        <v>54</v>
      </c>
      <c r="AK850">
        <v>0</v>
      </c>
      <c r="AM850">
        <v>0</v>
      </c>
      <c r="AP850" t="s">
        <v>325</v>
      </c>
    </row>
    <row r="851" spans="1:42" customFormat="1">
      <c r="A851">
        <v>270818</v>
      </c>
      <c r="B851" t="s">
        <v>4083</v>
      </c>
      <c r="C851" t="s">
        <v>4084</v>
      </c>
      <c r="D851" s="22">
        <v>0</v>
      </c>
      <c r="E851" s="17">
        <v>42145</v>
      </c>
      <c r="F851" s="18">
        <v>0.54813657407407412</v>
      </c>
      <c r="G851" s="22">
        <v>15</v>
      </c>
      <c r="H851">
        <v>0</v>
      </c>
      <c r="I851" s="19" t="e">
        <f>I850 + (D851-G851)</f>
        <v>#VALUE!</v>
      </c>
      <c r="M851">
        <v>123909</v>
      </c>
      <c r="N851">
        <v>24</v>
      </c>
      <c r="O851" t="s">
        <v>68</v>
      </c>
      <c r="P851">
        <v>1</v>
      </c>
      <c r="R851">
        <v>575</v>
      </c>
      <c r="S851" s="17">
        <v>42146</v>
      </c>
      <c r="T851" s="17">
        <v>42146</v>
      </c>
      <c r="W851">
        <v>2015</v>
      </c>
      <c r="X851">
        <v>24</v>
      </c>
      <c r="AC851" t="s">
        <v>61</v>
      </c>
      <c r="AD851" t="s">
        <v>302</v>
      </c>
      <c r="AE851" t="s">
        <v>46</v>
      </c>
      <c r="AG851">
        <v>52</v>
      </c>
      <c r="AH851">
        <v>9</v>
      </c>
      <c r="AI851" t="s">
        <v>54</v>
      </c>
      <c r="AK851">
        <v>0</v>
      </c>
      <c r="AM851">
        <v>0</v>
      </c>
      <c r="AP851" t="s">
        <v>325</v>
      </c>
    </row>
    <row r="852" spans="1:42" customFormat="1">
      <c r="A852">
        <v>270819</v>
      </c>
      <c r="B852" t="s">
        <v>4085</v>
      </c>
      <c r="C852" t="s">
        <v>4086</v>
      </c>
      <c r="D852" s="22">
        <v>0</v>
      </c>
      <c r="E852" s="17">
        <v>42145</v>
      </c>
      <c r="F852" s="18">
        <v>0.54813657407407412</v>
      </c>
      <c r="G852" s="22">
        <v>15</v>
      </c>
      <c r="H852">
        <v>0</v>
      </c>
      <c r="I852" s="19" t="e">
        <f>I851 + (D852-G852)</f>
        <v>#VALUE!</v>
      </c>
      <c r="M852">
        <v>123919</v>
      </c>
      <c r="N852">
        <v>24</v>
      </c>
      <c r="O852" t="s">
        <v>68</v>
      </c>
      <c r="P852">
        <v>1</v>
      </c>
      <c r="R852">
        <v>575</v>
      </c>
      <c r="S852" s="17">
        <v>42146</v>
      </c>
      <c r="T852" s="17">
        <v>42146</v>
      </c>
      <c r="W852">
        <v>2015</v>
      </c>
      <c r="X852">
        <v>24</v>
      </c>
      <c r="AC852" t="s">
        <v>61</v>
      </c>
      <c r="AD852" t="s">
        <v>302</v>
      </c>
      <c r="AE852" t="s">
        <v>46</v>
      </c>
      <c r="AG852">
        <v>52</v>
      </c>
      <c r="AH852">
        <v>9</v>
      </c>
      <c r="AI852" t="s">
        <v>54</v>
      </c>
      <c r="AK852">
        <v>0</v>
      </c>
      <c r="AM852">
        <v>0</v>
      </c>
      <c r="AP852" t="s">
        <v>325</v>
      </c>
    </row>
    <row r="853" spans="1:42" customFormat="1">
      <c r="A853">
        <v>270820</v>
      </c>
      <c r="B853" t="s">
        <v>4087</v>
      </c>
      <c r="C853" t="s">
        <v>4088</v>
      </c>
      <c r="D853" s="22">
        <v>0</v>
      </c>
      <c r="E853" s="17">
        <v>42145</v>
      </c>
      <c r="F853" s="18">
        <v>0.54813657407407412</v>
      </c>
      <c r="G853" s="22">
        <v>15</v>
      </c>
      <c r="H853">
        <v>0</v>
      </c>
      <c r="I853" s="19" t="e">
        <f>I852 + (D853-G853)</f>
        <v>#VALUE!</v>
      </c>
      <c r="M853">
        <v>123929</v>
      </c>
      <c r="N853">
        <v>24</v>
      </c>
      <c r="O853" t="s">
        <v>68</v>
      </c>
      <c r="P853">
        <v>1</v>
      </c>
      <c r="R853">
        <v>575</v>
      </c>
      <c r="S853" s="17">
        <v>42146</v>
      </c>
      <c r="T853" s="17">
        <v>42146</v>
      </c>
      <c r="W853">
        <v>2015</v>
      </c>
      <c r="X853">
        <v>24</v>
      </c>
      <c r="AC853" t="s">
        <v>61</v>
      </c>
      <c r="AD853" t="s">
        <v>302</v>
      </c>
      <c r="AE853" t="s">
        <v>46</v>
      </c>
      <c r="AG853">
        <v>52</v>
      </c>
      <c r="AH853">
        <v>9</v>
      </c>
      <c r="AI853" t="s">
        <v>54</v>
      </c>
      <c r="AK853">
        <v>0</v>
      </c>
      <c r="AM853">
        <v>0</v>
      </c>
      <c r="AP853" t="s">
        <v>325</v>
      </c>
    </row>
    <row r="854" spans="1:42" customFormat="1">
      <c r="A854">
        <v>270830</v>
      </c>
      <c r="B854" t="s">
        <v>4089</v>
      </c>
      <c r="C854" t="s">
        <v>4090</v>
      </c>
      <c r="D854" s="22">
        <v>0</v>
      </c>
      <c r="E854" s="17">
        <v>42145</v>
      </c>
      <c r="F854" s="18">
        <v>0.54814814814814816</v>
      </c>
      <c r="G854" s="22">
        <v>15</v>
      </c>
      <c r="H854">
        <v>0</v>
      </c>
      <c r="I854" s="19" t="e">
        <f>I853 + (D854-G854)</f>
        <v>#VALUE!</v>
      </c>
      <c r="M854">
        <v>123913</v>
      </c>
      <c r="N854">
        <v>24</v>
      </c>
      <c r="O854" t="s">
        <v>68</v>
      </c>
      <c r="P854">
        <v>1</v>
      </c>
      <c r="R854">
        <v>575</v>
      </c>
      <c r="S854" s="17">
        <v>42146</v>
      </c>
      <c r="T854" s="17">
        <v>42146</v>
      </c>
      <c r="W854">
        <v>2015</v>
      </c>
      <c r="X854">
        <v>24</v>
      </c>
      <c r="AC854" t="s">
        <v>61</v>
      </c>
      <c r="AD854" t="s">
        <v>302</v>
      </c>
      <c r="AE854" t="s">
        <v>46</v>
      </c>
      <c r="AG854">
        <v>52</v>
      </c>
      <c r="AH854">
        <v>9</v>
      </c>
      <c r="AI854" t="s">
        <v>54</v>
      </c>
      <c r="AK854">
        <v>0</v>
      </c>
      <c r="AM854">
        <v>0</v>
      </c>
      <c r="AP854" t="s">
        <v>325</v>
      </c>
    </row>
    <row r="855" spans="1:42" customFormat="1">
      <c r="A855">
        <v>270831</v>
      </c>
      <c r="B855" t="s">
        <v>4091</v>
      </c>
      <c r="C855" t="s">
        <v>4092</v>
      </c>
      <c r="D855" s="22">
        <v>0</v>
      </c>
      <c r="E855" s="17">
        <v>42145</v>
      </c>
      <c r="F855" s="18">
        <v>0.54814814814814816</v>
      </c>
      <c r="G855" s="22">
        <v>15</v>
      </c>
      <c r="H855">
        <v>0</v>
      </c>
      <c r="I855" s="19" t="e">
        <f>I854 + (D855-G855)</f>
        <v>#VALUE!</v>
      </c>
      <c r="M855">
        <v>123923</v>
      </c>
      <c r="N855">
        <v>24</v>
      </c>
      <c r="O855" t="s">
        <v>68</v>
      </c>
      <c r="P855">
        <v>1</v>
      </c>
      <c r="R855">
        <v>575</v>
      </c>
      <c r="S855" s="17">
        <v>42146</v>
      </c>
      <c r="T855" s="17">
        <v>42146</v>
      </c>
      <c r="W855">
        <v>2015</v>
      </c>
      <c r="X855">
        <v>24</v>
      </c>
      <c r="AC855" t="s">
        <v>61</v>
      </c>
      <c r="AD855" t="s">
        <v>302</v>
      </c>
      <c r="AE855" t="s">
        <v>46</v>
      </c>
      <c r="AG855">
        <v>52</v>
      </c>
      <c r="AH855">
        <v>9</v>
      </c>
      <c r="AI855" t="s">
        <v>54</v>
      </c>
      <c r="AK855">
        <v>0</v>
      </c>
      <c r="AM855">
        <v>0</v>
      </c>
      <c r="AP855" t="s">
        <v>325</v>
      </c>
    </row>
    <row r="856" spans="1:42" customFormat="1">
      <c r="A856">
        <v>272830</v>
      </c>
      <c r="B856" t="s">
        <v>4162</v>
      </c>
      <c r="C856" t="s">
        <v>4163</v>
      </c>
      <c r="D856" s="22">
        <v>0</v>
      </c>
      <c r="E856" s="17">
        <v>42146</v>
      </c>
      <c r="F856" s="18">
        <v>0.55149305555555561</v>
      </c>
      <c r="G856" s="22">
        <v>37.5</v>
      </c>
      <c r="H856">
        <v>0</v>
      </c>
      <c r="I856" s="19" t="e">
        <f>I855 + (D856-G856)</f>
        <v>#VALUE!</v>
      </c>
      <c r="M856">
        <v>125064</v>
      </c>
      <c r="N856">
        <v>24</v>
      </c>
      <c r="O856" t="s">
        <v>68</v>
      </c>
      <c r="P856">
        <v>1</v>
      </c>
      <c r="R856">
        <v>575</v>
      </c>
      <c r="S856" s="17">
        <v>42166</v>
      </c>
      <c r="T856" s="17">
        <v>42166</v>
      </c>
      <c r="W856">
        <v>2010</v>
      </c>
      <c r="X856">
        <v>24</v>
      </c>
      <c r="AC856" t="s">
        <v>61</v>
      </c>
      <c r="AD856" t="s">
        <v>302</v>
      </c>
      <c r="AE856" t="s">
        <v>46</v>
      </c>
      <c r="AG856">
        <v>12</v>
      </c>
      <c r="AH856">
        <v>9</v>
      </c>
      <c r="AI856" t="s">
        <v>54</v>
      </c>
      <c r="AK856">
        <v>0</v>
      </c>
      <c r="AM856">
        <v>0</v>
      </c>
      <c r="AP856" t="s">
        <v>392</v>
      </c>
    </row>
    <row r="857" spans="1:42" customFormat="1">
      <c r="A857">
        <v>271066</v>
      </c>
      <c r="B857" t="s">
        <v>4170</v>
      </c>
      <c r="C857" t="s">
        <v>4171</v>
      </c>
      <c r="D857" s="22">
        <v>0</v>
      </c>
      <c r="E857" s="17">
        <v>42146</v>
      </c>
      <c r="F857" s="18">
        <v>0.5733449074074074</v>
      </c>
      <c r="G857" s="22">
        <v>15</v>
      </c>
      <c r="H857">
        <v>0</v>
      </c>
      <c r="I857" s="19" t="e">
        <f>I856 + (D857-G857)</f>
        <v>#VALUE!</v>
      </c>
      <c r="M857">
        <v>124051</v>
      </c>
      <c r="N857">
        <v>24</v>
      </c>
      <c r="O857" t="s">
        <v>68</v>
      </c>
      <c r="P857">
        <v>1</v>
      </c>
      <c r="R857">
        <v>575</v>
      </c>
      <c r="S857" s="17">
        <v>42150</v>
      </c>
      <c r="T857" s="17">
        <v>42150</v>
      </c>
      <c r="W857">
        <v>2015</v>
      </c>
      <c r="X857">
        <v>24</v>
      </c>
      <c r="AC857" t="s">
        <v>61</v>
      </c>
      <c r="AD857" t="s">
        <v>302</v>
      </c>
      <c r="AE857" t="s">
        <v>46</v>
      </c>
      <c r="AG857">
        <v>52</v>
      </c>
      <c r="AH857">
        <v>9</v>
      </c>
      <c r="AI857" t="s">
        <v>54</v>
      </c>
      <c r="AK857">
        <v>0</v>
      </c>
      <c r="AM857">
        <v>0</v>
      </c>
      <c r="AP857" t="s">
        <v>325</v>
      </c>
    </row>
    <row r="858" spans="1:42" customFormat="1">
      <c r="A858">
        <v>271067</v>
      </c>
      <c r="B858" t="s">
        <v>4172</v>
      </c>
      <c r="C858" t="s">
        <v>4173</v>
      </c>
      <c r="D858" s="22">
        <v>0</v>
      </c>
      <c r="E858" s="17">
        <v>42146</v>
      </c>
      <c r="F858" s="18">
        <v>0.57335648148148144</v>
      </c>
      <c r="G858" s="22">
        <v>3.26</v>
      </c>
      <c r="H858">
        <v>0</v>
      </c>
      <c r="I858" s="19" t="e">
        <f>I857 + (D858-G858)</f>
        <v>#VALUE!</v>
      </c>
      <c r="M858">
        <v>124042</v>
      </c>
      <c r="N858">
        <v>24</v>
      </c>
      <c r="O858" t="s">
        <v>68</v>
      </c>
      <c r="P858">
        <v>1</v>
      </c>
      <c r="R858">
        <v>575</v>
      </c>
      <c r="S858" s="17">
        <v>42150</v>
      </c>
      <c r="T858" s="17">
        <v>42150</v>
      </c>
      <c r="W858">
        <v>2015</v>
      </c>
      <c r="X858">
        <v>24</v>
      </c>
      <c r="AC858" t="s">
        <v>61</v>
      </c>
      <c r="AD858" t="s">
        <v>302</v>
      </c>
      <c r="AE858" t="s">
        <v>46</v>
      </c>
      <c r="AG858">
        <v>52</v>
      </c>
      <c r="AH858">
        <v>9</v>
      </c>
      <c r="AI858" t="s">
        <v>54</v>
      </c>
      <c r="AK858">
        <v>0</v>
      </c>
      <c r="AM858">
        <v>0</v>
      </c>
      <c r="AP858" t="s">
        <v>325</v>
      </c>
    </row>
    <row r="859" spans="1:42" customFormat="1">
      <c r="A859">
        <v>271068</v>
      </c>
      <c r="B859" t="s">
        <v>4174</v>
      </c>
      <c r="C859" t="s">
        <v>4175</v>
      </c>
      <c r="D859" s="22">
        <v>0</v>
      </c>
      <c r="E859" s="17">
        <v>42146</v>
      </c>
      <c r="F859" s="18">
        <v>0.57335648148148144</v>
      </c>
      <c r="G859" s="22">
        <v>15</v>
      </c>
      <c r="H859">
        <v>0</v>
      </c>
      <c r="I859" s="19" t="e">
        <f>I858 + (D859-G859)</f>
        <v>#VALUE!</v>
      </c>
      <c r="M859">
        <v>124052</v>
      </c>
      <c r="N859">
        <v>24</v>
      </c>
      <c r="O859" t="s">
        <v>68</v>
      </c>
      <c r="P859">
        <v>1</v>
      </c>
      <c r="R859">
        <v>575</v>
      </c>
      <c r="S859" s="17">
        <v>42150</v>
      </c>
      <c r="T859" s="17">
        <v>42150</v>
      </c>
      <c r="W859">
        <v>2015</v>
      </c>
      <c r="X859">
        <v>24</v>
      </c>
      <c r="AC859" t="s">
        <v>61</v>
      </c>
      <c r="AD859" t="s">
        <v>302</v>
      </c>
      <c r="AE859" t="s">
        <v>46</v>
      </c>
      <c r="AG859">
        <v>52</v>
      </c>
      <c r="AH859">
        <v>9</v>
      </c>
      <c r="AI859" t="s">
        <v>54</v>
      </c>
      <c r="AK859">
        <v>0</v>
      </c>
      <c r="AM859">
        <v>0</v>
      </c>
      <c r="AP859" t="s">
        <v>325</v>
      </c>
    </row>
    <row r="860" spans="1:42" customFormat="1">
      <c r="A860">
        <v>271069</v>
      </c>
      <c r="B860" t="s">
        <v>4176</v>
      </c>
      <c r="C860" t="s">
        <v>4177</v>
      </c>
      <c r="D860" s="22">
        <v>0</v>
      </c>
      <c r="E860" s="17">
        <v>42146</v>
      </c>
      <c r="F860" s="18">
        <v>0.57335648148148144</v>
      </c>
      <c r="G860" s="22">
        <v>15</v>
      </c>
      <c r="H860">
        <v>0</v>
      </c>
      <c r="I860" s="19" t="e">
        <f>I859 + (D860-G860)</f>
        <v>#VALUE!</v>
      </c>
      <c r="M860">
        <v>124043</v>
      </c>
      <c r="N860">
        <v>24</v>
      </c>
      <c r="O860" t="s">
        <v>68</v>
      </c>
      <c r="P860">
        <v>1</v>
      </c>
      <c r="R860">
        <v>575</v>
      </c>
      <c r="S860" s="17">
        <v>42150</v>
      </c>
      <c r="T860" s="17">
        <v>42150</v>
      </c>
      <c r="W860">
        <v>2015</v>
      </c>
      <c r="X860">
        <v>24</v>
      </c>
      <c r="AC860" t="s">
        <v>61</v>
      </c>
      <c r="AD860" t="s">
        <v>302</v>
      </c>
      <c r="AE860" t="s">
        <v>46</v>
      </c>
      <c r="AG860">
        <v>52</v>
      </c>
      <c r="AH860">
        <v>9</v>
      </c>
      <c r="AI860" t="s">
        <v>54</v>
      </c>
      <c r="AK860">
        <v>0</v>
      </c>
      <c r="AM860">
        <v>0</v>
      </c>
      <c r="AP860" t="s">
        <v>325</v>
      </c>
    </row>
    <row r="861" spans="1:42" customFormat="1">
      <c r="A861">
        <v>271070</v>
      </c>
      <c r="B861" t="s">
        <v>4178</v>
      </c>
      <c r="C861" t="s">
        <v>4179</v>
      </c>
      <c r="D861" s="22">
        <v>0</v>
      </c>
      <c r="E861" s="17">
        <v>42146</v>
      </c>
      <c r="F861" s="18">
        <v>0.57335648148148144</v>
      </c>
      <c r="G861" s="22">
        <v>15</v>
      </c>
      <c r="H861">
        <v>0</v>
      </c>
      <c r="I861" s="19" t="e">
        <f>I860 + (D861-G861)</f>
        <v>#VALUE!</v>
      </c>
      <c r="M861">
        <v>124053</v>
      </c>
      <c r="N861">
        <v>24</v>
      </c>
      <c r="O861" t="s">
        <v>68</v>
      </c>
      <c r="P861">
        <v>1</v>
      </c>
      <c r="R861">
        <v>575</v>
      </c>
      <c r="S861" s="17">
        <v>42150</v>
      </c>
      <c r="T861" s="17">
        <v>42150</v>
      </c>
      <c r="W861">
        <v>2015</v>
      </c>
      <c r="X861">
        <v>24</v>
      </c>
      <c r="AC861" t="s">
        <v>61</v>
      </c>
      <c r="AD861" t="s">
        <v>302</v>
      </c>
      <c r="AE861" t="s">
        <v>46</v>
      </c>
      <c r="AG861">
        <v>52</v>
      </c>
      <c r="AH861">
        <v>9</v>
      </c>
      <c r="AI861" t="s">
        <v>54</v>
      </c>
      <c r="AK861">
        <v>0</v>
      </c>
      <c r="AM861">
        <v>0</v>
      </c>
      <c r="AP861" t="s">
        <v>325</v>
      </c>
    </row>
    <row r="862" spans="1:42" customFormat="1">
      <c r="A862">
        <v>271071</v>
      </c>
      <c r="B862" t="s">
        <v>4180</v>
      </c>
      <c r="C862" t="s">
        <v>4181</v>
      </c>
      <c r="D862" s="22">
        <v>0</v>
      </c>
      <c r="E862" s="17">
        <v>42146</v>
      </c>
      <c r="F862" s="18">
        <v>0.57335648148148144</v>
      </c>
      <c r="G862" s="22">
        <v>15</v>
      </c>
      <c r="H862">
        <v>0</v>
      </c>
      <c r="I862" s="19" t="e">
        <f>I861 + (D862-G862)</f>
        <v>#VALUE!</v>
      </c>
      <c r="M862">
        <v>124044</v>
      </c>
      <c r="N862">
        <v>24</v>
      </c>
      <c r="O862" t="s">
        <v>68</v>
      </c>
      <c r="P862">
        <v>1</v>
      </c>
      <c r="R862">
        <v>575</v>
      </c>
      <c r="S862" s="17">
        <v>42150</v>
      </c>
      <c r="T862" s="17">
        <v>42150</v>
      </c>
      <c r="W862">
        <v>2015</v>
      </c>
      <c r="X862">
        <v>24</v>
      </c>
      <c r="AC862" t="s">
        <v>61</v>
      </c>
      <c r="AD862" t="s">
        <v>302</v>
      </c>
      <c r="AE862" t="s">
        <v>46</v>
      </c>
      <c r="AG862">
        <v>52</v>
      </c>
      <c r="AH862">
        <v>9</v>
      </c>
      <c r="AI862" t="s">
        <v>54</v>
      </c>
      <c r="AK862">
        <v>0</v>
      </c>
      <c r="AM862">
        <v>0</v>
      </c>
      <c r="AP862" t="s">
        <v>325</v>
      </c>
    </row>
    <row r="863" spans="1:42" customFormat="1">
      <c r="A863">
        <v>271072</v>
      </c>
      <c r="B863" t="s">
        <v>4182</v>
      </c>
      <c r="C863" t="s">
        <v>4183</v>
      </c>
      <c r="D863" s="22">
        <v>0</v>
      </c>
      <c r="E863" s="17">
        <v>42146</v>
      </c>
      <c r="F863" s="18">
        <v>0.57336805555555559</v>
      </c>
      <c r="G863" s="22">
        <v>15</v>
      </c>
      <c r="H863">
        <v>0</v>
      </c>
      <c r="I863" s="19" t="e">
        <f>I862 + (D863-G863)</f>
        <v>#VALUE!</v>
      </c>
      <c r="M863">
        <v>124054</v>
      </c>
      <c r="N863">
        <v>24</v>
      </c>
      <c r="O863" t="s">
        <v>68</v>
      </c>
      <c r="P863">
        <v>1</v>
      </c>
      <c r="R863">
        <v>575</v>
      </c>
      <c r="S863" s="17">
        <v>42150</v>
      </c>
      <c r="T863" s="17">
        <v>42150</v>
      </c>
      <c r="W863">
        <v>2015</v>
      </c>
      <c r="X863">
        <v>24</v>
      </c>
      <c r="AC863" t="s">
        <v>61</v>
      </c>
      <c r="AD863" t="s">
        <v>302</v>
      </c>
      <c r="AE863" t="s">
        <v>46</v>
      </c>
      <c r="AG863">
        <v>52</v>
      </c>
      <c r="AH863">
        <v>9</v>
      </c>
      <c r="AI863" t="s">
        <v>54</v>
      </c>
      <c r="AK863">
        <v>0</v>
      </c>
      <c r="AM863">
        <v>0</v>
      </c>
      <c r="AP863" t="s">
        <v>325</v>
      </c>
    </row>
    <row r="864" spans="1:42" customFormat="1">
      <c r="A864">
        <v>271073</v>
      </c>
      <c r="B864" t="s">
        <v>4184</v>
      </c>
      <c r="C864" t="s">
        <v>4185</v>
      </c>
      <c r="D864" s="22">
        <v>0</v>
      </c>
      <c r="E864" s="17">
        <v>42146</v>
      </c>
      <c r="F864" s="18">
        <v>0.57336805555555559</v>
      </c>
      <c r="G864" s="22">
        <v>15</v>
      </c>
      <c r="H864">
        <v>0</v>
      </c>
      <c r="I864" s="19" t="e">
        <f>I863 + (D864-G864)</f>
        <v>#VALUE!</v>
      </c>
      <c r="M864">
        <v>124045</v>
      </c>
      <c r="N864">
        <v>24</v>
      </c>
      <c r="O864" t="s">
        <v>68</v>
      </c>
      <c r="P864">
        <v>1</v>
      </c>
      <c r="R864">
        <v>575</v>
      </c>
      <c r="S864" s="17">
        <v>42150</v>
      </c>
      <c r="T864" s="17">
        <v>42150</v>
      </c>
      <c r="W864">
        <v>2015</v>
      </c>
      <c r="X864">
        <v>24</v>
      </c>
      <c r="AC864" t="s">
        <v>61</v>
      </c>
      <c r="AD864" t="s">
        <v>302</v>
      </c>
      <c r="AE864" t="s">
        <v>46</v>
      </c>
      <c r="AG864">
        <v>52</v>
      </c>
      <c r="AH864">
        <v>9</v>
      </c>
      <c r="AI864" t="s">
        <v>54</v>
      </c>
      <c r="AK864">
        <v>0</v>
      </c>
      <c r="AM864">
        <v>0</v>
      </c>
      <c r="AP864" t="s">
        <v>325</v>
      </c>
    </row>
    <row r="865" spans="1:42" customFormat="1">
      <c r="A865">
        <v>271074</v>
      </c>
      <c r="B865" t="s">
        <v>4186</v>
      </c>
      <c r="C865" t="s">
        <v>4187</v>
      </c>
      <c r="D865" s="22">
        <v>0</v>
      </c>
      <c r="E865" s="17">
        <v>42146</v>
      </c>
      <c r="F865" s="18">
        <v>0.57336805555555559</v>
      </c>
      <c r="G865" s="22">
        <v>15</v>
      </c>
      <c r="H865">
        <v>0</v>
      </c>
      <c r="I865" s="19" t="e">
        <f>I864 + (D865-G865)</f>
        <v>#VALUE!</v>
      </c>
      <c r="M865">
        <v>124055</v>
      </c>
      <c r="N865">
        <v>24</v>
      </c>
      <c r="O865" t="s">
        <v>68</v>
      </c>
      <c r="P865">
        <v>1</v>
      </c>
      <c r="R865">
        <v>575</v>
      </c>
      <c r="S865" s="17">
        <v>42150</v>
      </c>
      <c r="T865" s="17">
        <v>42150</v>
      </c>
      <c r="W865">
        <v>2015</v>
      </c>
      <c r="X865">
        <v>24</v>
      </c>
      <c r="AC865" t="s">
        <v>61</v>
      </c>
      <c r="AD865" t="s">
        <v>302</v>
      </c>
      <c r="AE865" t="s">
        <v>46</v>
      </c>
      <c r="AG865">
        <v>52</v>
      </c>
      <c r="AH865">
        <v>9</v>
      </c>
      <c r="AI865" t="s">
        <v>54</v>
      </c>
      <c r="AK865">
        <v>0</v>
      </c>
      <c r="AM865">
        <v>0</v>
      </c>
      <c r="AP865" t="s">
        <v>325</v>
      </c>
    </row>
    <row r="866" spans="1:42" customFormat="1">
      <c r="A866">
        <v>271075</v>
      </c>
      <c r="B866" t="s">
        <v>4188</v>
      </c>
      <c r="C866" t="s">
        <v>4189</v>
      </c>
      <c r="D866" s="22">
        <v>0</v>
      </c>
      <c r="E866" s="17">
        <v>42146</v>
      </c>
      <c r="F866" s="18">
        <v>0.57336805555555559</v>
      </c>
      <c r="G866" s="22">
        <v>15</v>
      </c>
      <c r="H866">
        <v>0</v>
      </c>
      <c r="I866" s="19" t="e">
        <f>I865 + (D866-G866)</f>
        <v>#VALUE!</v>
      </c>
      <c r="M866">
        <v>124046</v>
      </c>
      <c r="N866">
        <v>24</v>
      </c>
      <c r="O866" t="s">
        <v>68</v>
      </c>
      <c r="P866">
        <v>1</v>
      </c>
      <c r="R866">
        <v>575</v>
      </c>
      <c r="S866" s="17">
        <v>42150</v>
      </c>
      <c r="T866" s="17">
        <v>42150</v>
      </c>
      <c r="W866">
        <v>2015</v>
      </c>
      <c r="X866">
        <v>24</v>
      </c>
      <c r="AC866" t="s">
        <v>61</v>
      </c>
      <c r="AD866" t="s">
        <v>302</v>
      </c>
      <c r="AE866" t="s">
        <v>46</v>
      </c>
      <c r="AG866">
        <v>52</v>
      </c>
      <c r="AH866">
        <v>9</v>
      </c>
      <c r="AI866" t="s">
        <v>54</v>
      </c>
      <c r="AK866">
        <v>0</v>
      </c>
      <c r="AM866">
        <v>0</v>
      </c>
      <c r="AP866" t="s">
        <v>325</v>
      </c>
    </row>
    <row r="867" spans="1:42" customFormat="1">
      <c r="A867">
        <v>271076</v>
      </c>
      <c r="B867" t="s">
        <v>4190</v>
      </c>
      <c r="C867" t="s">
        <v>4191</v>
      </c>
      <c r="D867" s="22">
        <v>0</v>
      </c>
      <c r="E867" s="17">
        <v>42146</v>
      </c>
      <c r="F867" s="18">
        <v>0.57336805555555559</v>
      </c>
      <c r="G867" s="22">
        <v>15</v>
      </c>
      <c r="H867">
        <v>0</v>
      </c>
      <c r="I867" s="19" t="e">
        <f>I866 + (D867-G867)</f>
        <v>#VALUE!</v>
      </c>
      <c r="M867">
        <v>124047</v>
      </c>
      <c r="N867">
        <v>24</v>
      </c>
      <c r="O867" t="s">
        <v>68</v>
      </c>
      <c r="P867">
        <v>1</v>
      </c>
      <c r="R867">
        <v>575</v>
      </c>
      <c r="S867" s="17">
        <v>42150</v>
      </c>
      <c r="T867" s="17">
        <v>42150</v>
      </c>
      <c r="W867">
        <v>2015</v>
      </c>
      <c r="X867">
        <v>24</v>
      </c>
      <c r="AC867" t="s">
        <v>61</v>
      </c>
      <c r="AD867" t="s">
        <v>302</v>
      </c>
      <c r="AE867" t="s">
        <v>46</v>
      </c>
      <c r="AG867">
        <v>52</v>
      </c>
      <c r="AH867">
        <v>9</v>
      </c>
      <c r="AI867" t="s">
        <v>54</v>
      </c>
      <c r="AK867">
        <v>0</v>
      </c>
      <c r="AM867">
        <v>0</v>
      </c>
      <c r="AP867" t="s">
        <v>325</v>
      </c>
    </row>
    <row r="868" spans="1:42" customFormat="1">
      <c r="A868">
        <v>271077</v>
      </c>
      <c r="B868" t="s">
        <v>4192</v>
      </c>
      <c r="C868" t="s">
        <v>4193</v>
      </c>
      <c r="D868" s="22">
        <v>0</v>
      </c>
      <c r="E868" s="17">
        <v>42146</v>
      </c>
      <c r="F868" s="18">
        <v>0.57336805555555559</v>
      </c>
      <c r="G868" s="22">
        <v>15</v>
      </c>
      <c r="H868">
        <v>0</v>
      </c>
      <c r="I868" s="19" t="e">
        <f>I867 + (D868-G868)</f>
        <v>#VALUE!</v>
      </c>
      <c r="M868">
        <v>124048</v>
      </c>
      <c r="N868">
        <v>24</v>
      </c>
      <c r="O868" t="s">
        <v>68</v>
      </c>
      <c r="P868">
        <v>1</v>
      </c>
      <c r="R868">
        <v>575</v>
      </c>
      <c r="S868" s="17">
        <v>42150</v>
      </c>
      <c r="T868" s="17">
        <v>42150</v>
      </c>
      <c r="W868">
        <v>2015</v>
      </c>
      <c r="X868">
        <v>24</v>
      </c>
      <c r="AC868" t="s">
        <v>61</v>
      </c>
      <c r="AD868" t="s">
        <v>302</v>
      </c>
      <c r="AE868" t="s">
        <v>46</v>
      </c>
      <c r="AG868">
        <v>52</v>
      </c>
      <c r="AH868">
        <v>9</v>
      </c>
      <c r="AI868" t="s">
        <v>54</v>
      </c>
      <c r="AK868">
        <v>0</v>
      </c>
      <c r="AM868">
        <v>0</v>
      </c>
      <c r="AP868" t="s">
        <v>325</v>
      </c>
    </row>
    <row r="869" spans="1:42" customFormat="1">
      <c r="A869">
        <v>271079</v>
      </c>
      <c r="B869" t="s">
        <v>4194</v>
      </c>
      <c r="C869" t="s">
        <v>4195</v>
      </c>
      <c r="D869" s="22">
        <v>0</v>
      </c>
      <c r="E869" s="17">
        <v>42146</v>
      </c>
      <c r="F869" s="18">
        <v>0.57337962962962963</v>
      </c>
      <c r="G869" s="22">
        <v>15</v>
      </c>
      <c r="H869">
        <v>0</v>
      </c>
      <c r="I869" s="19" t="e">
        <f>I868 + (D869-G869)</f>
        <v>#VALUE!</v>
      </c>
      <c r="M869">
        <v>124050</v>
      </c>
      <c r="N869">
        <v>24</v>
      </c>
      <c r="O869" t="s">
        <v>68</v>
      </c>
      <c r="P869">
        <v>1</v>
      </c>
      <c r="R869">
        <v>575</v>
      </c>
      <c r="S869" s="17">
        <v>42150</v>
      </c>
      <c r="T869" s="17">
        <v>42150</v>
      </c>
      <c r="W869">
        <v>2015</v>
      </c>
      <c r="X869">
        <v>24</v>
      </c>
      <c r="AC869" t="s">
        <v>61</v>
      </c>
      <c r="AD869" t="s">
        <v>302</v>
      </c>
      <c r="AE869" t="s">
        <v>46</v>
      </c>
      <c r="AG869">
        <v>52</v>
      </c>
      <c r="AH869">
        <v>9</v>
      </c>
      <c r="AI869" t="s">
        <v>54</v>
      </c>
      <c r="AK869">
        <v>0</v>
      </c>
      <c r="AM869">
        <v>0</v>
      </c>
      <c r="AP869" t="s">
        <v>325</v>
      </c>
    </row>
    <row r="870" spans="1:42" customFormat="1">
      <c r="A870">
        <v>271078</v>
      </c>
      <c r="B870" t="s">
        <v>4196</v>
      </c>
      <c r="C870" t="s">
        <v>4197</v>
      </c>
      <c r="D870" s="22">
        <v>0</v>
      </c>
      <c r="E870" s="17">
        <v>42146</v>
      </c>
      <c r="F870" s="18">
        <v>0.57337962962962963</v>
      </c>
      <c r="G870" s="22">
        <v>15</v>
      </c>
      <c r="H870">
        <v>0</v>
      </c>
      <c r="I870" s="19" t="e">
        <f>I869 + (D870-G870)</f>
        <v>#VALUE!</v>
      </c>
      <c r="M870">
        <v>124049</v>
      </c>
      <c r="N870">
        <v>24</v>
      </c>
      <c r="O870" t="s">
        <v>68</v>
      </c>
      <c r="P870">
        <v>1</v>
      </c>
      <c r="R870">
        <v>575</v>
      </c>
      <c r="S870" s="17">
        <v>42150</v>
      </c>
      <c r="T870" s="17">
        <v>42150</v>
      </c>
      <c r="W870">
        <v>2015</v>
      </c>
      <c r="X870">
        <v>24</v>
      </c>
      <c r="AC870" t="s">
        <v>61</v>
      </c>
      <c r="AD870" t="s">
        <v>302</v>
      </c>
      <c r="AE870" t="s">
        <v>46</v>
      </c>
      <c r="AG870">
        <v>52</v>
      </c>
      <c r="AH870">
        <v>9</v>
      </c>
      <c r="AI870" t="s">
        <v>54</v>
      </c>
      <c r="AK870">
        <v>0</v>
      </c>
      <c r="AM870">
        <v>0</v>
      </c>
      <c r="AP870" t="s">
        <v>325</v>
      </c>
    </row>
    <row r="871" spans="1:42" customFormat="1">
      <c r="A871">
        <v>271080</v>
      </c>
      <c r="B871" t="s">
        <v>4198</v>
      </c>
      <c r="C871" t="s">
        <v>4199</v>
      </c>
      <c r="D871" s="22">
        <v>0</v>
      </c>
      <c r="E871" s="17">
        <v>42146</v>
      </c>
      <c r="F871" s="18">
        <v>0.57548611111111114</v>
      </c>
      <c r="G871" s="22">
        <v>42</v>
      </c>
      <c r="H871">
        <v>0</v>
      </c>
      <c r="I871" s="19" t="e">
        <f>I870 + (D871-G871)</f>
        <v>#VALUE!</v>
      </c>
      <c r="M871">
        <v>124056</v>
      </c>
      <c r="N871">
        <v>24</v>
      </c>
      <c r="O871" t="s">
        <v>68</v>
      </c>
      <c r="P871">
        <v>1</v>
      </c>
      <c r="R871">
        <v>575</v>
      </c>
      <c r="S871" s="17">
        <v>42150</v>
      </c>
      <c r="T871" s="17">
        <v>42150</v>
      </c>
      <c r="W871">
        <v>2015</v>
      </c>
      <c r="X871">
        <v>24</v>
      </c>
      <c r="AC871" t="s">
        <v>61</v>
      </c>
      <c r="AD871" t="s">
        <v>302</v>
      </c>
      <c r="AE871" t="s">
        <v>46</v>
      </c>
      <c r="AG871">
        <v>52</v>
      </c>
      <c r="AH871">
        <v>9</v>
      </c>
      <c r="AI871" t="s">
        <v>54</v>
      </c>
      <c r="AK871">
        <v>0</v>
      </c>
      <c r="AM871">
        <v>0</v>
      </c>
      <c r="AP871" t="s">
        <v>325</v>
      </c>
    </row>
    <row r="872" spans="1:42" customFormat="1">
      <c r="A872">
        <v>271081</v>
      </c>
      <c r="B872" t="s">
        <v>4200</v>
      </c>
      <c r="C872" t="s">
        <v>4201</v>
      </c>
      <c r="D872" s="22">
        <v>0</v>
      </c>
      <c r="E872" s="17">
        <v>42146</v>
      </c>
      <c r="F872" s="18">
        <v>0.58212962962962966</v>
      </c>
      <c r="G872" s="22">
        <v>15</v>
      </c>
      <c r="H872">
        <v>0</v>
      </c>
      <c r="I872" s="19" t="e">
        <f>I871 + (D872-G872)</f>
        <v>#VALUE!</v>
      </c>
      <c r="M872">
        <v>124066</v>
      </c>
      <c r="N872">
        <v>24</v>
      </c>
      <c r="O872" t="s">
        <v>68</v>
      </c>
      <c r="P872">
        <v>1</v>
      </c>
      <c r="R872">
        <v>575</v>
      </c>
      <c r="S872" s="17">
        <v>42150</v>
      </c>
      <c r="T872" s="17">
        <v>42150</v>
      </c>
      <c r="W872">
        <v>2015</v>
      </c>
      <c r="X872">
        <v>24</v>
      </c>
      <c r="AC872" t="s">
        <v>61</v>
      </c>
      <c r="AD872" t="s">
        <v>302</v>
      </c>
      <c r="AE872" t="s">
        <v>46</v>
      </c>
      <c r="AG872">
        <v>52</v>
      </c>
      <c r="AH872">
        <v>9</v>
      </c>
      <c r="AI872" t="s">
        <v>54</v>
      </c>
      <c r="AK872">
        <v>0</v>
      </c>
      <c r="AM872">
        <v>0</v>
      </c>
      <c r="AP872" t="s">
        <v>325</v>
      </c>
    </row>
    <row r="873" spans="1:42" customFormat="1">
      <c r="A873">
        <v>271082</v>
      </c>
      <c r="B873" t="s">
        <v>4202</v>
      </c>
      <c r="C873" t="s">
        <v>4203</v>
      </c>
      <c r="D873" s="22">
        <v>0</v>
      </c>
      <c r="E873" s="17">
        <v>42146</v>
      </c>
      <c r="F873" s="18">
        <v>0.58212962962962966</v>
      </c>
      <c r="G873" s="22">
        <v>11.92</v>
      </c>
      <c r="H873">
        <v>0</v>
      </c>
      <c r="I873" s="19" t="e">
        <f>I872 + (D873-G873)</f>
        <v>#VALUE!</v>
      </c>
      <c r="M873">
        <v>124057</v>
      </c>
      <c r="N873">
        <v>24</v>
      </c>
      <c r="O873" t="s">
        <v>68</v>
      </c>
      <c r="P873">
        <v>1</v>
      </c>
      <c r="R873">
        <v>575</v>
      </c>
      <c r="S873" s="17">
        <v>42150</v>
      </c>
      <c r="T873" s="17">
        <v>42150</v>
      </c>
      <c r="W873">
        <v>2015</v>
      </c>
      <c r="X873">
        <v>24</v>
      </c>
      <c r="AC873" t="s">
        <v>61</v>
      </c>
      <c r="AD873" t="s">
        <v>302</v>
      </c>
      <c r="AE873" t="s">
        <v>46</v>
      </c>
      <c r="AG873">
        <v>52</v>
      </c>
      <c r="AH873">
        <v>9</v>
      </c>
      <c r="AI873" t="s">
        <v>54</v>
      </c>
      <c r="AK873">
        <v>0</v>
      </c>
      <c r="AM873">
        <v>0</v>
      </c>
      <c r="AP873" t="s">
        <v>325</v>
      </c>
    </row>
    <row r="874" spans="1:42" customFormat="1">
      <c r="A874">
        <v>271083</v>
      </c>
      <c r="B874" t="s">
        <v>4204</v>
      </c>
      <c r="C874" t="s">
        <v>4205</v>
      </c>
      <c r="D874" s="22">
        <v>0</v>
      </c>
      <c r="E874" s="17">
        <v>42146</v>
      </c>
      <c r="F874" s="18">
        <v>0.58212962962962966</v>
      </c>
      <c r="G874" s="22">
        <v>15</v>
      </c>
      <c r="H874">
        <v>0</v>
      </c>
      <c r="I874" s="19" t="e">
        <f>I873 + (D874-G874)</f>
        <v>#VALUE!</v>
      </c>
      <c r="M874">
        <v>124067</v>
      </c>
      <c r="N874">
        <v>24</v>
      </c>
      <c r="O874" t="s">
        <v>68</v>
      </c>
      <c r="P874">
        <v>1</v>
      </c>
      <c r="R874">
        <v>575</v>
      </c>
      <c r="S874" s="17">
        <v>42150</v>
      </c>
      <c r="T874" s="17">
        <v>42150</v>
      </c>
      <c r="W874">
        <v>2015</v>
      </c>
      <c r="X874">
        <v>24</v>
      </c>
      <c r="AC874" t="s">
        <v>61</v>
      </c>
      <c r="AD874" t="s">
        <v>302</v>
      </c>
      <c r="AE874" t="s">
        <v>46</v>
      </c>
      <c r="AG874">
        <v>52</v>
      </c>
      <c r="AH874">
        <v>9</v>
      </c>
      <c r="AI874" t="s">
        <v>54</v>
      </c>
      <c r="AK874">
        <v>0</v>
      </c>
      <c r="AM874">
        <v>0</v>
      </c>
      <c r="AP874" t="s">
        <v>325</v>
      </c>
    </row>
    <row r="875" spans="1:42" customFormat="1">
      <c r="A875">
        <v>271084</v>
      </c>
      <c r="B875" t="s">
        <v>4206</v>
      </c>
      <c r="C875" t="s">
        <v>4207</v>
      </c>
      <c r="D875" s="22">
        <v>0</v>
      </c>
      <c r="E875" s="17">
        <v>42146</v>
      </c>
      <c r="F875" s="18">
        <v>0.58212962962962966</v>
      </c>
      <c r="G875" s="22">
        <v>6.58</v>
      </c>
      <c r="H875">
        <v>0</v>
      </c>
      <c r="I875" s="19" t="e">
        <f>I874 + (D875-G875)</f>
        <v>#VALUE!</v>
      </c>
      <c r="M875">
        <v>124058</v>
      </c>
      <c r="N875">
        <v>24</v>
      </c>
      <c r="O875" t="s">
        <v>68</v>
      </c>
      <c r="P875">
        <v>1</v>
      </c>
      <c r="R875">
        <v>575</v>
      </c>
      <c r="S875" s="17">
        <v>42150</v>
      </c>
      <c r="T875" s="17">
        <v>42150</v>
      </c>
      <c r="W875">
        <v>2015</v>
      </c>
      <c r="X875">
        <v>24</v>
      </c>
      <c r="AC875" t="s">
        <v>61</v>
      </c>
      <c r="AD875" t="s">
        <v>302</v>
      </c>
      <c r="AE875" t="s">
        <v>46</v>
      </c>
      <c r="AG875">
        <v>52</v>
      </c>
      <c r="AH875">
        <v>9</v>
      </c>
      <c r="AI875" t="s">
        <v>54</v>
      </c>
      <c r="AK875">
        <v>0</v>
      </c>
      <c r="AM875">
        <v>0</v>
      </c>
      <c r="AP875" t="s">
        <v>325</v>
      </c>
    </row>
    <row r="876" spans="1:42" customFormat="1">
      <c r="A876">
        <v>271085</v>
      </c>
      <c r="B876" t="s">
        <v>4208</v>
      </c>
      <c r="C876" t="s">
        <v>4209</v>
      </c>
      <c r="D876" s="22">
        <v>0</v>
      </c>
      <c r="E876" s="17">
        <v>42146</v>
      </c>
      <c r="F876" s="18">
        <v>0.58212962962962966</v>
      </c>
      <c r="G876" s="22">
        <v>15</v>
      </c>
      <c r="H876">
        <v>0</v>
      </c>
      <c r="I876" s="19" t="e">
        <f>I875 + (D876-G876)</f>
        <v>#VALUE!</v>
      </c>
      <c r="M876">
        <v>124068</v>
      </c>
      <c r="N876">
        <v>24</v>
      </c>
      <c r="O876" t="s">
        <v>68</v>
      </c>
      <c r="P876">
        <v>1</v>
      </c>
      <c r="R876">
        <v>575</v>
      </c>
      <c r="S876" s="17">
        <v>42150</v>
      </c>
      <c r="T876" s="17">
        <v>42150</v>
      </c>
      <c r="W876">
        <v>2015</v>
      </c>
      <c r="X876">
        <v>24</v>
      </c>
      <c r="AC876" t="s">
        <v>61</v>
      </c>
      <c r="AD876" t="s">
        <v>302</v>
      </c>
      <c r="AE876" t="s">
        <v>46</v>
      </c>
      <c r="AG876">
        <v>52</v>
      </c>
      <c r="AH876">
        <v>9</v>
      </c>
      <c r="AI876" t="s">
        <v>54</v>
      </c>
      <c r="AK876">
        <v>0</v>
      </c>
      <c r="AM876">
        <v>0</v>
      </c>
      <c r="AP876" t="s">
        <v>325</v>
      </c>
    </row>
    <row r="877" spans="1:42" customFormat="1">
      <c r="A877">
        <v>271088</v>
      </c>
      <c r="B877" t="s">
        <v>4210</v>
      </c>
      <c r="C877" t="s">
        <v>4211</v>
      </c>
      <c r="D877" s="22">
        <v>0</v>
      </c>
      <c r="E877" s="17">
        <v>42146</v>
      </c>
      <c r="F877" s="18">
        <v>0.5821412037037037</v>
      </c>
      <c r="G877" s="22">
        <v>42.31</v>
      </c>
      <c r="H877">
        <v>0</v>
      </c>
      <c r="I877" s="19" t="e">
        <f>I876 + (D877-G877)</f>
        <v>#VALUE!</v>
      </c>
      <c r="M877">
        <v>124060</v>
      </c>
      <c r="N877">
        <v>24</v>
      </c>
      <c r="O877" t="s">
        <v>68</v>
      </c>
      <c r="P877">
        <v>1</v>
      </c>
      <c r="R877">
        <v>575</v>
      </c>
      <c r="S877" s="17">
        <v>42150</v>
      </c>
      <c r="T877" s="17">
        <v>42150</v>
      </c>
      <c r="W877">
        <v>2015</v>
      </c>
      <c r="X877">
        <v>24</v>
      </c>
      <c r="AC877" t="s">
        <v>61</v>
      </c>
      <c r="AD877" t="s">
        <v>302</v>
      </c>
      <c r="AE877" t="s">
        <v>46</v>
      </c>
      <c r="AG877">
        <v>52</v>
      </c>
      <c r="AH877">
        <v>9</v>
      </c>
      <c r="AI877" t="s">
        <v>54</v>
      </c>
      <c r="AK877">
        <v>0</v>
      </c>
      <c r="AM877">
        <v>0</v>
      </c>
      <c r="AP877" t="s">
        <v>325</v>
      </c>
    </row>
    <row r="878" spans="1:42" customFormat="1">
      <c r="A878">
        <v>271089</v>
      </c>
      <c r="B878" t="s">
        <v>4212</v>
      </c>
      <c r="C878" t="s">
        <v>4213</v>
      </c>
      <c r="D878" s="22">
        <v>0</v>
      </c>
      <c r="E878" s="17">
        <v>42146</v>
      </c>
      <c r="F878" s="18">
        <v>0.5821412037037037</v>
      </c>
      <c r="G878" s="22">
        <v>15</v>
      </c>
      <c r="H878">
        <v>0</v>
      </c>
      <c r="I878" s="19" t="e">
        <f>I877 + (D878-G878)</f>
        <v>#VALUE!</v>
      </c>
      <c r="M878">
        <v>124070</v>
      </c>
      <c r="N878">
        <v>24</v>
      </c>
      <c r="O878" t="s">
        <v>68</v>
      </c>
      <c r="P878">
        <v>1</v>
      </c>
      <c r="R878">
        <v>575</v>
      </c>
      <c r="S878" s="17">
        <v>42150</v>
      </c>
      <c r="T878" s="17">
        <v>42150</v>
      </c>
      <c r="W878">
        <v>2015</v>
      </c>
      <c r="X878">
        <v>24</v>
      </c>
      <c r="AC878" t="s">
        <v>61</v>
      </c>
      <c r="AD878" t="s">
        <v>302</v>
      </c>
      <c r="AE878" t="s">
        <v>46</v>
      </c>
      <c r="AG878">
        <v>52</v>
      </c>
      <c r="AH878">
        <v>9</v>
      </c>
      <c r="AI878" t="s">
        <v>54</v>
      </c>
      <c r="AK878">
        <v>0</v>
      </c>
      <c r="AM878">
        <v>0</v>
      </c>
      <c r="AP878" t="s">
        <v>325</v>
      </c>
    </row>
    <row r="879" spans="1:42" customFormat="1">
      <c r="A879">
        <v>271090</v>
      </c>
      <c r="B879" t="s">
        <v>4214</v>
      </c>
      <c r="C879" t="s">
        <v>4215</v>
      </c>
      <c r="D879" s="22">
        <v>0</v>
      </c>
      <c r="E879" s="17">
        <v>42146</v>
      </c>
      <c r="F879" s="18">
        <v>0.5821412037037037</v>
      </c>
      <c r="G879" s="22">
        <v>9.4</v>
      </c>
      <c r="H879">
        <v>0</v>
      </c>
      <c r="I879" s="19" t="e">
        <f>I878 + (D879-G879)</f>
        <v>#VALUE!</v>
      </c>
      <c r="M879">
        <v>124061</v>
      </c>
      <c r="N879">
        <v>24</v>
      </c>
      <c r="O879" t="s">
        <v>68</v>
      </c>
      <c r="P879">
        <v>1</v>
      </c>
      <c r="R879">
        <v>575</v>
      </c>
      <c r="S879" s="17">
        <v>42150</v>
      </c>
      <c r="T879" s="17">
        <v>42150</v>
      </c>
      <c r="W879">
        <v>2015</v>
      </c>
      <c r="X879">
        <v>24</v>
      </c>
      <c r="AC879" t="s">
        <v>61</v>
      </c>
      <c r="AD879" t="s">
        <v>302</v>
      </c>
      <c r="AE879" t="s">
        <v>46</v>
      </c>
      <c r="AG879">
        <v>52</v>
      </c>
      <c r="AH879">
        <v>9</v>
      </c>
      <c r="AI879" t="s">
        <v>54</v>
      </c>
      <c r="AK879">
        <v>0</v>
      </c>
      <c r="AM879">
        <v>0</v>
      </c>
      <c r="AP879" t="s">
        <v>325</v>
      </c>
    </row>
    <row r="880" spans="1:42" customFormat="1">
      <c r="A880">
        <v>271091</v>
      </c>
      <c r="B880" t="s">
        <v>4216</v>
      </c>
      <c r="C880" t="s">
        <v>4217</v>
      </c>
      <c r="D880" s="22">
        <v>0</v>
      </c>
      <c r="E880" s="17">
        <v>42146</v>
      </c>
      <c r="F880" s="18">
        <v>0.5821412037037037</v>
      </c>
      <c r="G880" s="22">
        <v>15</v>
      </c>
      <c r="H880">
        <v>0</v>
      </c>
      <c r="I880" s="19" t="e">
        <f>I879 + (D880-G880)</f>
        <v>#VALUE!</v>
      </c>
      <c r="M880">
        <v>124071</v>
      </c>
      <c r="N880">
        <v>24</v>
      </c>
      <c r="O880" t="s">
        <v>68</v>
      </c>
      <c r="P880">
        <v>1</v>
      </c>
      <c r="R880">
        <v>575</v>
      </c>
      <c r="S880" s="17">
        <v>42150</v>
      </c>
      <c r="T880" s="17">
        <v>42150</v>
      </c>
      <c r="W880">
        <v>2015</v>
      </c>
      <c r="X880">
        <v>24</v>
      </c>
      <c r="AC880" t="s">
        <v>61</v>
      </c>
      <c r="AD880" t="s">
        <v>302</v>
      </c>
      <c r="AE880" t="s">
        <v>46</v>
      </c>
      <c r="AG880">
        <v>52</v>
      </c>
      <c r="AH880">
        <v>9</v>
      </c>
      <c r="AI880" t="s">
        <v>54</v>
      </c>
      <c r="AK880">
        <v>0</v>
      </c>
      <c r="AM880">
        <v>0</v>
      </c>
      <c r="AP880" t="s">
        <v>325</v>
      </c>
    </row>
    <row r="881" spans="1:42" customFormat="1">
      <c r="A881">
        <v>271092</v>
      </c>
      <c r="B881" t="s">
        <v>4218</v>
      </c>
      <c r="C881" t="s">
        <v>4219</v>
      </c>
      <c r="D881" s="22">
        <v>0</v>
      </c>
      <c r="E881" s="17">
        <v>42146</v>
      </c>
      <c r="F881" s="18">
        <v>0.5821412037037037</v>
      </c>
      <c r="G881" s="22">
        <v>15</v>
      </c>
      <c r="H881">
        <v>0</v>
      </c>
      <c r="I881" s="19" t="e">
        <f>I880 + (D881-G881)</f>
        <v>#VALUE!</v>
      </c>
      <c r="M881">
        <v>124062</v>
      </c>
      <c r="N881">
        <v>24</v>
      </c>
      <c r="O881" t="s">
        <v>68</v>
      </c>
      <c r="P881">
        <v>1</v>
      </c>
      <c r="R881">
        <v>575</v>
      </c>
      <c r="S881" s="17">
        <v>42150</v>
      </c>
      <c r="T881" s="17">
        <v>42150</v>
      </c>
      <c r="W881">
        <v>2015</v>
      </c>
      <c r="X881">
        <v>24</v>
      </c>
      <c r="AC881" t="s">
        <v>61</v>
      </c>
      <c r="AD881" t="s">
        <v>302</v>
      </c>
      <c r="AE881" t="s">
        <v>46</v>
      </c>
      <c r="AG881">
        <v>52</v>
      </c>
      <c r="AH881">
        <v>9</v>
      </c>
      <c r="AI881" t="s">
        <v>54</v>
      </c>
      <c r="AK881">
        <v>0</v>
      </c>
      <c r="AM881">
        <v>0</v>
      </c>
      <c r="AP881" t="s">
        <v>325</v>
      </c>
    </row>
    <row r="882" spans="1:42" customFormat="1">
      <c r="A882">
        <v>271093</v>
      </c>
      <c r="B882" t="s">
        <v>4220</v>
      </c>
      <c r="C882" t="s">
        <v>4221</v>
      </c>
      <c r="D882" s="22">
        <v>0</v>
      </c>
      <c r="E882" s="17">
        <v>42146</v>
      </c>
      <c r="F882" s="18">
        <v>0.5821412037037037</v>
      </c>
      <c r="G882" s="22">
        <v>15</v>
      </c>
      <c r="H882">
        <v>0</v>
      </c>
      <c r="I882" s="19" t="e">
        <f>I881 + (D882-G882)</f>
        <v>#VALUE!</v>
      </c>
      <c r="M882">
        <v>124072</v>
      </c>
      <c r="N882">
        <v>24</v>
      </c>
      <c r="O882" t="s">
        <v>68</v>
      </c>
      <c r="P882">
        <v>1</v>
      </c>
      <c r="R882">
        <v>575</v>
      </c>
      <c r="S882" s="17">
        <v>42150</v>
      </c>
      <c r="T882" s="17">
        <v>42150</v>
      </c>
      <c r="W882">
        <v>2015</v>
      </c>
      <c r="X882">
        <v>24</v>
      </c>
      <c r="AC882" t="s">
        <v>61</v>
      </c>
      <c r="AD882" t="s">
        <v>302</v>
      </c>
      <c r="AE882" t="s">
        <v>46</v>
      </c>
      <c r="AG882">
        <v>52</v>
      </c>
      <c r="AH882">
        <v>9</v>
      </c>
      <c r="AI882" t="s">
        <v>54</v>
      </c>
      <c r="AK882">
        <v>0</v>
      </c>
      <c r="AM882">
        <v>0</v>
      </c>
      <c r="AP882" t="s">
        <v>325</v>
      </c>
    </row>
    <row r="883" spans="1:42" customFormat="1">
      <c r="A883">
        <v>271094</v>
      </c>
      <c r="B883" t="s">
        <v>4222</v>
      </c>
      <c r="C883" t="s">
        <v>4223</v>
      </c>
      <c r="D883" s="22">
        <v>0</v>
      </c>
      <c r="E883" s="17">
        <v>42146</v>
      </c>
      <c r="F883" s="18">
        <v>0.5821412037037037</v>
      </c>
      <c r="G883" s="22">
        <v>15</v>
      </c>
      <c r="H883">
        <v>0</v>
      </c>
      <c r="I883" s="19" t="e">
        <f>I882 + (D883-G883)</f>
        <v>#VALUE!</v>
      </c>
      <c r="M883">
        <v>124063</v>
      </c>
      <c r="N883">
        <v>24</v>
      </c>
      <c r="O883" t="s">
        <v>68</v>
      </c>
      <c r="P883">
        <v>1</v>
      </c>
      <c r="R883">
        <v>575</v>
      </c>
      <c r="S883" s="17">
        <v>42150</v>
      </c>
      <c r="T883" s="17">
        <v>42150</v>
      </c>
      <c r="W883">
        <v>2015</v>
      </c>
      <c r="X883">
        <v>24</v>
      </c>
      <c r="AC883" t="s">
        <v>61</v>
      </c>
      <c r="AD883" t="s">
        <v>302</v>
      </c>
      <c r="AE883" t="s">
        <v>46</v>
      </c>
      <c r="AG883">
        <v>52</v>
      </c>
      <c r="AH883">
        <v>9</v>
      </c>
      <c r="AI883" t="s">
        <v>54</v>
      </c>
      <c r="AK883">
        <v>0</v>
      </c>
      <c r="AM883">
        <v>0</v>
      </c>
      <c r="AP883" t="s">
        <v>325</v>
      </c>
    </row>
    <row r="884" spans="1:42" customFormat="1">
      <c r="A884">
        <v>271095</v>
      </c>
      <c r="B884" t="s">
        <v>4224</v>
      </c>
      <c r="C884" t="s">
        <v>4225</v>
      </c>
      <c r="D884" s="22">
        <v>0</v>
      </c>
      <c r="E884" s="17">
        <v>42146</v>
      </c>
      <c r="F884" s="18">
        <v>0.5821412037037037</v>
      </c>
      <c r="G884" s="22">
        <v>15</v>
      </c>
      <c r="H884">
        <v>0</v>
      </c>
      <c r="I884" s="19" t="e">
        <f>I883 + (D884-G884)</f>
        <v>#VALUE!</v>
      </c>
      <c r="M884">
        <v>124073</v>
      </c>
      <c r="N884">
        <v>24</v>
      </c>
      <c r="O884" t="s">
        <v>68</v>
      </c>
      <c r="P884">
        <v>1</v>
      </c>
      <c r="R884">
        <v>575</v>
      </c>
      <c r="S884" s="17">
        <v>42150</v>
      </c>
      <c r="T884" s="17">
        <v>42150</v>
      </c>
      <c r="W884">
        <v>2015</v>
      </c>
      <c r="X884">
        <v>24</v>
      </c>
      <c r="AC884" t="s">
        <v>61</v>
      </c>
      <c r="AD884" t="s">
        <v>302</v>
      </c>
      <c r="AE884" t="s">
        <v>46</v>
      </c>
      <c r="AG884">
        <v>52</v>
      </c>
      <c r="AH884">
        <v>9</v>
      </c>
      <c r="AI884" t="s">
        <v>54</v>
      </c>
      <c r="AK884">
        <v>0</v>
      </c>
      <c r="AM884">
        <v>0</v>
      </c>
      <c r="AP884" t="s">
        <v>325</v>
      </c>
    </row>
    <row r="885" spans="1:42" customFormat="1">
      <c r="A885">
        <v>271096</v>
      </c>
      <c r="B885" t="s">
        <v>4226</v>
      </c>
      <c r="C885" t="s">
        <v>4227</v>
      </c>
      <c r="D885" s="22">
        <v>0</v>
      </c>
      <c r="E885" s="17">
        <v>42146</v>
      </c>
      <c r="F885" s="18">
        <v>0.5821412037037037</v>
      </c>
      <c r="G885" s="22">
        <v>15</v>
      </c>
      <c r="H885">
        <v>0</v>
      </c>
      <c r="I885" s="19" t="e">
        <f>I884 + (D885-G885)</f>
        <v>#VALUE!</v>
      </c>
      <c r="M885">
        <v>124064</v>
      </c>
      <c r="N885">
        <v>24</v>
      </c>
      <c r="O885" t="s">
        <v>68</v>
      </c>
      <c r="P885">
        <v>1</v>
      </c>
      <c r="R885">
        <v>575</v>
      </c>
      <c r="S885" s="17">
        <v>42150</v>
      </c>
      <c r="T885" s="17">
        <v>42150</v>
      </c>
      <c r="W885">
        <v>2015</v>
      </c>
      <c r="X885">
        <v>24</v>
      </c>
      <c r="AC885" t="s">
        <v>61</v>
      </c>
      <c r="AD885" t="s">
        <v>302</v>
      </c>
      <c r="AE885" t="s">
        <v>46</v>
      </c>
      <c r="AG885">
        <v>52</v>
      </c>
      <c r="AH885">
        <v>9</v>
      </c>
      <c r="AI885" t="s">
        <v>54</v>
      </c>
      <c r="AK885">
        <v>0</v>
      </c>
      <c r="AM885">
        <v>0</v>
      </c>
      <c r="AP885" t="s">
        <v>325</v>
      </c>
    </row>
    <row r="886" spans="1:42" customFormat="1">
      <c r="A886">
        <v>271097</v>
      </c>
      <c r="B886" t="s">
        <v>4228</v>
      </c>
      <c r="C886" t="s">
        <v>4229</v>
      </c>
      <c r="D886" s="22">
        <v>0</v>
      </c>
      <c r="E886" s="17">
        <v>42146</v>
      </c>
      <c r="F886" s="18">
        <v>0.5821412037037037</v>
      </c>
      <c r="G886" s="22">
        <v>15</v>
      </c>
      <c r="H886">
        <v>0</v>
      </c>
      <c r="I886" s="19" t="e">
        <f>I885 + (D886-G886)</f>
        <v>#VALUE!</v>
      </c>
      <c r="M886">
        <v>124074</v>
      </c>
      <c r="N886">
        <v>24</v>
      </c>
      <c r="O886" t="s">
        <v>68</v>
      </c>
      <c r="P886">
        <v>1</v>
      </c>
      <c r="R886">
        <v>575</v>
      </c>
      <c r="S886" s="17">
        <v>42150</v>
      </c>
      <c r="T886" s="17">
        <v>42150</v>
      </c>
      <c r="W886">
        <v>2015</v>
      </c>
      <c r="X886">
        <v>24</v>
      </c>
      <c r="AC886" t="s">
        <v>61</v>
      </c>
      <c r="AD886" t="s">
        <v>302</v>
      </c>
      <c r="AE886" t="s">
        <v>46</v>
      </c>
      <c r="AG886">
        <v>52</v>
      </c>
      <c r="AH886">
        <v>9</v>
      </c>
      <c r="AI886" t="s">
        <v>54</v>
      </c>
      <c r="AK886">
        <v>0</v>
      </c>
      <c r="AM886">
        <v>0</v>
      </c>
      <c r="AP886" t="s">
        <v>325</v>
      </c>
    </row>
    <row r="887" spans="1:42" customFormat="1">
      <c r="A887">
        <v>271086</v>
      </c>
      <c r="B887" t="s">
        <v>4230</v>
      </c>
      <c r="C887" t="s">
        <v>4231</v>
      </c>
      <c r="D887" s="22">
        <v>0</v>
      </c>
      <c r="E887" s="17">
        <v>42146</v>
      </c>
      <c r="F887" s="18">
        <v>0.5821412037037037</v>
      </c>
      <c r="G887" s="22">
        <v>6.24</v>
      </c>
      <c r="H887">
        <v>0</v>
      </c>
      <c r="I887" s="19" t="e">
        <f>I886 + (D887-G887)</f>
        <v>#VALUE!</v>
      </c>
      <c r="M887">
        <v>124059</v>
      </c>
      <c r="N887">
        <v>24</v>
      </c>
      <c r="O887" t="s">
        <v>68</v>
      </c>
      <c r="P887">
        <v>1</v>
      </c>
      <c r="R887">
        <v>575</v>
      </c>
      <c r="S887" s="17">
        <v>42150</v>
      </c>
      <c r="T887" s="17">
        <v>42150</v>
      </c>
      <c r="W887">
        <v>2015</v>
      </c>
      <c r="X887">
        <v>24</v>
      </c>
      <c r="AC887" t="s">
        <v>61</v>
      </c>
      <c r="AD887" t="s">
        <v>302</v>
      </c>
      <c r="AE887" t="s">
        <v>46</v>
      </c>
      <c r="AG887">
        <v>52</v>
      </c>
      <c r="AH887">
        <v>9</v>
      </c>
      <c r="AI887" t="s">
        <v>54</v>
      </c>
      <c r="AK887">
        <v>0</v>
      </c>
      <c r="AM887">
        <v>0</v>
      </c>
      <c r="AP887" t="s">
        <v>325</v>
      </c>
    </row>
    <row r="888" spans="1:42" customFormat="1">
      <c r="A888">
        <v>271087</v>
      </c>
      <c r="B888" t="s">
        <v>4232</v>
      </c>
      <c r="C888" t="s">
        <v>4233</v>
      </c>
      <c r="D888" s="22">
        <v>0</v>
      </c>
      <c r="E888" s="17">
        <v>42146</v>
      </c>
      <c r="F888" s="18">
        <v>0.5821412037037037</v>
      </c>
      <c r="G888" s="22">
        <v>15</v>
      </c>
      <c r="H888">
        <v>0</v>
      </c>
      <c r="I888" s="19" t="e">
        <f>I887 + (D888-G888)</f>
        <v>#VALUE!</v>
      </c>
      <c r="M888">
        <v>124069</v>
      </c>
      <c r="N888">
        <v>24</v>
      </c>
      <c r="O888" t="s">
        <v>68</v>
      </c>
      <c r="P888">
        <v>1</v>
      </c>
      <c r="R888">
        <v>575</v>
      </c>
      <c r="S888" s="17">
        <v>42150</v>
      </c>
      <c r="T888" s="17">
        <v>42150</v>
      </c>
      <c r="W888">
        <v>2015</v>
      </c>
      <c r="X888">
        <v>24</v>
      </c>
      <c r="AC888" t="s">
        <v>61</v>
      </c>
      <c r="AD888" t="s">
        <v>302</v>
      </c>
      <c r="AE888" t="s">
        <v>46</v>
      </c>
      <c r="AG888">
        <v>52</v>
      </c>
      <c r="AH888">
        <v>9</v>
      </c>
      <c r="AI888" t="s">
        <v>54</v>
      </c>
      <c r="AK888">
        <v>0</v>
      </c>
      <c r="AM888">
        <v>0</v>
      </c>
      <c r="AP888" t="s">
        <v>325</v>
      </c>
    </row>
    <row r="889" spans="1:42" customFormat="1">
      <c r="A889">
        <v>271098</v>
      </c>
      <c r="B889" t="s">
        <v>4234</v>
      </c>
      <c r="C889" t="s">
        <v>4235</v>
      </c>
      <c r="D889" s="22">
        <v>0</v>
      </c>
      <c r="E889" s="17">
        <v>42146</v>
      </c>
      <c r="F889" s="18">
        <v>0.58215277777777774</v>
      </c>
      <c r="G889" s="22">
        <v>15</v>
      </c>
      <c r="H889">
        <v>0</v>
      </c>
      <c r="I889" s="19" t="e">
        <f>I888 + (D889-G889)</f>
        <v>#VALUE!</v>
      </c>
      <c r="M889">
        <v>124065</v>
      </c>
      <c r="N889">
        <v>24</v>
      </c>
      <c r="O889" t="s">
        <v>68</v>
      </c>
      <c r="P889">
        <v>1</v>
      </c>
      <c r="R889">
        <v>575</v>
      </c>
      <c r="S889" s="17">
        <v>42150</v>
      </c>
      <c r="T889" s="17">
        <v>42150</v>
      </c>
      <c r="W889">
        <v>2015</v>
      </c>
      <c r="X889">
        <v>24</v>
      </c>
      <c r="AC889" t="s">
        <v>61</v>
      </c>
      <c r="AD889" t="s">
        <v>302</v>
      </c>
      <c r="AE889" t="s">
        <v>46</v>
      </c>
      <c r="AG889">
        <v>52</v>
      </c>
      <c r="AH889">
        <v>9</v>
      </c>
      <c r="AI889" t="s">
        <v>54</v>
      </c>
      <c r="AK889">
        <v>0</v>
      </c>
      <c r="AM889">
        <v>0</v>
      </c>
      <c r="AP889" t="s">
        <v>325</v>
      </c>
    </row>
    <row r="890" spans="1:42" customFormat="1">
      <c r="A890">
        <v>271099</v>
      </c>
      <c r="B890" t="s">
        <v>4237</v>
      </c>
      <c r="C890" t="s">
        <v>4238</v>
      </c>
      <c r="D890" s="22">
        <v>0</v>
      </c>
      <c r="E890" s="17">
        <v>42146</v>
      </c>
      <c r="F890" s="18">
        <v>0.58275462962962965</v>
      </c>
      <c r="G890" s="22">
        <v>30</v>
      </c>
      <c r="H890">
        <v>0</v>
      </c>
      <c r="I890" s="19" t="e">
        <f>I889 + (D890-G890)</f>
        <v>#VALUE!</v>
      </c>
      <c r="M890">
        <v>124075</v>
      </c>
      <c r="N890">
        <v>24</v>
      </c>
      <c r="O890" t="s">
        <v>68</v>
      </c>
      <c r="P890">
        <v>1</v>
      </c>
      <c r="R890">
        <v>575</v>
      </c>
      <c r="S890" s="17">
        <v>42150</v>
      </c>
      <c r="T890" s="17">
        <v>42150</v>
      </c>
      <c r="W890">
        <v>2015</v>
      </c>
      <c r="X890">
        <v>24</v>
      </c>
      <c r="AC890" t="s">
        <v>61</v>
      </c>
      <c r="AD890" t="s">
        <v>302</v>
      </c>
      <c r="AE890" t="s">
        <v>46</v>
      </c>
      <c r="AG890">
        <v>52</v>
      </c>
      <c r="AH890">
        <v>9</v>
      </c>
      <c r="AI890" t="s">
        <v>54</v>
      </c>
      <c r="AK890">
        <v>0</v>
      </c>
      <c r="AM890">
        <v>0</v>
      </c>
      <c r="AP890" t="s">
        <v>325</v>
      </c>
    </row>
    <row r="891" spans="1:42" customFormat="1">
      <c r="A891">
        <v>271100</v>
      </c>
      <c r="B891" t="s">
        <v>4243</v>
      </c>
      <c r="C891" t="s">
        <v>4244</v>
      </c>
      <c r="D891" s="22">
        <v>0</v>
      </c>
      <c r="E891" s="17">
        <v>42146</v>
      </c>
      <c r="F891" s="18">
        <v>0.58591435185185181</v>
      </c>
      <c r="G891" s="22">
        <v>15</v>
      </c>
      <c r="H891">
        <v>0</v>
      </c>
      <c r="I891" s="19" t="e">
        <f>I890 + (D891-G891)</f>
        <v>#VALUE!</v>
      </c>
      <c r="M891">
        <v>124085</v>
      </c>
      <c r="N891">
        <v>24</v>
      </c>
      <c r="O891" t="s">
        <v>68</v>
      </c>
      <c r="P891">
        <v>1</v>
      </c>
      <c r="R891">
        <v>575</v>
      </c>
      <c r="S891" s="17">
        <v>42150</v>
      </c>
      <c r="T891" s="17">
        <v>42150</v>
      </c>
      <c r="W891">
        <v>2015</v>
      </c>
      <c r="X891">
        <v>24</v>
      </c>
      <c r="AC891" t="s">
        <v>61</v>
      </c>
      <c r="AD891" t="s">
        <v>302</v>
      </c>
      <c r="AE891" t="s">
        <v>46</v>
      </c>
      <c r="AG891">
        <v>52</v>
      </c>
      <c r="AH891">
        <v>9</v>
      </c>
      <c r="AI891" t="s">
        <v>54</v>
      </c>
      <c r="AK891">
        <v>0</v>
      </c>
      <c r="AM891">
        <v>0</v>
      </c>
      <c r="AP891" t="s">
        <v>325</v>
      </c>
    </row>
    <row r="892" spans="1:42" customFormat="1">
      <c r="A892">
        <v>271101</v>
      </c>
      <c r="B892" t="s">
        <v>4245</v>
      </c>
      <c r="C892" t="s">
        <v>4246</v>
      </c>
      <c r="D892" s="22">
        <v>0</v>
      </c>
      <c r="E892" s="17">
        <v>42146</v>
      </c>
      <c r="F892" s="18">
        <v>0.58591435185185181</v>
      </c>
      <c r="G892" s="22">
        <v>15</v>
      </c>
      <c r="H892">
        <v>0</v>
      </c>
      <c r="I892" s="19" t="e">
        <f>I891 + (D892-G892)</f>
        <v>#VALUE!</v>
      </c>
      <c r="M892">
        <v>124076</v>
      </c>
      <c r="N892">
        <v>24</v>
      </c>
      <c r="O892" t="s">
        <v>68</v>
      </c>
      <c r="P892">
        <v>1</v>
      </c>
      <c r="R892">
        <v>575</v>
      </c>
      <c r="S892" s="17">
        <v>42150</v>
      </c>
      <c r="T892" s="17">
        <v>42150</v>
      </c>
      <c r="W892">
        <v>2015</v>
      </c>
      <c r="X892">
        <v>24</v>
      </c>
      <c r="AC892" t="s">
        <v>61</v>
      </c>
      <c r="AD892" t="s">
        <v>302</v>
      </c>
      <c r="AE892" t="s">
        <v>46</v>
      </c>
      <c r="AG892">
        <v>52</v>
      </c>
      <c r="AH892">
        <v>9</v>
      </c>
      <c r="AI892" t="s">
        <v>54</v>
      </c>
      <c r="AK892">
        <v>0</v>
      </c>
      <c r="AM892">
        <v>0</v>
      </c>
      <c r="AP892" t="s">
        <v>325</v>
      </c>
    </row>
    <row r="893" spans="1:42" customFormat="1">
      <c r="A893">
        <v>271102</v>
      </c>
      <c r="B893" t="s">
        <v>4247</v>
      </c>
      <c r="C893" t="s">
        <v>4248</v>
      </c>
      <c r="D893" s="22">
        <v>0</v>
      </c>
      <c r="E893" s="17">
        <v>42146</v>
      </c>
      <c r="F893" s="18">
        <v>0.58591435185185181</v>
      </c>
      <c r="G893" s="22">
        <v>15</v>
      </c>
      <c r="H893">
        <v>0</v>
      </c>
      <c r="I893" s="19" t="e">
        <f>I892 + (D893-G893)</f>
        <v>#VALUE!</v>
      </c>
      <c r="M893">
        <v>124086</v>
      </c>
      <c r="N893">
        <v>24</v>
      </c>
      <c r="O893" t="s">
        <v>68</v>
      </c>
      <c r="P893">
        <v>1</v>
      </c>
      <c r="R893">
        <v>575</v>
      </c>
      <c r="S893" s="17">
        <v>42150</v>
      </c>
      <c r="T893" s="17">
        <v>42150</v>
      </c>
      <c r="W893">
        <v>2015</v>
      </c>
      <c r="X893">
        <v>24</v>
      </c>
      <c r="AC893" t="s">
        <v>61</v>
      </c>
      <c r="AD893" t="s">
        <v>302</v>
      </c>
      <c r="AE893" t="s">
        <v>46</v>
      </c>
      <c r="AG893">
        <v>52</v>
      </c>
      <c r="AH893">
        <v>9</v>
      </c>
      <c r="AI893" t="s">
        <v>54</v>
      </c>
      <c r="AK893">
        <v>0</v>
      </c>
      <c r="AM893">
        <v>0</v>
      </c>
      <c r="AP893" t="s">
        <v>325</v>
      </c>
    </row>
    <row r="894" spans="1:42" customFormat="1">
      <c r="A894">
        <v>271107</v>
      </c>
      <c r="B894" t="s">
        <v>4249</v>
      </c>
      <c r="C894" t="s">
        <v>4250</v>
      </c>
      <c r="D894" s="22">
        <v>0</v>
      </c>
      <c r="E894" s="17">
        <v>42146</v>
      </c>
      <c r="F894" s="18">
        <v>0.58592592592592596</v>
      </c>
      <c r="G894" s="22">
        <v>15</v>
      </c>
      <c r="H894">
        <v>0</v>
      </c>
      <c r="I894" s="19" t="e">
        <f>I893 + (D894-G894)</f>
        <v>#VALUE!</v>
      </c>
      <c r="M894">
        <v>124080</v>
      </c>
      <c r="N894">
        <v>24</v>
      </c>
      <c r="O894" t="s">
        <v>68</v>
      </c>
      <c r="P894">
        <v>1</v>
      </c>
      <c r="R894">
        <v>575</v>
      </c>
      <c r="S894" s="17">
        <v>42150</v>
      </c>
      <c r="T894" s="17">
        <v>42150</v>
      </c>
      <c r="W894">
        <v>2015</v>
      </c>
      <c r="X894">
        <v>24</v>
      </c>
      <c r="AC894" t="s">
        <v>61</v>
      </c>
      <c r="AD894" t="s">
        <v>302</v>
      </c>
      <c r="AE894" t="s">
        <v>46</v>
      </c>
      <c r="AG894">
        <v>52</v>
      </c>
      <c r="AH894">
        <v>9</v>
      </c>
      <c r="AI894" t="s">
        <v>54</v>
      </c>
      <c r="AK894">
        <v>0</v>
      </c>
      <c r="AM894">
        <v>0</v>
      </c>
      <c r="AP894" t="s">
        <v>325</v>
      </c>
    </row>
    <row r="895" spans="1:42" customFormat="1">
      <c r="A895">
        <v>271108</v>
      </c>
      <c r="B895" t="s">
        <v>4251</v>
      </c>
      <c r="C895" t="s">
        <v>4252</v>
      </c>
      <c r="D895" s="22">
        <v>0</v>
      </c>
      <c r="E895" s="17">
        <v>42146</v>
      </c>
      <c r="F895" s="18">
        <v>0.58592592592592596</v>
      </c>
      <c r="G895" s="22">
        <v>15</v>
      </c>
      <c r="H895">
        <v>0</v>
      </c>
      <c r="I895" s="19" t="e">
        <f>I894 + (D895-G895)</f>
        <v>#VALUE!</v>
      </c>
      <c r="M895">
        <v>124081</v>
      </c>
      <c r="N895">
        <v>24</v>
      </c>
      <c r="O895" t="s">
        <v>68</v>
      </c>
      <c r="P895">
        <v>1</v>
      </c>
      <c r="R895">
        <v>575</v>
      </c>
      <c r="S895" s="17">
        <v>42150</v>
      </c>
      <c r="T895" s="17">
        <v>42150</v>
      </c>
      <c r="W895">
        <v>2015</v>
      </c>
      <c r="X895">
        <v>24</v>
      </c>
      <c r="AC895" t="s">
        <v>61</v>
      </c>
      <c r="AD895" t="s">
        <v>302</v>
      </c>
      <c r="AE895" t="s">
        <v>46</v>
      </c>
      <c r="AG895">
        <v>52</v>
      </c>
      <c r="AH895">
        <v>9</v>
      </c>
      <c r="AI895" t="s">
        <v>54</v>
      </c>
      <c r="AK895">
        <v>0</v>
      </c>
      <c r="AM895">
        <v>0</v>
      </c>
      <c r="AP895" t="s">
        <v>325</v>
      </c>
    </row>
    <row r="896" spans="1:42" customFormat="1">
      <c r="A896">
        <v>271109</v>
      </c>
      <c r="B896" t="s">
        <v>4253</v>
      </c>
      <c r="C896" t="s">
        <v>4254</v>
      </c>
      <c r="D896" s="22">
        <v>0</v>
      </c>
      <c r="E896" s="17">
        <v>42146</v>
      </c>
      <c r="F896" s="18">
        <v>0.58592592592592596</v>
      </c>
      <c r="G896" s="22">
        <v>15</v>
      </c>
      <c r="H896">
        <v>0</v>
      </c>
      <c r="I896" s="19" t="e">
        <f>I895 + (D896-G896)</f>
        <v>#VALUE!</v>
      </c>
      <c r="M896">
        <v>124082</v>
      </c>
      <c r="N896">
        <v>24</v>
      </c>
      <c r="O896" t="s">
        <v>68</v>
      </c>
      <c r="P896">
        <v>1</v>
      </c>
      <c r="R896">
        <v>575</v>
      </c>
      <c r="S896" s="17">
        <v>42150</v>
      </c>
      <c r="T896" s="17">
        <v>42150</v>
      </c>
      <c r="W896">
        <v>2015</v>
      </c>
      <c r="X896">
        <v>24</v>
      </c>
      <c r="AC896" t="s">
        <v>61</v>
      </c>
      <c r="AD896" t="s">
        <v>302</v>
      </c>
      <c r="AE896" t="s">
        <v>46</v>
      </c>
      <c r="AG896">
        <v>52</v>
      </c>
      <c r="AH896">
        <v>9</v>
      </c>
      <c r="AI896" t="s">
        <v>54</v>
      </c>
      <c r="AK896">
        <v>0</v>
      </c>
      <c r="AM896">
        <v>0</v>
      </c>
      <c r="AP896" t="s">
        <v>325</v>
      </c>
    </row>
    <row r="897" spans="1:42" customFormat="1">
      <c r="A897">
        <v>271110</v>
      </c>
      <c r="B897" t="s">
        <v>4255</v>
      </c>
      <c r="C897" t="s">
        <v>4256</v>
      </c>
      <c r="D897" s="22">
        <v>0</v>
      </c>
      <c r="E897" s="17">
        <v>42146</v>
      </c>
      <c r="F897" s="18">
        <v>0.58592592592592596</v>
      </c>
      <c r="G897" s="22">
        <v>15</v>
      </c>
      <c r="H897">
        <v>0</v>
      </c>
      <c r="I897" s="19" t="e">
        <f>I896 + (D897-G897)</f>
        <v>#VALUE!</v>
      </c>
      <c r="M897">
        <v>124083</v>
      </c>
      <c r="N897">
        <v>24</v>
      </c>
      <c r="O897" t="s">
        <v>68</v>
      </c>
      <c r="P897">
        <v>1</v>
      </c>
      <c r="R897">
        <v>575</v>
      </c>
      <c r="S897" s="17">
        <v>42150</v>
      </c>
      <c r="T897" s="17">
        <v>42150</v>
      </c>
      <c r="W897">
        <v>2015</v>
      </c>
      <c r="X897">
        <v>24</v>
      </c>
      <c r="AC897" t="s">
        <v>61</v>
      </c>
      <c r="AD897" t="s">
        <v>302</v>
      </c>
      <c r="AE897" t="s">
        <v>46</v>
      </c>
      <c r="AG897">
        <v>52</v>
      </c>
      <c r="AH897">
        <v>9</v>
      </c>
      <c r="AI897" t="s">
        <v>54</v>
      </c>
      <c r="AK897">
        <v>0</v>
      </c>
      <c r="AM897">
        <v>0</v>
      </c>
      <c r="AP897" t="s">
        <v>325</v>
      </c>
    </row>
    <row r="898" spans="1:42" customFormat="1">
      <c r="A898">
        <v>271111</v>
      </c>
      <c r="B898" t="s">
        <v>4257</v>
      </c>
      <c r="C898" t="s">
        <v>4258</v>
      </c>
      <c r="D898" s="22">
        <v>0</v>
      </c>
      <c r="E898" s="17">
        <v>42146</v>
      </c>
      <c r="F898" s="18">
        <v>0.58592592592592596</v>
      </c>
      <c r="G898" s="22">
        <v>15</v>
      </c>
      <c r="H898">
        <v>0</v>
      </c>
      <c r="I898" s="19" t="e">
        <f>I897 + (D898-G898)</f>
        <v>#VALUE!</v>
      </c>
      <c r="M898">
        <v>124084</v>
      </c>
      <c r="N898">
        <v>24</v>
      </c>
      <c r="O898" t="s">
        <v>68</v>
      </c>
      <c r="P898">
        <v>1</v>
      </c>
      <c r="R898">
        <v>575</v>
      </c>
      <c r="S898" s="17">
        <v>42150</v>
      </c>
      <c r="T898" s="17">
        <v>42150</v>
      </c>
      <c r="W898">
        <v>2015</v>
      </c>
      <c r="X898">
        <v>24</v>
      </c>
      <c r="AC898" t="s">
        <v>61</v>
      </c>
      <c r="AD898" t="s">
        <v>302</v>
      </c>
      <c r="AE898" t="s">
        <v>46</v>
      </c>
      <c r="AG898">
        <v>52</v>
      </c>
      <c r="AH898">
        <v>9</v>
      </c>
      <c r="AI898" t="s">
        <v>54</v>
      </c>
      <c r="AK898">
        <v>0</v>
      </c>
      <c r="AM898">
        <v>0</v>
      </c>
      <c r="AP898" t="s">
        <v>325</v>
      </c>
    </row>
    <row r="899" spans="1:42" customFormat="1">
      <c r="A899">
        <v>271103</v>
      </c>
      <c r="B899" t="s">
        <v>4259</v>
      </c>
      <c r="C899" t="s">
        <v>4260</v>
      </c>
      <c r="D899" s="22">
        <v>0</v>
      </c>
      <c r="E899" s="17">
        <v>42146</v>
      </c>
      <c r="F899" s="18">
        <v>0.58592592592592596</v>
      </c>
      <c r="G899" s="22">
        <v>15</v>
      </c>
      <c r="H899">
        <v>0</v>
      </c>
      <c r="I899" s="19" t="e">
        <f>I898 + (D899-G899)</f>
        <v>#VALUE!</v>
      </c>
      <c r="M899">
        <v>124077</v>
      </c>
      <c r="N899">
        <v>24</v>
      </c>
      <c r="O899" t="s">
        <v>68</v>
      </c>
      <c r="P899">
        <v>1</v>
      </c>
      <c r="R899">
        <v>575</v>
      </c>
      <c r="S899" s="17">
        <v>42150</v>
      </c>
      <c r="T899" s="17">
        <v>42150</v>
      </c>
      <c r="W899">
        <v>2015</v>
      </c>
      <c r="X899">
        <v>24</v>
      </c>
      <c r="AC899" t="s">
        <v>61</v>
      </c>
      <c r="AD899" t="s">
        <v>302</v>
      </c>
      <c r="AE899" t="s">
        <v>46</v>
      </c>
      <c r="AG899">
        <v>52</v>
      </c>
      <c r="AH899">
        <v>9</v>
      </c>
      <c r="AI899" t="s">
        <v>54</v>
      </c>
      <c r="AK899">
        <v>0</v>
      </c>
      <c r="AM899">
        <v>0</v>
      </c>
      <c r="AP899" t="s">
        <v>325</v>
      </c>
    </row>
    <row r="900" spans="1:42" customFormat="1">
      <c r="A900">
        <v>271104</v>
      </c>
      <c r="B900" t="s">
        <v>4261</v>
      </c>
      <c r="C900" t="s">
        <v>4262</v>
      </c>
      <c r="D900" s="22">
        <v>0</v>
      </c>
      <c r="E900" s="17">
        <v>42146</v>
      </c>
      <c r="F900" s="18">
        <v>0.58592592592592596</v>
      </c>
      <c r="G900" s="22">
        <v>15</v>
      </c>
      <c r="H900">
        <v>0</v>
      </c>
      <c r="I900" s="19" t="e">
        <f>I899 + (D900-G900)</f>
        <v>#VALUE!</v>
      </c>
      <c r="M900">
        <v>124087</v>
      </c>
      <c r="N900">
        <v>24</v>
      </c>
      <c r="O900" t="s">
        <v>68</v>
      </c>
      <c r="P900">
        <v>1</v>
      </c>
      <c r="R900">
        <v>575</v>
      </c>
      <c r="S900" s="17">
        <v>42150</v>
      </c>
      <c r="T900" s="17">
        <v>42150</v>
      </c>
      <c r="W900">
        <v>2015</v>
      </c>
      <c r="X900">
        <v>24</v>
      </c>
      <c r="AC900" t="s">
        <v>61</v>
      </c>
      <c r="AD900" t="s">
        <v>302</v>
      </c>
      <c r="AE900" t="s">
        <v>46</v>
      </c>
      <c r="AG900">
        <v>52</v>
      </c>
      <c r="AH900">
        <v>9</v>
      </c>
      <c r="AI900" t="s">
        <v>54</v>
      </c>
      <c r="AK900">
        <v>0</v>
      </c>
      <c r="AM900">
        <v>0</v>
      </c>
      <c r="AP900" t="s">
        <v>325</v>
      </c>
    </row>
    <row r="901" spans="1:42" customFormat="1">
      <c r="A901">
        <v>271105</v>
      </c>
      <c r="B901" t="s">
        <v>4263</v>
      </c>
      <c r="C901" t="s">
        <v>4264</v>
      </c>
      <c r="D901" s="22">
        <v>0</v>
      </c>
      <c r="E901" s="17">
        <v>42146</v>
      </c>
      <c r="F901" s="18">
        <v>0.58592592592592596</v>
      </c>
      <c r="G901" s="22">
        <v>15</v>
      </c>
      <c r="H901">
        <v>0</v>
      </c>
      <c r="I901" s="19" t="e">
        <f>I900 + (D901-G901)</f>
        <v>#VALUE!</v>
      </c>
      <c r="M901">
        <v>124078</v>
      </c>
      <c r="N901">
        <v>24</v>
      </c>
      <c r="O901" t="s">
        <v>68</v>
      </c>
      <c r="P901">
        <v>1</v>
      </c>
      <c r="R901">
        <v>575</v>
      </c>
      <c r="S901" s="17">
        <v>42150</v>
      </c>
      <c r="T901" s="17">
        <v>42150</v>
      </c>
      <c r="W901">
        <v>2015</v>
      </c>
      <c r="X901">
        <v>24</v>
      </c>
      <c r="AC901" t="s">
        <v>61</v>
      </c>
      <c r="AD901" t="s">
        <v>302</v>
      </c>
      <c r="AE901" t="s">
        <v>46</v>
      </c>
      <c r="AG901">
        <v>52</v>
      </c>
      <c r="AH901">
        <v>9</v>
      </c>
      <c r="AI901" t="s">
        <v>54</v>
      </c>
      <c r="AK901">
        <v>0</v>
      </c>
      <c r="AM901">
        <v>0</v>
      </c>
      <c r="AP901" t="s">
        <v>325</v>
      </c>
    </row>
    <row r="902" spans="1:42" customFormat="1">
      <c r="A902">
        <v>271106</v>
      </c>
      <c r="B902" t="s">
        <v>4265</v>
      </c>
      <c r="C902" t="s">
        <v>4266</v>
      </c>
      <c r="D902" s="22">
        <v>0</v>
      </c>
      <c r="E902" s="17">
        <v>42146</v>
      </c>
      <c r="F902" s="18">
        <v>0.58592592592592596</v>
      </c>
      <c r="G902" s="22">
        <v>15</v>
      </c>
      <c r="H902">
        <v>0</v>
      </c>
      <c r="I902" s="19" t="e">
        <f>I901 + (D902-G902)</f>
        <v>#VALUE!</v>
      </c>
      <c r="M902">
        <v>124079</v>
      </c>
      <c r="N902">
        <v>24</v>
      </c>
      <c r="O902" t="s">
        <v>68</v>
      </c>
      <c r="P902">
        <v>1</v>
      </c>
      <c r="R902">
        <v>575</v>
      </c>
      <c r="S902" s="17">
        <v>42150</v>
      </c>
      <c r="T902" s="17">
        <v>42150</v>
      </c>
      <c r="W902">
        <v>2015</v>
      </c>
      <c r="X902">
        <v>24</v>
      </c>
      <c r="AC902" t="s">
        <v>61</v>
      </c>
      <c r="AD902" t="s">
        <v>302</v>
      </c>
      <c r="AE902" t="s">
        <v>46</v>
      </c>
      <c r="AG902">
        <v>52</v>
      </c>
      <c r="AH902">
        <v>9</v>
      </c>
      <c r="AI902" t="s">
        <v>54</v>
      </c>
      <c r="AK902">
        <v>0</v>
      </c>
      <c r="AM902">
        <v>0</v>
      </c>
      <c r="AP902" t="s">
        <v>325</v>
      </c>
    </row>
    <row r="903" spans="1:42" customFormat="1">
      <c r="A903">
        <v>271112</v>
      </c>
      <c r="B903" t="s">
        <v>4268</v>
      </c>
      <c r="C903" t="s">
        <v>4269</v>
      </c>
      <c r="D903" s="22">
        <v>0</v>
      </c>
      <c r="E903" s="17">
        <v>42146</v>
      </c>
      <c r="F903" s="18">
        <v>0.58826388888888892</v>
      </c>
      <c r="G903" s="22">
        <v>30</v>
      </c>
      <c r="H903">
        <v>0</v>
      </c>
      <c r="I903" s="19" t="e">
        <f>I902 + (D903-G903)</f>
        <v>#VALUE!</v>
      </c>
      <c r="M903">
        <v>124097</v>
      </c>
      <c r="N903">
        <v>24</v>
      </c>
      <c r="O903" t="s">
        <v>68</v>
      </c>
      <c r="P903">
        <v>1</v>
      </c>
      <c r="R903">
        <v>575</v>
      </c>
      <c r="S903" s="17">
        <v>42150</v>
      </c>
      <c r="T903" s="17">
        <v>42150</v>
      </c>
      <c r="W903">
        <v>2015</v>
      </c>
      <c r="X903">
        <v>24</v>
      </c>
      <c r="AC903" t="s">
        <v>61</v>
      </c>
      <c r="AD903" t="s">
        <v>302</v>
      </c>
      <c r="AE903" t="s">
        <v>46</v>
      </c>
      <c r="AG903">
        <v>52</v>
      </c>
      <c r="AH903">
        <v>9</v>
      </c>
      <c r="AI903" t="s">
        <v>54</v>
      </c>
      <c r="AK903">
        <v>0</v>
      </c>
      <c r="AM903">
        <v>0</v>
      </c>
      <c r="AP903" t="s">
        <v>325</v>
      </c>
    </row>
    <row r="904" spans="1:42" customFormat="1">
      <c r="A904">
        <v>271113</v>
      </c>
      <c r="B904" t="s">
        <v>4270</v>
      </c>
      <c r="C904" t="s">
        <v>4271</v>
      </c>
      <c r="D904" s="22">
        <v>0</v>
      </c>
      <c r="E904" s="17">
        <v>42146</v>
      </c>
      <c r="F904" s="18">
        <v>0.58826388888888892</v>
      </c>
      <c r="G904" s="22">
        <v>30</v>
      </c>
      <c r="H904">
        <v>0</v>
      </c>
      <c r="I904" s="19" t="e">
        <f>I903 + (D904-G904)</f>
        <v>#VALUE!</v>
      </c>
      <c r="M904">
        <v>124088</v>
      </c>
      <c r="N904">
        <v>24</v>
      </c>
      <c r="O904" t="s">
        <v>68</v>
      </c>
      <c r="P904">
        <v>1</v>
      </c>
      <c r="R904">
        <v>575</v>
      </c>
      <c r="S904" s="17">
        <v>42150</v>
      </c>
      <c r="T904" s="17">
        <v>42150</v>
      </c>
      <c r="W904">
        <v>2015</v>
      </c>
      <c r="X904">
        <v>24</v>
      </c>
      <c r="AC904" t="s">
        <v>61</v>
      </c>
      <c r="AD904" t="s">
        <v>302</v>
      </c>
      <c r="AE904" t="s">
        <v>46</v>
      </c>
      <c r="AG904">
        <v>52</v>
      </c>
      <c r="AH904">
        <v>9</v>
      </c>
      <c r="AI904" t="s">
        <v>54</v>
      </c>
      <c r="AK904">
        <v>0</v>
      </c>
      <c r="AM904">
        <v>0</v>
      </c>
      <c r="AP904" t="s">
        <v>325</v>
      </c>
    </row>
    <row r="905" spans="1:42" customFormat="1">
      <c r="A905">
        <v>271114</v>
      </c>
      <c r="B905" t="s">
        <v>4272</v>
      </c>
      <c r="C905" t="s">
        <v>4273</v>
      </c>
      <c r="D905" s="22">
        <v>0</v>
      </c>
      <c r="E905" s="17">
        <v>42146</v>
      </c>
      <c r="F905" s="18">
        <v>0.58826388888888892</v>
      </c>
      <c r="G905" s="22">
        <v>30</v>
      </c>
      <c r="H905">
        <v>0</v>
      </c>
      <c r="I905" s="19" t="e">
        <f>I904 + (D905-G905)</f>
        <v>#VALUE!</v>
      </c>
      <c r="M905">
        <v>124098</v>
      </c>
      <c r="N905">
        <v>24</v>
      </c>
      <c r="O905" t="s">
        <v>68</v>
      </c>
      <c r="P905">
        <v>1</v>
      </c>
      <c r="R905">
        <v>575</v>
      </c>
      <c r="S905" s="17">
        <v>42150</v>
      </c>
      <c r="T905" s="17">
        <v>42150</v>
      </c>
      <c r="W905">
        <v>2015</v>
      </c>
      <c r="X905">
        <v>24</v>
      </c>
      <c r="AC905" t="s">
        <v>61</v>
      </c>
      <c r="AD905" t="s">
        <v>302</v>
      </c>
      <c r="AE905" t="s">
        <v>46</v>
      </c>
      <c r="AG905">
        <v>52</v>
      </c>
      <c r="AH905">
        <v>9</v>
      </c>
      <c r="AI905" t="s">
        <v>54</v>
      </c>
      <c r="AK905">
        <v>0</v>
      </c>
      <c r="AM905">
        <v>0</v>
      </c>
      <c r="AP905" t="s">
        <v>325</v>
      </c>
    </row>
    <row r="906" spans="1:42" customFormat="1">
      <c r="A906">
        <v>271115</v>
      </c>
      <c r="B906" t="s">
        <v>4274</v>
      </c>
      <c r="C906" t="s">
        <v>4275</v>
      </c>
      <c r="D906" s="22">
        <v>0</v>
      </c>
      <c r="E906" s="17">
        <v>42146</v>
      </c>
      <c r="F906" s="18">
        <v>0.58826388888888892</v>
      </c>
      <c r="G906" s="22">
        <v>30</v>
      </c>
      <c r="H906">
        <v>0</v>
      </c>
      <c r="I906" s="19" t="e">
        <f>I905 + (D906-G906)</f>
        <v>#VALUE!</v>
      </c>
      <c r="M906">
        <v>124089</v>
      </c>
      <c r="N906">
        <v>24</v>
      </c>
      <c r="O906" t="s">
        <v>68</v>
      </c>
      <c r="P906">
        <v>1</v>
      </c>
      <c r="R906">
        <v>575</v>
      </c>
      <c r="S906" s="17">
        <v>42150</v>
      </c>
      <c r="T906" s="17">
        <v>42150</v>
      </c>
      <c r="W906">
        <v>2015</v>
      </c>
      <c r="X906">
        <v>24</v>
      </c>
      <c r="AC906" t="s">
        <v>61</v>
      </c>
      <c r="AD906" t="s">
        <v>302</v>
      </c>
      <c r="AE906" t="s">
        <v>46</v>
      </c>
      <c r="AG906">
        <v>52</v>
      </c>
      <c r="AH906">
        <v>9</v>
      </c>
      <c r="AI906" t="s">
        <v>54</v>
      </c>
      <c r="AK906">
        <v>0</v>
      </c>
      <c r="AM906">
        <v>0</v>
      </c>
      <c r="AP906" t="s">
        <v>325</v>
      </c>
    </row>
    <row r="907" spans="1:42" customFormat="1">
      <c r="A907">
        <v>271118</v>
      </c>
      <c r="B907" t="s">
        <v>4276</v>
      </c>
      <c r="C907" t="s">
        <v>4277</v>
      </c>
      <c r="D907" s="22">
        <v>0</v>
      </c>
      <c r="E907" s="17">
        <v>42146</v>
      </c>
      <c r="F907" s="18">
        <v>0.58827546296296296</v>
      </c>
      <c r="G907" s="22">
        <v>30</v>
      </c>
      <c r="H907">
        <v>0</v>
      </c>
      <c r="I907" s="19" t="e">
        <f>I906 + (D907-G907)</f>
        <v>#VALUE!</v>
      </c>
      <c r="M907">
        <v>124100</v>
      </c>
      <c r="N907">
        <v>24</v>
      </c>
      <c r="O907" t="s">
        <v>68</v>
      </c>
      <c r="P907">
        <v>1</v>
      </c>
      <c r="R907">
        <v>575</v>
      </c>
      <c r="S907" s="17">
        <v>42150</v>
      </c>
      <c r="T907" s="17">
        <v>42150</v>
      </c>
      <c r="W907">
        <v>2015</v>
      </c>
      <c r="X907">
        <v>24</v>
      </c>
      <c r="AC907" t="s">
        <v>61</v>
      </c>
      <c r="AD907" t="s">
        <v>302</v>
      </c>
      <c r="AE907" t="s">
        <v>46</v>
      </c>
      <c r="AG907">
        <v>52</v>
      </c>
      <c r="AH907">
        <v>9</v>
      </c>
      <c r="AI907" t="s">
        <v>54</v>
      </c>
      <c r="AK907">
        <v>0</v>
      </c>
      <c r="AM907">
        <v>0</v>
      </c>
      <c r="AP907" t="s">
        <v>325</v>
      </c>
    </row>
    <row r="908" spans="1:42" customFormat="1">
      <c r="A908">
        <v>271117</v>
      </c>
      <c r="B908" t="s">
        <v>4278</v>
      </c>
      <c r="C908" t="s">
        <v>4279</v>
      </c>
      <c r="D908" s="22">
        <v>0</v>
      </c>
      <c r="E908" s="17">
        <v>42146</v>
      </c>
      <c r="F908" s="18">
        <v>0.58827546296296296</v>
      </c>
      <c r="G908" s="22">
        <v>30</v>
      </c>
      <c r="H908">
        <v>0</v>
      </c>
      <c r="I908" s="19" t="e">
        <f>I907 + (D908-G908)</f>
        <v>#VALUE!</v>
      </c>
      <c r="M908">
        <v>124090</v>
      </c>
      <c r="N908">
        <v>24</v>
      </c>
      <c r="O908" t="s">
        <v>68</v>
      </c>
      <c r="P908">
        <v>1</v>
      </c>
      <c r="R908">
        <v>575</v>
      </c>
      <c r="S908" s="17">
        <v>42150</v>
      </c>
      <c r="T908" s="17">
        <v>42150</v>
      </c>
      <c r="W908">
        <v>2015</v>
      </c>
      <c r="X908">
        <v>24</v>
      </c>
      <c r="AC908" t="s">
        <v>61</v>
      </c>
      <c r="AD908" t="s">
        <v>302</v>
      </c>
      <c r="AE908" t="s">
        <v>46</v>
      </c>
      <c r="AG908">
        <v>52</v>
      </c>
      <c r="AH908">
        <v>9</v>
      </c>
      <c r="AI908" t="s">
        <v>54</v>
      </c>
      <c r="AK908">
        <v>0</v>
      </c>
      <c r="AM908">
        <v>0</v>
      </c>
      <c r="AP908" t="s">
        <v>325</v>
      </c>
    </row>
    <row r="909" spans="1:42" customFormat="1">
      <c r="A909">
        <v>271120</v>
      </c>
      <c r="B909" t="s">
        <v>4280</v>
      </c>
      <c r="C909" t="s">
        <v>4281</v>
      </c>
      <c r="D909" s="22">
        <v>0</v>
      </c>
      <c r="E909" s="17">
        <v>42146</v>
      </c>
      <c r="F909" s="18">
        <v>0.58827546296296296</v>
      </c>
      <c r="G909" s="22">
        <v>30</v>
      </c>
      <c r="H909">
        <v>0</v>
      </c>
      <c r="I909" s="19" t="e">
        <f>I908 + (D909-G909)</f>
        <v>#VALUE!</v>
      </c>
      <c r="M909">
        <v>124101</v>
      </c>
      <c r="N909">
        <v>24</v>
      </c>
      <c r="O909" t="s">
        <v>68</v>
      </c>
      <c r="P909">
        <v>1</v>
      </c>
      <c r="R909">
        <v>575</v>
      </c>
      <c r="S909" s="17">
        <v>42150</v>
      </c>
      <c r="T909" s="17">
        <v>42150</v>
      </c>
      <c r="W909">
        <v>2015</v>
      </c>
      <c r="X909">
        <v>24</v>
      </c>
      <c r="AC909" t="s">
        <v>61</v>
      </c>
      <c r="AD909" t="s">
        <v>302</v>
      </c>
      <c r="AE909" t="s">
        <v>46</v>
      </c>
      <c r="AG909">
        <v>52</v>
      </c>
      <c r="AH909">
        <v>9</v>
      </c>
      <c r="AI909" t="s">
        <v>54</v>
      </c>
      <c r="AK909">
        <v>0</v>
      </c>
      <c r="AM909">
        <v>0</v>
      </c>
      <c r="AP909" t="s">
        <v>325</v>
      </c>
    </row>
    <row r="910" spans="1:42" customFormat="1">
      <c r="A910">
        <v>271119</v>
      </c>
      <c r="B910" t="s">
        <v>4282</v>
      </c>
      <c r="C910" t="s">
        <v>4283</v>
      </c>
      <c r="D910" s="22">
        <v>0</v>
      </c>
      <c r="E910" s="17">
        <v>42146</v>
      </c>
      <c r="F910" s="18">
        <v>0.58827546296296296</v>
      </c>
      <c r="G910" s="22">
        <v>30</v>
      </c>
      <c r="H910">
        <v>0</v>
      </c>
      <c r="I910" s="19" t="e">
        <f>I909 + (D910-G910)</f>
        <v>#VALUE!</v>
      </c>
      <c r="M910">
        <v>124091</v>
      </c>
      <c r="N910">
        <v>24</v>
      </c>
      <c r="O910" t="s">
        <v>68</v>
      </c>
      <c r="P910">
        <v>1</v>
      </c>
      <c r="R910">
        <v>575</v>
      </c>
      <c r="S910" s="17">
        <v>42150</v>
      </c>
      <c r="T910" s="17">
        <v>42150</v>
      </c>
      <c r="W910">
        <v>2015</v>
      </c>
      <c r="X910">
        <v>24</v>
      </c>
      <c r="AC910" t="s">
        <v>61</v>
      </c>
      <c r="AD910" t="s">
        <v>302</v>
      </c>
      <c r="AE910" t="s">
        <v>46</v>
      </c>
      <c r="AG910">
        <v>52</v>
      </c>
      <c r="AH910">
        <v>9</v>
      </c>
      <c r="AI910" t="s">
        <v>54</v>
      </c>
      <c r="AK910">
        <v>0</v>
      </c>
      <c r="AM910">
        <v>0</v>
      </c>
      <c r="AP910" t="s">
        <v>325</v>
      </c>
    </row>
    <row r="911" spans="1:42" customFormat="1">
      <c r="A911">
        <v>271121</v>
      </c>
      <c r="B911" t="s">
        <v>4284</v>
      </c>
      <c r="C911" t="s">
        <v>4285</v>
      </c>
      <c r="D911" s="22">
        <v>0</v>
      </c>
      <c r="E911" s="17">
        <v>42146</v>
      </c>
      <c r="F911" s="18">
        <v>0.58827546296296296</v>
      </c>
      <c r="G911" s="22">
        <v>30</v>
      </c>
      <c r="H911">
        <v>0</v>
      </c>
      <c r="I911" s="19" t="e">
        <f>I910 + (D911-G911)</f>
        <v>#VALUE!</v>
      </c>
      <c r="M911">
        <v>124092</v>
      </c>
      <c r="N911">
        <v>24</v>
      </c>
      <c r="O911" t="s">
        <v>68</v>
      </c>
      <c r="P911">
        <v>1</v>
      </c>
      <c r="R911">
        <v>575</v>
      </c>
      <c r="S911" s="17">
        <v>42150</v>
      </c>
      <c r="T911" s="17">
        <v>42150</v>
      </c>
      <c r="W911">
        <v>2015</v>
      </c>
      <c r="X911">
        <v>24</v>
      </c>
      <c r="AC911" t="s">
        <v>61</v>
      </c>
      <c r="AD911" t="s">
        <v>302</v>
      </c>
      <c r="AE911" t="s">
        <v>46</v>
      </c>
      <c r="AG911">
        <v>52</v>
      </c>
      <c r="AH911">
        <v>9</v>
      </c>
      <c r="AI911" t="s">
        <v>54</v>
      </c>
      <c r="AK911">
        <v>0</v>
      </c>
      <c r="AM911">
        <v>0</v>
      </c>
      <c r="AP911" t="s">
        <v>325</v>
      </c>
    </row>
    <row r="912" spans="1:42" customFormat="1">
      <c r="A912">
        <v>271122</v>
      </c>
      <c r="B912" t="s">
        <v>4286</v>
      </c>
      <c r="C912" t="s">
        <v>4287</v>
      </c>
      <c r="D912" s="22">
        <v>0</v>
      </c>
      <c r="E912" s="17">
        <v>42146</v>
      </c>
      <c r="F912" s="18">
        <v>0.58827546296296296</v>
      </c>
      <c r="G912" s="22">
        <v>30</v>
      </c>
      <c r="H912">
        <v>0</v>
      </c>
      <c r="I912" s="19" t="e">
        <f>I911 + (D912-G912)</f>
        <v>#VALUE!</v>
      </c>
      <c r="M912">
        <v>124093</v>
      </c>
      <c r="N912">
        <v>24</v>
      </c>
      <c r="O912" t="s">
        <v>68</v>
      </c>
      <c r="P912">
        <v>1</v>
      </c>
      <c r="R912">
        <v>575</v>
      </c>
      <c r="S912" s="17">
        <v>42150</v>
      </c>
      <c r="T912" s="17">
        <v>42150</v>
      </c>
      <c r="W912">
        <v>2015</v>
      </c>
      <c r="X912">
        <v>24</v>
      </c>
      <c r="AC912" t="s">
        <v>61</v>
      </c>
      <c r="AD912" t="s">
        <v>302</v>
      </c>
      <c r="AE912" t="s">
        <v>46</v>
      </c>
      <c r="AG912">
        <v>52</v>
      </c>
      <c r="AH912">
        <v>9</v>
      </c>
      <c r="AI912" t="s">
        <v>54</v>
      </c>
      <c r="AK912">
        <v>0</v>
      </c>
      <c r="AM912">
        <v>0</v>
      </c>
      <c r="AP912" t="s">
        <v>325</v>
      </c>
    </row>
    <row r="913" spans="1:42" customFormat="1">
      <c r="A913">
        <v>271123</v>
      </c>
      <c r="B913" t="s">
        <v>4288</v>
      </c>
      <c r="C913" t="s">
        <v>4289</v>
      </c>
      <c r="D913" s="22">
        <v>0</v>
      </c>
      <c r="E913" s="17">
        <v>42146</v>
      </c>
      <c r="F913" s="18">
        <v>0.58827546296296296</v>
      </c>
      <c r="G913" s="22">
        <v>30</v>
      </c>
      <c r="H913">
        <v>0</v>
      </c>
      <c r="I913" s="19" t="e">
        <f>I912 + (D913-G913)</f>
        <v>#VALUE!</v>
      </c>
      <c r="M913">
        <v>124094</v>
      </c>
      <c r="N913">
        <v>24</v>
      </c>
      <c r="O913" t="s">
        <v>68</v>
      </c>
      <c r="P913">
        <v>1</v>
      </c>
      <c r="R913">
        <v>575</v>
      </c>
      <c r="S913" s="17">
        <v>42150</v>
      </c>
      <c r="T913" s="17">
        <v>42150</v>
      </c>
      <c r="W913">
        <v>2015</v>
      </c>
      <c r="X913">
        <v>24</v>
      </c>
      <c r="AC913" t="s">
        <v>61</v>
      </c>
      <c r="AD913" t="s">
        <v>302</v>
      </c>
      <c r="AE913" t="s">
        <v>46</v>
      </c>
      <c r="AG913">
        <v>52</v>
      </c>
      <c r="AH913">
        <v>9</v>
      </c>
      <c r="AI913" t="s">
        <v>54</v>
      </c>
      <c r="AK913">
        <v>0</v>
      </c>
      <c r="AM913">
        <v>0</v>
      </c>
      <c r="AP913" t="s">
        <v>325</v>
      </c>
    </row>
    <row r="914" spans="1:42" customFormat="1">
      <c r="A914">
        <v>271116</v>
      </c>
      <c r="B914" t="s">
        <v>4290</v>
      </c>
      <c r="C914" t="s">
        <v>4291</v>
      </c>
      <c r="D914" s="22">
        <v>0</v>
      </c>
      <c r="E914" s="17">
        <v>42146</v>
      </c>
      <c r="F914" s="18">
        <v>0.58827546296296296</v>
      </c>
      <c r="G914" s="22">
        <v>30</v>
      </c>
      <c r="H914">
        <v>0</v>
      </c>
      <c r="I914" s="19" t="e">
        <f>I913 + (D914-G914)</f>
        <v>#VALUE!</v>
      </c>
      <c r="M914">
        <v>124099</v>
      </c>
      <c r="N914">
        <v>24</v>
      </c>
      <c r="O914" t="s">
        <v>68</v>
      </c>
      <c r="P914">
        <v>1</v>
      </c>
      <c r="R914">
        <v>575</v>
      </c>
      <c r="S914" s="17">
        <v>42150</v>
      </c>
      <c r="T914" s="17">
        <v>42150</v>
      </c>
      <c r="W914">
        <v>2015</v>
      </c>
      <c r="X914">
        <v>24</v>
      </c>
      <c r="AC914" t="s">
        <v>61</v>
      </c>
      <c r="AD914" t="s">
        <v>302</v>
      </c>
      <c r="AE914" t="s">
        <v>46</v>
      </c>
      <c r="AG914">
        <v>52</v>
      </c>
      <c r="AH914">
        <v>9</v>
      </c>
      <c r="AI914" t="s">
        <v>54</v>
      </c>
      <c r="AK914">
        <v>0</v>
      </c>
      <c r="AM914">
        <v>0</v>
      </c>
      <c r="AP914" t="s">
        <v>325</v>
      </c>
    </row>
    <row r="915" spans="1:42" customFormat="1">
      <c r="A915">
        <v>271124</v>
      </c>
      <c r="B915" t="s">
        <v>4292</v>
      </c>
      <c r="C915" t="s">
        <v>4293</v>
      </c>
      <c r="D915" s="22">
        <v>0</v>
      </c>
      <c r="E915" s="17">
        <v>42146</v>
      </c>
      <c r="F915" s="18">
        <v>0.58828703703703711</v>
      </c>
      <c r="G915" s="22">
        <v>30</v>
      </c>
      <c r="H915">
        <v>0</v>
      </c>
      <c r="I915" s="19" t="e">
        <f>I914 + (D915-G915)</f>
        <v>#VALUE!</v>
      </c>
      <c r="M915">
        <v>124095</v>
      </c>
      <c r="N915">
        <v>24</v>
      </c>
      <c r="O915" t="s">
        <v>68</v>
      </c>
      <c r="P915">
        <v>1</v>
      </c>
      <c r="R915">
        <v>575</v>
      </c>
      <c r="S915" s="17">
        <v>42150</v>
      </c>
      <c r="T915" s="17">
        <v>42150</v>
      </c>
      <c r="W915">
        <v>2015</v>
      </c>
      <c r="X915">
        <v>24</v>
      </c>
      <c r="AC915" t="s">
        <v>61</v>
      </c>
      <c r="AD915" t="s">
        <v>302</v>
      </c>
      <c r="AE915" t="s">
        <v>46</v>
      </c>
      <c r="AG915">
        <v>52</v>
      </c>
      <c r="AH915">
        <v>9</v>
      </c>
      <c r="AI915" t="s">
        <v>54</v>
      </c>
      <c r="AK915">
        <v>0</v>
      </c>
      <c r="AM915">
        <v>0</v>
      </c>
      <c r="AP915" t="s">
        <v>325</v>
      </c>
    </row>
    <row r="916" spans="1:42" customFormat="1">
      <c r="A916">
        <v>271125</v>
      </c>
      <c r="B916" t="s">
        <v>4294</v>
      </c>
      <c r="C916" t="s">
        <v>4295</v>
      </c>
      <c r="D916" s="22">
        <v>0</v>
      </c>
      <c r="E916" s="17">
        <v>42146</v>
      </c>
      <c r="F916" s="18">
        <v>0.58828703703703711</v>
      </c>
      <c r="G916" s="22">
        <v>30</v>
      </c>
      <c r="H916">
        <v>0</v>
      </c>
      <c r="I916" s="19" t="e">
        <f>I915 + (D916-G916)</f>
        <v>#VALUE!</v>
      </c>
      <c r="M916">
        <v>124096</v>
      </c>
      <c r="N916">
        <v>24</v>
      </c>
      <c r="O916" t="s">
        <v>68</v>
      </c>
      <c r="P916">
        <v>1</v>
      </c>
      <c r="R916">
        <v>575</v>
      </c>
      <c r="S916" s="17">
        <v>42150</v>
      </c>
      <c r="T916" s="17">
        <v>42150</v>
      </c>
      <c r="W916">
        <v>2015</v>
      </c>
      <c r="X916">
        <v>24</v>
      </c>
      <c r="AC916" t="s">
        <v>61</v>
      </c>
      <c r="AD916" t="s">
        <v>302</v>
      </c>
      <c r="AE916" t="s">
        <v>46</v>
      </c>
      <c r="AG916">
        <v>52</v>
      </c>
      <c r="AH916">
        <v>9</v>
      </c>
      <c r="AI916" t="s">
        <v>54</v>
      </c>
      <c r="AK916">
        <v>0</v>
      </c>
      <c r="AM916">
        <v>0</v>
      </c>
      <c r="AP916" t="s">
        <v>325</v>
      </c>
    </row>
    <row r="917" spans="1:42" customFormat="1">
      <c r="A917">
        <v>271139</v>
      </c>
      <c r="B917" t="s">
        <v>4296</v>
      </c>
      <c r="C917" t="s">
        <v>4297</v>
      </c>
      <c r="D917" s="22">
        <v>0</v>
      </c>
      <c r="E917" s="17">
        <v>42146</v>
      </c>
      <c r="F917" s="18">
        <v>0.58947916666666667</v>
      </c>
      <c r="G917" s="22">
        <v>0.35</v>
      </c>
      <c r="H917">
        <v>0</v>
      </c>
      <c r="I917" s="19" t="e">
        <f>I916 + (D917-G917)</f>
        <v>#VALUE!</v>
      </c>
      <c r="M917">
        <v>124110</v>
      </c>
      <c r="N917">
        <v>24</v>
      </c>
      <c r="O917" t="s">
        <v>68</v>
      </c>
      <c r="P917">
        <v>1</v>
      </c>
      <c r="R917">
        <v>575</v>
      </c>
      <c r="S917" s="17">
        <v>42150</v>
      </c>
      <c r="T917" s="17">
        <v>42150</v>
      </c>
      <c r="W917">
        <v>2015</v>
      </c>
      <c r="X917">
        <v>24</v>
      </c>
      <c r="AC917" t="s">
        <v>61</v>
      </c>
      <c r="AD917" t="s">
        <v>302</v>
      </c>
      <c r="AE917" t="s">
        <v>46</v>
      </c>
      <c r="AG917">
        <v>52</v>
      </c>
      <c r="AH917">
        <v>9</v>
      </c>
      <c r="AI917" t="s">
        <v>54</v>
      </c>
      <c r="AK917">
        <v>0</v>
      </c>
      <c r="AM917">
        <v>0</v>
      </c>
      <c r="AP917" t="s">
        <v>325</v>
      </c>
    </row>
    <row r="918" spans="1:42" customFormat="1">
      <c r="A918">
        <v>271126</v>
      </c>
      <c r="B918" t="s">
        <v>4298</v>
      </c>
      <c r="C918" t="s">
        <v>4299</v>
      </c>
      <c r="D918" s="22">
        <v>0</v>
      </c>
      <c r="E918" s="17">
        <v>42146</v>
      </c>
      <c r="F918" s="18">
        <v>0.58947916666666667</v>
      </c>
      <c r="G918" s="22">
        <v>0.35</v>
      </c>
      <c r="H918">
        <v>0</v>
      </c>
      <c r="I918" s="19" t="e">
        <f>I917 + (D918-G918)</f>
        <v>#VALUE!</v>
      </c>
      <c r="M918">
        <v>124111</v>
      </c>
      <c r="N918">
        <v>24</v>
      </c>
      <c r="O918" t="s">
        <v>68</v>
      </c>
      <c r="P918">
        <v>1</v>
      </c>
      <c r="R918">
        <v>575</v>
      </c>
      <c r="S918" s="17">
        <v>42150</v>
      </c>
      <c r="T918" s="17">
        <v>42150</v>
      </c>
      <c r="W918">
        <v>2015</v>
      </c>
      <c r="X918">
        <v>24</v>
      </c>
      <c r="AC918" t="s">
        <v>61</v>
      </c>
      <c r="AD918" t="s">
        <v>302</v>
      </c>
      <c r="AE918" t="s">
        <v>46</v>
      </c>
      <c r="AG918">
        <v>52</v>
      </c>
      <c r="AH918">
        <v>9</v>
      </c>
      <c r="AI918" t="s">
        <v>54</v>
      </c>
      <c r="AK918">
        <v>0</v>
      </c>
      <c r="AM918">
        <v>0</v>
      </c>
      <c r="AP918" t="s">
        <v>325</v>
      </c>
    </row>
    <row r="919" spans="1:42" customFormat="1">
      <c r="A919">
        <v>271127</v>
      </c>
      <c r="B919" t="s">
        <v>4300</v>
      </c>
      <c r="C919" t="s">
        <v>4301</v>
      </c>
      <c r="D919" s="22">
        <v>0</v>
      </c>
      <c r="E919" s="17">
        <v>42146</v>
      </c>
      <c r="F919" s="18">
        <v>0.58947916666666667</v>
      </c>
      <c r="G919" s="22">
        <v>0.35</v>
      </c>
      <c r="H919">
        <v>0</v>
      </c>
      <c r="I919" s="19" t="e">
        <f>I918 + (D919-G919)</f>
        <v>#VALUE!</v>
      </c>
      <c r="M919">
        <v>124102</v>
      </c>
      <c r="N919">
        <v>24</v>
      </c>
      <c r="O919" t="s">
        <v>68</v>
      </c>
      <c r="P919">
        <v>1</v>
      </c>
      <c r="R919">
        <v>575</v>
      </c>
      <c r="S919" s="17">
        <v>42150</v>
      </c>
      <c r="T919" s="17">
        <v>42150</v>
      </c>
      <c r="W919">
        <v>2015</v>
      </c>
      <c r="X919">
        <v>24</v>
      </c>
      <c r="AC919" t="s">
        <v>61</v>
      </c>
      <c r="AD919" t="s">
        <v>302</v>
      </c>
      <c r="AE919" t="s">
        <v>46</v>
      </c>
      <c r="AG919">
        <v>52</v>
      </c>
      <c r="AH919">
        <v>9</v>
      </c>
      <c r="AI919" t="s">
        <v>54</v>
      </c>
      <c r="AK919">
        <v>0</v>
      </c>
      <c r="AM919">
        <v>0</v>
      </c>
      <c r="AP919" t="s">
        <v>325</v>
      </c>
    </row>
    <row r="920" spans="1:42" customFormat="1">
      <c r="A920">
        <v>271128</v>
      </c>
      <c r="B920" t="s">
        <v>4302</v>
      </c>
      <c r="C920" t="s">
        <v>4303</v>
      </c>
      <c r="D920" s="22">
        <v>0</v>
      </c>
      <c r="E920" s="17">
        <v>42146</v>
      </c>
      <c r="F920" s="18">
        <v>0.58947916666666667</v>
      </c>
      <c r="G920" s="22">
        <v>0.35</v>
      </c>
      <c r="H920">
        <v>0</v>
      </c>
      <c r="I920" s="19" t="e">
        <f>I919 + (D920-G920)</f>
        <v>#VALUE!</v>
      </c>
      <c r="M920">
        <v>124112</v>
      </c>
      <c r="N920">
        <v>24</v>
      </c>
      <c r="O920" t="s">
        <v>68</v>
      </c>
      <c r="P920">
        <v>1</v>
      </c>
      <c r="R920">
        <v>575</v>
      </c>
      <c r="S920" s="17">
        <v>42150</v>
      </c>
      <c r="T920" s="17">
        <v>42150</v>
      </c>
      <c r="W920">
        <v>2015</v>
      </c>
      <c r="X920">
        <v>24</v>
      </c>
      <c r="AC920" t="s">
        <v>61</v>
      </c>
      <c r="AD920" t="s">
        <v>302</v>
      </c>
      <c r="AE920" t="s">
        <v>46</v>
      </c>
      <c r="AG920">
        <v>52</v>
      </c>
      <c r="AH920">
        <v>9</v>
      </c>
      <c r="AI920" t="s">
        <v>54</v>
      </c>
      <c r="AK920">
        <v>0</v>
      </c>
      <c r="AM920">
        <v>0</v>
      </c>
      <c r="AP920" t="s">
        <v>325</v>
      </c>
    </row>
    <row r="921" spans="1:42" customFormat="1">
      <c r="A921">
        <v>271129</v>
      </c>
      <c r="B921" t="s">
        <v>4304</v>
      </c>
      <c r="C921" t="s">
        <v>4305</v>
      </c>
      <c r="D921" s="22">
        <v>0</v>
      </c>
      <c r="E921" s="17">
        <v>42146</v>
      </c>
      <c r="F921" s="18">
        <v>0.58947916666666667</v>
      </c>
      <c r="G921" s="22">
        <v>0.35</v>
      </c>
      <c r="H921">
        <v>0</v>
      </c>
      <c r="I921" s="19" t="e">
        <f>I920 + (D921-G921)</f>
        <v>#VALUE!</v>
      </c>
      <c r="M921">
        <v>124103</v>
      </c>
      <c r="N921">
        <v>24</v>
      </c>
      <c r="O921" t="s">
        <v>68</v>
      </c>
      <c r="P921">
        <v>1</v>
      </c>
      <c r="R921">
        <v>575</v>
      </c>
      <c r="S921" s="17">
        <v>42150</v>
      </c>
      <c r="T921" s="17">
        <v>42150</v>
      </c>
      <c r="W921">
        <v>2015</v>
      </c>
      <c r="X921">
        <v>24</v>
      </c>
      <c r="AC921" t="s">
        <v>61</v>
      </c>
      <c r="AD921" t="s">
        <v>302</v>
      </c>
      <c r="AE921" t="s">
        <v>46</v>
      </c>
      <c r="AG921">
        <v>52</v>
      </c>
      <c r="AH921">
        <v>9</v>
      </c>
      <c r="AI921" t="s">
        <v>54</v>
      </c>
      <c r="AK921">
        <v>0</v>
      </c>
      <c r="AM921">
        <v>0</v>
      </c>
      <c r="AP921" t="s">
        <v>325</v>
      </c>
    </row>
    <row r="922" spans="1:42" customFormat="1">
      <c r="A922">
        <v>271130</v>
      </c>
      <c r="B922" t="s">
        <v>4306</v>
      </c>
      <c r="C922" t="s">
        <v>4307</v>
      </c>
      <c r="D922" s="22">
        <v>0</v>
      </c>
      <c r="E922" s="17">
        <v>42146</v>
      </c>
      <c r="F922" s="18">
        <v>0.58947916666666667</v>
      </c>
      <c r="G922" s="22">
        <v>0.35</v>
      </c>
      <c r="H922">
        <v>0</v>
      </c>
      <c r="I922" s="19" t="e">
        <f>I921 + (D922-G922)</f>
        <v>#VALUE!</v>
      </c>
      <c r="M922">
        <v>124113</v>
      </c>
      <c r="N922">
        <v>24</v>
      </c>
      <c r="O922" t="s">
        <v>68</v>
      </c>
      <c r="P922">
        <v>1</v>
      </c>
      <c r="R922">
        <v>575</v>
      </c>
      <c r="S922" s="17">
        <v>42150</v>
      </c>
      <c r="T922" s="17">
        <v>42150</v>
      </c>
      <c r="W922">
        <v>2015</v>
      </c>
      <c r="X922">
        <v>24</v>
      </c>
      <c r="AC922" t="s">
        <v>61</v>
      </c>
      <c r="AD922" t="s">
        <v>302</v>
      </c>
      <c r="AE922" t="s">
        <v>46</v>
      </c>
      <c r="AG922">
        <v>52</v>
      </c>
      <c r="AH922">
        <v>9</v>
      </c>
      <c r="AI922" t="s">
        <v>54</v>
      </c>
      <c r="AK922">
        <v>0</v>
      </c>
      <c r="AM922">
        <v>0</v>
      </c>
      <c r="AP922" t="s">
        <v>325</v>
      </c>
    </row>
    <row r="923" spans="1:42" customFormat="1">
      <c r="A923">
        <v>271131</v>
      </c>
      <c r="B923" t="s">
        <v>4308</v>
      </c>
      <c r="C923" t="s">
        <v>4309</v>
      </c>
      <c r="D923" s="22">
        <v>0</v>
      </c>
      <c r="E923" s="17">
        <v>42146</v>
      </c>
      <c r="F923" s="18">
        <v>0.58947916666666667</v>
      </c>
      <c r="G923" s="22">
        <v>0.35</v>
      </c>
      <c r="H923">
        <v>0</v>
      </c>
      <c r="I923" s="19" t="e">
        <f>I922 + (D923-G923)</f>
        <v>#VALUE!</v>
      </c>
      <c r="M923">
        <v>124104</v>
      </c>
      <c r="N923">
        <v>24</v>
      </c>
      <c r="O923" t="s">
        <v>68</v>
      </c>
      <c r="P923">
        <v>1</v>
      </c>
      <c r="R923">
        <v>575</v>
      </c>
      <c r="S923" s="17">
        <v>42150</v>
      </c>
      <c r="T923" s="17">
        <v>42150</v>
      </c>
      <c r="W923">
        <v>2015</v>
      </c>
      <c r="X923">
        <v>24</v>
      </c>
      <c r="AC923" t="s">
        <v>61</v>
      </c>
      <c r="AD923" t="s">
        <v>302</v>
      </c>
      <c r="AE923" t="s">
        <v>46</v>
      </c>
      <c r="AG923">
        <v>52</v>
      </c>
      <c r="AH923">
        <v>9</v>
      </c>
      <c r="AI923" t="s">
        <v>54</v>
      </c>
      <c r="AK923">
        <v>0</v>
      </c>
      <c r="AM923">
        <v>0</v>
      </c>
      <c r="AP923" t="s">
        <v>325</v>
      </c>
    </row>
    <row r="924" spans="1:42" customFormat="1">
      <c r="A924">
        <v>271132</v>
      </c>
      <c r="B924" t="s">
        <v>4310</v>
      </c>
      <c r="C924" t="s">
        <v>4311</v>
      </c>
      <c r="D924" s="22">
        <v>0</v>
      </c>
      <c r="E924" s="17">
        <v>42146</v>
      </c>
      <c r="F924" s="18">
        <v>0.58947916666666667</v>
      </c>
      <c r="G924" s="22">
        <v>0.35</v>
      </c>
      <c r="H924">
        <v>0</v>
      </c>
      <c r="I924" s="19" t="e">
        <f>I923 + (D924-G924)</f>
        <v>#VALUE!</v>
      </c>
      <c r="M924">
        <v>124114</v>
      </c>
      <c r="N924">
        <v>24</v>
      </c>
      <c r="O924" t="s">
        <v>68</v>
      </c>
      <c r="P924">
        <v>1</v>
      </c>
      <c r="R924">
        <v>575</v>
      </c>
      <c r="S924" s="17">
        <v>42150</v>
      </c>
      <c r="T924" s="17">
        <v>42150</v>
      </c>
      <c r="W924">
        <v>2015</v>
      </c>
      <c r="X924">
        <v>24</v>
      </c>
      <c r="AC924" t="s">
        <v>61</v>
      </c>
      <c r="AD924" t="s">
        <v>302</v>
      </c>
      <c r="AE924" t="s">
        <v>46</v>
      </c>
      <c r="AG924">
        <v>52</v>
      </c>
      <c r="AH924">
        <v>9</v>
      </c>
      <c r="AI924" t="s">
        <v>54</v>
      </c>
      <c r="AK924">
        <v>0</v>
      </c>
      <c r="AM924">
        <v>0</v>
      </c>
      <c r="AP924" t="s">
        <v>325</v>
      </c>
    </row>
    <row r="925" spans="1:42" customFormat="1">
      <c r="A925">
        <v>271133</v>
      </c>
      <c r="B925" t="s">
        <v>4312</v>
      </c>
      <c r="C925" t="s">
        <v>4313</v>
      </c>
      <c r="D925" s="22">
        <v>0</v>
      </c>
      <c r="E925" s="17">
        <v>42146</v>
      </c>
      <c r="F925" s="18">
        <v>0.58947916666666667</v>
      </c>
      <c r="G925" s="22">
        <v>0.35</v>
      </c>
      <c r="H925">
        <v>0</v>
      </c>
      <c r="I925" s="19" t="e">
        <f>I924 + (D925-G925)</f>
        <v>#VALUE!</v>
      </c>
      <c r="M925">
        <v>124105</v>
      </c>
      <c r="N925">
        <v>24</v>
      </c>
      <c r="O925" t="s">
        <v>68</v>
      </c>
      <c r="P925">
        <v>1</v>
      </c>
      <c r="R925">
        <v>575</v>
      </c>
      <c r="S925" s="17">
        <v>42150</v>
      </c>
      <c r="T925" s="17">
        <v>42150</v>
      </c>
      <c r="W925">
        <v>2015</v>
      </c>
      <c r="X925">
        <v>24</v>
      </c>
      <c r="AC925" t="s">
        <v>61</v>
      </c>
      <c r="AD925" t="s">
        <v>302</v>
      </c>
      <c r="AE925" t="s">
        <v>46</v>
      </c>
      <c r="AG925">
        <v>52</v>
      </c>
      <c r="AH925">
        <v>9</v>
      </c>
      <c r="AI925" t="s">
        <v>54</v>
      </c>
      <c r="AK925">
        <v>0</v>
      </c>
      <c r="AM925">
        <v>0</v>
      </c>
      <c r="AP925" t="s">
        <v>325</v>
      </c>
    </row>
    <row r="926" spans="1:42" customFormat="1">
      <c r="A926">
        <v>271134</v>
      </c>
      <c r="B926" t="s">
        <v>4314</v>
      </c>
      <c r="C926" t="s">
        <v>4315</v>
      </c>
      <c r="D926" s="22">
        <v>0</v>
      </c>
      <c r="E926" s="17">
        <v>42146</v>
      </c>
      <c r="F926" s="18">
        <v>0.58947916666666667</v>
      </c>
      <c r="G926" s="22">
        <v>0.35</v>
      </c>
      <c r="H926">
        <v>0</v>
      </c>
      <c r="I926" s="19" t="e">
        <f>I925 + (D926-G926)</f>
        <v>#VALUE!</v>
      </c>
      <c r="M926">
        <v>124115</v>
      </c>
      <c r="N926">
        <v>24</v>
      </c>
      <c r="O926" t="s">
        <v>68</v>
      </c>
      <c r="P926">
        <v>1</v>
      </c>
      <c r="R926">
        <v>575</v>
      </c>
      <c r="S926" s="17">
        <v>42150</v>
      </c>
      <c r="T926" s="17">
        <v>42150</v>
      </c>
      <c r="W926">
        <v>2015</v>
      </c>
      <c r="X926">
        <v>24</v>
      </c>
      <c r="AC926" t="s">
        <v>61</v>
      </c>
      <c r="AD926" t="s">
        <v>302</v>
      </c>
      <c r="AE926" t="s">
        <v>46</v>
      </c>
      <c r="AG926">
        <v>52</v>
      </c>
      <c r="AH926">
        <v>9</v>
      </c>
      <c r="AI926" t="s">
        <v>54</v>
      </c>
      <c r="AK926">
        <v>0</v>
      </c>
      <c r="AM926">
        <v>0</v>
      </c>
      <c r="AP926" t="s">
        <v>325</v>
      </c>
    </row>
    <row r="927" spans="1:42" customFormat="1">
      <c r="A927">
        <v>271135</v>
      </c>
      <c r="B927" t="s">
        <v>4316</v>
      </c>
      <c r="C927" t="s">
        <v>4317</v>
      </c>
      <c r="D927" s="22">
        <v>0</v>
      </c>
      <c r="E927" s="17">
        <v>42146</v>
      </c>
      <c r="F927" s="18">
        <v>0.58947916666666667</v>
      </c>
      <c r="G927" s="22">
        <v>0.35</v>
      </c>
      <c r="H927">
        <v>0</v>
      </c>
      <c r="I927" s="19" t="e">
        <f>I926 + (D927-G927)</f>
        <v>#VALUE!</v>
      </c>
      <c r="M927">
        <v>124106</v>
      </c>
      <c r="N927">
        <v>24</v>
      </c>
      <c r="O927" t="s">
        <v>68</v>
      </c>
      <c r="P927">
        <v>1</v>
      </c>
      <c r="R927">
        <v>575</v>
      </c>
      <c r="S927" s="17">
        <v>42150</v>
      </c>
      <c r="T927" s="17">
        <v>42150</v>
      </c>
      <c r="W927">
        <v>2015</v>
      </c>
      <c r="X927">
        <v>24</v>
      </c>
      <c r="AC927" t="s">
        <v>61</v>
      </c>
      <c r="AD927" t="s">
        <v>302</v>
      </c>
      <c r="AE927" t="s">
        <v>46</v>
      </c>
      <c r="AG927">
        <v>52</v>
      </c>
      <c r="AH927">
        <v>9</v>
      </c>
      <c r="AI927" t="s">
        <v>54</v>
      </c>
      <c r="AK927">
        <v>0</v>
      </c>
      <c r="AM927">
        <v>0</v>
      </c>
      <c r="AP927" t="s">
        <v>325</v>
      </c>
    </row>
    <row r="928" spans="1:42" customFormat="1">
      <c r="A928">
        <v>271136</v>
      </c>
      <c r="B928" t="s">
        <v>4318</v>
      </c>
      <c r="C928" t="s">
        <v>4319</v>
      </c>
      <c r="D928" s="22">
        <v>0</v>
      </c>
      <c r="E928" s="17">
        <v>42146</v>
      </c>
      <c r="F928" s="18">
        <v>0.58947916666666667</v>
      </c>
      <c r="G928" s="22">
        <v>0.35</v>
      </c>
      <c r="H928">
        <v>0</v>
      </c>
      <c r="I928" s="19" t="e">
        <f>I927 + (D928-G928)</f>
        <v>#VALUE!</v>
      </c>
      <c r="M928">
        <v>124107</v>
      </c>
      <c r="N928">
        <v>24</v>
      </c>
      <c r="O928" t="s">
        <v>68</v>
      </c>
      <c r="P928">
        <v>1</v>
      </c>
      <c r="R928">
        <v>575</v>
      </c>
      <c r="S928" s="17">
        <v>42150</v>
      </c>
      <c r="T928" s="17">
        <v>42150</v>
      </c>
      <c r="W928">
        <v>2015</v>
      </c>
      <c r="X928">
        <v>24</v>
      </c>
      <c r="AC928" t="s">
        <v>61</v>
      </c>
      <c r="AD928" t="s">
        <v>302</v>
      </c>
      <c r="AE928" t="s">
        <v>46</v>
      </c>
      <c r="AG928">
        <v>52</v>
      </c>
      <c r="AH928">
        <v>9</v>
      </c>
      <c r="AI928" t="s">
        <v>54</v>
      </c>
      <c r="AK928">
        <v>0</v>
      </c>
      <c r="AM928">
        <v>0</v>
      </c>
      <c r="AP928" t="s">
        <v>325</v>
      </c>
    </row>
    <row r="929" spans="1:42" customFormat="1">
      <c r="A929">
        <v>271137</v>
      </c>
      <c r="B929" t="s">
        <v>4320</v>
      </c>
      <c r="C929" t="s">
        <v>4321</v>
      </c>
      <c r="D929" s="22">
        <v>0</v>
      </c>
      <c r="E929" s="17">
        <v>42146</v>
      </c>
      <c r="F929" s="18">
        <v>0.58947916666666667</v>
      </c>
      <c r="G929" s="22">
        <v>0.35</v>
      </c>
      <c r="H929">
        <v>0</v>
      </c>
      <c r="I929" s="19" t="e">
        <f>I928 + (D929-G929)</f>
        <v>#VALUE!</v>
      </c>
      <c r="M929">
        <v>124108</v>
      </c>
      <c r="N929">
        <v>24</v>
      </c>
      <c r="O929" t="s">
        <v>68</v>
      </c>
      <c r="P929">
        <v>1</v>
      </c>
      <c r="R929">
        <v>575</v>
      </c>
      <c r="S929" s="17">
        <v>42150</v>
      </c>
      <c r="T929" s="17">
        <v>42150</v>
      </c>
      <c r="W929">
        <v>2015</v>
      </c>
      <c r="X929">
        <v>24</v>
      </c>
      <c r="AC929" t="s">
        <v>61</v>
      </c>
      <c r="AD929" t="s">
        <v>302</v>
      </c>
      <c r="AE929" t="s">
        <v>46</v>
      </c>
      <c r="AG929">
        <v>52</v>
      </c>
      <c r="AH929">
        <v>9</v>
      </c>
      <c r="AI929" t="s">
        <v>54</v>
      </c>
      <c r="AK929">
        <v>0</v>
      </c>
      <c r="AM929">
        <v>0</v>
      </c>
      <c r="AP929" t="s">
        <v>325</v>
      </c>
    </row>
    <row r="930" spans="1:42" customFormat="1">
      <c r="A930">
        <v>271138</v>
      </c>
      <c r="B930" t="s">
        <v>4322</v>
      </c>
      <c r="C930" t="s">
        <v>4323</v>
      </c>
      <c r="D930" s="22">
        <v>0</v>
      </c>
      <c r="E930" s="17">
        <v>42146</v>
      </c>
      <c r="F930" s="18">
        <v>0.58947916666666667</v>
      </c>
      <c r="G930" s="22">
        <v>0.35</v>
      </c>
      <c r="H930">
        <v>0</v>
      </c>
      <c r="I930" s="19" t="e">
        <f>I929 + (D930-G930)</f>
        <v>#VALUE!</v>
      </c>
      <c r="M930">
        <v>124109</v>
      </c>
      <c r="N930">
        <v>24</v>
      </c>
      <c r="O930" t="s">
        <v>68</v>
      </c>
      <c r="P930">
        <v>1</v>
      </c>
      <c r="R930">
        <v>575</v>
      </c>
      <c r="S930" s="17">
        <v>42150</v>
      </c>
      <c r="T930" s="17">
        <v>42150</v>
      </c>
      <c r="W930">
        <v>2015</v>
      </c>
      <c r="X930">
        <v>24</v>
      </c>
      <c r="AC930" t="s">
        <v>61</v>
      </c>
      <c r="AD930" t="s">
        <v>302</v>
      </c>
      <c r="AE930" t="s">
        <v>46</v>
      </c>
      <c r="AG930">
        <v>52</v>
      </c>
      <c r="AH930">
        <v>9</v>
      </c>
      <c r="AI930" t="s">
        <v>54</v>
      </c>
      <c r="AK930">
        <v>0</v>
      </c>
      <c r="AM930">
        <v>0</v>
      </c>
      <c r="AP930" t="s">
        <v>325</v>
      </c>
    </row>
    <row r="931" spans="1:42" customFormat="1">
      <c r="A931">
        <v>271140</v>
      </c>
      <c r="B931" t="s">
        <v>4324</v>
      </c>
      <c r="C931" t="s">
        <v>4325</v>
      </c>
      <c r="D931" s="22">
        <v>0</v>
      </c>
      <c r="E931" s="17">
        <v>42146</v>
      </c>
      <c r="F931" s="18">
        <v>0.59090277777777778</v>
      </c>
      <c r="G931" s="22">
        <v>15</v>
      </c>
      <c r="H931">
        <v>0</v>
      </c>
      <c r="I931" s="19" t="e">
        <f>I930 + (D931-G931)</f>
        <v>#VALUE!</v>
      </c>
      <c r="M931">
        <v>124125</v>
      </c>
      <c r="N931">
        <v>24</v>
      </c>
      <c r="O931" t="s">
        <v>68</v>
      </c>
      <c r="P931">
        <v>1</v>
      </c>
      <c r="R931">
        <v>575</v>
      </c>
      <c r="S931" s="17">
        <v>42150</v>
      </c>
      <c r="T931" s="17">
        <v>42150</v>
      </c>
      <c r="W931">
        <v>2015</v>
      </c>
      <c r="X931">
        <v>24</v>
      </c>
      <c r="AC931" t="s">
        <v>61</v>
      </c>
      <c r="AD931" t="s">
        <v>302</v>
      </c>
      <c r="AE931" t="s">
        <v>46</v>
      </c>
      <c r="AG931">
        <v>52</v>
      </c>
      <c r="AH931">
        <v>9</v>
      </c>
      <c r="AI931" t="s">
        <v>54</v>
      </c>
      <c r="AK931">
        <v>0</v>
      </c>
      <c r="AM931">
        <v>0</v>
      </c>
      <c r="AP931" t="s">
        <v>325</v>
      </c>
    </row>
    <row r="932" spans="1:42" customFormat="1">
      <c r="A932">
        <v>271141</v>
      </c>
      <c r="B932" t="s">
        <v>4326</v>
      </c>
      <c r="C932" t="s">
        <v>4327</v>
      </c>
      <c r="D932" s="22">
        <v>0</v>
      </c>
      <c r="E932" s="17">
        <v>42146</v>
      </c>
      <c r="F932" s="18">
        <v>0.59090277777777778</v>
      </c>
      <c r="G932" s="22">
        <v>15</v>
      </c>
      <c r="H932">
        <v>0</v>
      </c>
      <c r="I932" s="19" t="e">
        <f>I931 + (D932-G932)</f>
        <v>#VALUE!</v>
      </c>
      <c r="M932">
        <v>124135</v>
      </c>
      <c r="N932">
        <v>24</v>
      </c>
      <c r="O932" t="s">
        <v>68</v>
      </c>
      <c r="P932">
        <v>1</v>
      </c>
      <c r="R932">
        <v>575</v>
      </c>
      <c r="S932" s="17">
        <v>42150</v>
      </c>
      <c r="T932" s="17">
        <v>42150</v>
      </c>
      <c r="W932">
        <v>2015</v>
      </c>
      <c r="X932">
        <v>24</v>
      </c>
      <c r="AC932" t="s">
        <v>61</v>
      </c>
      <c r="AD932" t="s">
        <v>302</v>
      </c>
      <c r="AE932" t="s">
        <v>46</v>
      </c>
      <c r="AG932">
        <v>52</v>
      </c>
      <c r="AH932">
        <v>9</v>
      </c>
      <c r="AI932" t="s">
        <v>54</v>
      </c>
      <c r="AK932">
        <v>0</v>
      </c>
      <c r="AM932">
        <v>0</v>
      </c>
      <c r="AP932" t="s">
        <v>325</v>
      </c>
    </row>
    <row r="933" spans="1:42" customFormat="1">
      <c r="A933">
        <v>271142</v>
      </c>
      <c r="B933" t="s">
        <v>4328</v>
      </c>
      <c r="C933" t="s">
        <v>4329</v>
      </c>
      <c r="D933" s="22">
        <v>0</v>
      </c>
      <c r="E933" s="17">
        <v>42146</v>
      </c>
      <c r="F933" s="18">
        <v>0.59090277777777778</v>
      </c>
      <c r="G933" s="22">
        <v>15</v>
      </c>
      <c r="H933">
        <v>0</v>
      </c>
      <c r="I933" s="19" t="e">
        <f>I932 + (D933-G933)</f>
        <v>#VALUE!</v>
      </c>
      <c r="M933">
        <v>124116</v>
      </c>
      <c r="N933">
        <v>24</v>
      </c>
      <c r="O933" t="s">
        <v>68</v>
      </c>
      <c r="P933">
        <v>1</v>
      </c>
      <c r="R933">
        <v>575</v>
      </c>
      <c r="S933" s="17">
        <v>42150</v>
      </c>
      <c r="T933" s="17">
        <v>42150</v>
      </c>
      <c r="W933">
        <v>2015</v>
      </c>
      <c r="X933">
        <v>24</v>
      </c>
      <c r="AC933" t="s">
        <v>61</v>
      </c>
      <c r="AD933" t="s">
        <v>302</v>
      </c>
      <c r="AE933" t="s">
        <v>46</v>
      </c>
      <c r="AG933">
        <v>52</v>
      </c>
      <c r="AH933">
        <v>9</v>
      </c>
      <c r="AI933" t="s">
        <v>54</v>
      </c>
      <c r="AK933">
        <v>0</v>
      </c>
      <c r="AM933">
        <v>0</v>
      </c>
      <c r="AP933" t="s">
        <v>325</v>
      </c>
    </row>
    <row r="934" spans="1:42" customFormat="1">
      <c r="A934">
        <v>271143</v>
      </c>
      <c r="B934" t="s">
        <v>4330</v>
      </c>
      <c r="C934" t="s">
        <v>4331</v>
      </c>
      <c r="D934" s="22">
        <v>0</v>
      </c>
      <c r="E934" s="17">
        <v>42146</v>
      </c>
      <c r="F934" s="18">
        <v>0.59090277777777778</v>
      </c>
      <c r="G934" s="22">
        <v>15</v>
      </c>
      <c r="H934">
        <v>0</v>
      </c>
      <c r="I934" s="19" t="e">
        <f>I933 + (D934-G934)</f>
        <v>#VALUE!</v>
      </c>
      <c r="M934">
        <v>124126</v>
      </c>
      <c r="N934">
        <v>24</v>
      </c>
      <c r="O934" t="s">
        <v>68</v>
      </c>
      <c r="P934">
        <v>1</v>
      </c>
      <c r="R934">
        <v>575</v>
      </c>
      <c r="S934" s="17">
        <v>42150</v>
      </c>
      <c r="T934" s="17">
        <v>42150</v>
      </c>
      <c r="W934">
        <v>2015</v>
      </c>
      <c r="X934">
        <v>24</v>
      </c>
      <c r="AC934" t="s">
        <v>61</v>
      </c>
      <c r="AD934" t="s">
        <v>302</v>
      </c>
      <c r="AE934" t="s">
        <v>46</v>
      </c>
      <c r="AG934">
        <v>52</v>
      </c>
      <c r="AH934">
        <v>9</v>
      </c>
      <c r="AI934" t="s">
        <v>54</v>
      </c>
      <c r="AK934">
        <v>0</v>
      </c>
      <c r="AM934">
        <v>0</v>
      </c>
      <c r="AP934" t="s">
        <v>325</v>
      </c>
    </row>
    <row r="935" spans="1:42" customFormat="1">
      <c r="A935">
        <v>271144</v>
      </c>
      <c r="B935" t="s">
        <v>4332</v>
      </c>
      <c r="C935" t="s">
        <v>4333</v>
      </c>
      <c r="D935" s="22">
        <v>0</v>
      </c>
      <c r="E935" s="17">
        <v>42146</v>
      </c>
      <c r="F935" s="18">
        <v>0.59090277777777778</v>
      </c>
      <c r="G935" s="22">
        <v>15</v>
      </c>
      <c r="H935">
        <v>0</v>
      </c>
      <c r="I935" s="19" t="e">
        <f>I934 + (D935-G935)</f>
        <v>#VALUE!</v>
      </c>
      <c r="M935">
        <v>124136</v>
      </c>
      <c r="N935">
        <v>24</v>
      </c>
      <c r="O935" t="s">
        <v>68</v>
      </c>
      <c r="P935">
        <v>1</v>
      </c>
      <c r="R935">
        <v>575</v>
      </c>
      <c r="S935" s="17">
        <v>42150</v>
      </c>
      <c r="T935" s="17">
        <v>42150</v>
      </c>
      <c r="W935">
        <v>2015</v>
      </c>
      <c r="X935">
        <v>24</v>
      </c>
      <c r="AC935" t="s">
        <v>61</v>
      </c>
      <c r="AD935" t="s">
        <v>302</v>
      </c>
      <c r="AE935" t="s">
        <v>46</v>
      </c>
      <c r="AG935">
        <v>52</v>
      </c>
      <c r="AH935">
        <v>9</v>
      </c>
      <c r="AI935" t="s">
        <v>54</v>
      </c>
      <c r="AK935">
        <v>0</v>
      </c>
      <c r="AM935">
        <v>0</v>
      </c>
      <c r="AP935" t="s">
        <v>325</v>
      </c>
    </row>
    <row r="936" spans="1:42" customFormat="1">
      <c r="A936">
        <v>271145</v>
      </c>
      <c r="B936" t="s">
        <v>4334</v>
      </c>
      <c r="C936" t="s">
        <v>4335</v>
      </c>
      <c r="D936" s="22">
        <v>0</v>
      </c>
      <c r="E936" s="17">
        <v>42146</v>
      </c>
      <c r="F936" s="18">
        <v>0.59090277777777778</v>
      </c>
      <c r="G936" s="22">
        <v>15</v>
      </c>
      <c r="H936">
        <v>0</v>
      </c>
      <c r="I936" s="19" t="e">
        <f>I935 + (D936-G936)</f>
        <v>#VALUE!</v>
      </c>
      <c r="M936">
        <v>124117</v>
      </c>
      <c r="N936">
        <v>24</v>
      </c>
      <c r="O936" t="s">
        <v>68</v>
      </c>
      <c r="P936">
        <v>1</v>
      </c>
      <c r="R936">
        <v>575</v>
      </c>
      <c r="S936" s="17">
        <v>42150</v>
      </c>
      <c r="T936" s="17">
        <v>42150</v>
      </c>
      <c r="W936">
        <v>2015</v>
      </c>
      <c r="X936">
        <v>24</v>
      </c>
      <c r="AC936" t="s">
        <v>61</v>
      </c>
      <c r="AD936" t="s">
        <v>302</v>
      </c>
      <c r="AE936" t="s">
        <v>46</v>
      </c>
      <c r="AG936">
        <v>52</v>
      </c>
      <c r="AH936">
        <v>9</v>
      </c>
      <c r="AI936" t="s">
        <v>54</v>
      </c>
      <c r="AK936">
        <v>0</v>
      </c>
      <c r="AM936">
        <v>0</v>
      </c>
      <c r="AP936" t="s">
        <v>325</v>
      </c>
    </row>
    <row r="937" spans="1:42" customFormat="1">
      <c r="A937">
        <v>271146</v>
      </c>
      <c r="B937" t="s">
        <v>4336</v>
      </c>
      <c r="C937" t="s">
        <v>4337</v>
      </c>
      <c r="D937" s="22">
        <v>0</v>
      </c>
      <c r="E937" s="17">
        <v>42146</v>
      </c>
      <c r="F937" s="18">
        <v>0.59090277777777778</v>
      </c>
      <c r="G937" s="22">
        <v>15</v>
      </c>
      <c r="H937">
        <v>0</v>
      </c>
      <c r="I937" s="19" t="e">
        <f>I936 + (D937-G937)</f>
        <v>#VALUE!</v>
      </c>
      <c r="M937">
        <v>124127</v>
      </c>
      <c r="N937">
        <v>24</v>
      </c>
      <c r="O937" t="s">
        <v>68</v>
      </c>
      <c r="P937">
        <v>1</v>
      </c>
      <c r="R937">
        <v>575</v>
      </c>
      <c r="S937" s="17">
        <v>42150</v>
      </c>
      <c r="T937" s="17">
        <v>42150</v>
      </c>
      <c r="W937">
        <v>2015</v>
      </c>
      <c r="X937">
        <v>24</v>
      </c>
      <c r="AC937" t="s">
        <v>61</v>
      </c>
      <c r="AD937" t="s">
        <v>302</v>
      </c>
      <c r="AE937" t="s">
        <v>46</v>
      </c>
      <c r="AG937">
        <v>52</v>
      </c>
      <c r="AH937">
        <v>9</v>
      </c>
      <c r="AI937" t="s">
        <v>54</v>
      </c>
      <c r="AK937">
        <v>0</v>
      </c>
      <c r="AM937">
        <v>0</v>
      </c>
      <c r="AP937" t="s">
        <v>325</v>
      </c>
    </row>
    <row r="938" spans="1:42" customFormat="1">
      <c r="A938">
        <v>271154</v>
      </c>
      <c r="B938" t="s">
        <v>4338</v>
      </c>
      <c r="C938" t="s">
        <v>4339</v>
      </c>
      <c r="D938" s="22">
        <v>0</v>
      </c>
      <c r="E938" s="17">
        <v>42146</v>
      </c>
      <c r="F938" s="18">
        <v>0.59091435185185182</v>
      </c>
      <c r="G938" s="22">
        <v>15</v>
      </c>
      <c r="H938">
        <v>0</v>
      </c>
      <c r="I938" s="19" t="e">
        <f>I937 + (D938-G938)</f>
        <v>#VALUE!</v>
      </c>
      <c r="M938">
        <v>124120</v>
      </c>
      <c r="N938">
        <v>24</v>
      </c>
      <c r="O938" t="s">
        <v>68</v>
      </c>
      <c r="P938">
        <v>1</v>
      </c>
      <c r="R938">
        <v>575</v>
      </c>
      <c r="S938" s="17">
        <v>42150</v>
      </c>
      <c r="T938" s="17">
        <v>42150</v>
      </c>
      <c r="W938">
        <v>2015</v>
      </c>
      <c r="X938">
        <v>24</v>
      </c>
      <c r="AC938" t="s">
        <v>61</v>
      </c>
      <c r="AD938" t="s">
        <v>302</v>
      </c>
      <c r="AE938" t="s">
        <v>46</v>
      </c>
      <c r="AG938">
        <v>52</v>
      </c>
      <c r="AH938">
        <v>9</v>
      </c>
      <c r="AI938" t="s">
        <v>54</v>
      </c>
      <c r="AK938">
        <v>0</v>
      </c>
      <c r="AM938">
        <v>0</v>
      </c>
      <c r="AP938" t="s">
        <v>325</v>
      </c>
    </row>
    <row r="939" spans="1:42" customFormat="1">
      <c r="A939">
        <v>271147</v>
      </c>
      <c r="B939" t="s">
        <v>4340</v>
      </c>
      <c r="C939" t="s">
        <v>4341</v>
      </c>
      <c r="D939" s="22">
        <v>0</v>
      </c>
      <c r="E939" s="17">
        <v>42146</v>
      </c>
      <c r="F939" s="18">
        <v>0.59091435185185182</v>
      </c>
      <c r="G939" s="22">
        <v>15</v>
      </c>
      <c r="H939">
        <v>0</v>
      </c>
      <c r="I939" s="19" t="e">
        <f>I938 + (D939-G939)</f>
        <v>#VALUE!</v>
      </c>
      <c r="M939">
        <v>124137</v>
      </c>
      <c r="N939">
        <v>24</v>
      </c>
      <c r="O939" t="s">
        <v>68</v>
      </c>
      <c r="P939">
        <v>1</v>
      </c>
      <c r="R939">
        <v>575</v>
      </c>
      <c r="S939" s="17">
        <v>42150</v>
      </c>
      <c r="T939" s="17">
        <v>42150</v>
      </c>
      <c r="W939">
        <v>2015</v>
      </c>
      <c r="X939">
        <v>24</v>
      </c>
      <c r="AC939" t="s">
        <v>61</v>
      </c>
      <c r="AD939" t="s">
        <v>302</v>
      </c>
      <c r="AE939" t="s">
        <v>46</v>
      </c>
      <c r="AG939">
        <v>52</v>
      </c>
      <c r="AH939">
        <v>9</v>
      </c>
      <c r="AI939" t="s">
        <v>54</v>
      </c>
      <c r="AK939">
        <v>0</v>
      </c>
      <c r="AM939">
        <v>0</v>
      </c>
      <c r="AP939" t="s">
        <v>325</v>
      </c>
    </row>
    <row r="940" spans="1:42" customFormat="1">
      <c r="A940">
        <v>271148</v>
      </c>
      <c r="B940" t="s">
        <v>4342</v>
      </c>
      <c r="C940" t="s">
        <v>4343</v>
      </c>
      <c r="D940" s="22">
        <v>0</v>
      </c>
      <c r="E940" s="17">
        <v>42146</v>
      </c>
      <c r="F940" s="18">
        <v>0.59091435185185182</v>
      </c>
      <c r="G940" s="22">
        <v>15</v>
      </c>
      <c r="H940">
        <v>0</v>
      </c>
      <c r="I940" s="19" t="e">
        <f>I939 + (D940-G940)</f>
        <v>#VALUE!</v>
      </c>
      <c r="M940">
        <v>124118</v>
      </c>
      <c r="N940">
        <v>24</v>
      </c>
      <c r="O940" t="s">
        <v>68</v>
      </c>
      <c r="P940">
        <v>1</v>
      </c>
      <c r="R940">
        <v>575</v>
      </c>
      <c r="S940" s="17">
        <v>42150</v>
      </c>
      <c r="T940" s="17">
        <v>42150</v>
      </c>
      <c r="W940">
        <v>2015</v>
      </c>
      <c r="X940">
        <v>24</v>
      </c>
      <c r="AC940" t="s">
        <v>61</v>
      </c>
      <c r="AD940" t="s">
        <v>302</v>
      </c>
      <c r="AE940" t="s">
        <v>46</v>
      </c>
      <c r="AG940">
        <v>52</v>
      </c>
      <c r="AH940">
        <v>9</v>
      </c>
      <c r="AI940" t="s">
        <v>54</v>
      </c>
      <c r="AK940">
        <v>0</v>
      </c>
      <c r="AM940">
        <v>0</v>
      </c>
      <c r="AP940" t="s">
        <v>325</v>
      </c>
    </row>
    <row r="941" spans="1:42" customFormat="1">
      <c r="A941">
        <v>271149</v>
      </c>
      <c r="B941" t="s">
        <v>4344</v>
      </c>
      <c r="C941" t="s">
        <v>4345</v>
      </c>
      <c r="D941" s="22">
        <v>0</v>
      </c>
      <c r="E941" s="17">
        <v>42146</v>
      </c>
      <c r="F941" s="18">
        <v>0.59091435185185182</v>
      </c>
      <c r="G941" s="22">
        <v>15</v>
      </c>
      <c r="H941">
        <v>0</v>
      </c>
      <c r="I941" s="19" t="e">
        <f>I940 + (D941-G941)</f>
        <v>#VALUE!</v>
      </c>
      <c r="M941">
        <v>124128</v>
      </c>
      <c r="N941">
        <v>24</v>
      </c>
      <c r="O941" t="s">
        <v>68</v>
      </c>
      <c r="P941">
        <v>1</v>
      </c>
      <c r="R941">
        <v>575</v>
      </c>
      <c r="S941" s="17">
        <v>42150</v>
      </c>
      <c r="T941" s="17">
        <v>42150</v>
      </c>
      <c r="W941">
        <v>2015</v>
      </c>
      <c r="X941">
        <v>24</v>
      </c>
      <c r="AC941" t="s">
        <v>61</v>
      </c>
      <c r="AD941" t="s">
        <v>302</v>
      </c>
      <c r="AE941" t="s">
        <v>46</v>
      </c>
      <c r="AG941">
        <v>52</v>
      </c>
      <c r="AH941">
        <v>9</v>
      </c>
      <c r="AI941" t="s">
        <v>54</v>
      </c>
      <c r="AK941">
        <v>0</v>
      </c>
      <c r="AM941">
        <v>0</v>
      </c>
      <c r="AP941" t="s">
        <v>325</v>
      </c>
    </row>
    <row r="942" spans="1:42" customFormat="1">
      <c r="A942">
        <v>271150</v>
      </c>
      <c r="B942" t="s">
        <v>4346</v>
      </c>
      <c r="C942" t="s">
        <v>4347</v>
      </c>
      <c r="D942" s="22">
        <v>0</v>
      </c>
      <c r="E942" s="17">
        <v>42146</v>
      </c>
      <c r="F942" s="18">
        <v>0.59091435185185182</v>
      </c>
      <c r="G942" s="22">
        <v>15</v>
      </c>
      <c r="H942">
        <v>0</v>
      </c>
      <c r="I942" s="19" t="e">
        <f>I941 + (D942-G942)</f>
        <v>#VALUE!</v>
      </c>
      <c r="M942">
        <v>124138</v>
      </c>
      <c r="N942">
        <v>24</v>
      </c>
      <c r="O942" t="s">
        <v>68</v>
      </c>
      <c r="P942">
        <v>1</v>
      </c>
      <c r="R942">
        <v>575</v>
      </c>
      <c r="S942" s="17">
        <v>42150</v>
      </c>
      <c r="T942" s="17">
        <v>42150</v>
      </c>
      <c r="W942">
        <v>2015</v>
      </c>
      <c r="X942">
        <v>24</v>
      </c>
      <c r="AC942" t="s">
        <v>61</v>
      </c>
      <c r="AD942" t="s">
        <v>302</v>
      </c>
      <c r="AE942" t="s">
        <v>46</v>
      </c>
      <c r="AG942">
        <v>52</v>
      </c>
      <c r="AH942">
        <v>9</v>
      </c>
      <c r="AI942" t="s">
        <v>54</v>
      </c>
      <c r="AK942">
        <v>0</v>
      </c>
      <c r="AM942">
        <v>0</v>
      </c>
      <c r="AP942" t="s">
        <v>325</v>
      </c>
    </row>
    <row r="943" spans="1:42" customFormat="1">
      <c r="A943">
        <v>271151</v>
      </c>
      <c r="B943" t="s">
        <v>4348</v>
      </c>
      <c r="C943" t="s">
        <v>4349</v>
      </c>
      <c r="D943" s="22">
        <v>0</v>
      </c>
      <c r="E943" s="17">
        <v>42146</v>
      </c>
      <c r="F943" s="18">
        <v>0.59091435185185182</v>
      </c>
      <c r="G943" s="22">
        <v>15</v>
      </c>
      <c r="H943">
        <v>0</v>
      </c>
      <c r="I943" s="19" t="e">
        <f>I942 + (D943-G943)</f>
        <v>#VALUE!</v>
      </c>
      <c r="M943">
        <v>124119</v>
      </c>
      <c r="N943">
        <v>24</v>
      </c>
      <c r="O943" t="s">
        <v>68</v>
      </c>
      <c r="P943">
        <v>1</v>
      </c>
      <c r="R943">
        <v>575</v>
      </c>
      <c r="S943" s="17">
        <v>42150</v>
      </c>
      <c r="T943" s="17">
        <v>42150</v>
      </c>
      <c r="W943">
        <v>2015</v>
      </c>
      <c r="X943">
        <v>24</v>
      </c>
      <c r="AC943" t="s">
        <v>61</v>
      </c>
      <c r="AD943" t="s">
        <v>302</v>
      </c>
      <c r="AE943" t="s">
        <v>46</v>
      </c>
      <c r="AG943">
        <v>52</v>
      </c>
      <c r="AH943">
        <v>9</v>
      </c>
      <c r="AI943" t="s">
        <v>54</v>
      </c>
      <c r="AK943">
        <v>0</v>
      </c>
      <c r="AM943">
        <v>0</v>
      </c>
      <c r="AP943" t="s">
        <v>325</v>
      </c>
    </row>
    <row r="944" spans="1:42" customFormat="1">
      <c r="A944">
        <v>271152</v>
      </c>
      <c r="B944" t="s">
        <v>4350</v>
      </c>
      <c r="C944" t="s">
        <v>4351</v>
      </c>
      <c r="D944" s="22">
        <v>0</v>
      </c>
      <c r="E944" s="17">
        <v>42146</v>
      </c>
      <c r="F944" s="18">
        <v>0.59091435185185182</v>
      </c>
      <c r="G944" s="22">
        <v>15</v>
      </c>
      <c r="H944">
        <v>0</v>
      </c>
      <c r="I944" s="19" t="e">
        <f>I943 + (D944-G944)</f>
        <v>#VALUE!</v>
      </c>
      <c r="M944">
        <v>124129</v>
      </c>
      <c r="N944">
        <v>24</v>
      </c>
      <c r="O944" t="s">
        <v>68</v>
      </c>
      <c r="P944">
        <v>1</v>
      </c>
      <c r="R944">
        <v>575</v>
      </c>
      <c r="S944" s="17">
        <v>42150</v>
      </c>
      <c r="T944" s="17">
        <v>42150</v>
      </c>
      <c r="W944">
        <v>2015</v>
      </c>
      <c r="X944">
        <v>24</v>
      </c>
      <c r="AC944" t="s">
        <v>61</v>
      </c>
      <c r="AD944" t="s">
        <v>302</v>
      </c>
      <c r="AE944" t="s">
        <v>46</v>
      </c>
      <c r="AG944">
        <v>52</v>
      </c>
      <c r="AH944">
        <v>9</v>
      </c>
      <c r="AI944" t="s">
        <v>54</v>
      </c>
      <c r="AK944">
        <v>0</v>
      </c>
      <c r="AM944">
        <v>0</v>
      </c>
      <c r="AP944" t="s">
        <v>325</v>
      </c>
    </row>
    <row r="945" spans="1:42" customFormat="1">
      <c r="A945">
        <v>271153</v>
      </c>
      <c r="B945" t="s">
        <v>4352</v>
      </c>
      <c r="C945" t="s">
        <v>4353</v>
      </c>
      <c r="D945" s="22">
        <v>0</v>
      </c>
      <c r="E945" s="17">
        <v>42146</v>
      </c>
      <c r="F945" s="18">
        <v>0.59091435185185182</v>
      </c>
      <c r="G945" s="22">
        <v>15</v>
      </c>
      <c r="H945">
        <v>0</v>
      </c>
      <c r="I945" s="19" t="e">
        <f>I944 + (D945-G945)</f>
        <v>#VALUE!</v>
      </c>
      <c r="M945">
        <v>124139</v>
      </c>
      <c r="N945">
        <v>24</v>
      </c>
      <c r="O945" t="s">
        <v>68</v>
      </c>
      <c r="P945">
        <v>1</v>
      </c>
      <c r="R945">
        <v>575</v>
      </c>
      <c r="S945" s="17">
        <v>42150</v>
      </c>
      <c r="T945" s="17">
        <v>42150</v>
      </c>
      <c r="W945">
        <v>2015</v>
      </c>
      <c r="X945">
        <v>24</v>
      </c>
      <c r="AC945" t="s">
        <v>61</v>
      </c>
      <c r="AD945" t="s">
        <v>302</v>
      </c>
      <c r="AE945" t="s">
        <v>46</v>
      </c>
      <c r="AG945">
        <v>52</v>
      </c>
      <c r="AH945">
        <v>9</v>
      </c>
      <c r="AI945" t="s">
        <v>54</v>
      </c>
      <c r="AK945">
        <v>0</v>
      </c>
      <c r="AM945">
        <v>0</v>
      </c>
      <c r="AP945" t="s">
        <v>325</v>
      </c>
    </row>
    <row r="946" spans="1:42" customFormat="1">
      <c r="A946">
        <v>271155</v>
      </c>
      <c r="B946" t="s">
        <v>4354</v>
      </c>
      <c r="C946" t="s">
        <v>4355</v>
      </c>
      <c r="D946" s="22">
        <v>0</v>
      </c>
      <c r="E946" s="17">
        <v>42146</v>
      </c>
      <c r="F946" s="18">
        <v>0.59092592592592597</v>
      </c>
      <c r="G946" s="22">
        <v>15</v>
      </c>
      <c r="H946">
        <v>0</v>
      </c>
      <c r="I946" s="19" t="e">
        <f>I945 + (D946-G946)</f>
        <v>#VALUE!</v>
      </c>
      <c r="M946">
        <v>124130</v>
      </c>
      <c r="N946">
        <v>24</v>
      </c>
      <c r="O946" t="s">
        <v>68</v>
      </c>
      <c r="P946">
        <v>1</v>
      </c>
      <c r="R946">
        <v>575</v>
      </c>
      <c r="S946" s="17">
        <v>42150</v>
      </c>
      <c r="T946" s="17">
        <v>42150</v>
      </c>
      <c r="W946">
        <v>2015</v>
      </c>
      <c r="X946">
        <v>24</v>
      </c>
      <c r="AC946" t="s">
        <v>61</v>
      </c>
      <c r="AD946" t="s">
        <v>302</v>
      </c>
      <c r="AE946" t="s">
        <v>46</v>
      </c>
      <c r="AG946">
        <v>52</v>
      </c>
      <c r="AH946">
        <v>9</v>
      </c>
      <c r="AI946" t="s">
        <v>54</v>
      </c>
      <c r="AK946">
        <v>0</v>
      </c>
      <c r="AM946">
        <v>0</v>
      </c>
      <c r="AP946" t="s">
        <v>325</v>
      </c>
    </row>
    <row r="947" spans="1:42" customFormat="1">
      <c r="A947">
        <v>271156</v>
      </c>
      <c r="B947" t="s">
        <v>4356</v>
      </c>
      <c r="C947" t="s">
        <v>4357</v>
      </c>
      <c r="D947" s="22">
        <v>0</v>
      </c>
      <c r="E947" s="17">
        <v>42146</v>
      </c>
      <c r="F947" s="18">
        <v>0.59092592592592597</v>
      </c>
      <c r="G947" s="22">
        <v>15</v>
      </c>
      <c r="H947">
        <v>0</v>
      </c>
      <c r="I947" s="19" t="e">
        <f>I946 + (D947-G947)</f>
        <v>#VALUE!</v>
      </c>
      <c r="M947">
        <v>124140</v>
      </c>
      <c r="N947">
        <v>24</v>
      </c>
      <c r="O947" t="s">
        <v>68</v>
      </c>
      <c r="P947">
        <v>1</v>
      </c>
      <c r="R947">
        <v>575</v>
      </c>
      <c r="S947" s="17">
        <v>42150</v>
      </c>
      <c r="T947" s="17">
        <v>42150</v>
      </c>
      <c r="W947">
        <v>2015</v>
      </c>
      <c r="X947">
        <v>24</v>
      </c>
      <c r="AC947" t="s">
        <v>61</v>
      </c>
      <c r="AD947" t="s">
        <v>302</v>
      </c>
      <c r="AE947" t="s">
        <v>46</v>
      </c>
      <c r="AG947">
        <v>52</v>
      </c>
      <c r="AH947">
        <v>9</v>
      </c>
      <c r="AI947" t="s">
        <v>54</v>
      </c>
      <c r="AK947">
        <v>0</v>
      </c>
      <c r="AM947">
        <v>0</v>
      </c>
      <c r="AP947" t="s">
        <v>325</v>
      </c>
    </row>
    <row r="948" spans="1:42" customFormat="1">
      <c r="A948">
        <v>271157</v>
      </c>
      <c r="B948" t="s">
        <v>4358</v>
      </c>
      <c r="C948" t="s">
        <v>4359</v>
      </c>
      <c r="D948" s="22">
        <v>0</v>
      </c>
      <c r="E948" s="17">
        <v>42146</v>
      </c>
      <c r="F948" s="18">
        <v>0.59092592592592597</v>
      </c>
      <c r="G948" s="22">
        <v>15</v>
      </c>
      <c r="H948">
        <v>0</v>
      </c>
      <c r="I948" s="19" t="e">
        <f>I947 + (D948-G948)</f>
        <v>#VALUE!</v>
      </c>
      <c r="M948">
        <v>124121</v>
      </c>
      <c r="N948">
        <v>24</v>
      </c>
      <c r="O948" t="s">
        <v>68</v>
      </c>
      <c r="P948">
        <v>1</v>
      </c>
      <c r="R948">
        <v>575</v>
      </c>
      <c r="S948" s="17">
        <v>42150</v>
      </c>
      <c r="T948" s="17">
        <v>42150</v>
      </c>
      <c r="W948">
        <v>2015</v>
      </c>
      <c r="X948">
        <v>24</v>
      </c>
      <c r="AC948" t="s">
        <v>61</v>
      </c>
      <c r="AD948" t="s">
        <v>302</v>
      </c>
      <c r="AE948" t="s">
        <v>46</v>
      </c>
      <c r="AG948">
        <v>52</v>
      </c>
      <c r="AH948">
        <v>9</v>
      </c>
      <c r="AI948" t="s">
        <v>54</v>
      </c>
      <c r="AK948">
        <v>0</v>
      </c>
      <c r="AM948">
        <v>0</v>
      </c>
      <c r="AP948" t="s">
        <v>325</v>
      </c>
    </row>
    <row r="949" spans="1:42" customFormat="1">
      <c r="A949">
        <v>271158</v>
      </c>
      <c r="B949" t="s">
        <v>4360</v>
      </c>
      <c r="C949" t="s">
        <v>4361</v>
      </c>
      <c r="D949" s="22">
        <v>0</v>
      </c>
      <c r="E949" s="17">
        <v>42146</v>
      </c>
      <c r="F949" s="18">
        <v>0.59092592592592597</v>
      </c>
      <c r="G949" s="22">
        <v>15</v>
      </c>
      <c r="H949">
        <v>0</v>
      </c>
      <c r="I949" s="19" t="e">
        <f>I948 + (D949-G949)</f>
        <v>#VALUE!</v>
      </c>
      <c r="M949">
        <v>124131</v>
      </c>
      <c r="N949">
        <v>24</v>
      </c>
      <c r="O949" t="s">
        <v>68</v>
      </c>
      <c r="P949">
        <v>1</v>
      </c>
      <c r="R949">
        <v>575</v>
      </c>
      <c r="S949" s="17">
        <v>42150</v>
      </c>
      <c r="T949" s="17">
        <v>42150</v>
      </c>
      <c r="W949">
        <v>2015</v>
      </c>
      <c r="X949">
        <v>24</v>
      </c>
      <c r="AC949" t="s">
        <v>61</v>
      </c>
      <c r="AD949" t="s">
        <v>302</v>
      </c>
      <c r="AE949" t="s">
        <v>46</v>
      </c>
      <c r="AG949">
        <v>52</v>
      </c>
      <c r="AH949">
        <v>9</v>
      </c>
      <c r="AI949" t="s">
        <v>54</v>
      </c>
      <c r="AK949">
        <v>0</v>
      </c>
      <c r="AM949">
        <v>0</v>
      </c>
      <c r="AP949" t="s">
        <v>325</v>
      </c>
    </row>
    <row r="950" spans="1:42" customFormat="1">
      <c r="A950">
        <v>271159</v>
      </c>
      <c r="B950" t="s">
        <v>4362</v>
      </c>
      <c r="C950" t="s">
        <v>4363</v>
      </c>
      <c r="D950" s="22">
        <v>0</v>
      </c>
      <c r="E950" s="17">
        <v>42146</v>
      </c>
      <c r="F950" s="18">
        <v>0.59092592592592597</v>
      </c>
      <c r="G950" s="22">
        <v>15</v>
      </c>
      <c r="H950">
        <v>0</v>
      </c>
      <c r="I950" s="19" t="e">
        <f>I949 + (D950-G950)</f>
        <v>#VALUE!</v>
      </c>
      <c r="M950">
        <v>124141</v>
      </c>
      <c r="N950">
        <v>24</v>
      </c>
      <c r="O950" t="s">
        <v>68</v>
      </c>
      <c r="P950">
        <v>1</v>
      </c>
      <c r="R950">
        <v>575</v>
      </c>
      <c r="S950" s="17">
        <v>42150</v>
      </c>
      <c r="T950" s="17">
        <v>42150</v>
      </c>
      <c r="W950">
        <v>2015</v>
      </c>
      <c r="X950">
        <v>24</v>
      </c>
      <c r="AC950" t="s">
        <v>61</v>
      </c>
      <c r="AD950" t="s">
        <v>302</v>
      </c>
      <c r="AE950" t="s">
        <v>46</v>
      </c>
      <c r="AG950">
        <v>52</v>
      </c>
      <c r="AH950">
        <v>9</v>
      </c>
      <c r="AI950" t="s">
        <v>54</v>
      </c>
      <c r="AK950">
        <v>0</v>
      </c>
      <c r="AM950">
        <v>0</v>
      </c>
      <c r="AP950" t="s">
        <v>325</v>
      </c>
    </row>
    <row r="951" spans="1:42" customFormat="1">
      <c r="A951">
        <v>271160</v>
      </c>
      <c r="B951" t="s">
        <v>4364</v>
      </c>
      <c r="C951" t="s">
        <v>4365</v>
      </c>
      <c r="D951" s="22">
        <v>0</v>
      </c>
      <c r="E951" s="17">
        <v>42146</v>
      </c>
      <c r="F951" s="18">
        <v>0.59092592592592597</v>
      </c>
      <c r="G951" s="22">
        <v>15</v>
      </c>
      <c r="H951">
        <v>0</v>
      </c>
      <c r="I951" s="19" t="e">
        <f>I950 + (D951-G951)</f>
        <v>#VALUE!</v>
      </c>
      <c r="M951">
        <v>124122</v>
      </c>
      <c r="N951">
        <v>24</v>
      </c>
      <c r="O951" t="s">
        <v>68</v>
      </c>
      <c r="P951">
        <v>1</v>
      </c>
      <c r="R951">
        <v>575</v>
      </c>
      <c r="S951" s="17">
        <v>42150</v>
      </c>
      <c r="T951" s="17">
        <v>42150</v>
      </c>
      <c r="W951">
        <v>2015</v>
      </c>
      <c r="X951">
        <v>24</v>
      </c>
      <c r="AC951" t="s">
        <v>61</v>
      </c>
      <c r="AD951" t="s">
        <v>302</v>
      </c>
      <c r="AE951" t="s">
        <v>46</v>
      </c>
      <c r="AG951">
        <v>52</v>
      </c>
      <c r="AH951">
        <v>9</v>
      </c>
      <c r="AI951" t="s">
        <v>54</v>
      </c>
      <c r="AK951">
        <v>0</v>
      </c>
      <c r="AM951">
        <v>0</v>
      </c>
      <c r="AP951" t="s">
        <v>325</v>
      </c>
    </row>
    <row r="952" spans="1:42" customFormat="1">
      <c r="A952">
        <v>271161</v>
      </c>
      <c r="B952" t="s">
        <v>4366</v>
      </c>
      <c r="C952" t="s">
        <v>4367</v>
      </c>
      <c r="D952" s="22">
        <v>0</v>
      </c>
      <c r="E952" s="17">
        <v>42146</v>
      </c>
      <c r="F952" s="18">
        <v>0.5909375</v>
      </c>
      <c r="G952" s="22">
        <v>15</v>
      </c>
      <c r="H952">
        <v>0</v>
      </c>
      <c r="I952" s="19" t="e">
        <f>I951 + (D952-G952)</f>
        <v>#VALUE!</v>
      </c>
      <c r="M952">
        <v>124132</v>
      </c>
      <c r="N952">
        <v>24</v>
      </c>
      <c r="O952" t="s">
        <v>68</v>
      </c>
      <c r="P952">
        <v>1</v>
      </c>
      <c r="R952">
        <v>575</v>
      </c>
      <c r="S952" s="17">
        <v>42150</v>
      </c>
      <c r="T952" s="17">
        <v>42150</v>
      </c>
      <c r="W952">
        <v>2015</v>
      </c>
      <c r="X952">
        <v>24</v>
      </c>
      <c r="AC952" t="s">
        <v>61</v>
      </c>
      <c r="AD952" t="s">
        <v>302</v>
      </c>
      <c r="AE952" t="s">
        <v>46</v>
      </c>
      <c r="AG952">
        <v>52</v>
      </c>
      <c r="AH952">
        <v>9</v>
      </c>
      <c r="AI952" t="s">
        <v>54</v>
      </c>
      <c r="AK952">
        <v>0</v>
      </c>
      <c r="AM952">
        <v>0</v>
      </c>
      <c r="AP952" t="s">
        <v>325</v>
      </c>
    </row>
    <row r="953" spans="1:42" customFormat="1">
      <c r="A953">
        <v>271162</v>
      </c>
      <c r="B953" t="s">
        <v>4368</v>
      </c>
      <c r="C953" t="s">
        <v>4369</v>
      </c>
      <c r="D953" s="22">
        <v>0</v>
      </c>
      <c r="E953" s="17">
        <v>42146</v>
      </c>
      <c r="F953" s="18">
        <v>0.5909375</v>
      </c>
      <c r="G953" s="22">
        <v>15</v>
      </c>
      <c r="H953">
        <v>0</v>
      </c>
      <c r="I953" s="19" t="e">
        <f>I952 + (D953-G953)</f>
        <v>#VALUE!</v>
      </c>
      <c r="M953">
        <v>124142</v>
      </c>
      <c r="N953">
        <v>24</v>
      </c>
      <c r="O953" t="s">
        <v>68</v>
      </c>
      <c r="P953">
        <v>1</v>
      </c>
      <c r="R953">
        <v>575</v>
      </c>
      <c r="S953" s="17">
        <v>42150</v>
      </c>
      <c r="T953" s="17">
        <v>42150</v>
      </c>
      <c r="W953">
        <v>2015</v>
      </c>
      <c r="X953">
        <v>24</v>
      </c>
      <c r="AC953" t="s">
        <v>61</v>
      </c>
      <c r="AD953" t="s">
        <v>302</v>
      </c>
      <c r="AE953" t="s">
        <v>46</v>
      </c>
      <c r="AG953">
        <v>52</v>
      </c>
      <c r="AH953">
        <v>9</v>
      </c>
      <c r="AI953" t="s">
        <v>54</v>
      </c>
      <c r="AK953">
        <v>0</v>
      </c>
      <c r="AM953">
        <v>0</v>
      </c>
      <c r="AP953" t="s">
        <v>325</v>
      </c>
    </row>
    <row r="954" spans="1:42" customFormat="1">
      <c r="A954">
        <v>271163</v>
      </c>
      <c r="B954" t="s">
        <v>4370</v>
      </c>
      <c r="C954" t="s">
        <v>4371</v>
      </c>
      <c r="D954" s="22">
        <v>0</v>
      </c>
      <c r="E954" s="17">
        <v>42146</v>
      </c>
      <c r="F954" s="18">
        <v>0.5909375</v>
      </c>
      <c r="G954" s="22">
        <v>15</v>
      </c>
      <c r="H954">
        <v>0</v>
      </c>
      <c r="I954" s="19" t="e">
        <f>I953 + (D954-G954)</f>
        <v>#VALUE!</v>
      </c>
      <c r="M954">
        <v>124123</v>
      </c>
      <c r="N954">
        <v>24</v>
      </c>
      <c r="O954" t="s">
        <v>68</v>
      </c>
      <c r="P954">
        <v>1</v>
      </c>
      <c r="R954">
        <v>575</v>
      </c>
      <c r="S954" s="17">
        <v>42150</v>
      </c>
      <c r="T954" s="17">
        <v>42150</v>
      </c>
      <c r="W954">
        <v>2015</v>
      </c>
      <c r="X954">
        <v>24</v>
      </c>
      <c r="AC954" t="s">
        <v>61</v>
      </c>
      <c r="AD954" t="s">
        <v>302</v>
      </c>
      <c r="AE954" t="s">
        <v>46</v>
      </c>
      <c r="AG954">
        <v>52</v>
      </c>
      <c r="AH954">
        <v>9</v>
      </c>
      <c r="AI954" t="s">
        <v>54</v>
      </c>
      <c r="AK954">
        <v>0</v>
      </c>
      <c r="AM954">
        <v>0</v>
      </c>
      <c r="AP954" t="s">
        <v>325</v>
      </c>
    </row>
    <row r="955" spans="1:42" customFormat="1">
      <c r="A955">
        <v>271164</v>
      </c>
      <c r="B955" t="s">
        <v>4372</v>
      </c>
      <c r="C955" t="s">
        <v>4373</v>
      </c>
      <c r="D955" s="22">
        <v>0</v>
      </c>
      <c r="E955" s="17">
        <v>42146</v>
      </c>
      <c r="F955" s="18">
        <v>0.5909375</v>
      </c>
      <c r="G955" s="22">
        <v>15</v>
      </c>
      <c r="H955">
        <v>0</v>
      </c>
      <c r="I955" s="19" t="e">
        <f>I954 + (D955-G955)</f>
        <v>#VALUE!</v>
      </c>
      <c r="M955">
        <v>124133</v>
      </c>
      <c r="N955">
        <v>24</v>
      </c>
      <c r="O955" t="s">
        <v>68</v>
      </c>
      <c r="P955">
        <v>1</v>
      </c>
      <c r="R955">
        <v>575</v>
      </c>
      <c r="S955" s="17">
        <v>42150</v>
      </c>
      <c r="T955" s="17">
        <v>42150</v>
      </c>
      <c r="W955">
        <v>2015</v>
      </c>
      <c r="X955">
        <v>24</v>
      </c>
      <c r="AC955" t="s">
        <v>61</v>
      </c>
      <c r="AD955" t="s">
        <v>302</v>
      </c>
      <c r="AE955" t="s">
        <v>46</v>
      </c>
      <c r="AG955">
        <v>52</v>
      </c>
      <c r="AH955">
        <v>9</v>
      </c>
      <c r="AI955" t="s">
        <v>54</v>
      </c>
      <c r="AK955">
        <v>0</v>
      </c>
      <c r="AM955">
        <v>0</v>
      </c>
      <c r="AP955" t="s">
        <v>325</v>
      </c>
    </row>
    <row r="956" spans="1:42" customFormat="1">
      <c r="A956">
        <v>271165</v>
      </c>
      <c r="B956" t="s">
        <v>4374</v>
      </c>
      <c r="C956" t="s">
        <v>4375</v>
      </c>
      <c r="D956" s="22">
        <v>0</v>
      </c>
      <c r="E956" s="17">
        <v>42146</v>
      </c>
      <c r="F956" s="18">
        <v>0.5909375</v>
      </c>
      <c r="G956" s="22">
        <v>15</v>
      </c>
      <c r="H956">
        <v>0</v>
      </c>
      <c r="I956" s="19" t="e">
        <f>I955 + (D956-G956)</f>
        <v>#VALUE!</v>
      </c>
      <c r="M956">
        <v>124143</v>
      </c>
      <c r="N956">
        <v>24</v>
      </c>
      <c r="O956" t="s">
        <v>68</v>
      </c>
      <c r="P956">
        <v>1</v>
      </c>
      <c r="R956">
        <v>575</v>
      </c>
      <c r="S956" s="17">
        <v>42150</v>
      </c>
      <c r="T956" s="17">
        <v>42150</v>
      </c>
      <c r="W956">
        <v>2015</v>
      </c>
      <c r="X956">
        <v>24</v>
      </c>
      <c r="AC956" t="s">
        <v>61</v>
      </c>
      <c r="AD956" t="s">
        <v>302</v>
      </c>
      <c r="AE956" t="s">
        <v>46</v>
      </c>
      <c r="AG956">
        <v>52</v>
      </c>
      <c r="AH956">
        <v>9</v>
      </c>
      <c r="AI956" t="s">
        <v>54</v>
      </c>
      <c r="AK956">
        <v>0</v>
      </c>
      <c r="AM956">
        <v>0</v>
      </c>
      <c r="AP956" t="s">
        <v>325</v>
      </c>
    </row>
    <row r="957" spans="1:42" customFormat="1">
      <c r="A957">
        <v>271166</v>
      </c>
      <c r="B957" t="s">
        <v>4376</v>
      </c>
      <c r="C957" t="s">
        <v>4377</v>
      </c>
      <c r="D957" s="22">
        <v>0</v>
      </c>
      <c r="E957" s="17">
        <v>42146</v>
      </c>
      <c r="F957" s="18">
        <v>0.5909375</v>
      </c>
      <c r="G957" s="22">
        <v>15</v>
      </c>
      <c r="H957">
        <v>0</v>
      </c>
      <c r="I957" s="19" t="e">
        <f>I956 + (D957-G957)</f>
        <v>#VALUE!</v>
      </c>
      <c r="M957">
        <v>124124</v>
      </c>
      <c r="N957">
        <v>24</v>
      </c>
      <c r="O957" t="s">
        <v>68</v>
      </c>
      <c r="P957">
        <v>1</v>
      </c>
      <c r="R957">
        <v>575</v>
      </c>
      <c r="S957" s="17">
        <v>42150</v>
      </c>
      <c r="T957" s="17">
        <v>42150</v>
      </c>
      <c r="W957">
        <v>2015</v>
      </c>
      <c r="X957">
        <v>24</v>
      </c>
      <c r="AC957" t="s">
        <v>61</v>
      </c>
      <c r="AD957" t="s">
        <v>302</v>
      </c>
      <c r="AE957" t="s">
        <v>46</v>
      </c>
      <c r="AG957">
        <v>52</v>
      </c>
      <c r="AH957">
        <v>9</v>
      </c>
      <c r="AI957" t="s">
        <v>54</v>
      </c>
      <c r="AK957">
        <v>0</v>
      </c>
      <c r="AM957">
        <v>0</v>
      </c>
      <c r="AP957" t="s">
        <v>325</v>
      </c>
    </row>
    <row r="958" spans="1:42" customFormat="1">
      <c r="A958">
        <v>271167</v>
      </c>
      <c r="B958" t="s">
        <v>4378</v>
      </c>
      <c r="C958" t="s">
        <v>4379</v>
      </c>
      <c r="D958" s="22">
        <v>0</v>
      </c>
      <c r="E958" s="17">
        <v>42146</v>
      </c>
      <c r="F958" s="18">
        <v>0.5909375</v>
      </c>
      <c r="G958" s="22">
        <v>15</v>
      </c>
      <c r="H958">
        <v>0</v>
      </c>
      <c r="I958" s="19" t="e">
        <f>I957 + (D958-G958)</f>
        <v>#VALUE!</v>
      </c>
      <c r="M958">
        <v>124134</v>
      </c>
      <c r="N958">
        <v>24</v>
      </c>
      <c r="O958" t="s">
        <v>68</v>
      </c>
      <c r="P958">
        <v>1</v>
      </c>
      <c r="R958">
        <v>575</v>
      </c>
      <c r="S958" s="17">
        <v>42150</v>
      </c>
      <c r="T958" s="17">
        <v>42150</v>
      </c>
      <c r="W958">
        <v>2015</v>
      </c>
      <c r="X958">
        <v>24</v>
      </c>
      <c r="AC958" t="s">
        <v>61</v>
      </c>
      <c r="AD958" t="s">
        <v>302</v>
      </c>
      <c r="AE958" t="s">
        <v>46</v>
      </c>
      <c r="AG958">
        <v>52</v>
      </c>
      <c r="AH958">
        <v>9</v>
      </c>
      <c r="AI958" t="s">
        <v>54</v>
      </c>
      <c r="AK958">
        <v>0</v>
      </c>
      <c r="AM958">
        <v>0</v>
      </c>
      <c r="AP958" t="s">
        <v>325</v>
      </c>
    </row>
    <row r="959" spans="1:42" customFormat="1">
      <c r="A959">
        <v>271168</v>
      </c>
      <c r="B959" t="s">
        <v>4380</v>
      </c>
      <c r="C959" t="s">
        <v>4381</v>
      </c>
      <c r="D959" s="22">
        <v>0</v>
      </c>
      <c r="E959" s="17">
        <v>42146</v>
      </c>
      <c r="F959" s="18">
        <v>0.5909375</v>
      </c>
      <c r="G959" s="22">
        <v>15</v>
      </c>
      <c r="H959">
        <v>0</v>
      </c>
      <c r="I959" s="19" t="e">
        <f>I958 + (D959-G959)</f>
        <v>#VALUE!</v>
      </c>
      <c r="M959">
        <v>124144</v>
      </c>
      <c r="N959">
        <v>24</v>
      </c>
      <c r="O959" t="s">
        <v>68</v>
      </c>
      <c r="P959">
        <v>1</v>
      </c>
      <c r="R959">
        <v>575</v>
      </c>
      <c r="S959" s="17">
        <v>42150</v>
      </c>
      <c r="T959" s="17">
        <v>42150</v>
      </c>
      <c r="W959">
        <v>2015</v>
      </c>
      <c r="X959">
        <v>24</v>
      </c>
      <c r="AC959" t="s">
        <v>61</v>
      </c>
      <c r="AD959" t="s">
        <v>302</v>
      </c>
      <c r="AE959" t="s">
        <v>46</v>
      </c>
      <c r="AG959">
        <v>52</v>
      </c>
      <c r="AH959">
        <v>9</v>
      </c>
      <c r="AI959" t="s">
        <v>54</v>
      </c>
      <c r="AK959">
        <v>0</v>
      </c>
      <c r="AM959">
        <v>0</v>
      </c>
      <c r="AP959" t="s">
        <v>325</v>
      </c>
    </row>
    <row r="960" spans="1:42" customFormat="1">
      <c r="A960">
        <v>271169</v>
      </c>
      <c r="B960" t="s">
        <v>4382</v>
      </c>
      <c r="C960" t="s">
        <v>4383</v>
      </c>
      <c r="D960" s="22">
        <v>0</v>
      </c>
      <c r="E960" s="17">
        <v>42146</v>
      </c>
      <c r="F960" s="18">
        <v>0.59211805555555552</v>
      </c>
      <c r="G960" s="22">
        <v>230</v>
      </c>
      <c r="H960">
        <v>0</v>
      </c>
      <c r="I960" s="19" t="e">
        <f>I959 + (D960-G960)</f>
        <v>#VALUE!</v>
      </c>
      <c r="M960">
        <v>124145</v>
      </c>
      <c r="N960">
        <v>24</v>
      </c>
      <c r="O960" t="s">
        <v>68</v>
      </c>
      <c r="P960">
        <v>1</v>
      </c>
      <c r="R960">
        <v>575</v>
      </c>
      <c r="S960" s="17">
        <v>42150</v>
      </c>
      <c r="T960" s="17">
        <v>42150</v>
      </c>
      <c r="W960">
        <v>2015</v>
      </c>
      <c r="X960">
        <v>24</v>
      </c>
      <c r="AC960" t="s">
        <v>61</v>
      </c>
      <c r="AD960" t="s">
        <v>302</v>
      </c>
      <c r="AE960" t="s">
        <v>46</v>
      </c>
      <c r="AG960">
        <v>52</v>
      </c>
      <c r="AH960">
        <v>9</v>
      </c>
      <c r="AI960" t="s">
        <v>54</v>
      </c>
      <c r="AK960">
        <v>0</v>
      </c>
      <c r="AM960">
        <v>0</v>
      </c>
      <c r="AP960" t="s">
        <v>325</v>
      </c>
    </row>
    <row r="961" spans="1:42" customFormat="1">
      <c r="A961">
        <v>271170</v>
      </c>
      <c r="B961" t="s">
        <v>4384</v>
      </c>
      <c r="C961" t="s">
        <v>4385</v>
      </c>
      <c r="D961" s="22">
        <v>0</v>
      </c>
      <c r="E961" s="17">
        <v>42146</v>
      </c>
      <c r="F961" s="18">
        <v>0.59211805555555552</v>
      </c>
      <c r="G961" s="22">
        <v>30</v>
      </c>
      <c r="H961">
        <v>0</v>
      </c>
      <c r="I961" s="19" t="e">
        <f>I960 + (D961-G961)</f>
        <v>#VALUE!</v>
      </c>
      <c r="M961">
        <v>124146</v>
      </c>
      <c r="N961">
        <v>24</v>
      </c>
      <c r="O961" t="s">
        <v>68</v>
      </c>
      <c r="P961">
        <v>1</v>
      </c>
      <c r="R961">
        <v>575</v>
      </c>
      <c r="S961" s="17">
        <v>42150</v>
      </c>
      <c r="T961" s="17">
        <v>42150</v>
      </c>
      <c r="W961">
        <v>2015</v>
      </c>
      <c r="X961">
        <v>24</v>
      </c>
      <c r="AC961" t="s">
        <v>61</v>
      </c>
      <c r="AD961" t="s">
        <v>302</v>
      </c>
      <c r="AE961" t="s">
        <v>46</v>
      </c>
      <c r="AG961">
        <v>52</v>
      </c>
      <c r="AH961">
        <v>9</v>
      </c>
      <c r="AI961" t="s">
        <v>54</v>
      </c>
      <c r="AK961">
        <v>0</v>
      </c>
      <c r="AM961">
        <v>0</v>
      </c>
      <c r="AP961" t="s">
        <v>325</v>
      </c>
    </row>
    <row r="962" spans="1:42" customFormat="1">
      <c r="A962">
        <v>271171</v>
      </c>
      <c r="B962" t="s">
        <v>4386</v>
      </c>
      <c r="C962" t="s">
        <v>4387</v>
      </c>
      <c r="D962" s="22">
        <v>0</v>
      </c>
      <c r="E962" s="17">
        <v>42146</v>
      </c>
      <c r="F962" s="18">
        <v>0.59211805555555552</v>
      </c>
      <c r="G962" s="22">
        <v>0.35</v>
      </c>
      <c r="H962">
        <v>0</v>
      </c>
      <c r="I962" s="19" t="e">
        <f>I961 + (D962-G962)</f>
        <v>#VALUE!</v>
      </c>
      <c r="M962">
        <v>124147</v>
      </c>
      <c r="N962">
        <v>24</v>
      </c>
      <c r="O962" t="s">
        <v>68</v>
      </c>
      <c r="P962">
        <v>1</v>
      </c>
      <c r="R962">
        <v>575</v>
      </c>
      <c r="S962" s="17">
        <v>42150</v>
      </c>
      <c r="T962" s="17">
        <v>42150</v>
      </c>
      <c r="W962">
        <v>2015</v>
      </c>
      <c r="X962">
        <v>24</v>
      </c>
      <c r="AC962" t="s">
        <v>61</v>
      </c>
      <c r="AD962" t="s">
        <v>302</v>
      </c>
      <c r="AE962" t="s">
        <v>46</v>
      </c>
      <c r="AG962">
        <v>52</v>
      </c>
      <c r="AH962">
        <v>9</v>
      </c>
      <c r="AI962" t="s">
        <v>54</v>
      </c>
      <c r="AK962">
        <v>0</v>
      </c>
      <c r="AM962">
        <v>0</v>
      </c>
      <c r="AP962" t="s">
        <v>325</v>
      </c>
    </row>
    <row r="963" spans="1:42" customFormat="1">
      <c r="A963">
        <v>271172</v>
      </c>
      <c r="B963" t="s">
        <v>4388</v>
      </c>
      <c r="C963" t="s">
        <v>4389</v>
      </c>
      <c r="D963" s="22">
        <v>0</v>
      </c>
      <c r="E963" s="17">
        <v>42146</v>
      </c>
      <c r="F963" s="18">
        <v>0.59312500000000001</v>
      </c>
      <c r="G963" s="22">
        <v>13</v>
      </c>
      <c r="H963">
        <v>0</v>
      </c>
      <c r="I963" s="19" t="e">
        <f>I962 + (D963-G963)</f>
        <v>#VALUE!</v>
      </c>
      <c r="M963">
        <v>124148</v>
      </c>
      <c r="N963">
        <v>24</v>
      </c>
      <c r="O963" t="s">
        <v>68</v>
      </c>
      <c r="P963">
        <v>1</v>
      </c>
      <c r="R963">
        <v>575</v>
      </c>
      <c r="S963" s="17">
        <v>42150</v>
      </c>
      <c r="T963" s="17">
        <v>42150</v>
      </c>
      <c r="W963">
        <v>2015</v>
      </c>
      <c r="X963">
        <v>24</v>
      </c>
      <c r="AC963" t="s">
        <v>61</v>
      </c>
      <c r="AD963" t="s">
        <v>302</v>
      </c>
      <c r="AE963" t="s">
        <v>46</v>
      </c>
      <c r="AG963">
        <v>52</v>
      </c>
      <c r="AH963">
        <v>9</v>
      </c>
      <c r="AI963" t="s">
        <v>54</v>
      </c>
      <c r="AK963">
        <v>0</v>
      </c>
      <c r="AM963">
        <v>0</v>
      </c>
      <c r="AP963" t="s">
        <v>325</v>
      </c>
    </row>
    <row r="964" spans="1:42" customFormat="1">
      <c r="A964">
        <v>271174</v>
      </c>
      <c r="B964" t="s">
        <v>4390</v>
      </c>
      <c r="C964" t="s">
        <v>4391</v>
      </c>
      <c r="D964" s="22">
        <v>0</v>
      </c>
      <c r="E964" s="17">
        <v>42146</v>
      </c>
      <c r="F964" s="18">
        <v>0.594212962962963</v>
      </c>
      <c r="G964" s="22">
        <v>26.56</v>
      </c>
      <c r="H964">
        <v>0</v>
      </c>
      <c r="I964" s="19" t="e">
        <f>I963 + (D964-G964)</f>
        <v>#VALUE!</v>
      </c>
      <c r="M964">
        <v>124150</v>
      </c>
      <c r="N964">
        <v>24</v>
      </c>
      <c r="O964" t="s">
        <v>68</v>
      </c>
      <c r="P964">
        <v>1</v>
      </c>
      <c r="R964">
        <v>575</v>
      </c>
      <c r="S964" s="17">
        <v>42150</v>
      </c>
      <c r="T964" s="17">
        <v>42150</v>
      </c>
      <c r="W964">
        <v>2015</v>
      </c>
      <c r="X964">
        <v>24</v>
      </c>
      <c r="AC964" t="s">
        <v>61</v>
      </c>
      <c r="AD964" t="s">
        <v>302</v>
      </c>
      <c r="AE964" t="s">
        <v>46</v>
      </c>
      <c r="AG964">
        <v>52</v>
      </c>
      <c r="AH964">
        <v>9</v>
      </c>
      <c r="AI964" t="s">
        <v>54</v>
      </c>
      <c r="AK964">
        <v>0</v>
      </c>
      <c r="AM964">
        <v>0</v>
      </c>
      <c r="AP964" t="s">
        <v>325</v>
      </c>
    </row>
    <row r="965" spans="1:42" customFormat="1">
      <c r="A965">
        <v>271175</v>
      </c>
      <c r="B965" t="s">
        <v>4392</v>
      </c>
      <c r="C965" t="s">
        <v>4393</v>
      </c>
      <c r="D965" s="22">
        <v>0</v>
      </c>
      <c r="E965" s="17">
        <v>42146</v>
      </c>
      <c r="F965" s="18">
        <v>0.594212962962963</v>
      </c>
      <c r="G965" s="22">
        <v>11</v>
      </c>
      <c r="H965">
        <v>0</v>
      </c>
      <c r="I965" s="19" t="e">
        <f>I964 + (D965-G965)</f>
        <v>#VALUE!</v>
      </c>
      <c r="M965">
        <v>124151</v>
      </c>
      <c r="N965">
        <v>24</v>
      </c>
      <c r="O965" t="s">
        <v>68</v>
      </c>
      <c r="P965">
        <v>1</v>
      </c>
      <c r="R965">
        <v>575</v>
      </c>
      <c r="S965" s="17">
        <v>42150</v>
      </c>
      <c r="T965" s="17">
        <v>42150</v>
      </c>
      <c r="W965">
        <v>2015</v>
      </c>
      <c r="X965">
        <v>24</v>
      </c>
      <c r="AC965" t="s">
        <v>61</v>
      </c>
      <c r="AD965" t="s">
        <v>302</v>
      </c>
      <c r="AE965" t="s">
        <v>46</v>
      </c>
      <c r="AG965">
        <v>52</v>
      </c>
      <c r="AH965">
        <v>9</v>
      </c>
      <c r="AI965" t="s">
        <v>54</v>
      </c>
      <c r="AK965">
        <v>0</v>
      </c>
      <c r="AM965">
        <v>0</v>
      </c>
      <c r="AP965" t="s">
        <v>325</v>
      </c>
    </row>
    <row r="966" spans="1:42" customFormat="1">
      <c r="A966">
        <v>271173</v>
      </c>
      <c r="B966" t="s">
        <v>4394</v>
      </c>
      <c r="C966" t="s">
        <v>4395</v>
      </c>
      <c r="D966" s="22">
        <v>0</v>
      </c>
      <c r="E966" s="17">
        <v>42146</v>
      </c>
      <c r="F966" s="18">
        <v>0.594212962962963</v>
      </c>
      <c r="G966" s="22">
        <v>27.01</v>
      </c>
      <c r="H966">
        <v>0</v>
      </c>
      <c r="I966" s="19" t="e">
        <f>I965 + (D966-G966)</f>
        <v>#VALUE!</v>
      </c>
      <c r="M966">
        <v>124149</v>
      </c>
      <c r="N966">
        <v>24</v>
      </c>
      <c r="O966" t="s">
        <v>68</v>
      </c>
      <c r="P966">
        <v>1</v>
      </c>
      <c r="R966">
        <v>575</v>
      </c>
      <c r="S966" s="17">
        <v>42150</v>
      </c>
      <c r="T966" s="17">
        <v>42150</v>
      </c>
      <c r="W966">
        <v>2015</v>
      </c>
      <c r="X966">
        <v>24</v>
      </c>
      <c r="AC966" t="s">
        <v>61</v>
      </c>
      <c r="AD966" t="s">
        <v>302</v>
      </c>
      <c r="AE966" t="s">
        <v>46</v>
      </c>
      <c r="AG966">
        <v>52</v>
      </c>
      <c r="AH966">
        <v>9</v>
      </c>
      <c r="AI966" t="s">
        <v>54</v>
      </c>
      <c r="AK966">
        <v>0</v>
      </c>
      <c r="AM966">
        <v>0</v>
      </c>
      <c r="AP966" t="s">
        <v>325</v>
      </c>
    </row>
    <row r="967" spans="1:42" customFormat="1">
      <c r="A967">
        <v>271176</v>
      </c>
      <c r="B967" t="s">
        <v>4396</v>
      </c>
      <c r="C967" t="s">
        <v>4397</v>
      </c>
      <c r="D967" s="22">
        <v>0</v>
      </c>
      <c r="E967" s="17">
        <v>42146</v>
      </c>
      <c r="F967" s="18">
        <v>0.59501157407407412</v>
      </c>
      <c r="G967" s="22">
        <v>15</v>
      </c>
      <c r="H967">
        <v>0</v>
      </c>
      <c r="I967" s="19" t="e">
        <f>I966 + (D967-G967)</f>
        <v>#VALUE!</v>
      </c>
      <c r="M967">
        <v>124161</v>
      </c>
      <c r="N967">
        <v>24</v>
      </c>
      <c r="O967" t="s">
        <v>68</v>
      </c>
      <c r="P967">
        <v>1</v>
      </c>
      <c r="R967">
        <v>575</v>
      </c>
      <c r="S967" s="17">
        <v>42150</v>
      </c>
      <c r="T967" s="17">
        <v>42150</v>
      </c>
      <c r="W967">
        <v>2015</v>
      </c>
      <c r="X967">
        <v>24</v>
      </c>
      <c r="AC967" t="s">
        <v>61</v>
      </c>
      <c r="AD967" t="s">
        <v>302</v>
      </c>
      <c r="AE967" t="s">
        <v>46</v>
      </c>
      <c r="AG967">
        <v>52</v>
      </c>
      <c r="AH967">
        <v>9</v>
      </c>
      <c r="AI967" t="s">
        <v>54</v>
      </c>
      <c r="AK967">
        <v>0</v>
      </c>
      <c r="AM967">
        <v>0</v>
      </c>
      <c r="AP967" t="s">
        <v>325</v>
      </c>
    </row>
    <row r="968" spans="1:42" customFormat="1">
      <c r="A968">
        <v>271177</v>
      </c>
      <c r="B968" t="s">
        <v>4398</v>
      </c>
      <c r="C968" t="s">
        <v>4399</v>
      </c>
      <c r="D968" s="22">
        <v>0</v>
      </c>
      <c r="E968" s="17">
        <v>42146</v>
      </c>
      <c r="F968" s="18">
        <v>0.59501157407407412</v>
      </c>
      <c r="G968" s="22">
        <v>15</v>
      </c>
      <c r="H968">
        <v>0</v>
      </c>
      <c r="I968" s="19" t="e">
        <f>I967 + (D968-G968)</f>
        <v>#VALUE!</v>
      </c>
      <c r="M968">
        <v>124152</v>
      </c>
      <c r="N968">
        <v>24</v>
      </c>
      <c r="O968" t="s">
        <v>68</v>
      </c>
      <c r="P968">
        <v>1</v>
      </c>
      <c r="R968">
        <v>575</v>
      </c>
      <c r="S968" s="17">
        <v>42150</v>
      </c>
      <c r="T968" s="17">
        <v>42150</v>
      </c>
      <c r="W968">
        <v>2015</v>
      </c>
      <c r="X968">
        <v>24</v>
      </c>
      <c r="AC968" t="s">
        <v>61</v>
      </c>
      <c r="AD968" t="s">
        <v>302</v>
      </c>
      <c r="AE968" t="s">
        <v>46</v>
      </c>
      <c r="AG968">
        <v>52</v>
      </c>
      <c r="AH968">
        <v>9</v>
      </c>
      <c r="AI968" t="s">
        <v>54</v>
      </c>
      <c r="AK968">
        <v>0</v>
      </c>
      <c r="AM968">
        <v>0</v>
      </c>
      <c r="AP968" t="s">
        <v>325</v>
      </c>
    </row>
    <row r="969" spans="1:42" customFormat="1">
      <c r="A969">
        <v>271186</v>
      </c>
      <c r="B969" t="s">
        <v>4400</v>
      </c>
      <c r="C969" t="s">
        <v>4401</v>
      </c>
      <c r="D969" s="22">
        <v>0</v>
      </c>
      <c r="E969" s="17">
        <v>42146</v>
      </c>
      <c r="F969" s="18">
        <v>0.59502314814814816</v>
      </c>
      <c r="G969" s="22">
        <v>15</v>
      </c>
      <c r="H969">
        <v>0</v>
      </c>
      <c r="I969" s="19" t="e">
        <f>I968 + (D969-G969)</f>
        <v>#VALUE!</v>
      </c>
      <c r="M969">
        <v>124160</v>
      </c>
      <c r="N969">
        <v>24</v>
      </c>
      <c r="O969" t="s">
        <v>68</v>
      </c>
      <c r="P969">
        <v>1</v>
      </c>
      <c r="R969">
        <v>575</v>
      </c>
      <c r="S969" s="17">
        <v>42150</v>
      </c>
      <c r="T969" s="17">
        <v>42150</v>
      </c>
      <c r="W969">
        <v>2015</v>
      </c>
      <c r="X969">
        <v>24</v>
      </c>
      <c r="AC969" t="s">
        <v>61</v>
      </c>
      <c r="AD969" t="s">
        <v>302</v>
      </c>
      <c r="AE969" t="s">
        <v>46</v>
      </c>
      <c r="AG969">
        <v>52</v>
      </c>
      <c r="AH969">
        <v>9</v>
      </c>
      <c r="AI969" t="s">
        <v>54</v>
      </c>
      <c r="AK969">
        <v>0</v>
      </c>
      <c r="AM969">
        <v>0</v>
      </c>
      <c r="AP969" t="s">
        <v>325</v>
      </c>
    </row>
    <row r="970" spans="1:42" customFormat="1">
      <c r="A970">
        <v>271178</v>
      </c>
      <c r="B970" t="s">
        <v>4402</v>
      </c>
      <c r="C970" t="s">
        <v>4403</v>
      </c>
      <c r="D970" s="22">
        <v>0</v>
      </c>
      <c r="E970" s="17">
        <v>42146</v>
      </c>
      <c r="F970" s="18">
        <v>0.59502314814814816</v>
      </c>
      <c r="G970" s="22">
        <v>15</v>
      </c>
      <c r="H970">
        <v>0</v>
      </c>
      <c r="I970" s="19" t="e">
        <f>I969 + (D970-G970)</f>
        <v>#VALUE!</v>
      </c>
      <c r="M970">
        <v>124162</v>
      </c>
      <c r="N970">
        <v>24</v>
      </c>
      <c r="O970" t="s">
        <v>68</v>
      </c>
      <c r="P970">
        <v>1</v>
      </c>
      <c r="R970">
        <v>575</v>
      </c>
      <c r="S970" s="17">
        <v>42150</v>
      </c>
      <c r="T970" s="17">
        <v>42150</v>
      </c>
      <c r="W970">
        <v>2015</v>
      </c>
      <c r="X970">
        <v>24</v>
      </c>
      <c r="AC970" t="s">
        <v>61</v>
      </c>
      <c r="AD970" t="s">
        <v>302</v>
      </c>
      <c r="AE970" t="s">
        <v>46</v>
      </c>
      <c r="AG970">
        <v>52</v>
      </c>
      <c r="AH970">
        <v>9</v>
      </c>
      <c r="AI970" t="s">
        <v>54</v>
      </c>
      <c r="AK970">
        <v>0</v>
      </c>
      <c r="AM970">
        <v>0</v>
      </c>
      <c r="AP970" t="s">
        <v>325</v>
      </c>
    </row>
    <row r="971" spans="1:42" customFormat="1">
      <c r="A971">
        <v>271179</v>
      </c>
      <c r="B971" t="s">
        <v>4404</v>
      </c>
      <c r="C971" t="s">
        <v>4405</v>
      </c>
      <c r="D971" s="22">
        <v>0</v>
      </c>
      <c r="E971" s="17">
        <v>42146</v>
      </c>
      <c r="F971" s="18">
        <v>0.59502314814814816</v>
      </c>
      <c r="G971" s="22">
        <v>15</v>
      </c>
      <c r="H971">
        <v>0</v>
      </c>
      <c r="I971" s="19" t="e">
        <f>I970 + (D971-G971)</f>
        <v>#VALUE!</v>
      </c>
      <c r="M971">
        <v>124153</v>
      </c>
      <c r="N971">
        <v>24</v>
      </c>
      <c r="O971" t="s">
        <v>68</v>
      </c>
      <c r="P971">
        <v>1</v>
      </c>
      <c r="R971">
        <v>575</v>
      </c>
      <c r="S971" s="17">
        <v>42150</v>
      </c>
      <c r="T971" s="17">
        <v>42150</v>
      </c>
      <c r="W971">
        <v>2015</v>
      </c>
      <c r="X971">
        <v>24</v>
      </c>
      <c r="AC971" t="s">
        <v>61</v>
      </c>
      <c r="AD971" t="s">
        <v>302</v>
      </c>
      <c r="AE971" t="s">
        <v>46</v>
      </c>
      <c r="AG971">
        <v>52</v>
      </c>
      <c r="AH971">
        <v>9</v>
      </c>
      <c r="AI971" t="s">
        <v>54</v>
      </c>
      <c r="AK971">
        <v>0</v>
      </c>
      <c r="AM971">
        <v>0</v>
      </c>
      <c r="AP971" t="s">
        <v>325</v>
      </c>
    </row>
    <row r="972" spans="1:42" customFormat="1">
      <c r="A972">
        <v>271180</v>
      </c>
      <c r="B972" t="s">
        <v>4406</v>
      </c>
      <c r="C972" t="s">
        <v>4407</v>
      </c>
      <c r="D972" s="22">
        <v>0</v>
      </c>
      <c r="E972" s="17">
        <v>42146</v>
      </c>
      <c r="F972" s="18">
        <v>0.59502314814814816</v>
      </c>
      <c r="G972" s="22">
        <v>15</v>
      </c>
      <c r="H972">
        <v>0</v>
      </c>
      <c r="I972" s="19" t="e">
        <f>I971 + (D972-G972)</f>
        <v>#VALUE!</v>
      </c>
      <c r="M972">
        <v>124154</v>
      </c>
      <c r="N972">
        <v>24</v>
      </c>
      <c r="O972" t="s">
        <v>68</v>
      </c>
      <c r="P972">
        <v>1</v>
      </c>
      <c r="R972">
        <v>575</v>
      </c>
      <c r="S972" s="17">
        <v>42150</v>
      </c>
      <c r="T972" s="17">
        <v>42150</v>
      </c>
      <c r="W972">
        <v>2015</v>
      </c>
      <c r="X972">
        <v>24</v>
      </c>
      <c r="AC972" t="s">
        <v>61</v>
      </c>
      <c r="AD972" t="s">
        <v>302</v>
      </c>
      <c r="AE972" t="s">
        <v>46</v>
      </c>
      <c r="AG972">
        <v>52</v>
      </c>
      <c r="AH972">
        <v>9</v>
      </c>
      <c r="AI972" t="s">
        <v>54</v>
      </c>
      <c r="AK972">
        <v>0</v>
      </c>
      <c r="AM972">
        <v>0</v>
      </c>
      <c r="AP972" t="s">
        <v>325</v>
      </c>
    </row>
    <row r="973" spans="1:42" customFormat="1">
      <c r="A973">
        <v>271181</v>
      </c>
      <c r="B973" t="s">
        <v>4408</v>
      </c>
      <c r="C973" t="s">
        <v>4409</v>
      </c>
      <c r="D973" s="22">
        <v>0</v>
      </c>
      <c r="E973" s="17">
        <v>42146</v>
      </c>
      <c r="F973" s="18">
        <v>0.59502314814814816</v>
      </c>
      <c r="G973" s="22">
        <v>15</v>
      </c>
      <c r="H973">
        <v>0</v>
      </c>
      <c r="I973" s="19" t="e">
        <f>I972 + (D973-G973)</f>
        <v>#VALUE!</v>
      </c>
      <c r="M973">
        <v>124155</v>
      </c>
      <c r="N973">
        <v>24</v>
      </c>
      <c r="O973" t="s">
        <v>68</v>
      </c>
      <c r="P973">
        <v>1</v>
      </c>
      <c r="R973">
        <v>575</v>
      </c>
      <c r="S973" s="17">
        <v>42150</v>
      </c>
      <c r="T973" s="17">
        <v>42150</v>
      </c>
      <c r="W973">
        <v>2015</v>
      </c>
      <c r="X973">
        <v>24</v>
      </c>
      <c r="AC973" t="s">
        <v>61</v>
      </c>
      <c r="AD973" t="s">
        <v>302</v>
      </c>
      <c r="AE973" t="s">
        <v>46</v>
      </c>
      <c r="AG973">
        <v>52</v>
      </c>
      <c r="AH973">
        <v>9</v>
      </c>
      <c r="AI973" t="s">
        <v>54</v>
      </c>
      <c r="AK973">
        <v>0</v>
      </c>
      <c r="AM973">
        <v>0</v>
      </c>
      <c r="AP973" t="s">
        <v>325</v>
      </c>
    </row>
    <row r="974" spans="1:42" customFormat="1">
      <c r="A974">
        <v>271182</v>
      </c>
      <c r="B974" t="s">
        <v>4410</v>
      </c>
      <c r="C974" t="s">
        <v>4411</v>
      </c>
      <c r="D974" s="22">
        <v>0</v>
      </c>
      <c r="E974" s="17">
        <v>42146</v>
      </c>
      <c r="F974" s="18">
        <v>0.59502314814814816</v>
      </c>
      <c r="G974" s="22">
        <v>15</v>
      </c>
      <c r="H974">
        <v>0</v>
      </c>
      <c r="I974" s="19" t="e">
        <f>I973 + (D974-G974)</f>
        <v>#VALUE!</v>
      </c>
      <c r="M974">
        <v>124156</v>
      </c>
      <c r="N974">
        <v>24</v>
      </c>
      <c r="O974" t="s">
        <v>68</v>
      </c>
      <c r="P974">
        <v>1</v>
      </c>
      <c r="R974">
        <v>575</v>
      </c>
      <c r="S974" s="17">
        <v>42150</v>
      </c>
      <c r="T974" s="17">
        <v>42150</v>
      </c>
      <c r="W974">
        <v>2015</v>
      </c>
      <c r="X974">
        <v>24</v>
      </c>
      <c r="AC974" t="s">
        <v>61</v>
      </c>
      <c r="AD974" t="s">
        <v>302</v>
      </c>
      <c r="AE974" t="s">
        <v>46</v>
      </c>
      <c r="AG974">
        <v>52</v>
      </c>
      <c r="AH974">
        <v>9</v>
      </c>
      <c r="AI974" t="s">
        <v>54</v>
      </c>
      <c r="AK974">
        <v>0</v>
      </c>
      <c r="AM974">
        <v>0</v>
      </c>
      <c r="AP974" t="s">
        <v>325</v>
      </c>
    </row>
    <row r="975" spans="1:42" customFormat="1">
      <c r="A975">
        <v>271183</v>
      </c>
      <c r="B975" t="s">
        <v>4412</v>
      </c>
      <c r="C975" t="s">
        <v>4413</v>
      </c>
      <c r="D975" s="22">
        <v>0</v>
      </c>
      <c r="E975" s="17">
        <v>42146</v>
      </c>
      <c r="F975" s="18">
        <v>0.59502314814814816</v>
      </c>
      <c r="G975" s="22">
        <v>15</v>
      </c>
      <c r="H975">
        <v>0</v>
      </c>
      <c r="I975" s="19" t="e">
        <f>I974 + (D975-G975)</f>
        <v>#VALUE!</v>
      </c>
      <c r="M975">
        <v>124157</v>
      </c>
      <c r="N975">
        <v>24</v>
      </c>
      <c r="O975" t="s">
        <v>68</v>
      </c>
      <c r="P975">
        <v>1</v>
      </c>
      <c r="R975">
        <v>575</v>
      </c>
      <c r="S975" s="17">
        <v>42150</v>
      </c>
      <c r="T975" s="17">
        <v>42150</v>
      </c>
      <c r="W975">
        <v>2015</v>
      </c>
      <c r="X975">
        <v>24</v>
      </c>
      <c r="AC975" t="s">
        <v>61</v>
      </c>
      <c r="AD975" t="s">
        <v>302</v>
      </c>
      <c r="AE975" t="s">
        <v>46</v>
      </c>
      <c r="AG975">
        <v>52</v>
      </c>
      <c r="AH975">
        <v>9</v>
      </c>
      <c r="AI975" t="s">
        <v>54</v>
      </c>
      <c r="AK975">
        <v>0</v>
      </c>
      <c r="AM975">
        <v>0</v>
      </c>
      <c r="AP975" t="s">
        <v>325</v>
      </c>
    </row>
    <row r="976" spans="1:42" customFormat="1">
      <c r="A976">
        <v>271184</v>
      </c>
      <c r="B976" t="s">
        <v>4414</v>
      </c>
      <c r="C976" t="s">
        <v>4415</v>
      </c>
      <c r="D976" s="22">
        <v>0</v>
      </c>
      <c r="E976" s="17">
        <v>42146</v>
      </c>
      <c r="F976" s="18">
        <v>0.59502314814814816</v>
      </c>
      <c r="G976" s="22">
        <v>15</v>
      </c>
      <c r="H976">
        <v>0</v>
      </c>
      <c r="I976" s="19" t="e">
        <f>I975 + (D976-G976)</f>
        <v>#VALUE!</v>
      </c>
      <c r="M976">
        <v>124158</v>
      </c>
      <c r="N976">
        <v>24</v>
      </c>
      <c r="O976" t="s">
        <v>68</v>
      </c>
      <c r="P976">
        <v>1</v>
      </c>
      <c r="R976">
        <v>575</v>
      </c>
      <c r="S976" s="17">
        <v>42150</v>
      </c>
      <c r="T976" s="17">
        <v>42150</v>
      </c>
      <c r="W976">
        <v>2015</v>
      </c>
      <c r="X976">
        <v>24</v>
      </c>
      <c r="AC976" t="s">
        <v>61</v>
      </c>
      <c r="AD976" t="s">
        <v>302</v>
      </c>
      <c r="AE976" t="s">
        <v>46</v>
      </c>
      <c r="AG976">
        <v>52</v>
      </c>
      <c r="AH976">
        <v>9</v>
      </c>
      <c r="AI976" t="s">
        <v>54</v>
      </c>
      <c r="AK976">
        <v>0</v>
      </c>
      <c r="AM976">
        <v>0</v>
      </c>
      <c r="AP976" t="s">
        <v>325</v>
      </c>
    </row>
    <row r="977" spans="1:42" customFormat="1">
      <c r="A977">
        <v>271185</v>
      </c>
      <c r="B977" t="s">
        <v>4416</v>
      </c>
      <c r="C977" t="s">
        <v>4417</v>
      </c>
      <c r="D977" s="22">
        <v>0</v>
      </c>
      <c r="E977" s="17">
        <v>42146</v>
      </c>
      <c r="F977" s="18">
        <v>0.59502314814814816</v>
      </c>
      <c r="G977" s="22">
        <v>15</v>
      </c>
      <c r="H977">
        <v>0</v>
      </c>
      <c r="I977" s="19" t="e">
        <f>I976 + (D977-G977)</f>
        <v>#VALUE!</v>
      </c>
      <c r="M977">
        <v>124159</v>
      </c>
      <c r="N977">
        <v>24</v>
      </c>
      <c r="O977" t="s">
        <v>68</v>
      </c>
      <c r="P977">
        <v>1</v>
      </c>
      <c r="R977">
        <v>575</v>
      </c>
      <c r="S977" s="17">
        <v>42150</v>
      </c>
      <c r="T977" s="17">
        <v>42150</v>
      </c>
      <c r="W977">
        <v>2015</v>
      </c>
      <c r="X977">
        <v>24</v>
      </c>
      <c r="AC977" t="s">
        <v>61</v>
      </c>
      <c r="AD977" t="s">
        <v>302</v>
      </c>
      <c r="AE977" t="s">
        <v>46</v>
      </c>
      <c r="AG977">
        <v>52</v>
      </c>
      <c r="AH977">
        <v>9</v>
      </c>
      <c r="AI977" t="s">
        <v>54</v>
      </c>
      <c r="AK977">
        <v>0</v>
      </c>
      <c r="AM977">
        <v>0</v>
      </c>
      <c r="AP977" t="s">
        <v>325</v>
      </c>
    </row>
    <row r="978" spans="1:42" customFormat="1">
      <c r="A978">
        <v>271187</v>
      </c>
      <c r="B978" t="s">
        <v>4418</v>
      </c>
      <c r="C978" t="s">
        <v>4419</v>
      </c>
      <c r="D978" s="22">
        <v>0</v>
      </c>
      <c r="E978" s="17">
        <v>42146</v>
      </c>
      <c r="F978" s="18">
        <v>0.59680555555555559</v>
      </c>
      <c r="G978" s="22">
        <v>30</v>
      </c>
      <c r="H978">
        <v>0</v>
      </c>
      <c r="I978" s="19" t="e">
        <f>I977 + (D978-G978)</f>
        <v>#VALUE!</v>
      </c>
      <c r="M978">
        <v>124163</v>
      </c>
      <c r="N978">
        <v>24</v>
      </c>
      <c r="O978" t="s">
        <v>68</v>
      </c>
      <c r="P978">
        <v>1</v>
      </c>
      <c r="R978">
        <v>575</v>
      </c>
      <c r="S978" s="17">
        <v>42150</v>
      </c>
      <c r="T978" s="17">
        <v>42150</v>
      </c>
      <c r="W978">
        <v>2015</v>
      </c>
      <c r="X978">
        <v>24</v>
      </c>
      <c r="AC978" t="s">
        <v>61</v>
      </c>
      <c r="AD978" t="s">
        <v>302</v>
      </c>
      <c r="AE978" t="s">
        <v>46</v>
      </c>
      <c r="AG978">
        <v>52</v>
      </c>
      <c r="AH978">
        <v>9</v>
      </c>
      <c r="AI978" t="s">
        <v>54</v>
      </c>
      <c r="AK978">
        <v>0</v>
      </c>
      <c r="AM978">
        <v>0</v>
      </c>
      <c r="AP978" t="s">
        <v>325</v>
      </c>
    </row>
    <row r="979" spans="1:42" customFormat="1">
      <c r="A979">
        <v>271188</v>
      </c>
      <c r="B979" t="s">
        <v>4420</v>
      </c>
      <c r="C979" t="s">
        <v>4421</v>
      </c>
      <c r="D979" s="22">
        <v>0</v>
      </c>
      <c r="E979" s="17">
        <v>42146</v>
      </c>
      <c r="F979" s="18">
        <v>0.5973842592592592</v>
      </c>
      <c r="G979" s="22">
        <v>0.35</v>
      </c>
      <c r="H979">
        <v>0</v>
      </c>
      <c r="I979" s="19" t="e">
        <f>I978 + (D979-G979)</f>
        <v>#VALUE!</v>
      </c>
      <c r="M979">
        <v>124164</v>
      </c>
      <c r="N979">
        <v>24</v>
      </c>
      <c r="O979" t="s">
        <v>68</v>
      </c>
      <c r="P979">
        <v>1</v>
      </c>
      <c r="R979">
        <v>575</v>
      </c>
      <c r="S979" s="17">
        <v>42150</v>
      </c>
      <c r="T979" s="17">
        <v>42150</v>
      </c>
      <c r="W979">
        <v>2015</v>
      </c>
      <c r="X979">
        <v>24</v>
      </c>
      <c r="AC979" t="s">
        <v>61</v>
      </c>
      <c r="AD979" t="s">
        <v>302</v>
      </c>
      <c r="AE979" t="s">
        <v>46</v>
      </c>
      <c r="AG979">
        <v>52</v>
      </c>
      <c r="AH979">
        <v>9</v>
      </c>
      <c r="AI979" t="s">
        <v>54</v>
      </c>
      <c r="AK979">
        <v>0</v>
      </c>
      <c r="AM979">
        <v>0</v>
      </c>
      <c r="AP979" t="s">
        <v>325</v>
      </c>
    </row>
    <row r="980" spans="1:42" customFormat="1">
      <c r="A980">
        <v>271189</v>
      </c>
      <c r="B980" t="s">
        <v>4422</v>
      </c>
      <c r="C980" t="s">
        <v>4423</v>
      </c>
      <c r="D980" s="22">
        <v>0</v>
      </c>
      <c r="E980" s="17">
        <v>42146</v>
      </c>
      <c r="F980" s="18">
        <v>0.5973842592592592</v>
      </c>
      <c r="G980" s="22">
        <v>0.35</v>
      </c>
      <c r="H980">
        <v>0</v>
      </c>
      <c r="I980" s="19" t="e">
        <f>I979 + (D980-G980)</f>
        <v>#VALUE!</v>
      </c>
      <c r="M980">
        <v>124165</v>
      </c>
      <c r="N980">
        <v>24</v>
      </c>
      <c r="O980" t="s">
        <v>68</v>
      </c>
      <c r="P980">
        <v>1</v>
      </c>
      <c r="R980">
        <v>575</v>
      </c>
      <c r="S980" s="17">
        <v>42150</v>
      </c>
      <c r="T980" s="17">
        <v>42150</v>
      </c>
      <c r="W980">
        <v>2015</v>
      </c>
      <c r="X980">
        <v>24</v>
      </c>
      <c r="AC980" t="s">
        <v>61</v>
      </c>
      <c r="AD980" t="s">
        <v>302</v>
      </c>
      <c r="AE980" t="s">
        <v>46</v>
      </c>
      <c r="AG980">
        <v>52</v>
      </c>
      <c r="AH980">
        <v>9</v>
      </c>
      <c r="AI980" t="s">
        <v>54</v>
      </c>
      <c r="AK980">
        <v>0</v>
      </c>
      <c r="AM980">
        <v>0</v>
      </c>
      <c r="AP980" t="s">
        <v>325</v>
      </c>
    </row>
    <row r="981" spans="1:42" customFormat="1">
      <c r="A981">
        <v>271195</v>
      </c>
      <c r="B981" t="s">
        <v>4424</v>
      </c>
      <c r="C981" t="s">
        <v>4425</v>
      </c>
      <c r="D981" s="22">
        <v>0</v>
      </c>
      <c r="E981" s="17">
        <v>42146</v>
      </c>
      <c r="F981" s="18">
        <v>0.5985300925925926</v>
      </c>
      <c r="G981" s="22">
        <v>15</v>
      </c>
      <c r="H981">
        <v>0</v>
      </c>
      <c r="I981" s="19" t="e">
        <f>I980 + (D981-G981)</f>
        <v>#VALUE!</v>
      </c>
      <c r="M981">
        <v>124170</v>
      </c>
      <c r="N981">
        <v>24</v>
      </c>
      <c r="O981" t="s">
        <v>68</v>
      </c>
      <c r="P981">
        <v>1</v>
      </c>
      <c r="R981">
        <v>575</v>
      </c>
      <c r="S981" s="17">
        <v>42150</v>
      </c>
      <c r="T981" s="17">
        <v>42150</v>
      </c>
      <c r="W981">
        <v>2015</v>
      </c>
      <c r="X981">
        <v>24</v>
      </c>
      <c r="AC981" t="s">
        <v>61</v>
      </c>
      <c r="AD981" t="s">
        <v>302</v>
      </c>
      <c r="AE981" t="s">
        <v>46</v>
      </c>
      <c r="AG981">
        <v>52</v>
      </c>
      <c r="AH981">
        <v>9</v>
      </c>
      <c r="AI981" t="s">
        <v>54</v>
      </c>
      <c r="AK981">
        <v>0</v>
      </c>
      <c r="AM981">
        <v>0</v>
      </c>
      <c r="AP981" t="s">
        <v>325</v>
      </c>
    </row>
    <row r="982" spans="1:42" customFormat="1">
      <c r="A982">
        <v>271196</v>
      </c>
      <c r="B982" t="s">
        <v>4426</v>
      </c>
      <c r="C982" t="s">
        <v>4427</v>
      </c>
      <c r="D982" s="22">
        <v>0</v>
      </c>
      <c r="E982" s="17">
        <v>42146</v>
      </c>
      <c r="F982" s="18">
        <v>0.5985300925925926</v>
      </c>
      <c r="G982" s="22">
        <v>15</v>
      </c>
      <c r="H982">
        <v>0</v>
      </c>
      <c r="I982" s="19" t="e">
        <f>I981 + (D982-G982)</f>
        <v>#VALUE!</v>
      </c>
      <c r="M982">
        <v>124171</v>
      </c>
      <c r="N982">
        <v>24</v>
      </c>
      <c r="O982" t="s">
        <v>68</v>
      </c>
      <c r="P982">
        <v>1</v>
      </c>
      <c r="R982">
        <v>575</v>
      </c>
      <c r="S982" s="17">
        <v>42150</v>
      </c>
      <c r="T982" s="17">
        <v>42150</v>
      </c>
      <c r="W982">
        <v>2015</v>
      </c>
      <c r="X982">
        <v>24</v>
      </c>
      <c r="AC982" t="s">
        <v>61</v>
      </c>
      <c r="AD982" t="s">
        <v>302</v>
      </c>
      <c r="AE982" t="s">
        <v>46</v>
      </c>
      <c r="AG982">
        <v>52</v>
      </c>
      <c r="AH982">
        <v>9</v>
      </c>
      <c r="AI982" t="s">
        <v>54</v>
      </c>
      <c r="AK982">
        <v>0</v>
      </c>
      <c r="AM982">
        <v>0</v>
      </c>
      <c r="AP982" t="s">
        <v>325</v>
      </c>
    </row>
    <row r="983" spans="1:42" customFormat="1">
      <c r="A983">
        <v>271197</v>
      </c>
      <c r="B983" t="s">
        <v>4428</v>
      </c>
      <c r="C983" t="s">
        <v>4429</v>
      </c>
      <c r="D983" s="22">
        <v>0</v>
      </c>
      <c r="E983" s="17">
        <v>42146</v>
      </c>
      <c r="F983" s="18">
        <v>0.5985300925925926</v>
      </c>
      <c r="G983" s="22">
        <v>15</v>
      </c>
      <c r="H983">
        <v>0</v>
      </c>
      <c r="I983" s="19" t="e">
        <f>I982 + (D983-G983)</f>
        <v>#VALUE!</v>
      </c>
      <c r="M983">
        <v>124172</v>
      </c>
      <c r="N983">
        <v>24</v>
      </c>
      <c r="O983" t="s">
        <v>68</v>
      </c>
      <c r="P983">
        <v>1</v>
      </c>
      <c r="R983">
        <v>575</v>
      </c>
      <c r="S983" s="17">
        <v>42150</v>
      </c>
      <c r="T983" s="17">
        <v>42150</v>
      </c>
      <c r="W983">
        <v>2015</v>
      </c>
      <c r="X983">
        <v>24</v>
      </c>
      <c r="AC983" t="s">
        <v>61</v>
      </c>
      <c r="AD983" t="s">
        <v>302</v>
      </c>
      <c r="AE983" t="s">
        <v>46</v>
      </c>
      <c r="AG983">
        <v>52</v>
      </c>
      <c r="AH983">
        <v>9</v>
      </c>
      <c r="AI983" t="s">
        <v>54</v>
      </c>
      <c r="AK983">
        <v>0</v>
      </c>
      <c r="AM983">
        <v>0</v>
      </c>
      <c r="AP983" t="s">
        <v>325</v>
      </c>
    </row>
    <row r="984" spans="1:42" customFormat="1">
      <c r="A984">
        <v>271198</v>
      </c>
      <c r="B984" t="s">
        <v>4430</v>
      </c>
      <c r="C984" t="s">
        <v>4431</v>
      </c>
      <c r="D984" s="22">
        <v>0</v>
      </c>
      <c r="E984" s="17">
        <v>42146</v>
      </c>
      <c r="F984" s="18">
        <v>0.5985300925925926</v>
      </c>
      <c r="G984" s="22">
        <v>15</v>
      </c>
      <c r="H984">
        <v>0</v>
      </c>
      <c r="I984" s="19" t="e">
        <f>I983 + (D984-G984)</f>
        <v>#VALUE!</v>
      </c>
      <c r="M984">
        <v>124173</v>
      </c>
      <c r="N984">
        <v>24</v>
      </c>
      <c r="O984" t="s">
        <v>68</v>
      </c>
      <c r="P984">
        <v>1</v>
      </c>
      <c r="R984">
        <v>575</v>
      </c>
      <c r="S984" s="17">
        <v>42150</v>
      </c>
      <c r="T984" s="17">
        <v>42150</v>
      </c>
      <c r="W984">
        <v>2015</v>
      </c>
      <c r="X984">
        <v>24</v>
      </c>
      <c r="AC984" t="s">
        <v>61</v>
      </c>
      <c r="AD984" t="s">
        <v>302</v>
      </c>
      <c r="AE984" t="s">
        <v>46</v>
      </c>
      <c r="AG984">
        <v>52</v>
      </c>
      <c r="AH984">
        <v>9</v>
      </c>
      <c r="AI984" t="s">
        <v>54</v>
      </c>
      <c r="AK984">
        <v>0</v>
      </c>
      <c r="AM984">
        <v>0</v>
      </c>
      <c r="AP984" t="s">
        <v>325</v>
      </c>
    </row>
    <row r="985" spans="1:42" customFormat="1">
      <c r="A985">
        <v>271191</v>
      </c>
      <c r="B985" t="s">
        <v>4432</v>
      </c>
      <c r="C985" t="s">
        <v>4433</v>
      </c>
      <c r="D985" s="22">
        <v>0</v>
      </c>
      <c r="E985" s="17">
        <v>42146</v>
      </c>
      <c r="F985" s="18">
        <v>0.5985300925925926</v>
      </c>
      <c r="G985" s="22">
        <v>15</v>
      </c>
      <c r="H985">
        <v>0</v>
      </c>
      <c r="I985" s="19" t="e">
        <f>I984 + (D985-G985)</f>
        <v>#VALUE!</v>
      </c>
      <c r="M985">
        <v>124166</v>
      </c>
      <c r="N985">
        <v>24</v>
      </c>
      <c r="O985" t="s">
        <v>68</v>
      </c>
      <c r="P985">
        <v>1</v>
      </c>
      <c r="R985">
        <v>575</v>
      </c>
      <c r="S985" s="17">
        <v>42150</v>
      </c>
      <c r="T985" s="17">
        <v>42150</v>
      </c>
      <c r="W985">
        <v>2015</v>
      </c>
      <c r="X985">
        <v>24</v>
      </c>
      <c r="AC985" t="s">
        <v>61</v>
      </c>
      <c r="AD985" t="s">
        <v>302</v>
      </c>
      <c r="AE985" t="s">
        <v>46</v>
      </c>
      <c r="AG985">
        <v>52</v>
      </c>
      <c r="AH985">
        <v>9</v>
      </c>
      <c r="AI985" t="s">
        <v>54</v>
      </c>
      <c r="AK985">
        <v>0</v>
      </c>
      <c r="AM985">
        <v>0</v>
      </c>
      <c r="AP985" t="s">
        <v>325</v>
      </c>
    </row>
    <row r="986" spans="1:42" customFormat="1">
      <c r="A986">
        <v>271192</v>
      </c>
      <c r="B986" t="s">
        <v>4434</v>
      </c>
      <c r="C986" t="s">
        <v>4435</v>
      </c>
      <c r="D986" s="22">
        <v>0</v>
      </c>
      <c r="E986" s="17">
        <v>42146</v>
      </c>
      <c r="F986" s="18">
        <v>0.5985300925925926</v>
      </c>
      <c r="G986" s="22">
        <v>15</v>
      </c>
      <c r="H986">
        <v>0</v>
      </c>
      <c r="I986" s="19" t="e">
        <f>I985 + (D986-G986)</f>
        <v>#VALUE!</v>
      </c>
      <c r="M986">
        <v>124167</v>
      </c>
      <c r="N986">
        <v>24</v>
      </c>
      <c r="O986" t="s">
        <v>68</v>
      </c>
      <c r="P986">
        <v>1</v>
      </c>
      <c r="R986">
        <v>575</v>
      </c>
      <c r="S986" s="17">
        <v>42150</v>
      </c>
      <c r="T986" s="17">
        <v>42150</v>
      </c>
      <c r="W986">
        <v>2015</v>
      </c>
      <c r="X986">
        <v>24</v>
      </c>
      <c r="AC986" t="s">
        <v>61</v>
      </c>
      <c r="AD986" t="s">
        <v>302</v>
      </c>
      <c r="AE986" t="s">
        <v>46</v>
      </c>
      <c r="AG986">
        <v>52</v>
      </c>
      <c r="AH986">
        <v>9</v>
      </c>
      <c r="AI986" t="s">
        <v>54</v>
      </c>
      <c r="AK986">
        <v>0</v>
      </c>
      <c r="AM986">
        <v>0</v>
      </c>
      <c r="AP986" t="s">
        <v>325</v>
      </c>
    </row>
    <row r="987" spans="1:42" customFormat="1">
      <c r="A987">
        <v>271193</v>
      </c>
      <c r="B987" t="s">
        <v>4436</v>
      </c>
      <c r="C987" t="s">
        <v>4437</v>
      </c>
      <c r="D987" s="22">
        <v>0</v>
      </c>
      <c r="E987" s="17">
        <v>42146</v>
      </c>
      <c r="F987" s="18">
        <v>0.5985300925925926</v>
      </c>
      <c r="G987" s="22">
        <v>15</v>
      </c>
      <c r="H987">
        <v>0</v>
      </c>
      <c r="I987" s="19" t="e">
        <f>I986 + (D987-G987)</f>
        <v>#VALUE!</v>
      </c>
      <c r="M987">
        <v>124168</v>
      </c>
      <c r="N987">
        <v>24</v>
      </c>
      <c r="O987" t="s">
        <v>68</v>
      </c>
      <c r="P987">
        <v>1</v>
      </c>
      <c r="R987">
        <v>575</v>
      </c>
      <c r="S987" s="17">
        <v>42150</v>
      </c>
      <c r="T987" s="17">
        <v>42150</v>
      </c>
      <c r="W987">
        <v>2015</v>
      </c>
      <c r="X987">
        <v>24</v>
      </c>
      <c r="AC987" t="s">
        <v>61</v>
      </c>
      <c r="AD987" t="s">
        <v>302</v>
      </c>
      <c r="AE987" t="s">
        <v>46</v>
      </c>
      <c r="AG987">
        <v>52</v>
      </c>
      <c r="AH987">
        <v>9</v>
      </c>
      <c r="AI987" t="s">
        <v>54</v>
      </c>
      <c r="AK987">
        <v>0</v>
      </c>
      <c r="AM987">
        <v>0</v>
      </c>
      <c r="AP987" t="s">
        <v>325</v>
      </c>
    </row>
    <row r="988" spans="1:42" customFormat="1">
      <c r="A988">
        <v>271194</v>
      </c>
      <c r="B988" t="s">
        <v>4438</v>
      </c>
      <c r="C988" t="s">
        <v>4439</v>
      </c>
      <c r="D988" s="22">
        <v>0</v>
      </c>
      <c r="E988" s="17">
        <v>42146</v>
      </c>
      <c r="F988" s="18">
        <v>0.5985300925925926</v>
      </c>
      <c r="G988" s="22">
        <v>15</v>
      </c>
      <c r="H988">
        <v>0</v>
      </c>
      <c r="I988" s="19" t="e">
        <f>I987 + (D988-G988)</f>
        <v>#VALUE!</v>
      </c>
      <c r="M988">
        <v>124169</v>
      </c>
      <c r="N988">
        <v>24</v>
      </c>
      <c r="O988" t="s">
        <v>68</v>
      </c>
      <c r="P988">
        <v>1</v>
      </c>
      <c r="R988">
        <v>575</v>
      </c>
      <c r="S988" s="17">
        <v>42150</v>
      </c>
      <c r="T988" s="17">
        <v>42150</v>
      </c>
      <c r="W988">
        <v>2015</v>
      </c>
      <c r="X988">
        <v>24</v>
      </c>
      <c r="AC988" t="s">
        <v>61</v>
      </c>
      <c r="AD988" t="s">
        <v>302</v>
      </c>
      <c r="AE988" t="s">
        <v>46</v>
      </c>
      <c r="AG988">
        <v>52</v>
      </c>
      <c r="AH988">
        <v>9</v>
      </c>
      <c r="AI988" t="s">
        <v>54</v>
      </c>
      <c r="AK988">
        <v>0</v>
      </c>
      <c r="AM988">
        <v>0</v>
      </c>
      <c r="AP988" t="s">
        <v>325</v>
      </c>
    </row>
    <row r="989" spans="1:42" customFormat="1">
      <c r="A989">
        <v>271199</v>
      </c>
      <c r="B989" t="s">
        <v>4440</v>
      </c>
      <c r="C989" t="s">
        <v>4441</v>
      </c>
      <c r="D989" s="22">
        <v>0</v>
      </c>
      <c r="E989" s="17">
        <v>42146</v>
      </c>
      <c r="F989" s="18">
        <v>0.60039351851851852</v>
      </c>
      <c r="G989" s="22">
        <v>30</v>
      </c>
      <c r="H989">
        <v>0</v>
      </c>
      <c r="I989" s="19" t="e">
        <f>I988 + (D989-G989)</f>
        <v>#VALUE!</v>
      </c>
      <c r="M989">
        <v>124174</v>
      </c>
      <c r="N989">
        <v>24</v>
      </c>
      <c r="O989" t="s">
        <v>68</v>
      </c>
      <c r="P989">
        <v>1</v>
      </c>
      <c r="R989">
        <v>575</v>
      </c>
      <c r="S989" s="17">
        <v>42150</v>
      </c>
      <c r="T989" s="17">
        <v>42150</v>
      </c>
      <c r="W989">
        <v>2015</v>
      </c>
      <c r="X989">
        <v>24</v>
      </c>
      <c r="AC989" t="s">
        <v>61</v>
      </c>
      <c r="AD989" t="s">
        <v>302</v>
      </c>
      <c r="AE989" t="s">
        <v>46</v>
      </c>
      <c r="AG989">
        <v>52</v>
      </c>
      <c r="AH989">
        <v>9</v>
      </c>
      <c r="AI989" t="s">
        <v>54</v>
      </c>
      <c r="AK989">
        <v>0</v>
      </c>
      <c r="AM989">
        <v>0</v>
      </c>
      <c r="AP989" t="s">
        <v>325</v>
      </c>
    </row>
    <row r="990" spans="1:42" customFormat="1">
      <c r="A990">
        <v>271200</v>
      </c>
      <c r="B990" t="s">
        <v>4442</v>
      </c>
      <c r="C990" t="s">
        <v>4443</v>
      </c>
      <c r="D990" s="22">
        <v>0</v>
      </c>
      <c r="E990" s="17">
        <v>42146</v>
      </c>
      <c r="F990" s="18">
        <v>0.60076388888888888</v>
      </c>
      <c r="G990" s="22">
        <v>0.35</v>
      </c>
      <c r="H990">
        <v>0</v>
      </c>
      <c r="I990" s="19" t="e">
        <f>I989 + (D990-G990)</f>
        <v>#VALUE!</v>
      </c>
      <c r="M990">
        <v>124175</v>
      </c>
      <c r="N990">
        <v>24</v>
      </c>
      <c r="O990" t="s">
        <v>68</v>
      </c>
      <c r="P990">
        <v>1</v>
      </c>
      <c r="R990">
        <v>575</v>
      </c>
      <c r="S990" s="17">
        <v>42150</v>
      </c>
      <c r="T990" s="17">
        <v>42150</v>
      </c>
      <c r="W990">
        <v>2015</v>
      </c>
      <c r="X990">
        <v>24</v>
      </c>
      <c r="AC990" t="s">
        <v>61</v>
      </c>
      <c r="AD990" t="s">
        <v>302</v>
      </c>
      <c r="AE990" t="s">
        <v>46</v>
      </c>
      <c r="AG990">
        <v>52</v>
      </c>
      <c r="AH990">
        <v>9</v>
      </c>
      <c r="AI990" t="s">
        <v>54</v>
      </c>
      <c r="AK990">
        <v>0</v>
      </c>
      <c r="AM990">
        <v>0</v>
      </c>
      <c r="AP990" t="s">
        <v>325</v>
      </c>
    </row>
    <row r="991" spans="1:42" customFormat="1">
      <c r="A991">
        <v>271201</v>
      </c>
      <c r="B991" t="s">
        <v>4444</v>
      </c>
      <c r="C991" t="s">
        <v>4445</v>
      </c>
      <c r="D991" s="22">
        <v>0</v>
      </c>
      <c r="E991" s="17">
        <v>42146</v>
      </c>
      <c r="F991" s="18">
        <v>0.60166666666666668</v>
      </c>
      <c r="G991" s="22">
        <v>30</v>
      </c>
      <c r="H991">
        <v>0</v>
      </c>
      <c r="I991" s="19" t="e">
        <f>I990 + (D991-G991)</f>
        <v>#VALUE!</v>
      </c>
      <c r="M991">
        <v>124176</v>
      </c>
      <c r="N991">
        <v>24</v>
      </c>
      <c r="O991" t="s">
        <v>68</v>
      </c>
      <c r="P991">
        <v>1</v>
      </c>
      <c r="R991">
        <v>575</v>
      </c>
      <c r="S991" s="17">
        <v>42150</v>
      </c>
      <c r="T991" s="17">
        <v>42150</v>
      </c>
      <c r="W991">
        <v>2015</v>
      </c>
      <c r="X991">
        <v>24</v>
      </c>
      <c r="AC991" t="s">
        <v>61</v>
      </c>
      <c r="AD991" t="s">
        <v>302</v>
      </c>
      <c r="AE991" t="s">
        <v>46</v>
      </c>
      <c r="AG991">
        <v>52</v>
      </c>
      <c r="AH991">
        <v>9</v>
      </c>
      <c r="AI991" t="s">
        <v>54</v>
      </c>
      <c r="AK991">
        <v>0</v>
      </c>
      <c r="AM991">
        <v>0</v>
      </c>
      <c r="AP991" t="s">
        <v>325</v>
      </c>
    </row>
    <row r="992" spans="1:42" customFormat="1">
      <c r="A992">
        <v>271202</v>
      </c>
      <c r="B992" t="s">
        <v>4446</v>
      </c>
      <c r="C992" t="s">
        <v>4447</v>
      </c>
      <c r="D992" s="22">
        <v>0</v>
      </c>
      <c r="E992" s="17">
        <v>42146</v>
      </c>
      <c r="F992" s="18">
        <v>0.60166666666666668</v>
      </c>
      <c r="G992" s="22">
        <v>30</v>
      </c>
      <c r="H992">
        <v>0</v>
      </c>
      <c r="I992" s="19" t="e">
        <f>I991 + (D992-G992)</f>
        <v>#VALUE!</v>
      </c>
      <c r="M992">
        <v>124177</v>
      </c>
      <c r="N992">
        <v>24</v>
      </c>
      <c r="O992" t="s">
        <v>68</v>
      </c>
      <c r="P992">
        <v>1</v>
      </c>
      <c r="R992">
        <v>575</v>
      </c>
      <c r="S992" s="17">
        <v>42150</v>
      </c>
      <c r="T992" s="17">
        <v>42150</v>
      </c>
      <c r="W992">
        <v>2015</v>
      </c>
      <c r="X992">
        <v>24</v>
      </c>
      <c r="AC992" t="s">
        <v>61</v>
      </c>
      <c r="AD992" t="s">
        <v>302</v>
      </c>
      <c r="AE992" t="s">
        <v>46</v>
      </c>
      <c r="AG992">
        <v>52</v>
      </c>
      <c r="AH992">
        <v>9</v>
      </c>
      <c r="AI992" t="s">
        <v>54</v>
      </c>
      <c r="AK992">
        <v>0</v>
      </c>
      <c r="AM992">
        <v>0</v>
      </c>
      <c r="AP992" t="s">
        <v>325</v>
      </c>
    </row>
    <row r="993" spans="1:42" customFormat="1">
      <c r="A993">
        <v>271205</v>
      </c>
      <c r="B993" t="s">
        <v>4448</v>
      </c>
      <c r="C993" t="s">
        <v>4449</v>
      </c>
      <c r="D993" s="22">
        <v>0</v>
      </c>
      <c r="E993" s="17">
        <v>42146</v>
      </c>
      <c r="F993" s="18">
        <v>0.60260416666666672</v>
      </c>
      <c r="G993" s="22">
        <v>15</v>
      </c>
      <c r="H993">
        <v>0</v>
      </c>
      <c r="I993" s="19" t="e">
        <f>I992 + (D993-G993)</f>
        <v>#VALUE!</v>
      </c>
      <c r="M993">
        <v>124180</v>
      </c>
      <c r="N993">
        <v>24</v>
      </c>
      <c r="O993" t="s">
        <v>68</v>
      </c>
      <c r="P993">
        <v>1</v>
      </c>
      <c r="R993">
        <v>575</v>
      </c>
      <c r="S993" s="17">
        <v>42150</v>
      </c>
      <c r="T993" s="17">
        <v>42150</v>
      </c>
      <c r="W993">
        <v>2015</v>
      </c>
      <c r="X993">
        <v>24</v>
      </c>
      <c r="AC993" t="s">
        <v>61</v>
      </c>
      <c r="AD993" t="s">
        <v>302</v>
      </c>
      <c r="AE993" t="s">
        <v>46</v>
      </c>
      <c r="AG993">
        <v>52</v>
      </c>
      <c r="AH993">
        <v>9</v>
      </c>
      <c r="AI993" t="s">
        <v>54</v>
      </c>
      <c r="AK993">
        <v>0</v>
      </c>
      <c r="AM993">
        <v>0</v>
      </c>
      <c r="AP993" t="s">
        <v>325</v>
      </c>
    </row>
    <row r="994" spans="1:42" customFormat="1">
      <c r="A994">
        <v>271206</v>
      </c>
      <c r="B994" t="s">
        <v>4450</v>
      </c>
      <c r="C994" t="s">
        <v>4451</v>
      </c>
      <c r="D994" s="22">
        <v>0</v>
      </c>
      <c r="E994" s="17">
        <v>42146</v>
      </c>
      <c r="F994" s="18">
        <v>0.60260416666666672</v>
      </c>
      <c r="G994" s="22">
        <v>15</v>
      </c>
      <c r="H994">
        <v>0</v>
      </c>
      <c r="I994" s="19" t="e">
        <f>I993 + (D994-G994)</f>
        <v>#VALUE!</v>
      </c>
      <c r="M994">
        <v>124181</v>
      </c>
      <c r="N994">
        <v>24</v>
      </c>
      <c r="O994" t="s">
        <v>68</v>
      </c>
      <c r="P994">
        <v>1</v>
      </c>
      <c r="R994">
        <v>575</v>
      </c>
      <c r="S994" s="17">
        <v>42150</v>
      </c>
      <c r="T994" s="17">
        <v>42150</v>
      </c>
      <c r="W994">
        <v>2015</v>
      </c>
      <c r="X994">
        <v>24</v>
      </c>
      <c r="AC994" t="s">
        <v>61</v>
      </c>
      <c r="AD994" t="s">
        <v>302</v>
      </c>
      <c r="AE994" t="s">
        <v>46</v>
      </c>
      <c r="AG994">
        <v>52</v>
      </c>
      <c r="AH994">
        <v>9</v>
      </c>
      <c r="AI994" t="s">
        <v>54</v>
      </c>
      <c r="AK994">
        <v>0</v>
      </c>
      <c r="AM994">
        <v>0</v>
      </c>
      <c r="AP994" t="s">
        <v>325</v>
      </c>
    </row>
    <row r="995" spans="1:42" customFormat="1">
      <c r="A995">
        <v>271203</v>
      </c>
      <c r="B995" t="s">
        <v>4452</v>
      </c>
      <c r="C995" t="s">
        <v>4453</v>
      </c>
      <c r="D995" s="22">
        <v>0</v>
      </c>
      <c r="E995" s="17">
        <v>42146</v>
      </c>
      <c r="F995" s="18">
        <v>0.60260416666666672</v>
      </c>
      <c r="G995" s="22">
        <v>8.8000000000000007</v>
      </c>
      <c r="H995">
        <v>0</v>
      </c>
      <c r="I995" s="19" t="e">
        <f>I994 + (D995-G995)</f>
        <v>#VALUE!</v>
      </c>
      <c r="M995">
        <v>124178</v>
      </c>
      <c r="N995">
        <v>24</v>
      </c>
      <c r="O995" t="s">
        <v>68</v>
      </c>
      <c r="P995">
        <v>1</v>
      </c>
      <c r="R995">
        <v>575</v>
      </c>
      <c r="S995" s="17">
        <v>42150</v>
      </c>
      <c r="T995" s="17">
        <v>42150</v>
      </c>
      <c r="W995">
        <v>2015</v>
      </c>
      <c r="X995">
        <v>24</v>
      </c>
      <c r="AC995" t="s">
        <v>61</v>
      </c>
      <c r="AD995" t="s">
        <v>302</v>
      </c>
      <c r="AE995" t="s">
        <v>46</v>
      </c>
      <c r="AG995">
        <v>52</v>
      </c>
      <c r="AH995">
        <v>9</v>
      </c>
      <c r="AI995" t="s">
        <v>54</v>
      </c>
      <c r="AK995">
        <v>0</v>
      </c>
      <c r="AM995">
        <v>0</v>
      </c>
      <c r="AP995" t="s">
        <v>325</v>
      </c>
    </row>
    <row r="996" spans="1:42" customFormat="1">
      <c r="A996">
        <v>271204</v>
      </c>
      <c r="B996" t="s">
        <v>4454</v>
      </c>
      <c r="C996" t="s">
        <v>4455</v>
      </c>
      <c r="D996" s="22">
        <v>0</v>
      </c>
      <c r="E996" s="17">
        <v>42146</v>
      </c>
      <c r="F996" s="18">
        <v>0.60260416666666672</v>
      </c>
      <c r="G996" s="22">
        <v>15</v>
      </c>
      <c r="H996">
        <v>0</v>
      </c>
      <c r="I996" s="19" t="e">
        <f>I995 + (D996-G996)</f>
        <v>#VALUE!</v>
      </c>
      <c r="M996">
        <v>124179</v>
      </c>
      <c r="N996">
        <v>24</v>
      </c>
      <c r="O996" t="s">
        <v>68</v>
      </c>
      <c r="P996">
        <v>1</v>
      </c>
      <c r="R996">
        <v>575</v>
      </c>
      <c r="S996" s="17">
        <v>42150</v>
      </c>
      <c r="T996" s="17">
        <v>42150</v>
      </c>
      <c r="W996">
        <v>2015</v>
      </c>
      <c r="X996">
        <v>24</v>
      </c>
      <c r="AC996" t="s">
        <v>61</v>
      </c>
      <c r="AD996" t="s">
        <v>302</v>
      </c>
      <c r="AE996" t="s">
        <v>46</v>
      </c>
      <c r="AG996">
        <v>52</v>
      </c>
      <c r="AH996">
        <v>9</v>
      </c>
      <c r="AI996" t="s">
        <v>54</v>
      </c>
      <c r="AK996">
        <v>0</v>
      </c>
      <c r="AM996">
        <v>0</v>
      </c>
      <c r="AP996" t="s">
        <v>325</v>
      </c>
    </row>
    <row r="997" spans="1:42" customFormat="1">
      <c r="A997">
        <v>271207</v>
      </c>
      <c r="B997" t="s">
        <v>4456</v>
      </c>
      <c r="C997" t="s">
        <v>4457</v>
      </c>
      <c r="D997" s="22">
        <v>0</v>
      </c>
      <c r="E997" s="17">
        <v>42146</v>
      </c>
      <c r="F997" s="18">
        <v>0.60303240740740738</v>
      </c>
      <c r="G997" s="22">
        <v>30</v>
      </c>
      <c r="H997">
        <v>0</v>
      </c>
      <c r="I997" s="19" t="e">
        <f>I996 + (D997-G997)</f>
        <v>#VALUE!</v>
      </c>
      <c r="M997">
        <v>124182</v>
      </c>
      <c r="N997">
        <v>24</v>
      </c>
      <c r="O997" t="s">
        <v>68</v>
      </c>
      <c r="P997">
        <v>1</v>
      </c>
      <c r="R997">
        <v>575</v>
      </c>
      <c r="S997" s="17">
        <v>42150</v>
      </c>
      <c r="T997" s="17">
        <v>42150</v>
      </c>
      <c r="W997">
        <v>2015</v>
      </c>
      <c r="X997">
        <v>24</v>
      </c>
      <c r="AC997" t="s">
        <v>61</v>
      </c>
      <c r="AD997" t="s">
        <v>302</v>
      </c>
      <c r="AE997" t="s">
        <v>46</v>
      </c>
      <c r="AG997">
        <v>52</v>
      </c>
      <c r="AH997">
        <v>9</v>
      </c>
      <c r="AI997" t="s">
        <v>54</v>
      </c>
      <c r="AK997">
        <v>0</v>
      </c>
      <c r="AM997">
        <v>0</v>
      </c>
      <c r="AP997" t="s">
        <v>325</v>
      </c>
    </row>
    <row r="998" spans="1:42" customFormat="1">
      <c r="A998">
        <v>271208</v>
      </c>
      <c r="B998" t="s">
        <v>4458</v>
      </c>
      <c r="C998" t="s">
        <v>4459</v>
      </c>
      <c r="D998" s="22">
        <v>0</v>
      </c>
      <c r="E998" s="17">
        <v>42146</v>
      </c>
      <c r="F998" s="18">
        <v>0.60385416666666669</v>
      </c>
      <c r="G998" s="22">
        <v>30.25</v>
      </c>
      <c r="H998">
        <v>0</v>
      </c>
      <c r="I998" s="19" t="e">
        <f>I997 + (D998-G998)</f>
        <v>#VALUE!</v>
      </c>
      <c r="M998">
        <v>124183</v>
      </c>
      <c r="N998">
        <v>24</v>
      </c>
      <c r="O998" t="s">
        <v>68</v>
      </c>
      <c r="P998">
        <v>1</v>
      </c>
      <c r="R998">
        <v>575</v>
      </c>
      <c r="S998" s="17">
        <v>42150</v>
      </c>
      <c r="T998" s="17">
        <v>42150</v>
      </c>
      <c r="W998">
        <v>2015</v>
      </c>
      <c r="X998">
        <v>24</v>
      </c>
      <c r="AC998" t="s">
        <v>61</v>
      </c>
      <c r="AD998" t="s">
        <v>302</v>
      </c>
      <c r="AE998" t="s">
        <v>46</v>
      </c>
      <c r="AG998">
        <v>52</v>
      </c>
      <c r="AH998">
        <v>9</v>
      </c>
      <c r="AI998" t="s">
        <v>54</v>
      </c>
      <c r="AK998">
        <v>0</v>
      </c>
      <c r="AM998">
        <v>0</v>
      </c>
      <c r="AP998" t="s">
        <v>325</v>
      </c>
    </row>
    <row r="999" spans="1:42" customFormat="1">
      <c r="A999">
        <v>271209</v>
      </c>
      <c r="B999" t="s">
        <v>4460</v>
      </c>
      <c r="C999" t="s">
        <v>4461</v>
      </c>
      <c r="D999" s="22">
        <v>0</v>
      </c>
      <c r="E999" s="17">
        <v>42146</v>
      </c>
      <c r="F999" s="18">
        <v>0.60385416666666669</v>
      </c>
      <c r="G999" s="22">
        <v>15</v>
      </c>
      <c r="H999">
        <v>0</v>
      </c>
      <c r="I999" s="19" t="e">
        <f>I998 + (D999-G999)</f>
        <v>#VALUE!</v>
      </c>
      <c r="M999">
        <v>124184</v>
      </c>
      <c r="N999">
        <v>24</v>
      </c>
      <c r="O999" t="s">
        <v>68</v>
      </c>
      <c r="P999">
        <v>1</v>
      </c>
      <c r="R999">
        <v>575</v>
      </c>
      <c r="S999" s="17">
        <v>42150</v>
      </c>
      <c r="T999" s="17">
        <v>42150</v>
      </c>
      <c r="W999">
        <v>2015</v>
      </c>
      <c r="X999">
        <v>24</v>
      </c>
      <c r="AC999" t="s">
        <v>61</v>
      </c>
      <c r="AD999" t="s">
        <v>302</v>
      </c>
      <c r="AE999" t="s">
        <v>46</v>
      </c>
      <c r="AG999">
        <v>52</v>
      </c>
      <c r="AH999">
        <v>9</v>
      </c>
      <c r="AI999" t="s">
        <v>54</v>
      </c>
      <c r="AK999">
        <v>0</v>
      </c>
      <c r="AM999">
        <v>0</v>
      </c>
      <c r="AP999" t="s">
        <v>325</v>
      </c>
    </row>
    <row r="1000" spans="1:42" customFormat="1">
      <c r="A1000">
        <v>271210</v>
      </c>
      <c r="B1000" t="s">
        <v>4462</v>
      </c>
      <c r="C1000" t="s">
        <v>4463</v>
      </c>
      <c r="D1000" s="22">
        <v>0</v>
      </c>
      <c r="E1000" s="17">
        <v>42146</v>
      </c>
      <c r="F1000" s="18">
        <v>0.60386574074074073</v>
      </c>
      <c r="G1000" s="22">
        <v>15</v>
      </c>
      <c r="H1000">
        <v>0</v>
      </c>
      <c r="I1000" s="19" t="e">
        <f>I999 + (D1000-G1000)</f>
        <v>#VALUE!</v>
      </c>
      <c r="M1000">
        <v>124185</v>
      </c>
      <c r="N1000">
        <v>24</v>
      </c>
      <c r="O1000" t="s">
        <v>68</v>
      </c>
      <c r="P1000">
        <v>1</v>
      </c>
      <c r="R1000">
        <v>575</v>
      </c>
      <c r="S1000" s="17">
        <v>42150</v>
      </c>
      <c r="T1000" s="17">
        <v>42150</v>
      </c>
      <c r="W1000">
        <v>2015</v>
      </c>
      <c r="X1000">
        <v>24</v>
      </c>
      <c r="AC1000" t="s">
        <v>61</v>
      </c>
      <c r="AD1000" t="s">
        <v>302</v>
      </c>
      <c r="AE1000" t="s">
        <v>46</v>
      </c>
      <c r="AG1000">
        <v>52</v>
      </c>
      <c r="AH1000">
        <v>9</v>
      </c>
      <c r="AI1000" t="s">
        <v>54</v>
      </c>
      <c r="AK1000">
        <v>0</v>
      </c>
      <c r="AM1000">
        <v>0</v>
      </c>
      <c r="AP1000" t="s">
        <v>325</v>
      </c>
    </row>
    <row r="1001" spans="1:42" customFormat="1">
      <c r="A1001">
        <v>271211</v>
      </c>
      <c r="B1001" t="s">
        <v>4464</v>
      </c>
      <c r="C1001" t="s">
        <v>4465</v>
      </c>
      <c r="D1001" s="22">
        <v>0</v>
      </c>
      <c r="E1001" s="17">
        <v>42146</v>
      </c>
      <c r="F1001" s="18">
        <v>0.60386574074074073</v>
      </c>
      <c r="G1001" s="22">
        <v>15</v>
      </c>
      <c r="H1001">
        <v>0</v>
      </c>
      <c r="I1001" s="19" t="e">
        <f>I1000 + (D1001-G1001)</f>
        <v>#VALUE!</v>
      </c>
      <c r="M1001">
        <v>124186</v>
      </c>
      <c r="N1001">
        <v>24</v>
      </c>
      <c r="O1001" t="s">
        <v>68</v>
      </c>
      <c r="P1001">
        <v>1</v>
      </c>
      <c r="R1001">
        <v>575</v>
      </c>
      <c r="S1001" s="17">
        <v>42150</v>
      </c>
      <c r="T1001" s="17">
        <v>42150</v>
      </c>
      <c r="W1001">
        <v>2015</v>
      </c>
      <c r="X1001">
        <v>24</v>
      </c>
      <c r="AC1001" t="s">
        <v>61</v>
      </c>
      <c r="AD1001" t="s">
        <v>302</v>
      </c>
      <c r="AE1001" t="s">
        <v>46</v>
      </c>
      <c r="AG1001">
        <v>52</v>
      </c>
      <c r="AH1001">
        <v>9</v>
      </c>
      <c r="AI1001" t="s">
        <v>54</v>
      </c>
      <c r="AK1001">
        <v>0</v>
      </c>
      <c r="AM1001">
        <v>0</v>
      </c>
      <c r="AP1001" t="s">
        <v>325</v>
      </c>
    </row>
    <row r="1002" spans="1:42" customFormat="1">
      <c r="A1002">
        <v>271212</v>
      </c>
      <c r="B1002" t="s">
        <v>4466</v>
      </c>
      <c r="C1002" t="s">
        <v>4467</v>
      </c>
      <c r="D1002" s="22">
        <v>0</v>
      </c>
      <c r="E1002" s="17">
        <v>42146</v>
      </c>
      <c r="F1002" s="18">
        <v>0.60430555555555554</v>
      </c>
      <c r="G1002" s="22">
        <v>47.5</v>
      </c>
      <c r="H1002">
        <v>0</v>
      </c>
      <c r="I1002" s="19" t="e">
        <f>I1001 + (D1002-G1002)</f>
        <v>#VALUE!</v>
      </c>
      <c r="M1002">
        <v>124187</v>
      </c>
      <c r="N1002">
        <v>24</v>
      </c>
      <c r="O1002" t="s">
        <v>68</v>
      </c>
      <c r="P1002">
        <v>1</v>
      </c>
      <c r="R1002">
        <v>575</v>
      </c>
      <c r="S1002" s="17">
        <v>42150</v>
      </c>
      <c r="T1002" s="17">
        <v>42150</v>
      </c>
      <c r="W1002">
        <v>2015</v>
      </c>
      <c r="X1002">
        <v>24</v>
      </c>
      <c r="AC1002" t="s">
        <v>61</v>
      </c>
      <c r="AD1002" t="s">
        <v>302</v>
      </c>
      <c r="AE1002" t="s">
        <v>46</v>
      </c>
      <c r="AG1002">
        <v>52</v>
      </c>
      <c r="AH1002">
        <v>9</v>
      </c>
      <c r="AI1002" t="s">
        <v>54</v>
      </c>
      <c r="AK1002">
        <v>0</v>
      </c>
      <c r="AM1002">
        <v>0</v>
      </c>
      <c r="AP1002" t="s">
        <v>325</v>
      </c>
    </row>
    <row r="1003" spans="1:42" customFormat="1">
      <c r="A1003">
        <v>272879</v>
      </c>
      <c r="B1003" t="s">
        <v>4593</v>
      </c>
      <c r="C1003" t="s">
        <v>4594</v>
      </c>
      <c r="D1003" s="22">
        <v>0</v>
      </c>
      <c r="E1003" s="17">
        <v>42149</v>
      </c>
      <c r="F1003" s="18">
        <v>0.5976041666666666</v>
      </c>
      <c r="G1003" s="22">
        <v>30</v>
      </c>
      <c r="H1003">
        <v>0</v>
      </c>
      <c r="I1003" s="19" t="e">
        <f>I1002 + (D1003-G1003)</f>
        <v>#VALUE!</v>
      </c>
      <c r="M1003">
        <v>125090</v>
      </c>
      <c r="N1003">
        <v>60</v>
      </c>
      <c r="O1003" t="s">
        <v>60</v>
      </c>
      <c r="P1003">
        <v>1</v>
      </c>
      <c r="R1003">
        <v>575</v>
      </c>
      <c r="S1003" s="17">
        <v>42166</v>
      </c>
      <c r="T1003" s="17">
        <v>42166</v>
      </c>
      <c r="W1003">
        <v>2015</v>
      </c>
      <c r="X1003">
        <v>60</v>
      </c>
      <c r="AC1003" t="s">
        <v>61</v>
      </c>
      <c r="AD1003" t="s">
        <v>302</v>
      </c>
      <c r="AE1003" t="s">
        <v>46</v>
      </c>
      <c r="AG1003">
        <v>52</v>
      </c>
      <c r="AH1003">
        <v>10</v>
      </c>
      <c r="AI1003" t="s">
        <v>95</v>
      </c>
      <c r="AK1003">
        <v>0</v>
      </c>
      <c r="AM1003">
        <v>0</v>
      </c>
      <c r="AP1003" t="s">
        <v>325</v>
      </c>
    </row>
    <row r="1004" spans="1:42" customFormat="1">
      <c r="A1004">
        <v>272881</v>
      </c>
      <c r="B1004" t="s">
        <v>4595</v>
      </c>
      <c r="C1004" t="s">
        <v>4596</v>
      </c>
      <c r="D1004" s="22">
        <v>0</v>
      </c>
      <c r="E1004" s="17">
        <v>42149</v>
      </c>
      <c r="F1004" s="18">
        <v>0.5976041666666666</v>
      </c>
      <c r="G1004" s="22">
        <v>0.35</v>
      </c>
      <c r="H1004">
        <v>0</v>
      </c>
      <c r="I1004" s="19" t="e">
        <f>I1003 + (D1004-G1004)</f>
        <v>#VALUE!</v>
      </c>
      <c r="M1004">
        <v>125092</v>
      </c>
      <c r="N1004">
        <v>60</v>
      </c>
      <c r="O1004" t="s">
        <v>60</v>
      </c>
      <c r="P1004">
        <v>1</v>
      </c>
      <c r="R1004">
        <v>575</v>
      </c>
      <c r="S1004" s="17">
        <v>42166</v>
      </c>
      <c r="T1004" s="17">
        <v>42166</v>
      </c>
      <c r="W1004">
        <v>2015</v>
      </c>
      <c r="X1004">
        <v>60</v>
      </c>
      <c r="AC1004" t="s">
        <v>61</v>
      </c>
      <c r="AD1004" t="s">
        <v>302</v>
      </c>
      <c r="AE1004" t="s">
        <v>46</v>
      </c>
      <c r="AG1004">
        <v>52</v>
      </c>
      <c r="AH1004">
        <v>10</v>
      </c>
      <c r="AI1004" t="s">
        <v>95</v>
      </c>
      <c r="AK1004">
        <v>0</v>
      </c>
      <c r="AM1004">
        <v>0</v>
      </c>
      <c r="AP1004" t="s">
        <v>325</v>
      </c>
    </row>
    <row r="1005" spans="1:42" customFormat="1">
      <c r="A1005">
        <v>272882</v>
      </c>
      <c r="B1005" t="s">
        <v>4597</v>
      </c>
      <c r="C1005" t="s">
        <v>4598</v>
      </c>
      <c r="D1005" s="22">
        <v>0</v>
      </c>
      <c r="E1005" s="17">
        <v>42149</v>
      </c>
      <c r="F1005" s="18">
        <v>0.5976041666666666</v>
      </c>
      <c r="G1005" s="22">
        <v>0.35</v>
      </c>
      <c r="H1005">
        <v>0</v>
      </c>
      <c r="I1005" s="19" t="e">
        <f>I1004 + (D1005-G1005)</f>
        <v>#VALUE!</v>
      </c>
      <c r="M1005">
        <v>125093</v>
      </c>
      <c r="N1005">
        <v>60</v>
      </c>
      <c r="O1005" t="s">
        <v>60</v>
      </c>
      <c r="P1005">
        <v>1</v>
      </c>
      <c r="R1005">
        <v>575</v>
      </c>
      <c r="S1005" s="17">
        <v>42166</v>
      </c>
      <c r="T1005" s="17">
        <v>42166</v>
      </c>
      <c r="W1005">
        <v>2015</v>
      </c>
      <c r="X1005">
        <v>60</v>
      </c>
      <c r="AC1005" t="s">
        <v>61</v>
      </c>
      <c r="AD1005" t="s">
        <v>302</v>
      </c>
      <c r="AE1005" t="s">
        <v>46</v>
      </c>
      <c r="AG1005">
        <v>52</v>
      </c>
      <c r="AH1005">
        <v>10</v>
      </c>
      <c r="AI1005" t="s">
        <v>95</v>
      </c>
      <c r="AK1005">
        <v>0</v>
      </c>
      <c r="AM1005">
        <v>0</v>
      </c>
      <c r="AP1005" t="s">
        <v>325</v>
      </c>
    </row>
    <row r="1006" spans="1:42" customFormat="1">
      <c r="A1006">
        <v>272883</v>
      </c>
      <c r="B1006" t="s">
        <v>4599</v>
      </c>
      <c r="C1006" t="s">
        <v>4600</v>
      </c>
      <c r="D1006" s="22">
        <v>0</v>
      </c>
      <c r="E1006" s="17">
        <v>42149</v>
      </c>
      <c r="F1006" s="18">
        <v>0.5976041666666666</v>
      </c>
      <c r="G1006" s="22">
        <v>0.35</v>
      </c>
      <c r="H1006">
        <v>0</v>
      </c>
      <c r="I1006" s="19" t="e">
        <f>I1005 + (D1006-G1006)</f>
        <v>#VALUE!</v>
      </c>
      <c r="M1006">
        <v>125094</v>
      </c>
      <c r="N1006">
        <v>60</v>
      </c>
      <c r="O1006" t="s">
        <v>60</v>
      </c>
      <c r="P1006">
        <v>1</v>
      </c>
      <c r="R1006">
        <v>575</v>
      </c>
      <c r="S1006" s="17">
        <v>42166</v>
      </c>
      <c r="T1006" s="17">
        <v>42166</v>
      </c>
      <c r="W1006">
        <v>2015</v>
      </c>
      <c r="X1006">
        <v>60</v>
      </c>
      <c r="AC1006" t="s">
        <v>61</v>
      </c>
      <c r="AD1006" t="s">
        <v>302</v>
      </c>
      <c r="AE1006" t="s">
        <v>46</v>
      </c>
      <c r="AG1006">
        <v>52</v>
      </c>
      <c r="AH1006">
        <v>10</v>
      </c>
      <c r="AI1006" t="s">
        <v>95</v>
      </c>
      <c r="AK1006">
        <v>0</v>
      </c>
      <c r="AM1006">
        <v>0</v>
      </c>
      <c r="AP1006" t="s">
        <v>325</v>
      </c>
    </row>
    <row r="1007" spans="1:42" customFormat="1">
      <c r="A1007">
        <v>272875</v>
      </c>
      <c r="B1007" t="s">
        <v>4601</v>
      </c>
      <c r="C1007" t="s">
        <v>4602</v>
      </c>
      <c r="D1007" s="22">
        <v>0</v>
      </c>
      <c r="E1007" s="17">
        <v>42149</v>
      </c>
      <c r="F1007" s="18">
        <v>0.5976041666666666</v>
      </c>
      <c r="G1007" s="22">
        <v>30</v>
      </c>
      <c r="H1007">
        <v>0</v>
      </c>
      <c r="I1007" s="19" t="e">
        <f>I1006 + (D1007-G1007)</f>
        <v>#VALUE!</v>
      </c>
      <c r="M1007">
        <v>125086</v>
      </c>
      <c r="N1007">
        <v>60</v>
      </c>
      <c r="O1007" t="s">
        <v>60</v>
      </c>
      <c r="P1007">
        <v>1</v>
      </c>
      <c r="R1007">
        <v>575</v>
      </c>
      <c r="S1007" s="17">
        <v>42166</v>
      </c>
      <c r="T1007" s="17">
        <v>42166</v>
      </c>
      <c r="W1007">
        <v>2015</v>
      </c>
      <c r="X1007">
        <v>60</v>
      </c>
      <c r="AC1007" t="s">
        <v>61</v>
      </c>
      <c r="AD1007" t="s">
        <v>302</v>
      </c>
      <c r="AE1007" t="s">
        <v>46</v>
      </c>
      <c r="AG1007">
        <v>52</v>
      </c>
      <c r="AH1007">
        <v>10</v>
      </c>
      <c r="AI1007" t="s">
        <v>95</v>
      </c>
      <c r="AK1007">
        <v>0</v>
      </c>
      <c r="AM1007">
        <v>0</v>
      </c>
      <c r="AP1007" t="s">
        <v>325</v>
      </c>
    </row>
    <row r="1008" spans="1:42" customFormat="1">
      <c r="A1008">
        <v>272876</v>
      </c>
      <c r="B1008" t="s">
        <v>4603</v>
      </c>
      <c r="C1008" t="s">
        <v>4604</v>
      </c>
      <c r="D1008" s="22">
        <v>0</v>
      </c>
      <c r="E1008" s="17">
        <v>42149</v>
      </c>
      <c r="F1008" s="18">
        <v>0.5976041666666666</v>
      </c>
      <c r="G1008" s="22">
        <v>30</v>
      </c>
      <c r="H1008">
        <v>0</v>
      </c>
      <c r="I1008" s="19" t="e">
        <f>I1007 + (D1008-G1008)</f>
        <v>#VALUE!</v>
      </c>
      <c r="M1008">
        <v>125087</v>
      </c>
      <c r="N1008">
        <v>60</v>
      </c>
      <c r="O1008" t="s">
        <v>60</v>
      </c>
      <c r="P1008">
        <v>1</v>
      </c>
      <c r="R1008">
        <v>575</v>
      </c>
      <c r="S1008" s="17">
        <v>42166</v>
      </c>
      <c r="T1008" s="17">
        <v>42166</v>
      </c>
      <c r="W1008">
        <v>2015</v>
      </c>
      <c r="X1008">
        <v>60</v>
      </c>
      <c r="AC1008" t="s">
        <v>61</v>
      </c>
      <c r="AD1008" t="s">
        <v>302</v>
      </c>
      <c r="AE1008" t="s">
        <v>46</v>
      </c>
      <c r="AG1008">
        <v>52</v>
      </c>
      <c r="AH1008">
        <v>10</v>
      </c>
      <c r="AI1008" t="s">
        <v>95</v>
      </c>
      <c r="AK1008">
        <v>0</v>
      </c>
      <c r="AM1008">
        <v>0</v>
      </c>
      <c r="AP1008" t="s">
        <v>325</v>
      </c>
    </row>
    <row r="1009" spans="1:42" customFormat="1">
      <c r="A1009">
        <v>272877</v>
      </c>
      <c r="B1009" t="s">
        <v>4605</v>
      </c>
      <c r="C1009" t="s">
        <v>4606</v>
      </c>
      <c r="D1009" s="22">
        <v>0</v>
      </c>
      <c r="E1009" s="17">
        <v>42149</v>
      </c>
      <c r="F1009" s="18">
        <v>0.5976041666666666</v>
      </c>
      <c r="G1009" s="22">
        <v>30</v>
      </c>
      <c r="H1009">
        <v>0</v>
      </c>
      <c r="I1009" s="19" t="e">
        <f>I1008 + (D1009-G1009)</f>
        <v>#VALUE!</v>
      </c>
      <c r="M1009">
        <v>125088</v>
      </c>
      <c r="N1009">
        <v>60</v>
      </c>
      <c r="O1009" t="s">
        <v>60</v>
      </c>
      <c r="P1009">
        <v>1</v>
      </c>
      <c r="R1009">
        <v>575</v>
      </c>
      <c r="S1009" s="17">
        <v>42166</v>
      </c>
      <c r="T1009" s="17">
        <v>42166</v>
      </c>
      <c r="W1009">
        <v>2015</v>
      </c>
      <c r="X1009">
        <v>60</v>
      </c>
      <c r="AC1009" t="s">
        <v>61</v>
      </c>
      <c r="AD1009" t="s">
        <v>302</v>
      </c>
      <c r="AE1009" t="s">
        <v>46</v>
      </c>
      <c r="AG1009">
        <v>52</v>
      </c>
      <c r="AH1009">
        <v>10</v>
      </c>
      <c r="AI1009" t="s">
        <v>95</v>
      </c>
      <c r="AK1009">
        <v>0</v>
      </c>
      <c r="AM1009">
        <v>0</v>
      </c>
      <c r="AP1009" t="s">
        <v>325</v>
      </c>
    </row>
    <row r="1010" spans="1:42" customFormat="1">
      <c r="A1010">
        <v>272878</v>
      </c>
      <c r="B1010" t="s">
        <v>4607</v>
      </c>
      <c r="C1010" t="s">
        <v>4608</v>
      </c>
      <c r="D1010" s="22">
        <v>0</v>
      </c>
      <c r="E1010" s="17">
        <v>42149</v>
      </c>
      <c r="F1010" s="18">
        <v>0.5976041666666666</v>
      </c>
      <c r="G1010" s="22">
        <v>30</v>
      </c>
      <c r="H1010">
        <v>0</v>
      </c>
      <c r="I1010" s="19" t="e">
        <f>I1009 + (D1010-G1010)</f>
        <v>#VALUE!</v>
      </c>
      <c r="M1010">
        <v>125089</v>
      </c>
      <c r="N1010">
        <v>60</v>
      </c>
      <c r="O1010" t="s">
        <v>60</v>
      </c>
      <c r="P1010">
        <v>1</v>
      </c>
      <c r="R1010">
        <v>575</v>
      </c>
      <c r="S1010" s="17">
        <v>42166</v>
      </c>
      <c r="T1010" s="17">
        <v>42166</v>
      </c>
      <c r="W1010">
        <v>2015</v>
      </c>
      <c r="X1010">
        <v>60</v>
      </c>
      <c r="AC1010" t="s">
        <v>61</v>
      </c>
      <c r="AD1010" t="s">
        <v>302</v>
      </c>
      <c r="AE1010" t="s">
        <v>46</v>
      </c>
      <c r="AG1010">
        <v>52</v>
      </c>
      <c r="AH1010">
        <v>10</v>
      </c>
      <c r="AI1010" t="s">
        <v>95</v>
      </c>
      <c r="AK1010">
        <v>0</v>
      </c>
      <c r="AM1010">
        <v>0</v>
      </c>
      <c r="AP1010" t="s">
        <v>325</v>
      </c>
    </row>
    <row r="1011" spans="1:42" customFormat="1">
      <c r="A1011">
        <v>272884</v>
      </c>
      <c r="B1011" t="s">
        <v>4609</v>
      </c>
      <c r="C1011" t="s">
        <v>4610</v>
      </c>
      <c r="D1011" s="22">
        <v>0</v>
      </c>
      <c r="E1011" s="17">
        <v>42149</v>
      </c>
      <c r="F1011" s="18">
        <v>0.5976041666666666</v>
      </c>
      <c r="G1011" s="22">
        <v>0.35</v>
      </c>
      <c r="H1011">
        <v>0</v>
      </c>
      <c r="I1011" s="19" t="e">
        <f>I1010 + (D1011-G1011)</f>
        <v>#VALUE!</v>
      </c>
      <c r="M1011">
        <v>125095</v>
      </c>
      <c r="N1011">
        <v>60</v>
      </c>
      <c r="O1011" t="s">
        <v>60</v>
      </c>
      <c r="P1011">
        <v>1</v>
      </c>
      <c r="R1011">
        <v>575</v>
      </c>
      <c r="S1011" s="17">
        <v>42166</v>
      </c>
      <c r="T1011" s="17">
        <v>42166</v>
      </c>
      <c r="W1011">
        <v>2015</v>
      </c>
      <c r="X1011">
        <v>60</v>
      </c>
      <c r="AC1011" t="s">
        <v>61</v>
      </c>
      <c r="AD1011" t="s">
        <v>302</v>
      </c>
      <c r="AE1011" t="s">
        <v>46</v>
      </c>
      <c r="AG1011">
        <v>52</v>
      </c>
      <c r="AH1011">
        <v>10</v>
      </c>
      <c r="AI1011" t="s">
        <v>95</v>
      </c>
      <c r="AK1011">
        <v>0</v>
      </c>
      <c r="AM1011">
        <v>0</v>
      </c>
      <c r="AP1011" t="s">
        <v>325</v>
      </c>
    </row>
    <row r="1012" spans="1:42" customFormat="1">
      <c r="A1012">
        <v>272889</v>
      </c>
      <c r="B1012" t="s">
        <v>4617</v>
      </c>
      <c r="C1012" t="s">
        <v>4618</v>
      </c>
      <c r="D1012" s="22">
        <v>0</v>
      </c>
      <c r="E1012" s="17">
        <v>42149</v>
      </c>
      <c r="F1012" s="18">
        <v>0.59802083333333333</v>
      </c>
      <c r="G1012" s="22">
        <v>0.35</v>
      </c>
      <c r="H1012">
        <v>0</v>
      </c>
      <c r="I1012" s="19" t="e">
        <f>I1011 + (D1012-G1012)</f>
        <v>#VALUE!</v>
      </c>
      <c r="M1012">
        <v>125096</v>
      </c>
      <c r="N1012">
        <v>60</v>
      </c>
      <c r="O1012" t="s">
        <v>60</v>
      </c>
      <c r="P1012">
        <v>1</v>
      </c>
      <c r="R1012">
        <v>575</v>
      </c>
      <c r="S1012" s="17">
        <v>42166</v>
      </c>
      <c r="T1012" s="17">
        <v>42166</v>
      </c>
      <c r="W1012">
        <v>2015</v>
      </c>
      <c r="X1012">
        <v>60</v>
      </c>
      <c r="AC1012" t="s">
        <v>61</v>
      </c>
      <c r="AD1012" t="s">
        <v>302</v>
      </c>
      <c r="AE1012" t="s">
        <v>46</v>
      </c>
      <c r="AG1012">
        <v>52</v>
      </c>
      <c r="AH1012">
        <v>10</v>
      </c>
      <c r="AI1012" t="s">
        <v>95</v>
      </c>
      <c r="AK1012">
        <v>0</v>
      </c>
      <c r="AM1012">
        <v>0</v>
      </c>
      <c r="AP1012" t="s">
        <v>325</v>
      </c>
    </row>
    <row r="1013" spans="1:42" customFormat="1">
      <c r="A1013">
        <v>273061</v>
      </c>
      <c r="B1013" t="s">
        <v>4619</v>
      </c>
      <c r="C1013" t="s">
        <v>4620</v>
      </c>
      <c r="D1013" s="22">
        <v>0</v>
      </c>
      <c r="E1013" s="17">
        <v>42149</v>
      </c>
      <c r="F1013" s="18">
        <v>0.60853009259259261</v>
      </c>
      <c r="G1013" s="22">
        <v>1.55</v>
      </c>
      <c r="H1013">
        <v>0</v>
      </c>
      <c r="I1013" s="19" t="e">
        <f>I1012 + (D1013-G1013)</f>
        <v>#VALUE!</v>
      </c>
      <c r="M1013">
        <v>126910</v>
      </c>
      <c r="N1013">
        <v>24</v>
      </c>
      <c r="O1013" t="s">
        <v>68</v>
      </c>
      <c r="P1013">
        <v>1</v>
      </c>
      <c r="R1013">
        <v>575</v>
      </c>
      <c r="S1013" s="17">
        <v>42170</v>
      </c>
      <c r="T1013" s="17">
        <v>42170</v>
      </c>
      <c r="W1013">
        <v>2015</v>
      </c>
      <c r="X1013">
        <v>24</v>
      </c>
      <c r="AC1013" t="s">
        <v>61</v>
      </c>
      <c r="AD1013" t="s">
        <v>302</v>
      </c>
      <c r="AE1013" t="s">
        <v>46</v>
      </c>
      <c r="AG1013">
        <v>118</v>
      </c>
      <c r="AH1013">
        <v>1</v>
      </c>
      <c r="AI1013" t="s">
        <v>58</v>
      </c>
      <c r="AK1013">
        <v>0</v>
      </c>
      <c r="AM1013">
        <v>0</v>
      </c>
      <c r="AP1013" t="s">
        <v>418</v>
      </c>
    </row>
    <row r="1014" spans="1:42" customFormat="1">
      <c r="A1014">
        <v>273062</v>
      </c>
      <c r="B1014" t="s">
        <v>4621</v>
      </c>
      <c r="C1014" t="s">
        <v>4622</v>
      </c>
      <c r="D1014" s="22">
        <v>0</v>
      </c>
      <c r="E1014" s="17">
        <v>42149</v>
      </c>
      <c r="F1014" s="18">
        <v>0.60853009259259261</v>
      </c>
      <c r="G1014" s="22">
        <v>5.9</v>
      </c>
      <c r="H1014">
        <v>0</v>
      </c>
      <c r="I1014" s="19" t="e">
        <f>I1013 + (D1014-G1014)</f>
        <v>#VALUE!</v>
      </c>
      <c r="M1014">
        <v>126911</v>
      </c>
      <c r="N1014">
        <v>24</v>
      </c>
      <c r="O1014" t="s">
        <v>68</v>
      </c>
      <c r="P1014">
        <v>1</v>
      </c>
      <c r="R1014">
        <v>575</v>
      </c>
      <c r="S1014" s="17">
        <v>42170</v>
      </c>
      <c r="T1014" s="17">
        <v>42170</v>
      </c>
      <c r="W1014">
        <v>2015</v>
      </c>
      <c r="X1014">
        <v>24</v>
      </c>
      <c r="AC1014" t="s">
        <v>61</v>
      </c>
      <c r="AD1014" t="s">
        <v>302</v>
      </c>
      <c r="AE1014" t="s">
        <v>46</v>
      </c>
      <c r="AG1014">
        <v>118</v>
      </c>
      <c r="AH1014">
        <v>1</v>
      </c>
      <c r="AI1014" t="s">
        <v>58</v>
      </c>
      <c r="AK1014">
        <v>0</v>
      </c>
      <c r="AM1014">
        <v>0</v>
      </c>
      <c r="AP1014" t="s">
        <v>418</v>
      </c>
    </row>
    <row r="1015" spans="1:42" customFormat="1">
      <c r="A1015">
        <v>273063</v>
      </c>
      <c r="B1015" t="s">
        <v>4849</v>
      </c>
      <c r="C1015" t="s">
        <v>4850</v>
      </c>
      <c r="D1015" s="22">
        <v>0</v>
      </c>
      <c r="E1015" s="17">
        <v>42150</v>
      </c>
      <c r="F1015" s="18">
        <v>0.61050925925925925</v>
      </c>
      <c r="G1015" s="22">
        <v>1.55</v>
      </c>
      <c r="H1015">
        <v>0</v>
      </c>
      <c r="I1015" s="19" t="e">
        <f>I1014 + (D1015-G1015)</f>
        <v>#VALUE!</v>
      </c>
      <c r="M1015">
        <v>126912</v>
      </c>
      <c r="N1015">
        <v>24</v>
      </c>
      <c r="O1015" t="s">
        <v>68</v>
      </c>
      <c r="P1015">
        <v>1</v>
      </c>
      <c r="R1015">
        <v>575</v>
      </c>
      <c r="S1015" s="17">
        <v>42170</v>
      </c>
      <c r="T1015" s="17">
        <v>42170</v>
      </c>
      <c r="W1015">
        <v>2015</v>
      </c>
      <c r="X1015">
        <v>24</v>
      </c>
      <c r="AC1015" t="s">
        <v>61</v>
      </c>
      <c r="AD1015" t="s">
        <v>302</v>
      </c>
      <c r="AE1015" t="s">
        <v>46</v>
      </c>
      <c r="AG1015">
        <v>118</v>
      </c>
      <c r="AH1015">
        <v>1</v>
      </c>
      <c r="AI1015" t="s">
        <v>58</v>
      </c>
      <c r="AK1015">
        <v>0</v>
      </c>
      <c r="AM1015">
        <v>0</v>
      </c>
      <c r="AP1015" t="s">
        <v>418</v>
      </c>
    </row>
    <row r="1016" spans="1:42" customFormat="1">
      <c r="A1016">
        <v>272891</v>
      </c>
      <c r="B1016" t="s">
        <v>4851</v>
      </c>
      <c r="C1016" t="s">
        <v>4852</v>
      </c>
      <c r="D1016" s="22">
        <v>0</v>
      </c>
      <c r="E1016" s="17">
        <v>42150</v>
      </c>
      <c r="F1016" s="18">
        <v>0.61190972222222217</v>
      </c>
      <c r="G1016" s="22">
        <v>9.9</v>
      </c>
      <c r="H1016">
        <v>0</v>
      </c>
      <c r="I1016" s="19" t="e">
        <f>I1015 + (D1016-G1016)</f>
        <v>#VALUE!</v>
      </c>
      <c r="M1016">
        <v>125100</v>
      </c>
      <c r="N1016">
        <v>60</v>
      </c>
      <c r="O1016" t="s">
        <v>60</v>
      </c>
      <c r="P1016">
        <v>1</v>
      </c>
      <c r="R1016">
        <v>575</v>
      </c>
      <c r="S1016" s="17">
        <v>42166</v>
      </c>
      <c r="T1016" s="17">
        <v>42166</v>
      </c>
      <c r="W1016">
        <v>2015</v>
      </c>
      <c r="X1016">
        <v>60</v>
      </c>
      <c r="AC1016" t="s">
        <v>61</v>
      </c>
      <c r="AD1016" t="s">
        <v>302</v>
      </c>
      <c r="AE1016" t="s">
        <v>46</v>
      </c>
      <c r="AG1016">
        <v>52</v>
      </c>
      <c r="AH1016">
        <v>10</v>
      </c>
      <c r="AI1016" t="s">
        <v>95</v>
      </c>
      <c r="AK1016">
        <v>0</v>
      </c>
      <c r="AM1016">
        <v>0</v>
      </c>
      <c r="AP1016" t="s">
        <v>325</v>
      </c>
    </row>
    <row r="1017" spans="1:42" customFormat="1">
      <c r="A1017">
        <v>272892</v>
      </c>
      <c r="B1017" t="s">
        <v>4853</v>
      </c>
      <c r="C1017" t="s">
        <v>4854</v>
      </c>
      <c r="D1017" s="22">
        <v>0</v>
      </c>
      <c r="E1017" s="17">
        <v>42150</v>
      </c>
      <c r="F1017" s="18">
        <v>0.61190972222222217</v>
      </c>
      <c r="G1017" s="22">
        <v>8.8000000000000007</v>
      </c>
      <c r="H1017">
        <v>0</v>
      </c>
      <c r="I1017" s="19" t="e">
        <f>I1016 + (D1017-G1017)</f>
        <v>#VALUE!</v>
      </c>
      <c r="M1017">
        <v>125101</v>
      </c>
      <c r="N1017">
        <v>60</v>
      </c>
      <c r="O1017" t="s">
        <v>60</v>
      </c>
      <c r="P1017">
        <v>1</v>
      </c>
      <c r="R1017">
        <v>575</v>
      </c>
      <c r="S1017" s="17">
        <v>42166</v>
      </c>
      <c r="T1017" s="17">
        <v>42166</v>
      </c>
      <c r="W1017">
        <v>2015</v>
      </c>
      <c r="X1017">
        <v>60</v>
      </c>
      <c r="AC1017" t="s">
        <v>61</v>
      </c>
      <c r="AD1017" t="s">
        <v>302</v>
      </c>
      <c r="AE1017" t="s">
        <v>46</v>
      </c>
      <c r="AG1017">
        <v>52</v>
      </c>
      <c r="AH1017">
        <v>10</v>
      </c>
      <c r="AI1017" t="s">
        <v>95</v>
      </c>
      <c r="AK1017">
        <v>0</v>
      </c>
      <c r="AM1017">
        <v>0</v>
      </c>
      <c r="AP1017" t="s">
        <v>325</v>
      </c>
    </row>
    <row r="1018" spans="1:42" customFormat="1">
      <c r="A1018">
        <v>272893</v>
      </c>
      <c r="B1018" t="s">
        <v>4855</v>
      </c>
      <c r="C1018" t="s">
        <v>4856</v>
      </c>
      <c r="D1018" s="22">
        <v>0</v>
      </c>
      <c r="E1018" s="17">
        <v>42150</v>
      </c>
      <c r="F1018" s="18">
        <v>0.61190972222222217</v>
      </c>
      <c r="G1018" s="22">
        <v>23.3</v>
      </c>
      <c r="H1018">
        <v>0</v>
      </c>
      <c r="I1018" s="19" t="e">
        <f>I1017 + (D1018-G1018)</f>
        <v>#VALUE!</v>
      </c>
      <c r="M1018">
        <v>125102</v>
      </c>
      <c r="N1018">
        <v>60</v>
      </c>
      <c r="O1018" t="s">
        <v>60</v>
      </c>
      <c r="P1018">
        <v>1</v>
      </c>
      <c r="R1018">
        <v>575</v>
      </c>
      <c r="S1018" s="17">
        <v>42166</v>
      </c>
      <c r="T1018" s="17">
        <v>42166</v>
      </c>
      <c r="W1018">
        <v>2015</v>
      </c>
      <c r="X1018">
        <v>60</v>
      </c>
      <c r="AC1018" t="s">
        <v>61</v>
      </c>
      <c r="AD1018" t="s">
        <v>302</v>
      </c>
      <c r="AE1018" t="s">
        <v>46</v>
      </c>
      <c r="AG1018">
        <v>52</v>
      </c>
      <c r="AH1018">
        <v>10</v>
      </c>
      <c r="AI1018" t="s">
        <v>95</v>
      </c>
      <c r="AK1018">
        <v>0</v>
      </c>
      <c r="AM1018">
        <v>0</v>
      </c>
      <c r="AP1018" t="s">
        <v>325</v>
      </c>
    </row>
    <row r="1019" spans="1:42" customFormat="1">
      <c r="A1019">
        <v>271780</v>
      </c>
      <c r="B1019" t="s">
        <v>4893</v>
      </c>
      <c r="C1019" t="s">
        <v>4894</v>
      </c>
      <c r="D1019" s="22">
        <v>0</v>
      </c>
      <c r="E1019" s="17">
        <v>42150</v>
      </c>
      <c r="F1019" s="18">
        <v>0.66787037037037045</v>
      </c>
      <c r="G1019" s="22">
        <v>78</v>
      </c>
      <c r="H1019">
        <v>0</v>
      </c>
      <c r="I1019" s="19" t="e">
        <f>I1018 + (D1019-G1019)</f>
        <v>#VALUE!</v>
      </c>
      <c r="M1019">
        <v>124525</v>
      </c>
      <c r="N1019">
        <v>24</v>
      </c>
      <c r="O1019" t="s">
        <v>68</v>
      </c>
      <c r="P1019">
        <v>1</v>
      </c>
      <c r="R1019">
        <v>575</v>
      </c>
      <c r="S1019" s="17">
        <v>42158</v>
      </c>
      <c r="T1019" s="17">
        <v>42158</v>
      </c>
      <c r="W1019">
        <v>2015</v>
      </c>
      <c r="X1019">
        <v>24</v>
      </c>
      <c r="AC1019" t="s">
        <v>61</v>
      </c>
      <c r="AD1019" t="s">
        <v>302</v>
      </c>
      <c r="AE1019" t="s">
        <v>46</v>
      </c>
      <c r="AG1019">
        <v>7</v>
      </c>
      <c r="AH1019">
        <v>9</v>
      </c>
      <c r="AI1019" t="s">
        <v>54</v>
      </c>
      <c r="AK1019">
        <v>0</v>
      </c>
      <c r="AM1019">
        <v>0</v>
      </c>
      <c r="AP1019" t="s">
        <v>220</v>
      </c>
    </row>
    <row r="1020" spans="1:42" customFormat="1">
      <c r="A1020">
        <v>273110</v>
      </c>
      <c r="B1020" t="s">
        <v>4936</v>
      </c>
      <c r="C1020" t="s">
        <v>4937</v>
      </c>
      <c r="D1020" s="22">
        <v>0</v>
      </c>
      <c r="E1020" s="17">
        <v>42151</v>
      </c>
      <c r="F1020" s="18">
        <v>0.3802314814814815</v>
      </c>
      <c r="G1020" s="22">
        <v>22</v>
      </c>
      <c r="H1020">
        <v>0</v>
      </c>
      <c r="I1020" s="19" t="e">
        <f>I1019 + (D1020-G1020)</f>
        <v>#VALUE!</v>
      </c>
      <c r="M1020">
        <v>126929</v>
      </c>
      <c r="N1020">
        <v>24</v>
      </c>
      <c r="O1020" t="s">
        <v>68</v>
      </c>
      <c r="P1020">
        <v>1</v>
      </c>
      <c r="R1020">
        <v>575</v>
      </c>
      <c r="S1020" s="17">
        <v>42171</v>
      </c>
      <c r="T1020" s="17">
        <v>42171</v>
      </c>
      <c r="W1020">
        <v>2015</v>
      </c>
      <c r="X1020">
        <v>24</v>
      </c>
      <c r="AC1020" t="s">
        <v>61</v>
      </c>
      <c r="AD1020" t="s">
        <v>302</v>
      </c>
      <c r="AE1020" t="s">
        <v>46</v>
      </c>
      <c r="AG1020">
        <v>2</v>
      </c>
      <c r="AH1020">
        <v>9</v>
      </c>
      <c r="AI1020" t="s">
        <v>54</v>
      </c>
      <c r="AK1020">
        <v>0</v>
      </c>
      <c r="AM1020">
        <v>0</v>
      </c>
      <c r="AP1020" t="s">
        <v>2544</v>
      </c>
    </row>
    <row r="1021" spans="1:42" customFormat="1">
      <c r="A1021">
        <v>273036</v>
      </c>
      <c r="B1021" t="s">
        <v>4948</v>
      </c>
      <c r="C1021" t="s">
        <v>4949</v>
      </c>
      <c r="D1021" s="22">
        <v>0</v>
      </c>
      <c r="E1021" s="17">
        <v>42151</v>
      </c>
      <c r="F1021" s="18">
        <v>0.42376157407407411</v>
      </c>
      <c r="G1021" s="22">
        <v>8</v>
      </c>
      <c r="H1021">
        <v>0</v>
      </c>
      <c r="I1021" s="19" t="e">
        <f>I1020 + (D1021-G1021)</f>
        <v>#VALUE!</v>
      </c>
      <c r="M1021">
        <v>125183</v>
      </c>
      <c r="N1021">
        <v>24</v>
      </c>
      <c r="O1021" t="s">
        <v>68</v>
      </c>
      <c r="P1021">
        <v>1</v>
      </c>
      <c r="R1021">
        <v>575</v>
      </c>
      <c r="S1021" s="17">
        <v>42167</v>
      </c>
      <c r="T1021" s="17">
        <v>42167</v>
      </c>
      <c r="W1021">
        <v>2015</v>
      </c>
      <c r="X1021">
        <v>24</v>
      </c>
      <c r="AC1021" t="s">
        <v>61</v>
      </c>
      <c r="AD1021" t="s">
        <v>302</v>
      </c>
      <c r="AE1021" t="s">
        <v>46</v>
      </c>
      <c r="AG1021">
        <v>5</v>
      </c>
      <c r="AH1021">
        <v>9</v>
      </c>
      <c r="AI1021" t="s">
        <v>54</v>
      </c>
      <c r="AK1021">
        <v>0</v>
      </c>
      <c r="AM1021">
        <v>0</v>
      </c>
      <c r="AP1021" t="s">
        <v>312</v>
      </c>
    </row>
    <row r="1022" spans="1:42" customFormat="1">
      <c r="A1022">
        <v>272062</v>
      </c>
      <c r="B1022" t="s">
        <v>4982</v>
      </c>
      <c r="C1022" t="s">
        <v>4983</v>
      </c>
      <c r="D1022" s="22">
        <v>0</v>
      </c>
      <c r="E1022" s="17">
        <v>42151</v>
      </c>
      <c r="F1022" s="18">
        <v>0.56560185185185186</v>
      </c>
      <c r="G1022" s="22">
        <v>15.9</v>
      </c>
      <c r="H1022">
        <v>0</v>
      </c>
      <c r="I1022" s="19" t="e">
        <f>I1021 + (D1022-G1022)</f>
        <v>#VALUE!</v>
      </c>
      <c r="M1022">
        <v>124797</v>
      </c>
      <c r="N1022">
        <v>24</v>
      </c>
      <c r="O1022" t="s">
        <v>68</v>
      </c>
      <c r="P1022">
        <v>1</v>
      </c>
      <c r="R1022">
        <v>575</v>
      </c>
      <c r="S1022" s="17">
        <v>42160</v>
      </c>
      <c r="T1022" s="17">
        <v>42160</v>
      </c>
      <c r="W1022">
        <v>2015</v>
      </c>
      <c r="X1022">
        <v>24</v>
      </c>
      <c r="AC1022" t="s">
        <v>61</v>
      </c>
      <c r="AD1022" t="s">
        <v>302</v>
      </c>
      <c r="AE1022" t="s">
        <v>46</v>
      </c>
      <c r="AG1022">
        <v>26</v>
      </c>
      <c r="AH1022">
        <v>9</v>
      </c>
      <c r="AI1022" t="s">
        <v>54</v>
      </c>
      <c r="AK1022">
        <v>0</v>
      </c>
      <c r="AM1022">
        <v>0</v>
      </c>
      <c r="AP1022" t="s">
        <v>501</v>
      </c>
    </row>
    <row r="1023" spans="1:42" customFormat="1">
      <c r="A1023">
        <v>273064</v>
      </c>
      <c r="B1023" t="s">
        <v>4999</v>
      </c>
      <c r="C1023" t="s">
        <v>5000</v>
      </c>
      <c r="D1023" s="22">
        <v>0</v>
      </c>
      <c r="E1023" s="17">
        <v>42151</v>
      </c>
      <c r="F1023" s="18">
        <v>0.61083333333333334</v>
      </c>
      <c r="G1023" s="22">
        <v>3.1</v>
      </c>
      <c r="H1023">
        <v>0</v>
      </c>
      <c r="I1023" s="19" t="e">
        <f>I1022 + (D1023-G1023)</f>
        <v>#VALUE!</v>
      </c>
      <c r="M1023">
        <v>126913</v>
      </c>
      <c r="N1023">
        <v>24</v>
      </c>
      <c r="O1023" t="s">
        <v>68</v>
      </c>
      <c r="P1023">
        <v>1</v>
      </c>
      <c r="R1023">
        <v>575</v>
      </c>
      <c r="S1023" s="17">
        <v>42170</v>
      </c>
      <c r="T1023" s="17">
        <v>42170</v>
      </c>
      <c r="W1023">
        <v>2015</v>
      </c>
      <c r="X1023">
        <v>24</v>
      </c>
      <c r="AC1023" t="s">
        <v>61</v>
      </c>
      <c r="AD1023" t="s">
        <v>302</v>
      </c>
      <c r="AE1023" t="s">
        <v>46</v>
      </c>
      <c r="AG1023">
        <v>118</v>
      </c>
      <c r="AH1023">
        <v>1</v>
      </c>
      <c r="AI1023" t="s">
        <v>58</v>
      </c>
      <c r="AK1023">
        <v>0</v>
      </c>
      <c r="AM1023">
        <v>0</v>
      </c>
      <c r="AP1023" t="s">
        <v>418</v>
      </c>
    </row>
    <row r="1024" spans="1:42" customFormat="1">
      <c r="A1024">
        <v>272903</v>
      </c>
      <c r="B1024" t="s">
        <v>5010</v>
      </c>
      <c r="C1024" t="s">
        <v>5011</v>
      </c>
      <c r="D1024" s="22">
        <v>0</v>
      </c>
      <c r="E1024" s="17">
        <v>42151</v>
      </c>
      <c r="F1024" s="18">
        <v>0.62199074074074068</v>
      </c>
      <c r="G1024" s="22">
        <v>8.9700000000000006</v>
      </c>
      <c r="H1024">
        <v>0</v>
      </c>
      <c r="I1024" s="19" t="e">
        <f>I1023 + (D1024-G1024)</f>
        <v>#VALUE!</v>
      </c>
      <c r="M1024">
        <v>125105</v>
      </c>
      <c r="N1024">
        <v>60</v>
      </c>
      <c r="O1024" t="s">
        <v>60</v>
      </c>
      <c r="P1024">
        <v>1</v>
      </c>
      <c r="R1024">
        <v>575</v>
      </c>
      <c r="S1024" s="17">
        <v>42166</v>
      </c>
      <c r="T1024" s="17">
        <v>42166</v>
      </c>
      <c r="W1024">
        <v>2015</v>
      </c>
      <c r="X1024">
        <v>60</v>
      </c>
      <c r="AC1024" t="s">
        <v>61</v>
      </c>
      <c r="AD1024" t="s">
        <v>302</v>
      </c>
      <c r="AE1024" t="s">
        <v>46</v>
      </c>
      <c r="AG1024">
        <v>52</v>
      </c>
      <c r="AH1024">
        <v>10</v>
      </c>
      <c r="AI1024" t="s">
        <v>95</v>
      </c>
      <c r="AK1024">
        <v>0</v>
      </c>
      <c r="AM1024">
        <v>0</v>
      </c>
      <c r="AP1024" t="s">
        <v>325</v>
      </c>
    </row>
    <row r="1025" spans="1:42" customFormat="1">
      <c r="A1025">
        <v>276180</v>
      </c>
      <c r="B1025" t="s">
        <v>5018</v>
      </c>
      <c r="C1025" t="s">
        <v>5019</v>
      </c>
      <c r="D1025" s="22">
        <v>0</v>
      </c>
      <c r="E1025" s="17">
        <v>42151</v>
      </c>
      <c r="F1025" s="18">
        <v>0.69578703703703704</v>
      </c>
      <c r="G1025" s="22">
        <v>5.76</v>
      </c>
      <c r="H1025">
        <v>0</v>
      </c>
      <c r="I1025" s="19" t="e">
        <f>I1024 + (D1025-G1025)</f>
        <v>#VALUE!</v>
      </c>
      <c r="M1025">
        <v>128710</v>
      </c>
      <c r="N1025">
        <v>24</v>
      </c>
      <c r="O1025" t="s">
        <v>68</v>
      </c>
      <c r="P1025">
        <v>1</v>
      </c>
      <c r="R1025">
        <v>575</v>
      </c>
      <c r="S1025" s="17">
        <v>42188</v>
      </c>
      <c r="T1025" s="17">
        <v>42188</v>
      </c>
      <c r="W1025">
        <v>2015</v>
      </c>
      <c r="X1025">
        <v>24</v>
      </c>
      <c r="AC1025" t="s">
        <v>61</v>
      </c>
      <c r="AD1025" t="s">
        <v>302</v>
      </c>
      <c r="AE1025" t="s">
        <v>46</v>
      </c>
      <c r="AG1025">
        <v>107</v>
      </c>
      <c r="AH1025">
        <v>9</v>
      </c>
      <c r="AI1025" t="s">
        <v>54</v>
      </c>
      <c r="AK1025">
        <v>0</v>
      </c>
      <c r="AM1025">
        <v>0</v>
      </c>
      <c r="AP1025" t="s">
        <v>1121</v>
      </c>
    </row>
    <row r="1026" spans="1:42" customFormat="1">
      <c r="A1026">
        <v>276181</v>
      </c>
      <c r="B1026" t="s">
        <v>5020</v>
      </c>
      <c r="C1026" t="s">
        <v>5021</v>
      </c>
      <c r="D1026" s="22">
        <v>0</v>
      </c>
      <c r="E1026" s="17">
        <v>42151</v>
      </c>
      <c r="F1026" s="18">
        <v>0.69578703703703704</v>
      </c>
      <c r="G1026" s="22">
        <v>948.63</v>
      </c>
      <c r="H1026">
        <v>0</v>
      </c>
      <c r="I1026" s="19" t="e">
        <f>I1025 + (D1026-G1026)</f>
        <v>#VALUE!</v>
      </c>
      <c r="M1026">
        <v>128711</v>
      </c>
      <c r="N1026">
        <v>24</v>
      </c>
      <c r="O1026" t="s">
        <v>68</v>
      </c>
      <c r="P1026">
        <v>1</v>
      </c>
      <c r="R1026">
        <v>575</v>
      </c>
      <c r="S1026" s="17">
        <v>42188</v>
      </c>
      <c r="T1026" s="17">
        <v>42188</v>
      </c>
      <c r="W1026">
        <v>2015</v>
      </c>
      <c r="X1026">
        <v>24</v>
      </c>
      <c r="AC1026" t="s">
        <v>61</v>
      </c>
      <c r="AD1026" t="s">
        <v>302</v>
      </c>
      <c r="AE1026" t="s">
        <v>46</v>
      </c>
      <c r="AG1026">
        <v>107</v>
      </c>
      <c r="AH1026">
        <v>9</v>
      </c>
      <c r="AI1026" t="s">
        <v>54</v>
      </c>
      <c r="AK1026">
        <v>0</v>
      </c>
      <c r="AM1026">
        <v>0</v>
      </c>
      <c r="AP1026" t="s">
        <v>1121</v>
      </c>
    </row>
    <row r="1027" spans="1:42" customFormat="1">
      <c r="A1027">
        <v>272063</v>
      </c>
      <c r="B1027" t="s">
        <v>5122</v>
      </c>
      <c r="C1027" t="s">
        <v>5123</v>
      </c>
      <c r="D1027" s="22">
        <v>0</v>
      </c>
      <c r="E1027" s="17">
        <v>42152</v>
      </c>
      <c r="F1027" s="18">
        <v>0.56594907407407413</v>
      </c>
      <c r="G1027" s="22">
        <v>15.9</v>
      </c>
      <c r="H1027">
        <v>0</v>
      </c>
      <c r="I1027" s="19" t="e">
        <f>I1026 + (D1027-G1027)</f>
        <v>#VALUE!</v>
      </c>
      <c r="M1027">
        <v>124798</v>
      </c>
      <c r="N1027">
        <v>24</v>
      </c>
      <c r="O1027" t="s">
        <v>68</v>
      </c>
      <c r="P1027">
        <v>1</v>
      </c>
      <c r="R1027">
        <v>575</v>
      </c>
      <c r="S1027" s="17">
        <v>42160</v>
      </c>
      <c r="T1027" s="17">
        <v>42160</v>
      </c>
      <c r="W1027">
        <v>2015</v>
      </c>
      <c r="X1027">
        <v>24</v>
      </c>
      <c r="AC1027" t="s">
        <v>61</v>
      </c>
      <c r="AD1027" t="s">
        <v>302</v>
      </c>
      <c r="AE1027" t="s">
        <v>46</v>
      </c>
      <c r="AG1027">
        <v>26</v>
      </c>
      <c r="AH1027">
        <v>9</v>
      </c>
      <c r="AI1027" t="s">
        <v>54</v>
      </c>
      <c r="AK1027">
        <v>0</v>
      </c>
      <c r="AM1027">
        <v>0</v>
      </c>
      <c r="AP1027" t="s">
        <v>501</v>
      </c>
    </row>
    <row r="1028" spans="1:42" customFormat="1">
      <c r="A1028">
        <v>273065</v>
      </c>
      <c r="B1028" t="s">
        <v>5147</v>
      </c>
      <c r="C1028" t="s">
        <v>5148</v>
      </c>
      <c r="D1028" s="22">
        <v>0</v>
      </c>
      <c r="E1028" s="17">
        <v>42152</v>
      </c>
      <c r="F1028" s="18">
        <v>0.61119212962962965</v>
      </c>
      <c r="G1028" s="22">
        <v>8.85</v>
      </c>
      <c r="H1028">
        <v>0</v>
      </c>
      <c r="I1028" s="19" t="e">
        <f>I1027 + (D1028-G1028)</f>
        <v>#VALUE!</v>
      </c>
      <c r="M1028">
        <v>126914</v>
      </c>
      <c r="N1028">
        <v>24</v>
      </c>
      <c r="O1028" t="s">
        <v>68</v>
      </c>
      <c r="P1028">
        <v>1</v>
      </c>
      <c r="R1028">
        <v>575</v>
      </c>
      <c r="S1028" s="17">
        <v>42170</v>
      </c>
      <c r="T1028" s="17">
        <v>42170</v>
      </c>
      <c r="W1028">
        <v>2015</v>
      </c>
      <c r="X1028">
        <v>24</v>
      </c>
      <c r="AC1028" t="s">
        <v>61</v>
      </c>
      <c r="AD1028" t="s">
        <v>302</v>
      </c>
      <c r="AE1028" t="s">
        <v>46</v>
      </c>
      <c r="AG1028">
        <v>118</v>
      </c>
      <c r="AH1028">
        <v>1</v>
      </c>
      <c r="AI1028" t="s">
        <v>58</v>
      </c>
      <c r="AK1028">
        <v>0</v>
      </c>
      <c r="AM1028">
        <v>0</v>
      </c>
      <c r="AP1028" t="s">
        <v>418</v>
      </c>
    </row>
    <row r="1029" spans="1:42" customFormat="1">
      <c r="A1029">
        <v>271786</v>
      </c>
      <c r="B1029" t="s">
        <v>5157</v>
      </c>
      <c r="C1029" t="s">
        <v>5158</v>
      </c>
      <c r="D1029" s="22">
        <v>0</v>
      </c>
      <c r="E1029" s="17">
        <v>42152</v>
      </c>
      <c r="F1029" s="18">
        <v>0.6708101851851852</v>
      </c>
      <c r="G1029" s="22">
        <v>2268.5100000000002</v>
      </c>
      <c r="H1029">
        <v>0</v>
      </c>
      <c r="I1029" s="19" t="e">
        <f>I1028 + (D1029-G1029)</f>
        <v>#VALUE!</v>
      </c>
      <c r="M1029">
        <v>124529</v>
      </c>
      <c r="N1029">
        <v>24</v>
      </c>
      <c r="O1029" t="s">
        <v>68</v>
      </c>
      <c r="P1029">
        <v>1</v>
      </c>
      <c r="R1029">
        <v>575</v>
      </c>
      <c r="S1029" s="17">
        <v>42158</v>
      </c>
      <c r="T1029" s="17">
        <v>42158</v>
      </c>
      <c r="W1029">
        <v>2015</v>
      </c>
      <c r="X1029">
        <v>24</v>
      </c>
      <c r="AC1029" t="s">
        <v>61</v>
      </c>
      <c r="AD1029" t="s">
        <v>302</v>
      </c>
      <c r="AE1029" t="s">
        <v>46</v>
      </c>
      <c r="AG1029">
        <v>7</v>
      </c>
      <c r="AH1029">
        <v>9</v>
      </c>
      <c r="AI1029" t="s">
        <v>54</v>
      </c>
      <c r="AK1029">
        <v>0</v>
      </c>
      <c r="AM1029">
        <v>0</v>
      </c>
      <c r="AP1029" t="s">
        <v>220</v>
      </c>
    </row>
    <row r="1030" spans="1:42" customFormat="1">
      <c r="A1030">
        <v>276182</v>
      </c>
      <c r="B1030" t="s">
        <v>5163</v>
      </c>
      <c r="C1030" t="s">
        <v>5164</v>
      </c>
      <c r="D1030" s="22">
        <v>0</v>
      </c>
      <c r="E1030" s="17">
        <v>42152</v>
      </c>
      <c r="F1030" s="18">
        <v>0.69620370370370377</v>
      </c>
      <c r="G1030" s="22">
        <v>8.64</v>
      </c>
      <c r="H1030">
        <v>0</v>
      </c>
      <c r="I1030" s="19" t="e">
        <f>I1029 + (D1030-G1030)</f>
        <v>#VALUE!</v>
      </c>
      <c r="M1030">
        <v>128712</v>
      </c>
      <c r="N1030">
        <v>24</v>
      </c>
      <c r="O1030" t="s">
        <v>68</v>
      </c>
      <c r="P1030">
        <v>1</v>
      </c>
      <c r="R1030">
        <v>575</v>
      </c>
      <c r="S1030" s="17">
        <v>42188</v>
      </c>
      <c r="T1030" s="17">
        <v>42188</v>
      </c>
      <c r="W1030">
        <v>2015</v>
      </c>
      <c r="X1030">
        <v>24</v>
      </c>
      <c r="AC1030" t="s">
        <v>61</v>
      </c>
      <c r="AD1030" t="s">
        <v>302</v>
      </c>
      <c r="AE1030" t="s">
        <v>46</v>
      </c>
      <c r="AG1030">
        <v>107</v>
      </c>
      <c r="AH1030">
        <v>9</v>
      </c>
      <c r="AI1030" t="s">
        <v>54</v>
      </c>
      <c r="AK1030">
        <v>0</v>
      </c>
      <c r="AM1030">
        <v>0</v>
      </c>
      <c r="AP1030" t="s">
        <v>1121</v>
      </c>
    </row>
    <row r="1031" spans="1:42" customFormat="1">
      <c r="A1031">
        <v>273011</v>
      </c>
      <c r="B1031" t="s">
        <v>5267</v>
      </c>
      <c r="C1031" t="s">
        <v>5268</v>
      </c>
      <c r="D1031" s="22">
        <v>0</v>
      </c>
      <c r="E1031" s="17">
        <v>42153</v>
      </c>
      <c r="F1031" s="18">
        <v>0.41378472222222223</v>
      </c>
      <c r="G1031" s="22">
        <v>400</v>
      </c>
      <c r="H1031">
        <v>0</v>
      </c>
      <c r="I1031" s="19" t="e">
        <f>I1030 + (D1031-G1031)</f>
        <v>#VALUE!</v>
      </c>
      <c r="M1031">
        <v>125158</v>
      </c>
      <c r="N1031">
        <v>24</v>
      </c>
      <c r="O1031" t="s">
        <v>68</v>
      </c>
      <c r="P1031">
        <v>1</v>
      </c>
      <c r="R1031">
        <v>575</v>
      </c>
      <c r="S1031" s="17">
        <v>42167</v>
      </c>
      <c r="T1031" s="17">
        <v>42167</v>
      </c>
      <c r="W1031">
        <v>2015</v>
      </c>
      <c r="X1031">
        <v>24</v>
      </c>
      <c r="AC1031" t="s">
        <v>61</v>
      </c>
      <c r="AD1031" t="s">
        <v>302</v>
      </c>
      <c r="AE1031" t="s">
        <v>46</v>
      </c>
      <c r="AG1031">
        <v>33</v>
      </c>
      <c r="AH1031">
        <v>9</v>
      </c>
      <c r="AI1031" t="s">
        <v>54</v>
      </c>
      <c r="AK1031">
        <v>0</v>
      </c>
      <c r="AM1031">
        <v>0</v>
      </c>
      <c r="AP1031" t="s">
        <v>457</v>
      </c>
    </row>
    <row r="1032" spans="1:42" customFormat="1">
      <c r="A1032">
        <v>273012</v>
      </c>
      <c r="B1032" t="s">
        <v>5269</v>
      </c>
      <c r="C1032" t="s">
        <v>5270</v>
      </c>
      <c r="D1032" s="22">
        <v>0</v>
      </c>
      <c r="E1032" s="17">
        <v>42153</v>
      </c>
      <c r="F1032" s="18">
        <v>0.41378472222222223</v>
      </c>
      <c r="G1032" s="22">
        <v>400</v>
      </c>
      <c r="H1032">
        <v>0</v>
      </c>
      <c r="I1032" s="19" t="e">
        <f>I1031 + (D1032-G1032)</f>
        <v>#VALUE!</v>
      </c>
      <c r="M1032">
        <v>125159</v>
      </c>
      <c r="N1032">
        <v>24</v>
      </c>
      <c r="O1032" t="s">
        <v>68</v>
      </c>
      <c r="P1032">
        <v>1</v>
      </c>
      <c r="R1032">
        <v>575</v>
      </c>
      <c r="S1032" s="17">
        <v>42167</v>
      </c>
      <c r="T1032" s="17">
        <v>42167</v>
      </c>
      <c r="W1032">
        <v>2015</v>
      </c>
      <c r="X1032">
        <v>24</v>
      </c>
      <c r="AC1032" t="s">
        <v>61</v>
      </c>
      <c r="AD1032" t="s">
        <v>302</v>
      </c>
      <c r="AE1032" t="s">
        <v>46</v>
      </c>
      <c r="AG1032">
        <v>33</v>
      </c>
      <c r="AH1032">
        <v>9</v>
      </c>
      <c r="AI1032" t="s">
        <v>54</v>
      </c>
      <c r="AK1032">
        <v>0</v>
      </c>
      <c r="AM1032">
        <v>0</v>
      </c>
      <c r="AP1032" t="s">
        <v>457</v>
      </c>
    </row>
    <row r="1033" spans="1:42" customFormat="1">
      <c r="A1033">
        <v>273013</v>
      </c>
      <c r="B1033" t="s">
        <v>5271</v>
      </c>
      <c r="C1033" t="s">
        <v>5272</v>
      </c>
      <c r="D1033" s="22">
        <v>0</v>
      </c>
      <c r="E1033" s="17">
        <v>42153</v>
      </c>
      <c r="F1033" s="18">
        <v>0.41378472222222223</v>
      </c>
      <c r="G1033" s="22">
        <v>400</v>
      </c>
      <c r="H1033">
        <v>0</v>
      </c>
      <c r="I1033" s="19" t="e">
        <f>I1032 + (D1033-G1033)</f>
        <v>#VALUE!</v>
      </c>
      <c r="M1033">
        <v>125160</v>
      </c>
      <c r="N1033">
        <v>24</v>
      </c>
      <c r="O1033" t="s">
        <v>68</v>
      </c>
      <c r="P1033">
        <v>1</v>
      </c>
      <c r="R1033">
        <v>575</v>
      </c>
      <c r="S1033" s="17">
        <v>42167</v>
      </c>
      <c r="T1033" s="17">
        <v>42167</v>
      </c>
      <c r="W1033">
        <v>2015</v>
      </c>
      <c r="X1033">
        <v>24</v>
      </c>
      <c r="AC1033" t="s">
        <v>61</v>
      </c>
      <c r="AD1033" t="s">
        <v>302</v>
      </c>
      <c r="AE1033" t="s">
        <v>46</v>
      </c>
      <c r="AG1033">
        <v>33</v>
      </c>
      <c r="AH1033">
        <v>9</v>
      </c>
      <c r="AI1033" t="s">
        <v>54</v>
      </c>
      <c r="AK1033">
        <v>0</v>
      </c>
      <c r="AM1033">
        <v>0</v>
      </c>
      <c r="AP1033" t="s">
        <v>457</v>
      </c>
    </row>
    <row r="1034" spans="1:42" customFormat="1">
      <c r="A1034">
        <v>273014</v>
      </c>
      <c r="B1034" t="s">
        <v>5273</v>
      </c>
      <c r="C1034" t="s">
        <v>5274</v>
      </c>
      <c r="D1034" s="22">
        <v>0</v>
      </c>
      <c r="E1034" s="17">
        <v>42153</v>
      </c>
      <c r="F1034" s="18">
        <v>0.41422453703703704</v>
      </c>
      <c r="G1034" s="22">
        <v>49</v>
      </c>
      <c r="H1034">
        <v>0</v>
      </c>
      <c r="I1034" s="19" t="e">
        <f>I1033 + (D1034-G1034)</f>
        <v>#VALUE!</v>
      </c>
      <c r="M1034">
        <v>125161</v>
      </c>
      <c r="N1034">
        <v>24</v>
      </c>
      <c r="O1034" t="s">
        <v>68</v>
      </c>
      <c r="P1034">
        <v>1</v>
      </c>
      <c r="R1034">
        <v>575</v>
      </c>
      <c r="S1034" s="17">
        <v>42167</v>
      </c>
      <c r="T1034" s="17">
        <v>42167</v>
      </c>
      <c r="W1034">
        <v>2015</v>
      </c>
      <c r="X1034">
        <v>24</v>
      </c>
      <c r="AC1034" t="s">
        <v>61</v>
      </c>
      <c r="AD1034" t="s">
        <v>302</v>
      </c>
      <c r="AE1034" t="s">
        <v>46</v>
      </c>
      <c r="AG1034">
        <v>33</v>
      </c>
      <c r="AH1034">
        <v>9</v>
      </c>
      <c r="AI1034" t="s">
        <v>54</v>
      </c>
      <c r="AK1034">
        <v>0</v>
      </c>
      <c r="AM1034">
        <v>0</v>
      </c>
      <c r="AP1034" t="s">
        <v>457</v>
      </c>
    </row>
    <row r="1035" spans="1:42" customFormat="1">
      <c r="A1035">
        <v>273015</v>
      </c>
      <c r="B1035" t="s">
        <v>5278</v>
      </c>
      <c r="C1035" t="s">
        <v>5279</v>
      </c>
      <c r="D1035" s="22">
        <v>0</v>
      </c>
      <c r="E1035" s="17">
        <v>42153</v>
      </c>
      <c r="F1035" s="18">
        <v>0.41450231481481481</v>
      </c>
      <c r="G1035" s="22">
        <v>49</v>
      </c>
      <c r="H1035">
        <v>0</v>
      </c>
      <c r="I1035" s="19" t="e">
        <f>I1034 + (D1035-G1035)</f>
        <v>#VALUE!</v>
      </c>
      <c r="M1035">
        <v>125162</v>
      </c>
      <c r="N1035">
        <v>24</v>
      </c>
      <c r="O1035" t="s">
        <v>68</v>
      </c>
      <c r="P1035">
        <v>1</v>
      </c>
      <c r="R1035">
        <v>575</v>
      </c>
      <c r="S1035" s="17">
        <v>42167</v>
      </c>
      <c r="T1035" s="17">
        <v>42167</v>
      </c>
      <c r="W1035">
        <v>2015</v>
      </c>
      <c r="X1035">
        <v>24</v>
      </c>
      <c r="AC1035" t="s">
        <v>61</v>
      </c>
      <c r="AD1035" t="s">
        <v>302</v>
      </c>
      <c r="AE1035" t="s">
        <v>46</v>
      </c>
      <c r="AG1035">
        <v>33</v>
      </c>
      <c r="AH1035">
        <v>9</v>
      </c>
      <c r="AI1035" t="s">
        <v>54</v>
      </c>
      <c r="AK1035">
        <v>0</v>
      </c>
      <c r="AM1035">
        <v>0</v>
      </c>
      <c r="AP1035" t="s">
        <v>457</v>
      </c>
    </row>
    <row r="1036" spans="1:42" customFormat="1">
      <c r="A1036">
        <v>273017</v>
      </c>
      <c r="B1036" t="s">
        <v>5283</v>
      </c>
      <c r="C1036" t="s">
        <v>5284</v>
      </c>
      <c r="D1036" s="22">
        <v>0</v>
      </c>
      <c r="E1036" s="17">
        <v>42153</v>
      </c>
      <c r="F1036" s="18">
        <v>0.41564814814814816</v>
      </c>
      <c r="G1036" s="22">
        <v>13.5</v>
      </c>
      <c r="H1036">
        <v>0</v>
      </c>
      <c r="I1036" s="19" t="e">
        <f>I1035 + (D1036-G1036)</f>
        <v>#VALUE!</v>
      </c>
      <c r="M1036">
        <v>125164</v>
      </c>
      <c r="N1036">
        <v>24</v>
      </c>
      <c r="O1036" t="s">
        <v>68</v>
      </c>
      <c r="P1036">
        <v>1</v>
      </c>
      <c r="R1036">
        <v>575</v>
      </c>
      <c r="S1036" s="17">
        <v>42167</v>
      </c>
      <c r="T1036" s="17">
        <v>42167</v>
      </c>
      <c r="W1036">
        <v>2015</v>
      </c>
      <c r="X1036">
        <v>24</v>
      </c>
      <c r="AC1036" t="s">
        <v>61</v>
      </c>
      <c r="AD1036" t="s">
        <v>302</v>
      </c>
      <c r="AE1036" t="s">
        <v>46</v>
      </c>
      <c r="AG1036">
        <v>33</v>
      </c>
      <c r="AH1036">
        <v>9</v>
      </c>
      <c r="AI1036" t="s">
        <v>54</v>
      </c>
      <c r="AK1036">
        <v>0</v>
      </c>
      <c r="AM1036">
        <v>0</v>
      </c>
      <c r="AP1036" t="s">
        <v>457</v>
      </c>
    </row>
    <row r="1037" spans="1:42" customFormat="1">
      <c r="A1037">
        <v>273018</v>
      </c>
      <c r="B1037" t="s">
        <v>5285</v>
      </c>
      <c r="C1037" t="s">
        <v>5286</v>
      </c>
      <c r="D1037" s="22">
        <v>0</v>
      </c>
      <c r="E1037" s="17">
        <v>42153</v>
      </c>
      <c r="F1037" s="18">
        <v>0.41564814814814816</v>
      </c>
      <c r="G1037" s="22">
        <v>13.5</v>
      </c>
      <c r="H1037">
        <v>0</v>
      </c>
      <c r="I1037" s="19" t="e">
        <f>I1036 + (D1037-G1037)</f>
        <v>#VALUE!</v>
      </c>
      <c r="M1037">
        <v>125165</v>
      </c>
      <c r="N1037">
        <v>24</v>
      </c>
      <c r="O1037" t="s">
        <v>68</v>
      </c>
      <c r="P1037">
        <v>1</v>
      </c>
      <c r="R1037">
        <v>575</v>
      </c>
      <c r="S1037" s="17">
        <v>42167</v>
      </c>
      <c r="T1037" s="17">
        <v>42167</v>
      </c>
      <c r="W1037">
        <v>2015</v>
      </c>
      <c r="X1037">
        <v>24</v>
      </c>
      <c r="AC1037" t="s">
        <v>61</v>
      </c>
      <c r="AD1037" t="s">
        <v>302</v>
      </c>
      <c r="AE1037" t="s">
        <v>46</v>
      </c>
      <c r="AG1037">
        <v>33</v>
      </c>
      <c r="AH1037">
        <v>9</v>
      </c>
      <c r="AI1037" t="s">
        <v>54</v>
      </c>
      <c r="AK1037">
        <v>0</v>
      </c>
      <c r="AM1037">
        <v>0</v>
      </c>
      <c r="AP1037" t="s">
        <v>457</v>
      </c>
    </row>
    <row r="1038" spans="1:42" customFormat="1">
      <c r="A1038">
        <v>273019</v>
      </c>
      <c r="B1038" t="s">
        <v>5287</v>
      </c>
      <c r="C1038" t="s">
        <v>5288</v>
      </c>
      <c r="D1038" s="22">
        <v>0</v>
      </c>
      <c r="E1038" s="17">
        <v>42153</v>
      </c>
      <c r="F1038" s="18">
        <v>0.41641203703703705</v>
      </c>
      <c r="G1038" s="22">
        <v>0.35</v>
      </c>
      <c r="H1038">
        <v>0</v>
      </c>
      <c r="I1038" s="19" t="e">
        <f>I1037 + (D1038-G1038)</f>
        <v>#VALUE!</v>
      </c>
      <c r="M1038">
        <v>125166</v>
      </c>
      <c r="N1038">
        <v>24</v>
      </c>
      <c r="O1038" t="s">
        <v>68</v>
      </c>
      <c r="P1038">
        <v>1</v>
      </c>
      <c r="R1038">
        <v>575</v>
      </c>
      <c r="S1038" s="17">
        <v>42167</v>
      </c>
      <c r="T1038" s="17">
        <v>42167</v>
      </c>
      <c r="W1038">
        <v>2015</v>
      </c>
      <c r="X1038">
        <v>24</v>
      </c>
      <c r="AC1038" t="s">
        <v>61</v>
      </c>
      <c r="AD1038" t="s">
        <v>302</v>
      </c>
      <c r="AE1038" t="s">
        <v>46</v>
      </c>
      <c r="AG1038">
        <v>33</v>
      </c>
      <c r="AH1038">
        <v>9</v>
      </c>
      <c r="AI1038" t="s">
        <v>54</v>
      </c>
      <c r="AK1038">
        <v>0</v>
      </c>
      <c r="AM1038">
        <v>0</v>
      </c>
      <c r="AP1038" t="s">
        <v>457</v>
      </c>
    </row>
    <row r="1039" spans="1:42" customFormat="1">
      <c r="A1039">
        <v>273020</v>
      </c>
      <c r="B1039" t="s">
        <v>5289</v>
      </c>
      <c r="C1039" t="s">
        <v>5290</v>
      </c>
      <c r="D1039" s="22">
        <v>0</v>
      </c>
      <c r="E1039" s="17">
        <v>42153</v>
      </c>
      <c r="F1039" s="18">
        <v>0.41641203703703705</v>
      </c>
      <c r="G1039" s="22">
        <v>0.35</v>
      </c>
      <c r="H1039">
        <v>0</v>
      </c>
      <c r="I1039" s="19" t="e">
        <f>I1038 + (D1039-G1039)</f>
        <v>#VALUE!</v>
      </c>
      <c r="M1039">
        <v>125167</v>
      </c>
      <c r="N1039">
        <v>24</v>
      </c>
      <c r="O1039" t="s">
        <v>68</v>
      </c>
      <c r="P1039">
        <v>1</v>
      </c>
      <c r="R1039">
        <v>575</v>
      </c>
      <c r="S1039" s="17">
        <v>42167</v>
      </c>
      <c r="T1039" s="17">
        <v>42167</v>
      </c>
      <c r="W1039">
        <v>2015</v>
      </c>
      <c r="X1039">
        <v>24</v>
      </c>
      <c r="AC1039" t="s">
        <v>61</v>
      </c>
      <c r="AD1039" t="s">
        <v>302</v>
      </c>
      <c r="AE1039" t="s">
        <v>46</v>
      </c>
      <c r="AG1039">
        <v>33</v>
      </c>
      <c r="AH1039">
        <v>9</v>
      </c>
      <c r="AI1039" t="s">
        <v>54</v>
      </c>
      <c r="AK1039">
        <v>0</v>
      </c>
      <c r="AM1039">
        <v>0</v>
      </c>
      <c r="AP1039" t="s">
        <v>457</v>
      </c>
    </row>
    <row r="1040" spans="1:42" customFormat="1">
      <c r="A1040">
        <v>273021</v>
      </c>
      <c r="B1040" t="s">
        <v>5291</v>
      </c>
      <c r="C1040" t="s">
        <v>5292</v>
      </c>
      <c r="D1040" s="22">
        <v>0</v>
      </c>
      <c r="E1040" s="17">
        <v>42153</v>
      </c>
      <c r="F1040" s="18">
        <v>0.41641203703703705</v>
      </c>
      <c r="G1040" s="22">
        <v>6.82</v>
      </c>
      <c r="H1040">
        <v>0</v>
      </c>
      <c r="I1040" s="19" t="e">
        <f>I1039 + (D1040-G1040)</f>
        <v>#VALUE!</v>
      </c>
      <c r="M1040">
        <v>125168</v>
      </c>
      <c r="N1040">
        <v>24</v>
      </c>
      <c r="O1040" t="s">
        <v>68</v>
      </c>
      <c r="P1040">
        <v>1</v>
      </c>
      <c r="R1040">
        <v>575</v>
      </c>
      <c r="S1040" s="17">
        <v>42167</v>
      </c>
      <c r="T1040" s="17">
        <v>42167</v>
      </c>
      <c r="W1040">
        <v>2015</v>
      </c>
      <c r="X1040">
        <v>24</v>
      </c>
      <c r="AC1040" t="s">
        <v>61</v>
      </c>
      <c r="AD1040" t="s">
        <v>302</v>
      </c>
      <c r="AE1040" t="s">
        <v>46</v>
      </c>
      <c r="AG1040">
        <v>33</v>
      </c>
      <c r="AH1040">
        <v>9</v>
      </c>
      <c r="AI1040" t="s">
        <v>54</v>
      </c>
      <c r="AK1040">
        <v>0</v>
      </c>
      <c r="AM1040">
        <v>0</v>
      </c>
      <c r="AP1040" t="s">
        <v>457</v>
      </c>
    </row>
    <row r="1041" spans="1:42" customFormat="1">
      <c r="A1041">
        <v>273040</v>
      </c>
      <c r="B1041" t="s">
        <v>5309</v>
      </c>
      <c r="C1041" t="s">
        <v>5310</v>
      </c>
      <c r="D1041" s="22">
        <v>0</v>
      </c>
      <c r="E1041" s="17">
        <v>42153</v>
      </c>
      <c r="F1041" s="18">
        <v>0.42798611111111112</v>
      </c>
      <c r="G1041" s="22">
        <v>400</v>
      </c>
      <c r="H1041">
        <v>0</v>
      </c>
      <c r="I1041" s="19" t="e">
        <f>I1040 + (D1041-G1041)</f>
        <v>#VALUE!</v>
      </c>
      <c r="M1041">
        <v>125187</v>
      </c>
      <c r="N1041">
        <v>24</v>
      </c>
      <c r="O1041" t="s">
        <v>68</v>
      </c>
      <c r="P1041">
        <v>1</v>
      </c>
      <c r="R1041">
        <v>575</v>
      </c>
      <c r="S1041" s="17">
        <v>42167</v>
      </c>
      <c r="T1041" s="17">
        <v>42167</v>
      </c>
      <c r="W1041">
        <v>2015</v>
      </c>
      <c r="X1041">
        <v>24</v>
      </c>
      <c r="AC1041" t="s">
        <v>61</v>
      </c>
      <c r="AD1041" t="s">
        <v>302</v>
      </c>
      <c r="AE1041" t="s">
        <v>46</v>
      </c>
      <c r="AG1041">
        <v>5</v>
      </c>
      <c r="AH1041">
        <v>9</v>
      </c>
      <c r="AI1041" t="s">
        <v>54</v>
      </c>
      <c r="AK1041">
        <v>0</v>
      </c>
      <c r="AM1041">
        <v>0</v>
      </c>
      <c r="AP1041" t="s">
        <v>312</v>
      </c>
    </row>
    <row r="1042" spans="1:42" customFormat="1">
      <c r="A1042">
        <v>273066</v>
      </c>
      <c r="B1042" t="s">
        <v>5533</v>
      </c>
      <c r="C1042" t="s">
        <v>5534</v>
      </c>
      <c r="D1042" s="22">
        <v>0</v>
      </c>
      <c r="E1042" s="17">
        <v>42153</v>
      </c>
      <c r="F1042" s="18">
        <v>0.61178240740740741</v>
      </c>
      <c r="G1042" s="22">
        <v>8.85</v>
      </c>
      <c r="H1042">
        <v>0</v>
      </c>
      <c r="I1042" s="19" t="e">
        <f>I1041 + (D1042-G1042)</f>
        <v>#VALUE!</v>
      </c>
      <c r="M1042">
        <v>126915</v>
      </c>
      <c r="N1042">
        <v>24</v>
      </c>
      <c r="O1042" t="s">
        <v>68</v>
      </c>
      <c r="P1042">
        <v>1</v>
      </c>
      <c r="R1042">
        <v>575</v>
      </c>
      <c r="S1042" s="17">
        <v>42170</v>
      </c>
      <c r="T1042" s="17">
        <v>42170</v>
      </c>
      <c r="W1042">
        <v>2015</v>
      </c>
      <c r="X1042">
        <v>24</v>
      </c>
      <c r="AC1042" t="s">
        <v>61</v>
      </c>
      <c r="AD1042" t="s">
        <v>302</v>
      </c>
      <c r="AE1042" t="s">
        <v>46</v>
      </c>
      <c r="AG1042">
        <v>118</v>
      </c>
      <c r="AH1042">
        <v>1</v>
      </c>
      <c r="AI1042" t="s">
        <v>58</v>
      </c>
      <c r="AK1042">
        <v>0</v>
      </c>
      <c r="AM1042">
        <v>0</v>
      </c>
      <c r="AP1042" t="s">
        <v>418</v>
      </c>
    </row>
    <row r="1043" spans="1:42" customFormat="1">
      <c r="A1043">
        <v>273067</v>
      </c>
      <c r="B1043" t="s">
        <v>5535</v>
      </c>
      <c r="C1043" t="s">
        <v>5536</v>
      </c>
      <c r="D1043" s="22">
        <v>0</v>
      </c>
      <c r="E1043" s="17">
        <v>42153</v>
      </c>
      <c r="F1043" s="18">
        <v>0.61178240740740741</v>
      </c>
      <c r="G1043" s="22">
        <v>1.3</v>
      </c>
      <c r="H1043">
        <v>0</v>
      </c>
      <c r="I1043" s="19" t="e">
        <f>I1042 + (D1043-G1043)</f>
        <v>#VALUE!</v>
      </c>
      <c r="M1043">
        <v>126916</v>
      </c>
      <c r="N1043">
        <v>24</v>
      </c>
      <c r="O1043" t="s">
        <v>68</v>
      </c>
      <c r="P1043">
        <v>1</v>
      </c>
      <c r="R1043">
        <v>575</v>
      </c>
      <c r="S1043" s="17">
        <v>42170</v>
      </c>
      <c r="T1043" s="17">
        <v>42170</v>
      </c>
      <c r="W1043">
        <v>2015</v>
      </c>
      <c r="X1043">
        <v>24</v>
      </c>
      <c r="AC1043" t="s">
        <v>61</v>
      </c>
      <c r="AD1043" t="s">
        <v>302</v>
      </c>
      <c r="AE1043" t="s">
        <v>46</v>
      </c>
      <c r="AG1043">
        <v>118</v>
      </c>
      <c r="AH1043">
        <v>1</v>
      </c>
      <c r="AI1043" t="s">
        <v>58</v>
      </c>
      <c r="AK1043">
        <v>0</v>
      </c>
      <c r="AM1043">
        <v>0</v>
      </c>
      <c r="AP1043" t="s">
        <v>418</v>
      </c>
    </row>
    <row r="1044" spans="1:42" customFormat="1">
      <c r="A1044">
        <v>276183</v>
      </c>
      <c r="B1044" t="s">
        <v>5560</v>
      </c>
      <c r="C1044" t="s">
        <v>5561</v>
      </c>
      <c r="D1044" s="22">
        <v>0</v>
      </c>
      <c r="E1044" s="17">
        <v>42153</v>
      </c>
      <c r="F1044" s="18">
        <v>0.69763888888888881</v>
      </c>
      <c r="G1044" s="22">
        <v>5.76</v>
      </c>
      <c r="H1044">
        <v>0</v>
      </c>
      <c r="I1044" s="19" t="e">
        <f>I1043 + (D1044-G1044)</f>
        <v>#VALUE!</v>
      </c>
      <c r="M1044">
        <v>128713</v>
      </c>
      <c r="N1044">
        <v>24</v>
      </c>
      <c r="O1044" t="s">
        <v>68</v>
      </c>
      <c r="P1044">
        <v>1</v>
      </c>
      <c r="R1044">
        <v>575</v>
      </c>
      <c r="S1044" s="17">
        <v>42188</v>
      </c>
      <c r="T1044" s="17">
        <v>42188</v>
      </c>
      <c r="W1044">
        <v>2015</v>
      </c>
      <c r="X1044">
        <v>24</v>
      </c>
      <c r="AC1044" t="s">
        <v>61</v>
      </c>
      <c r="AD1044" t="s">
        <v>302</v>
      </c>
      <c r="AE1044" t="s">
        <v>46</v>
      </c>
      <c r="AG1044">
        <v>107</v>
      </c>
      <c r="AH1044">
        <v>9</v>
      </c>
      <c r="AI1044" t="s">
        <v>54</v>
      </c>
      <c r="AK1044">
        <v>0</v>
      </c>
      <c r="AM1044">
        <v>0</v>
      </c>
      <c r="AP1044" t="s">
        <v>1121</v>
      </c>
    </row>
    <row r="1045" spans="1:42" customFormat="1">
      <c r="A1045">
        <v>276184</v>
      </c>
      <c r="B1045" t="s">
        <v>5562</v>
      </c>
      <c r="C1045" t="s">
        <v>5563</v>
      </c>
      <c r="D1045" s="22">
        <v>0</v>
      </c>
      <c r="E1045" s="17">
        <v>42153</v>
      </c>
      <c r="F1045" s="18">
        <v>0.69763888888888881</v>
      </c>
      <c r="G1045" s="22">
        <v>72.540000000000006</v>
      </c>
      <c r="H1045">
        <v>0</v>
      </c>
      <c r="I1045" s="19" t="e">
        <f>I1044 + (D1045-G1045)</f>
        <v>#VALUE!</v>
      </c>
      <c r="M1045">
        <v>128714</v>
      </c>
      <c r="N1045">
        <v>24</v>
      </c>
      <c r="O1045" t="s">
        <v>68</v>
      </c>
      <c r="P1045">
        <v>1</v>
      </c>
      <c r="R1045">
        <v>575</v>
      </c>
      <c r="S1045" s="17">
        <v>42188</v>
      </c>
      <c r="T1045" s="17">
        <v>42188</v>
      </c>
      <c r="W1045">
        <v>2015</v>
      </c>
      <c r="X1045">
        <v>24</v>
      </c>
      <c r="AC1045" t="s">
        <v>61</v>
      </c>
      <c r="AD1045" t="s">
        <v>302</v>
      </c>
      <c r="AE1045" t="s">
        <v>46</v>
      </c>
      <c r="AG1045">
        <v>107</v>
      </c>
      <c r="AH1045">
        <v>9</v>
      </c>
      <c r="AI1045" t="s">
        <v>54</v>
      </c>
      <c r="AK1045">
        <v>0</v>
      </c>
      <c r="AM1045">
        <v>0</v>
      </c>
      <c r="AP1045" t="s">
        <v>1121</v>
      </c>
    </row>
    <row r="1046" spans="1:42" customFormat="1">
      <c r="A1046">
        <v>276185</v>
      </c>
      <c r="B1046" t="s">
        <v>5564</v>
      </c>
      <c r="C1046" t="s">
        <v>5565</v>
      </c>
      <c r="D1046" s="22">
        <v>0</v>
      </c>
      <c r="E1046" s="17">
        <v>42153</v>
      </c>
      <c r="F1046" s="18">
        <v>0.69763888888888881</v>
      </c>
      <c r="G1046" s="22">
        <v>103.96</v>
      </c>
      <c r="H1046">
        <v>0</v>
      </c>
      <c r="I1046" s="19" t="e">
        <f>I1045 + (D1046-G1046)</f>
        <v>#VALUE!</v>
      </c>
      <c r="M1046">
        <v>128715</v>
      </c>
      <c r="N1046">
        <v>24</v>
      </c>
      <c r="O1046" t="s">
        <v>68</v>
      </c>
      <c r="P1046">
        <v>1</v>
      </c>
      <c r="R1046">
        <v>575</v>
      </c>
      <c r="S1046" s="17">
        <v>42188</v>
      </c>
      <c r="T1046" s="17">
        <v>42188</v>
      </c>
      <c r="W1046">
        <v>2015</v>
      </c>
      <c r="X1046">
        <v>24</v>
      </c>
      <c r="AC1046" t="s">
        <v>61</v>
      </c>
      <c r="AD1046" t="s">
        <v>302</v>
      </c>
      <c r="AE1046" t="s">
        <v>46</v>
      </c>
      <c r="AG1046">
        <v>107</v>
      </c>
      <c r="AH1046">
        <v>9</v>
      </c>
      <c r="AI1046" t="s">
        <v>54</v>
      </c>
      <c r="AK1046">
        <v>0</v>
      </c>
      <c r="AM1046">
        <v>0</v>
      </c>
      <c r="AP1046" t="s">
        <v>1121</v>
      </c>
    </row>
    <row r="1047" spans="1:42" customFormat="1">
      <c r="A1047">
        <v>276186</v>
      </c>
      <c r="B1047" t="s">
        <v>5566</v>
      </c>
      <c r="C1047" t="s">
        <v>5567</v>
      </c>
      <c r="D1047" s="22">
        <v>0</v>
      </c>
      <c r="E1047" s="17">
        <v>42153</v>
      </c>
      <c r="F1047" s="18">
        <v>0.69765046296296296</v>
      </c>
      <c r="G1047" s="22">
        <v>5.75</v>
      </c>
      <c r="H1047">
        <v>0</v>
      </c>
      <c r="I1047" s="19" t="e">
        <f>I1046 + (D1047-G1047)</f>
        <v>#VALUE!</v>
      </c>
      <c r="M1047">
        <v>128716</v>
      </c>
      <c r="N1047">
        <v>24</v>
      </c>
      <c r="O1047" t="s">
        <v>68</v>
      </c>
      <c r="P1047">
        <v>1</v>
      </c>
      <c r="R1047">
        <v>575</v>
      </c>
      <c r="S1047" s="17">
        <v>42188</v>
      </c>
      <c r="T1047" s="17">
        <v>42188</v>
      </c>
      <c r="W1047">
        <v>2015</v>
      </c>
      <c r="X1047">
        <v>24</v>
      </c>
      <c r="AC1047" t="s">
        <v>61</v>
      </c>
      <c r="AD1047" t="s">
        <v>302</v>
      </c>
      <c r="AE1047" t="s">
        <v>46</v>
      </c>
      <c r="AG1047">
        <v>107</v>
      </c>
      <c r="AH1047">
        <v>9</v>
      </c>
      <c r="AI1047" t="s">
        <v>54</v>
      </c>
      <c r="AK1047">
        <v>0</v>
      </c>
      <c r="AM1047">
        <v>0</v>
      </c>
      <c r="AP1047" t="s">
        <v>1121</v>
      </c>
    </row>
    <row r="1048" spans="1:42" customFormat="1">
      <c r="A1048">
        <v>276187</v>
      </c>
      <c r="B1048" t="s">
        <v>5568</v>
      </c>
      <c r="C1048" t="s">
        <v>5569</v>
      </c>
      <c r="D1048" s="22">
        <v>0</v>
      </c>
      <c r="E1048" s="17">
        <v>42153</v>
      </c>
      <c r="F1048" s="18">
        <v>0.69765046296296296</v>
      </c>
      <c r="G1048" s="22">
        <v>350</v>
      </c>
      <c r="H1048">
        <v>0</v>
      </c>
      <c r="I1048" s="19" t="e">
        <f>I1047 + (D1048-G1048)</f>
        <v>#VALUE!</v>
      </c>
      <c r="M1048">
        <v>128717</v>
      </c>
      <c r="N1048">
        <v>24</v>
      </c>
      <c r="O1048" t="s">
        <v>68</v>
      </c>
      <c r="P1048">
        <v>1</v>
      </c>
      <c r="R1048">
        <v>575</v>
      </c>
      <c r="S1048" s="17">
        <v>42188</v>
      </c>
      <c r="T1048" s="17">
        <v>42188</v>
      </c>
      <c r="W1048">
        <v>2015</v>
      </c>
      <c r="X1048">
        <v>24</v>
      </c>
      <c r="AC1048" t="s">
        <v>61</v>
      </c>
      <c r="AD1048" t="s">
        <v>302</v>
      </c>
      <c r="AE1048" t="s">
        <v>46</v>
      </c>
      <c r="AG1048">
        <v>107</v>
      </c>
      <c r="AH1048">
        <v>9</v>
      </c>
      <c r="AI1048" t="s">
        <v>54</v>
      </c>
      <c r="AK1048">
        <v>0</v>
      </c>
      <c r="AM1048">
        <v>0</v>
      </c>
      <c r="AP1048" t="s">
        <v>1121</v>
      </c>
    </row>
    <row r="1049" spans="1:42" customFormat="1">
      <c r="A1049">
        <v>270328</v>
      </c>
      <c r="B1049" t="s">
        <v>2423</v>
      </c>
      <c r="C1049" t="s">
        <v>2424</v>
      </c>
      <c r="D1049" s="22">
        <v>0</v>
      </c>
      <c r="E1049" s="17">
        <v>42135</v>
      </c>
      <c r="F1049" s="18">
        <v>0.41412037037037036</v>
      </c>
      <c r="G1049" s="22">
        <v>30894.9</v>
      </c>
      <c r="H1049">
        <v>0</v>
      </c>
      <c r="I1049" s="19" t="e">
        <f>I1048 + (D1049-G1049)</f>
        <v>#VALUE!</v>
      </c>
      <c r="M1049">
        <v>123294</v>
      </c>
      <c r="N1049">
        <v>25</v>
      </c>
      <c r="O1049" t="s">
        <v>71</v>
      </c>
      <c r="P1049">
        <v>1</v>
      </c>
      <c r="R1049">
        <v>408</v>
      </c>
      <c r="S1049" s="17">
        <v>42144</v>
      </c>
      <c r="T1049" s="17">
        <v>42144</v>
      </c>
      <c r="W1049">
        <v>2015</v>
      </c>
      <c r="X1049">
        <v>25</v>
      </c>
      <c r="AC1049" t="s">
        <v>162</v>
      </c>
      <c r="AD1049" t="s">
        <v>301</v>
      </c>
      <c r="AE1049" t="s">
        <v>5710</v>
      </c>
      <c r="AG1049">
        <v>42</v>
      </c>
      <c r="AH1049">
        <v>9</v>
      </c>
      <c r="AI1049" t="s">
        <v>54</v>
      </c>
      <c r="AK1049">
        <v>0</v>
      </c>
      <c r="AM1049">
        <v>0</v>
      </c>
      <c r="AP1049" t="s">
        <v>1602</v>
      </c>
    </row>
    <row r="1050" spans="1:42" customFormat="1">
      <c r="A1050">
        <v>276196</v>
      </c>
      <c r="B1050" t="s">
        <v>102</v>
      </c>
      <c r="C1050" t="s">
        <v>1578</v>
      </c>
      <c r="D1050" s="22">
        <v>1724</v>
      </c>
      <c r="E1050" s="17">
        <v>42129</v>
      </c>
      <c r="F1050" s="18">
        <v>0.70160879629629624</v>
      </c>
      <c r="G1050" s="22">
        <v>0</v>
      </c>
      <c r="H1050">
        <v>0</v>
      </c>
      <c r="I1050" s="19" t="e">
        <f>I1049 + (D1050-G1050)</f>
        <v>#VALUE!</v>
      </c>
      <c r="N1050">
        <v>7</v>
      </c>
      <c r="O1050" t="s">
        <v>44</v>
      </c>
      <c r="P1050">
        <v>1</v>
      </c>
      <c r="R1050">
        <v>1524</v>
      </c>
      <c r="S1050" s="17">
        <v>42188</v>
      </c>
      <c r="T1050" s="17">
        <v>42188</v>
      </c>
      <c r="W1050">
        <v>2015</v>
      </c>
      <c r="X1050">
        <v>7</v>
      </c>
      <c r="AC1050" t="s">
        <v>192</v>
      </c>
      <c r="AD1050" t="s">
        <v>301</v>
      </c>
      <c r="AE1050" t="s">
        <v>46</v>
      </c>
      <c r="AG1050">
        <v>114</v>
      </c>
      <c r="AH1050">
        <v>8</v>
      </c>
      <c r="AI1050" t="s">
        <v>52</v>
      </c>
      <c r="AM1050">
        <v>0</v>
      </c>
      <c r="AP1050" t="s">
        <v>898</v>
      </c>
    </row>
    <row r="1051" spans="1:42" customFormat="1">
      <c r="A1051">
        <v>273096</v>
      </c>
      <c r="B1051" t="s">
        <v>4502</v>
      </c>
      <c r="C1051" t="s">
        <v>4502</v>
      </c>
      <c r="D1051" s="22">
        <v>1186.6400000000001</v>
      </c>
      <c r="E1051" s="17">
        <v>42149</v>
      </c>
      <c r="F1051" s="18">
        <v>0.3716782407407408</v>
      </c>
      <c r="G1051" s="22">
        <v>0</v>
      </c>
      <c r="H1051">
        <v>0</v>
      </c>
      <c r="I1051" s="19" t="e">
        <f>I1050 + (D1051-G1051)</f>
        <v>#VALUE!</v>
      </c>
      <c r="N1051">
        <v>60</v>
      </c>
      <c r="O1051" t="s">
        <v>60</v>
      </c>
      <c r="P1051">
        <v>2</v>
      </c>
      <c r="R1051">
        <v>1524</v>
      </c>
      <c r="S1051" s="17">
        <v>42171</v>
      </c>
      <c r="T1051" s="17">
        <v>42178</v>
      </c>
      <c r="W1051">
        <v>2015</v>
      </c>
      <c r="X1051">
        <v>24</v>
      </c>
      <c r="AC1051" t="s">
        <v>192</v>
      </c>
      <c r="AD1051" t="s">
        <v>301</v>
      </c>
      <c r="AE1051" t="s">
        <v>46</v>
      </c>
      <c r="AG1051">
        <v>2</v>
      </c>
      <c r="AH1051">
        <v>8</v>
      </c>
      <c r="AI1051" t="s">
        <v>52</v>
      </c>
      <c r="AM1051">
        <v>0</v>
      </c>
      <c r="AP1051" t="s">
        <v>2544</v>
      </c>
    </row>
    <row r="1052" spans="1:42" customFormat="1">
      <c r="A1052">
        <v>271390</v>
      </c>
      <c r="B1052" t="s">
        <v>4676</v>
      </c>
      <c r="C1052" t="s">
        <v>4676</v>
      </c>
      <c r="D1052" s="22">
        <v>1186.6400000000001</v>
      </c>
      <c r="E1052" s="17">
        <v>42149</v>
      </c>
      <c r="F1052" s="18">
        <v>0.6953125</v>
      </c>
      <c r="G1052" s="22">
        <v>0</v>
      </c>
      <c r="H1052">
        <v>0</v>
      </c>
      <c r="I1052" s="19" t="e">
        <f>I1051 + (D1052-G1052)</f>
        <v>#VALUE!</v>
      </c>
      <c r="N1052">
        <v>7</v>
      </c>
      <c r="O1052" t="s">
        <v>44</v>
      </c>
      <c r="P1052">
        <v>2</v>
      </c>
      <c r="R1052">
        <v>1524</v>
      </c>
      <c r="S1052" s="17">
        <v>42151</v>
      </c>
      <c r="T1052" s="17">
        <v>42186</v>
      </c>
      <c r="W1052">
        <v>2015</v>
      </c>
      <c r="X1052">
        <v>7</v>
      </c>
      <c r="AC1052" t="s">
        <v>192</v>
      </c>
      <c r="AD1052" t="s">
        <v>301</v>
      </c>
      <c r="AE1052" t="s">
        <v>46</v>
      </c>
      <c r="AG1052">
        <v>77</v>
      </c>
      <c r="AH1052">
        <v>2</v>
      </c>
      <c r="AI1052" t="s">
        <v>50</v>
      </c>
      <c r="AM1052">
        <v>0</v>
      </c>
      <c r="AP1052" t="s">
        <v>427</v>
      </c>
    </row>
    <row r="1053" spans="1:42" customFormat="1">
      <c r="A1053">
        <v>269106</v>
      </c>
      <c r="B1053" t="s">
        <v>102</v>
      </c>
      <c r="C1053" t="s">
        <v>2047</v>
      </c>
      <c r="D1053" s="22">
        <v>2772</v>
      </c>
      <c r="E1053" s="17">
        <v>42131</v>
      </c>
      <c r="F1053" s="18">
        <v>0.63196759259259261</v>
      </c>
      <c r="G1053" s="22">
        <v>0</v>
      </c>
      <c r="H1053">
        <v>0</v>
      </c>
      <c r="I1053" s="19" t="e">
        <f>I1052 + (D1053-G1053)</f>
        <v>#VALUE!</v>
      </c>
      <c r="N1053">
        <v>24</v>
      </c>
      <c r="O1053" t="s">
        <v>68</v>
      </c>
      <c r="P1053">
        <v>1</v>
      </c>
      <c r="R1053">
        <v>1588</v>
      </c>
      <c r="S1053" s="17">
        <v>42135</v>
      </c>
      <c r="T1053" s="17">
        <v>42135</v>
      </c>
      <c r="W1053">
        <v>2015</v>
      </c>
      <c r="X1053">
        <v>24</v>
      </c>
      <c r="AC1053" t="s">
        <v>2048</v>
      </c>
      <c r="AD1053" t="s">
        <v>302</v>
      </c>
      <c r="AE1053" t="s">
        <v>46</v>
      </c>
      <c r="AG1053">
        <v>12</v>
      </c>
      <c r="AH1053">
        <v>2</v>
      </c>
      <c r="AI1053" t="s">
        <v>50</v>
      </c>
      <c r="AM1053">
        <v>0</v>
      </c>
      <c r="AP1053" t="s">
        <v>392</v>
      </c>
    </row>
    <row r="1054" spans="1:42" customFormat="1">
      <c r="A1054">
        <v>269503</v>
      </c>
      <c r="B1054" t="s">
        <v>102</v>
      </c>
      <c r="C1054" t="s">
        <v>2182</v>
      </c>
      <c r="D1054" s="22">
        <v>2000</v>
      </c>
      <c r="E1054" s="17">
        <v>42132</v>
      </c>
      <c r="F1054" s="18">
        <v>0.44814814814814818</v>
      </c>
      <c r="G1054" s="22">
        <v>0</v>
      </c>
      <c r="H1054">
        <v>0</v>
      </c>
      <c r="I1054" s="19" t="e">
        <f>I1053 + (D1054-G1054)</f>
        <v>#VALUE!</v>
      </c>
      <c r="N1054">
        <v>24</v>
      </c>
      <c r="O1054" t="s">
        <v>68</v>
      </c>
      <c r="P1054">
        <v>1</v>
      </c>
      <c r="R1054">
        <v>1588</v>
      </c>
      <c r="S1054" s="17">
        <v>42136</v>
      </c>
      <c r="T1054" s="17">
        <v>42136</v>
      </c>
      <c r="W1054">
        <v>2015</v>
      </c>
      <c r="X1054">
        <v>24</v>
      </c>
      <c r="AC1054" t="s">
        <v>2048</v>
      </c>
      <c r="AD1054" t="s">
        <v>302</v>
      </c>
      <c r="AE1054" t="s">
        <v>46</v>
      </c>
      <c r="AG1054">
        <v>52</v>
      </c>
      <c r="AH1054">
        <v>2</v>
      </c>
      <c r="AI1054" t="s">
        <v>50</v>
      </c>
      <c r="AM1054">
        <v>0</v>
      </c>
      <c r="AP1054" t="s">
        <v>325</v>
      </c>
    </row>
    <row r="1055" spans="1:42" customFormat="1">
      <c r="A1055">
        <v>269504</v>
      </c>
      <c r="B1055" t="s">
        <v>102</v>
      </c>
      <c r="C1055" t="s">
        <v>2182</v>
      </c>
      <c r="D1055" s="22">
        <v>1560</v>
      </c>
      <c r="E1055" s="17">
        <v>42132</v>
      </c>
      <c r="F1055" s="18">
        <v>0.44853009259259258</v>
      </c>
      <c r="G1055" s="22">
        <v>0</v>
      </c>
      <c r="H1055">
        <v>0</v>
      </c>
      <c r="I1055" s="19" t="e">
        <f>I1054 + (D1055-G1055)</f>
        <v>#VALUE!</v>
      </c>
      <c r="N1055">
        <v>24</v>
      </c>
      <c r="O1055" t="s">
        <v>68</v>
      </c>
      <c r="P1055">
        <v>1</v>
      </c>
      <c r="R1055">
        <v>1588</v>
      </c>
      <c r="S1055" s="17">
        <v>42136</v>
      </c>
      <c r="T1055" s="17">
        <v>42136</v>
      </c>
      <c r="W1055">
        <v>2015</v>
      </c>
      <c r="X1055">
        <v>24</v>
      </c>
      <c r="AC1055" t="s">
        <v>2048</v>
      </c>
      <c r="AD1055" t="s">
        <v>302</v>
      </c>
      <c r="AE1055" t="s">
        <v>46</v>
      </c>
      <c r="AG1055">
        <v>52</v>
      </c>
      <c r="AH1055">
        <v>2</v>
      </c>
      <c r="AI1055" t="s">
        <v>50</v>
      </c>
      <c r="AM1055">
        <v>0</v>
      </c>
      <c r="AP1055" t="s">
        <v>325</v>
      </c>
    </row>
    <row r="1056" spans="1:42" customFormat="1">
      <c r="A1056">
        <v>269506</v>
      </c>
      <c r="B1056" t="s">
        <v>102</v>
      </c>
      <c r="C1056" t="s">
        <v>2182</v>
      </c>
      <c r="D1056" s="22">
        <v>15378</v>
      </c>
      <c r="E1056" s="17">
        <v>42132</v>
      </c>
      <c r="F1056" s="18">
        <v>0.44883101851851853</v>
      </c>
      <c r="G1056" s="22">
        <v>0</v>
      </c>
      <c r="H1056">
        <v>0</v>
      </c>
      <c r="I1056" s="19" t="e">
        <f>I1055 + (D1056-G1056)</f>
        <v>#VALUE!</v>
      </c>
      <c r="N1056">
        <v>24</v>
      </c>
      <c r="O1056" t="s">
        <v>68</v>
      </c>
      <c r="P1056">
        <v>1</v>
      </c>
      <c r="R1056">
        <v>1588</v>
      </c>
      <c r="S1056" s="17">
        <v>42136</v>
      </c>
      <c r="T1056" s="17">
        <v>42136</v>
      </c>
      <c r="W1056">
        <v>2015</v>
      </c>
      <c r="X1056">
        <v>24</v>
      </c>
      <c r="AC1056" t="s">
        <v>2048</v>
      </c>
      <c r="AD1056" t="s">
        <v>302</v>
      </c>
      <c r="AE1056" t="s">
        <v>46</v>
      </c>
      <c r="AG1056">
        <v>52</v>
      </c>
      <c r="AH1056">
        <v>2</v>
      </c>
      <c r="AI1056" t="s">
        <v>50</v>
      </c>
      <c r="AM1056">
        <v>0</v>
      </c>
      <c r="AP1056" t="s">
        <v>325</v>
      </c>
    </row>
    <row r="1057" spans="1:42" customFormat="1">
      <c r="A1057">
        <v>269507</v>
      </c>
      <c r="B1057" t="s">
        <v>102</v>
      </c>
      <c r="C1057" t="s">
        <v>2182</v>
      </c>
      <c r="D1057" s="22">
        <v>2999</v>
      </c>
      <c r="E1057" s="17">
        <v>42132</v>
      </c>
      <c r="F1057" s="18">
        <v>0.44907407407407413</v>
      </c>
      <c r="G1057" s="22">
        <v>0</v>
      </c>
      <c r="H1057">
        <v>0</v>
      </c>
      <c r="I1057" s="19" t="e">
        <f>I1056 + (D1057-G1057)</f>
        <v>#VALUE!</v>
      </c>
      <c r="N1057">
        <v>24</v>
      </c>
      <c r="O1057" t="s">
        <v>68</v>
      </c>
      <c r="P1057">
        <v>1</v>
      </c>
      <c r="R1057">
        <v>1588</v>
      </c>
      <c r="S1057" s="17">
        <v>42136</v>
      </c>
      <c r="T1057" s="17">
        <v>42136</v>
      </c>
      <c r="W1057">
        <v>2015</v>
      </c>
      <c r="X1057">
        <v>24</v>
      </c>
      <c r="AC1057" t="s">
        <v>2048</v>
      </c>
      <c r="AD1057" t="s">
        <v>302</v>
      </c>
      <c r="AE1057" t="s">
        <v>46</v>
      </c>
      <c r="AG1057">
        <v>52</v>
      </c>
      <c r="AH1057">
        <v>2</v>
      </c>
      <c r="AI1057" t="s">
        <v>50</v>
      </c>
      <c r="AM1057">
        <v>0</v>
      </c>
      <c r="AP1057" t="s">
        <v>325</v>
      </c>
    </row>
    <row r="1058" spans="1:42" customFormat="1">
      <c r="A1058">
        <v>269117</v>
      </c>
      <c r="B1058" t="s">
        <v>2227</v>
      </c>
      <c r="C1058" t="s">
        <v>2228</v>
      </c>
      <c r="D1058" s="22">
        <v>0</v>
      </c>
      <c r="E1058" s="17">
        <v>42132</v>
      </c>
      <c r="F1058" s="18">
        <v>0.66054398148148141</v>
      </c>
      <c r="G1058" s="22">
        <v>1386</v>
      </c>
      <c r="H1058">
        <v>0</v>
      </c>
      <c r="I1058" s="19" t="e">
        <f>I1057 + (D1058-G1058)</f>
        <v>#VALUE!</v>
      </c>
      <c r="M1058">
        <v>123068</v>
      </c>
      <c r="N1058">
        <v>24</v>
      </c>
      <c r="O1058" t="s">
        <v>68</v>
      </c>
      <c r="P1058">
        <v>1</v>
      </c>
      <c r="R1058">
        <v>1588</v>
      </c>
      <c r="S1058" s="17">
        <v>42135</v>
      </c>
      <c r="T1058" s="17">
        <v>42135</v>
      </c>
      <c r="W1058">
        <v>2015</v>
      </c>
      <c r="X1058">
        <v>24</v>
      </c>
      <c r="AC1058" t="s">
        <v>2048</v>
      </c>
      <c r="AD1058" t="s">
        <v>302</v>
      </c>
      <c r="AE1058" t="s">
        <v>46</v>
      </c>
      <c r="AG1058">
        <v>12</v>
      </c>
      <c r="AH1058">
        <v>2</v>
      </c>
      <c r="AI1058" t="s">
        <v>50</v>
      </c>
      <c r="AK1058">
        <v>0</v>
      </c>
      <c r="AM1058">
        <v>0</v>
      </c>
      <c r="AP1058" t="s">
        <v>392</v>
      </c>
    </row>
    <row r="1059" spans="1:42" customFormat="1">
      <c r="A1059">
        <v>270023</v>
      </c>
      <c r="B1059" t="s">
        <v>102</v>
      </c>
      <c r="C1059" t="s">
        <v>3050</v>
      </c>
      <c r="D1059" s="22">
        <v>2736</v>
      </c>
      <c r="E1059" s="17">
        <v>42137</v>
      </c>
      <c r="F1059" s="18">
        <v>0.61870370370370364</v>
      </c>
      <c r="G1059" s="22">
        <v>0</v>
      </c>
      <c r="H1059">
        <v>0</v>
      </c>
      <c r="I1059" s="19" t="e">
        <f>I1058 + (D1059-G1059)</f>
        <v>#VALUE!</v>
      </c>
      <c r="N1059">
        <v>24</v>
      </c>
      <c r="O1059" t="s">
        <v>68</v>
      </c>
      <c r="P1059">
        <v>1</v>
      </c>
      <c r="R1059">
        <v>1588</v>
      </c>
      <c r="S1059" s="17">
        <v>42139</v>
      </c>
      <c r="T1059" s="17">
        <v>42139</v>
      </c>
      <c r="W1059">
        <v>2015</v>
      </c>
      <c r="X1059">
        <v>24</v>
      </c>
      <c r="AC1059" t="s">
        <v>2048</v>
      </c>
      <c r="AD1059" t="s">
        <v>302</v>
      </c>
      <c r="AE1059" t="s">
        <v>46</v>
      </c>
      <c r="AG1059">
        <v>12</v>
      </c>
      <c r="AH1059">
        <v>2</v>
      </c>
      <c r="AI1059" t="s">
        <v>50</v>
      </c>
      <c r="AM1059">
        <v>0</v>
      </c>
      <c r="AP1059" t="s">
        <v>392</v>
      </c>
    </row>
    <row r="1060" spans="1:42" customFormat="1">
      <c r="A1060">
        <v>270160</v>
      </c>
      <c r="B1060" t="s">
        <v>102</v>
      </c>
      <c r="C1060" t="s">
        <v>2182</v>
      </c>
      <c r="D1060" s="22">
        <v>6000</v>
      </c>
      <c r="E1060" s="17">
        <v>42138</v>
      </c>
      <c r="F1060" s="18">
        <v>0.38916666666666666</v>
      </c>
      <c r="G1060" s="22">
        <v>0</v>
      </c>
      <c r="H1060">
        <v>0</v>
      </c>
      <c r="I1060" s="19" t="e">
        <f>I1059 + (D1060-G1060)</f>
        <v>#VALUE!</v>
      </c>
      <c r="N1060">
        <v>24</v>
      </c>
      <c r="O1060" t="s">
        <v>68</v>
      </c>
      <c r="P1060">
        <v>1</v>
      </c>
      <c r="R1060">
        <v>1588</v>
      </c>
      <c r="S1060" s="17">
        <v>42142</v>
      </c>
      <c r="T1060" s="17">
        <v>42150</v>
      </c>
      <c r="W1060">
        <v>2015</v>
      </c>
      <c r="X1060">
        <v>24</v>
      </c>
      <c r="AC1060" t="s">
        <v>2048</v>
      </c>
      <c r="AD1060" t="s">
        <v>302</v>
      </c>
      <c r="AE1060" t="s">
        <v>46</v>
      </c>
      <c r="AG1060">
        <v>52</v>
      </c>
      <c r="AH1060">
        <v>2</v>
      </c>
      <c r="AI1060" t="s">
        <v>50</v>
      </c>
      <c r="AM1060">
        <v>0</v>
      </c>
      <c r="AP1060" t="s">
        <v>325</v>
      </c>
    </row>
    <row r="1061" spans="1:42" customFormat="1">
      <c r="A1061">
        <v>270161</v>
      </c>
      <c r="B1061" t="s">
        <v>102</v>
      </c>
      <c r="C1061" t="s">
        <v>2182</v>
      </c>
      <c r="D1061" s="22">
        <v>6300</v>
      </c>
      <c r="E1061" s="17">
        <v>42138</v>
      </c>
      <c r="F1061" s="18">
        <v>0.39055555555555554</v>
      </c>
      <c r="G1061" s="22">
        <v>0</v>
      </c>
      <c r="H1061">
        <v>0</v>
      </c>
      <c r="I1061" s="19" t="e">
        <f>I1060 + (D1061-G1061)</f>
        <v>#VALUE!</v>
      </c>
      <c r="N1061">
        <v>24</v>
      </c>
      <c r="O1061" t="s">
        <v>68</v>
      </c>
      <c r="P1061">
        <v>1</v>
      </c>
      <c r="R1061">
        <v>1588</v>
      </c>
      <c r="S1061" s="17">
        <v>42142</v>
      </c>
      <c r="T1061" s="17">
        <v>42150</v>
      </c>
      <c r="W1061">
        <v>2015</v>
      </c>
      <c r="X1061">
        <v>24</v>
      </c>
      <c r="AC1061" t="s">
        <v>2048</v>
      </c>
      <c r="AD1061" t="s">
        <v>302</v>
      </c>
      <c r="AE1061" t="s">
        <v>46</v>
      </c>
      <c r="AG1061">
        <v>52</v>
      </c>
      <c r="AH1061">
        <v>2</v>
      </c>
      <c r="AI1061" t="s">
        <v>50</v>
      </c>
      <c r="AM1061">
        <v>0</v>
      </c>
      <c r="AP1061" t="s">
        <v>325</v>
      </c>
    </row>
    <row r="1062" spans="1:42" customFormat="1">
      <c r="A1062">
        <v>270162</v>
      </c>
      <c r="B1062" t="s">
        <v>102</v>
      </c>
      <c r="C1062" t="s">
        <v>2182</v>
      </c>
      <c r="D1062" s="22">
        <v>4000</v>
      </c>
      <c r="E1062" s="17">
        <v>42138</v>
      </c>
      <c r="F1062" s="18">
        <v>0.39090277777777777</v>
      </c>
      <c r="G1062" s="22">
        <v>0</v>
      </c>
      <c r="H1062">
        <v>0</v>
      </c>
      <c r="I1062" s="19" t="e">
        <f>I1061 + (D1062-G1062)</f>
        <v>#VALUE!</v>
      </c>
      <c r="N1062">
        <v>24</v>
      </c>
      <c r="O1062" t="s">
        <v>68</v>
      </c>
      <c r="P1062">
        <v>1</v>
      </c>
      <c r="R1062">
        <v>1588</v>
      </c>
      <c r="S1062" s="17">
        <v>42142</v>
      </c>
      <c r="T1062" s="17">
        <v>42150</v>
      </c>
      <c r="W1062">
        <v>2015</v>
      </c>
      <c r="X1062">
        <v>24</v>
      </c>
      <c r="AC1062" t="s">
        <v>2048</v>
      </c>
      <c r="AD1062" t="s">
        <v>302</v>
      </c>
      <c r="AE1062" t="s">
        <v>46</v>
      </c>
      <c r="AG1062">
        <v>52</v>
      </c>
      <c r="AH1062">
        <v>2</v>
      </c>
      <c r="AI1062" t="s">
        <v>50</v>
      </c>
      <c r="AM1062">
        <v>0</v>
      </c>
      <c r="AP1062" t="s">
        <v>325</v>
      </c>
    </row>
    <row r="1063" spans="1:42" customFormat="1">
      <c r="A1063">
        <v>270163</v>
      </c>
      <c r="B1063" t="s">
        <v>102</v>
      </c>
      <c r="C1063" t="s">
        <v>2182</v>
      </c>
      <c r="D1063" s="22">
        <v>22791</v>
      </c>
      <c r="E1063" s="17">
        <v>42138</v>
      </c>
      <c r="F1063" s="18">
        <v>0.39116898148148144</v>
      </c>
      <c r="G1063" s="22">
        <v>0</v>
      </c>
      <c r="H1063">
        <v>0</v>
      </c>
      <c r="I1063" s="19" t="e">
        <f>I1062 + (D1063-G1063)</f>
        <v>#VALUE!</v>
      </c>
      <c r="N1063">
        <v>24</v>
      </c>
      <c r="O1063" t="s">
        <v>68</v>
      </c>
      <c r="P1063">
        <v>1</v>
      </c>
      <c r="R1063">
        <v>1588</v>
      </c>
      <c r="S1063" s="17">
        <v>42142</v>
      </c>
      <c r="T1063" s="17">
        <v>42150</v>
      </c>
      <c r="W1063">
        <v>2015</v>
      </c>
      <c r="X1063">
        <v>24</v>
      </c>
      <c r="AC1063" t="s">
        <v>2048</v>
      </c>
      <c r="AD1063" t="s">
        <v>302</v>
      </c>
      <c r="AE1063" t="s">
        <v>46</v>
      </c>
      <c r="AG1063">
        <v>52</v>
      </c>
      <c r="AH1063">
        <v>2</v>
      </c>
      <c r="AI1063" t="s">
        <v>50</v>
      </c>
      <c r="AM1063">
        <v>0</v>
      </c>
      <c r="AP1063" t="s">
        <v>325</v>
      </c>
    </row>
    <row r="1064" spans="1:42" customFormat="1">
      <c r="A1064">
        <v>270164</v>
      </c>
      <c r="B1064" t="s">
        <v>102</v>
      </c>
      <c r="C1064" t="s">
        <v>2182</v>
      </c>
      <c r="D1064" s="22">
        <v>5555.55</v>
      </c>
      <c r="E1064" s="17">
        <v>42138</v>
      </c>
      <c r="F1064" s="18">
        <v>0.39146990740740745</v>
      </c>
      <c r="G1064" s="22">
        <v>0</v>
      </c>
      <c r="H1064">
        <v>0</v>
      </c>
      <c r="I1064" s="19" t="e">
        <f>I1063 + (D1064-G1064)</f>
        <v>#VALUE!</v>
      </c>
      <c r="N1064">
        <v>24</v>
      </c>
      <c r="O1064" t="s">
        <v>68</v>
      </c>
      <c r="P1064">
        <v>1</v>
      </c>
      <c r="R1064">
        <v>1588</v>
      </c>
      <c r="S1064" s="17">
        <v>42142</v>
      </c>
      <c r="T1064" s="17">
        <v>42150</v>
      </c>
      <c r="W1064">
        <v>2015</v>
      </c>
      <c r="X1064">
        <v>24</v>
      </c>
      <c r="AC1064" t="s">
        <v>2048</v>
      </c>
      <c r="AD1064" t="s">
        <v>302</v>
      </c>
      <c r="AE1064" t="s">
        <v>46</v>
      </c>
      <c r="AG1064">
        <v>52</v>
      </c>
      <c r="AH1064">
        <v>2</v>
      </c>
      <c r="AI1064" t="s">
        <v>50</v>
      </c>
      <c r="AM1064">
        <v>0</v>
      </c>
      <c r="AP1064" t="s">
        <v>325</v>
      </c>
    </row>
    <row r="1065" spans="1:42" customFormat="1">
      <c r="A1065">
        <v>270165</v>
      </c>
      <c r="B1065" t="s">
        <v>102</v>
      </c>
      <c r="C1065" t="s">
        <v>2182</v>
      </c>
      <c r="D1065" s="22">
        <v>4273.5</v>
      </c>
      <c r="E1065" s="17">
        <v>42138</v>
      </c>
      <c r="F1065" s="18">
        <v>0.39181712962962961</v>
      </c>
      <c r="G1065" s="22">
        <v>0</v>
      </c>
      <c r="H1065">
        <v>0</v>
      </c>
      <c r="I1065" s="19" t="e">
        <f>I1064 + (D1065-G1065)</f>
        <v>#VALUE!</v>
      </c>
      <c r="N1065">
        <v>24</v>
      </c>
      <c r="O1065" t="s">
        <v>68</v>
      </c>
      <c r="P1065">
        <v>1</v>
      </c>
      <c r="R1065">
        <v>1588</v>
      </c>
      <c r="S1065" s="17">
        <v>42142</v>
      </c>
      <c r="T1065" s="17">
        <v>42150</v>
      </c>
      <c r="W1065">
        <v>2015</v>
      </c>
      <c r="X1065">
        <v>24</v>
      </c>
      <c r="AC1065" t="s">
        <v>2048</v>
      </c>
      <c r="AD1065" t="s">
        <v>302</v>
      </c>
      <c r="AE1065" t="s">
        <v>46</v>
      </c>
      <c r="AG1065">
        <v>52</v>
      </c>
      <c r="AH1065">
        <v>2</v>
      </c>
      <c r="AI1065" t="s">
        <v>50</v>
      </c>
      <c r="AM1065">
        <v>0</v>
      </c>
      <c r="AP1065" t="s">
        <v>325</v>
      </c>
    </row>
    <row r="1066" spans="1:42" customFormat="1">
      <c r="A1066">
        <v>270166</v>
      </c>
      <c r="B1066" t="s">
        <v>102</v>
      </c>
      <c r="C1066" t="s">
        <v>2182</v>
      </c>
      <c r="D1066" s="22">
        <v>17521.349999999999</v>
      </c>
      <c r="E1066" s="17">
        <v>42138</v>
      </c>
      <c r="F1066" s="18">
        <v>0.39210648148148147</v>
      </c>
      <c r="G1066" s="22">
        <v>0</v>
      </c>
      <c r="H1066">
        <v>0</v>
      </c>
      <c r="I1066" s="19" t="e">
        <f>I1065 + (D1066-G1066)</f>
        <v>#VALUE!</v>
      </c>
      <c r="N1066">
        <v>24</v>
      </c>
      <c r="O1066" t="s">
        <v>68</v>
      </c>
      <c r="P1066">
        <v>1</v>
      </c>
      <c r="R1066">
        <v>1588</v>
      </c>
      <c r="S1066" s="17">
        <v>42142</v>
      </c>
      <c r="T1066" s="17">
        <v>42150</v>
      </c>
      <c r="W1066">
        <v>2015</v>
      </c>
      <c r="X1066">
        <v>24</v>
      </c>
      <c r="AC1066" t="s">
        <v>2048</v>
      </c>
      <c r="AD1066" t="s">
        <v>302</v>
      </c>
      <c r="AE1066" t="s">
        <v>46</v>
      </c>
      <c r="AG1066">
        <v>52</v>
      </c>
      <c r="AH1066">
        <v>2</v>
      </c>
      <c r="AI1066" t="s">
        <v>50</v>
      </c>
      <c r="AM1066">
        <v>0</v>
      </c>
      <c r="AP1066" t="s">
        <v>325</v>
      </c>
    </row>
    <row r="1067" spans="1:42" customFormat="1">
      <c r="A1067">
        <v>270167</v>
      </c>
      <c r="B1067" t="s">
        <v>102</v>
      </c>
      <c r="C1067" t="s">
        <v>2182</v>
      </c>
      <c r="D1067" s="22">
        <v>15067.5</v>
      </c>
      <c r="E1067" s="17">
        <v>42138</v>
      </c>
      <c r="F1067" s="18">
        <v>0.39240740740740737</v>
      </c>
      <c r="G1067" s="22">
        <v>0</v>
      </c>
      <c r="H1067">
        <v>0</v>
      </c>
      <c r="I1067" s="19" t="e">
        <f>I1066 + (D1067-G1067)</f>
        <v>#VALUE!</v>
      </c>
      <c r="N1067">
        <v>24</v>
      </c>
      <c r="O1067" t="s">
        <v>68</v>
      </c>
      <c r="P1067">
        <v>1</v>
      </c>
      <c r="R1067">
        <v>1588</v>
      </c>
      <c r="S1067" s="17">
        <v>42142</v>
      </c>
      <c r="T1067" s="17">
        <v>42150</v>
      </c>
      <c r="W1067">
        <v>2015</v>
      </c>
      <c r="X1067">
        <v>24</v>
      </c>
      <c r="AC1067" t="s">
        <v>2048</v>
      </c>
      <c r="AD1067" t="s">
        <v>302</v>
      </c>
      <c r="AE1067" t="s">
        <v>46</v>
      </c>
      <c r="AG1067">
        <v>52</v>
      </c>
      <c r="AH1067">
        <v>2</v>
      </c>
      <c r="AI1067" t="s">
        <v>50</v>
      </c>
      <c r="AM1067">
        <v>0</v>
      </c>
      <c r="AP1067" t="s">
        <v>325</v>
      </c>
    </row>
    <row r="1068" spans="1:42" customFormat="1">
      <c r="A1068">
        <v>270168</v>
      </c>
      <c r="B1068" t="s">
        <v>102</v>
      </c>
      <c r="C1068" t="s">
        <v>2182</v>
      </c>
      <c r="D1068" s="22">
        <v>13675.2</v>
      </c>
      <c r="E1068" s="17">
        <v>42138</v>
      </c>
      <c r="F1068" s="18">
        <v>0.39283564814814814</v>
      </c>
      <c r="G1068" s="22">
        <v>0</v>
      </c>
      <c r="H1068">
        <v>0</v>
      </c>
      <c r="I1068" s="19" t="e">
        <f>I1067 + (D1068-G1068)</f>
        <v>#VALUE!</v>
      </c>
      <c r="N1068">
        <v>24</v>
      </c>
      <c r="O1068" t="s">
        <v>68</v>
      </c>
      <c r="P1068">
        <v>1</v>
      </c>
      <c r="R1068">
        <v>1588</v>
      </c>
      <c r="S1068" s="17">
        <v>42142</v>
      </c>
      <c r="T1068" s="17">
        <v>42150</v>
      </c>
      <c r="W1068">
        <v>2015</v>
      </c>
      <c r="X1068">
        <v>24</v>
      </c>
      <c r="AC1068" t="s">
        <v>2048</v>
      </c>
      <c r="AD1068" t="s">
        <v>302</v>
      </c>
      <c r="AE1068" t="s">
        <v>46</v>
      </c>
      <c r="AG1068">
        <v>52</v>
      </c>
      <c r="AH1068">
        <v>2</v>
      </c>
      <c r="AI1068" t="s">
        <v>50</v>
      </c>
      <c r="AM1068">
        <v>0</v>
      </c>
      <c r="AP1068" t="s">
        <v>325</v>
      </c>
    </row>
    <row r="1069" spans="1:42" customFormat="1">
      <c r="A1069">
        <v>270169</v>
      </c>
      <c r="B1069" t="s">
        <v>102</v>
      </c>
      <c r="C1069" t="s">
        <v>2182</v>
      </c>
      <c r="D1069" s="22">
        <v>18388.98</v>
      </c>
      <c r="E1069" s="17">
        <v>42138</v>
      </c>
      <c r="F1069" s="18">
        <v>0.39318287037037036</v>
      </c>
      <c r="G1069" s="22">
        <v>0</v>
      </c>
      <c r="H1069">
        <v>0</v>
      </c>
      <c r="I1069" s="19" t="e">
        <f>I1068 + (D1069-G1069)</f>
        <v>#VALUE!</v>
      </c>
      <c r="N1069">
        <v>24</v>
      </c>
      <c r="O1069" t="s">
        <v>68</v>
      </c>
      <c r="P1069">
        <v>1</v>
      </c>
      <c r="R1069">
        <v>1588</v>
      </c>
      <c r="S1069" s="17">
        <v>42142</v>
      </c>
      <c r="T1069" s="17">
        <v>42150</v>
      </c>
      <c r="W1069">
        <v>2015</v>
      </c>
      <c r="X1069">
        <v>24</v>
      </c>
      <c r="AC1069" t="s">
        <v>2048</v>
      </c>
      <c r="AD1069" t="s">
        <v>302</v>
      </c>
      <c r="AE1069" t="s">
        <v>46</v>
      </c>
      <c r="AG1069">
        <v>52</v>
      </c>
      <c r="AH1069">
        <v>2</v>
      </c>
      <c r="AI1069" t="s">
        <v>50</v>
      </c>
      <c r="AM1069">
        <v>0</v>
      </c>
      <c r="AP1069" t="s">
        <v>325</v>
      </c>
    </row>
    <row r="1070" spans="1:42" customFormat="1">
      <c r="A1070">
        <v>270170</v>
      </c>
      <c r="B1070" t="s">
        <v>102</v>
      </c>
      <c r="C1070" t="s">
        <v>2182</v>
      </c>
      <c r="D1070" s="22">
        <v>6492</v>
      </c>
      <c r="E1070" s="17">
        <v>42138</v>
      </c>
      <c r="F1070" s="18">
        <v>0.39348379629629626</v>
      </c>
      <c r="G1070" s="22">
        <v>0</v>
      </c>
      <c r="H1070">
        <v>0</v>
      </c>
      <c r="I1070" s="19" t="e">
        <f>I1069 + (D1070-G1070)</f>
        <v>#VALUE!</v>
      </c>
      <c r="N1070">
        <v>24</v>
      </c>
      <c r="O1070" t="s">
        <v>68</v>
      </c>
      <c r="P1070">
        <v>1</v>
      </c>
      <c r="R1070">
        <v>1588</v>
      </c>
      <c r="S1070" s="17">
        <v>42142</v>
      </c>
      <c r="T1070" s="17">
        <v>42150</v>
      </c>
      <c r="W1070">
        <v>2015</v>
      </c>
      <c r="X1070">
        <v>24</v>
      </c>
      <c r="AC1070" t="s">
        <v>2048</v>
      </c>
      <c r="AD1070" t="s">
        <v>302</v>
      </c>
      <c r="AE1070" t="s">
        <v>46</v>
      </c>
      <c r="AG1070">
        <v>52</v>
      </c>
      <c r="AH1070">
        <v>2</v>
      </c>
      <c r="AI1070" t="s">
        <v>50</v>
      </c>
      <c r="AM1070">
        <v>0</v>
      </c>
      <c r="AP1070" t="s">
        <v>325</v>
      </c>
    </row>
    <row r="1071" spans="1:42" customFormat="1">
      <c r="A1071">
        <v>270171</v>
      </c>
      <c r="B1071" t="s">
        <v>102</v>
      </c>
      <c r="C1071" t="s">
        <v>2182</v>
      </c>
      <c r="D1071" s="22">
        <v>6552.93</v>
      </c>
      <c r="E1071" s="17">
        <v>42138</v>
      </c>
      <c r="F1071" s="18">
        <v>0.39377314814814812</v>
      </c>
      <c r="G1071" s="22">
        <v>0</v>
      </c>
      <c r="H1071">
        <v>0</v>
      </c>
      <c r="I1071" s="19" t="e">
        <f>I1070 + (D1071-G1071)</f>
        <v>#VALUE!</v>
      </c>
      <c r="N1071">
        <v>24</v>
      </c>
      <c r="O1071" t="s">
        <v>68</v>
      </c>
      <c r="P1071">
        <v>1</v>
      </c>
      <c r="R1071">
        <v>1588</v>
      </c>
      <c r="S1071" s="17">
        <v>42142</v>
      </c>
      <c r="T1071" s="17">
        <v>42150</v>
      </c>
      <c r="W1071">
        <v>2015</v>
      </c>
      <c r="X1071">
        <v>24</v>
      </c>
      <c r="AC1071" t="s">
        <v>2048</v>
      </c>
      <c r="AD1071" t="s">
        <v>302</v>
      </c>
      <c r="AE1071" t="s">
        <v>46</v>
      </c>
      <c r="AG1071">
        <v>52</v>
      </c>
      <c r="AH1071">
        <v>2</v>
      </c>
      <c r="AI1071" t="s">
        <v>50</v>
      </c>
      <c r="AM1071">
        <v>0</v>
      </c>
      <c r="AP1071" t="s">
        <v>325</v>
      </c>
    </row>
    <row r="1072" spans="1:42" customFormat="1">
      <c r="A1072">
        <v>270172</v>
      </c>
      <c r="B1072" t="s">
        <v>102</v>
      </c>
      <c r="C1072" t="s">
        <v>2182</v>
      </c>
      <c r="D1072" s="22">
        <v>4500</v>
      </c>
      <c r="E1072" s="17">
        <v>42138</v>
      </c>
      <c r="F1072" s="18">
        <v>0.39421296296296293</v>
      </c>
      <c r="G1072" s="22">
        <v>0</v>
      </c>
      <c r="H1072">
        <v>0</v>
      </c>
      <c r="I1072" s="19" t="e">
        <f>I1071 + (D1072-G1072)</f>
        <v>#VALUE!</v>
      </c>
      <c r="N1072">
        <v>24</v>
      </c>
      <c r="O1072" t="s">
        <v>68</v>
      </c>
      <c r="P1072">
        <v>1</v>
      </c>
      <c r="R1072">
        <v>1588</v>
      </c>
      <c r="S1072" s="17">
        <v>42142</v>
      </c>
      <c r="T1072" s="17">
        <v>42150</v>
      </c>
      <c r="W1072">
        <v>2015</v>
      </c>
      <c r="X1072">
        <v>24</v>
      </c>
      <c r="AC1072" t="s">
        <v>2048</v>
      </c>
      <c r="AD1072" t="s">
        <v>302</v>
      </c>
      <c r="AE1072" t="s">
        <v>46</v>
      </c>
      <c r="AG1072">
        <v>52</v>
      </c>
      <c r="AH1072">
        <v>2</v>
      </c>
      <c r="AI1072" t="s">
        <v>50</v>
      </c>
      <c r="AM1072">
        <v>0</v>
      </c>
      <c r="AP1072" t="s">
        <v>325</v>
      </c>
    </row>
    <row r="1073" spans="1:42" customFormat="1">
      <c r="A1073">
        <v>270173</v>
      </c>
      <c r="B1073" t="s">
        <v>102</v>
      </c>
      <c r="C1073" t="s">
        <v>2182</v>
      </c>
      <c r="D1073" s="22">
        <v>7175.7</v>
      </c>
      <c r="E1073" s="17">
        <v>42138</v>
      </c>
      <c r="F1073" s="18">
        <v>0.39451388888888889</v>
      </c>
      <c r="G1073" s="22">
        <v>0</v>
      </c>
      <c r="H1073">
        <v>0</v>
      </c>
      <c r="I1073" s="19" t="e">
        <f>I1072 + (D1073-G1073)</f>
        <v>#VALUE!</v>
      </c>
      <c r="N1073">
        <v>24</v>
      </c>
      <c r="O1073" t="s">
        <v>68</v>
      </c>
      <c r="P1073">
        <v>1</v>
      </c>
      <c r="R1073">
        <v>1588</v>
      </c>
      <c r="S1073" s="17">
        <v>42142</v>
      </c>
      <c r="T1073" s="17">
        <v>42150</v>
      </c>
      <c r="W1073">
        <v>2015</v>
      </c>
      <c r="X1073">
        <v>24</v>
      </c>
      <c r="AC1073" t="s">
        <v>2048</v>
      </c>
      <c r="AD1073" t="s">
        <v>302</v>
      </c>
      <c r="AE1073" t="s">
        <v>46</v>
      </c>
      <c r="AG1073">
        <v>52</v>
      </c>
      <c r="AH1073">
        <v>2</v>
      </c>
      <c r="AI1073" t="s">
        <v>50</v>
      </c>
      <c r="AM1073">
        <v>0</v>
      </c>
      <c r="AP1073" t="s">
        <v>325</v>
      </c>
    </row>
    <row r="1074" spans="1:42" customFormat="1">
      <c r="A1074">
        <v>270662</v>
      </c>
      <c r="B1074" t="s">
        <v>102</v>
      </c>
      <c r="C1074" t="s">
        <v>3183</v>
      </c>
      <c r="D1074" s="22">
        <v>70000</v>
      </c>
      <c r="E1074" s="17">
        <v>42138</v>
      </c>
      <c r="F1074" s="18">
        <v>0.47010416666666671</v>
      </c>
      <c r="G1074" s="22">
        <v>0</v>
      </c>
      <c r="H1074">
        <v>0</v>
      </c>
      <c r="I1074" s="19" t="e">
        <f>I1073 + (D1074-G1074)</f>
        <v>#VALUE!</v>
      </c>
      <c r="N1074">
        <v>7</v>
      </c>
      <c r="O1074" t="s">
        <v>44</v>
      </c>
      <c r="P1074">
        <v>1</v>
      </c>
      <c r="R1074">
        <v>1588</v>
      </c>
      <c r="S1074" s="17">
        <v>42145</v>
      </c>
      <c r="T1074" s="17">
        <v>42149</v>
      </c>
      <c r="W1074">
        <v>2015</v>
      </c>
      <c r="X1074">
        <v>24</v>
      </c>
      <c r="AC1074" t="s">
        <v>2048</v>
      </c>
      <c r="AD1074" t="s">
        <v>302</v>
      </c>
      <c r="AE1074" t="s">
        <v>46</v>
      </c>
      <c r="AG1074">
        <v>2</v>
      </c>
      <c r="AH1074">
        <v>9</v>
      </c>
      <c r="AI1074" t="s">
        <v>54</v>
      </c>
      <c r="AM1074">
        <v>0</v>
      </c>
      <c r="AP1074" t="s">
        <v>2544</v>
      </c>
    </row>
    <row r="1075" spans="1:42" customFormat="1">
      <c r="A1075">
        <v>270024</v>
      </c>
      <c r="B1075" t="s">
        <v>102</v>
      </c>
      <c r="C1075" t="s">
        <v>3050</v>
      </c>
      <c r="D1075" s="22">
        <v>190</v>
      </c>
      <c r="E1075" s="17">
        <v>42138</v>
      </c>
      <c r="F1075" s="18">
        <v>0.61940972222222224</v>
      </c>
      <c r="G1075" s="22">
        <v>0</v>
      </c>
      <c r="H1075">
        <v>0</v>
      </c>
      <c r="I1075" s="19" t="e">
        <f>I1074 + (D1075-G1075)</f>
        <v>#VALUE!</v>
      </c>
      <c r="N1075">
        <v>24</v>
      </c>
      <c r="O1075" t="s">
        <v>68</v>
      </c>
      <c r="P1075">
        <v>1</v>
      </c>
      <c r="R1075">
        <v>1588</v>
      </c>
      <c r="S1075" s="17">
        <v>42139</v>
      </c>
      <c r="T1075" s="17">
        <v>42166</v>
      </c>
      <c r="W1075">
        <v>2015</v>
      </c>
      <c r="X1075">
        <v>24</v>
      </c>
      <c r="AC1075" t="s">
        <v>2048</v>
      </c>
      <c r="AD1075" t="s">
        <v>302</v>
      </c>
      <c r="AE1075" t="s">
        <v>46</v>
      </c>
      <c r="AG1075">
        <v>12</v>
      </c>
      <c r="AH1075">
        <v>2</v>
      </c>
      <c r="AI1075" t="s">
        <v>50</v>
      </c>
      <c r="AM1075">
        <v>0</v>
      </c>
      <c r="AP1075" t="s">
        <v>392</v>
      </c>
    </row>
    <row r="1076" spans="1:42" customFormat="1">
      <c r="A1076">
        <v>270025</v>
      </c>
      <c r="B1076" t="s">
        <v>102</v>
      </c>
      <c r="C1076" t="s">
        <v>2182</v>
      </c>
      <c r="D1076" s="22">
        <v>2618.5500000000002</v>
      </c>
      <c r="E1076" s="17">
        <v>42138</v>
      </c>
      <c r="F1076" s="18">
        <v>0.61981481481481482</v>
      </c>
      <c r="G1076" s="22">
        <v>0</v>
      </c>
      <c r="H1076">
        <v>0</v>
      </c>
      <c r="I1076" s="19" t="e">
        <f>I1075 + (D1076-G1076)</f>
        <v>#VALUE!</v>
      </c>
      <c r="N1076">
        <v>24</v>
      </c>
      <c r="O1076" t="s">
        <v>68</v>
      </c>
      <c r="P1076">
        <v>1</v>
      </c>
      <c r="R1076">
        <v>1588</v>
      </c>
      <c r="S1076" s="17">
        <v>42139</v>
      </c>
      <c r="T1076" s="17">
        <v>42166</v>
      </c>
      <c r="W1076">
        <v>2015</v>
      </c>
      <c r="X1076">
        <v>24</v>
      </c>
      <c r="AC1076" t="s">
        <v>2048</v>
      </c>
      <c r="AD1076" t="s">
        <v>302</v>
      </c>
      <c r="AE1076" t="s">
        <v>46</v>
      </c>
      <c r="AG1076">
        <v>12</v>
      </c>
      <c r="AH1076">
        <v>2</v>
      </c>
      <c r="AI1076" t="s">
        <v>50</v>
      </c>
      <c r="AM1076">
        <v>0</v>
      </c>
      <c r="AP1076" t="s">
        <v>392</v>
      </c>
    </row>
    <row r="1077" spans="1:42" customFormat="1">
      <c r="A1077">
        <v>270026</v>
      </c>
      <c r="B1077" t="s">
        <v>102</v>
      </c>
      <c r="C1077" t="s">
        <v>2182</v>
      </c>
      <c r="D1077" s="22">
        <v>1489.76</v>
      </c>
      <c r="E1077" s="17">
        <v>42138</v>
      </c>
      <c r="F1077" s="18">
        <v>0.6202199074074074</v>
      </c>
      <c r="G1077" s="22">
        <v>0</v>
      </c>
      <c r="H1077">
        <v>0</v>
      </c>
      <c r="I1077" s="19" t="e">
        <f>I1076 + (D1077-G1077)</f>
        <v>#VALUE!</v>
      </c>
      <c r="N1077">
        <v>24</v>
      </c>
      <c r="O1077" t="s">
        <v>68</v>
      </c>
      <c r="P1077">
        <v>1</v>
      </c>
      <c r="R1077">
        <v>1588</v>
      </c>
      <c r="S1077" s="17">
        <v>42139</v>
      </c>
      <c r="T1077" s="17">
        <v>42166</v>
      </c>
      <c r="W1077">
        <v>2015</v>
      </c>
      <c r="X1077">
        <v>24</v>
      </c>
      <c r="AC1077" t="s">
        <v>2048</v>
      </c>
      <c r="AD1077" t="s">
        <v>302</v>
      </c>
      <c r="AE1077" t="s">
        <v>46</v>
      </c>
      <c r="AG1077">
        <v>12</v>
      </c>
      <c r="AH1077">
        <v>2</v>
      </c>
      <c r="AI1077" t="s">
        <v>50</v>
      </c>
      <c r="AM1077">
        <v>0</v>
      </c>
      <c r="AP1077" t="s">
        <v>392</v>
      </c>
    </row>
    <row r="1078" spans="1:42" customFormat="1">
      <c r="A1078">
        <v>270027</v>
      </c>
      <c r="B1078" t="s">
        <v>102</v>
      </c>
      <c r="C1078" t="s">
        <v>2182</v>
      </c>
      <c r="D1078" s="22">
        <v>4720.3</v>
      </c>
      <c r="E1078" s="17">
        <v>42138</v>
      </c>
      <c r="F1078" s="18">
        <v>0.62050925925925926</v>
      </c>
      <c r="G1078" s="22">
        <v>0</v>
      </c>
      <c r="H1078">
        <v>0</v>
      </c>
      <c r="I1078" s="19" t="e">
        <f>I1077 + (D1078-G1078)</f>
        <v>#VALUE!</v>
      </c>
      <c r="N1078">
        <v>24</v>
      </c>
      <c r="O1078" t="s">
        <v>68</v>
      </c>
      <c r="P1078">
        <v>1</v>
      </c>
      <c r="R1078">
        <v>1588</v>
      </c>
      <c r="S1078" s="17">
        <v>42139</v>
      </c>
      <c r="T1078" s="17">
        <v>42166</v>
      </c>
      <c r="W1078">
        <v>2015</v>
      </c>
      <c r="X1078">
        <v>24</v>
      </c>
      <c r="AC1078" t="s">
        <v>2048</v>
      </c>
      <c r="AD1078" t="s">
        <v>302</v>
      </c>
      <c r="AE1078" t="s">
        <v>46</v>
      </c>
      <c r="AG1078">
        <v>12</v>
      </c>
      <c r="AH1078">
        <v>2</v>
      </c>
      <c r="AI1078" t="s">
        <v>50</v>
      </c>
      <c r="AM1078">
        <v>0</v>
      </c>
      <c r="AP1078" t="s">
        <v>392</v>
      </c>
    </row>
    <row r="1079" spans="1:42" customFormat="1">
      <c r="A1079">
        <v>270028</v>
      </c>
      <c r="B1079" t="s">
        <v>102</v>
      </c>
      <c r="C1079" t="s">
        <v>2182</v>
      </c>
      <c r="D1079" s="22">
        <v>3197.3</v>
      </c>
      <c r="E1079" s="17">
        <v>42138</v>
      </c>
      <c r="F1079" s="18">
        <v>0.62079861111111112</v>
      </c>
      <c r="G1079" s="22">
        <v>0</v>
      </c>
      <c r="H1079">
        <v>0</v>
      </c>
      <c r="I1079" s="19" t="e">
        <f>I1078 + (D1079-G1079)</f>
        <v>#VALUE!</v>
      </c>
      <c r="N1079">
        <v>24</v>
      </c>
      <c r="O1079" t="s">
        <v>68</v>
      </c>
      <c r="P1079">
        <v>1</v>
      </c>
      <c r="R1079">
        <v>1588</v>
      </c>
      <c r="S1079" s="17">
        <v>42139</v>
      </c>
      <c r="T1079" s="17">
        <v>42166</v>
      </c>
      <c r="W1079">
        <v>2015</v>
      </c>
      <c r="X1079">
        <v>24</v>
      </c>
      <c r="AC1079" t="s">
        <v>2048</v>
      </c>
      <c r="AD1079" t="s">
        <v>302</v>
      </c>
      <c r="AE1079" t="s">
        <v>46</v>
      </c>
      <c r="AG1079">
        <v>12</v>
      </c>
      <c r="AH1079">
        <v>2</v>
      </c>
      <c r="AI1079" t="s">
        <v>50</v>
      </c>
      <c r="AM1079">
        <v>0</v>
      </c>
      <c r="AP1079" t="s">
        <v>392</v>
      </c>
    </row>
    <row r="1080" spans="1:42" customFormat="1">
      <c r="A1080">
        <v>270937</v>
      </c>
      <c r="B1080" t="s">
        <v>3391</v>
      </c>
      <c r="C1080" t="s">
        <v>3392</v>
      </c>
      <c r="D1080" s="22">
        <v>9000</v>
      </c>
      <c r="E1080" s="17">
        <v>42139</v>
      </c>
      <c r="F1080" s="18">
        <v>0.40863425925925928</v>
      </c>
      <c r="G1080" s="22">
        <v>0</v>
      </c>
      <c r="H1080">
        <v>0</v>
      </c>
      <c r="I1080" s="19" t="e">
        <f>I1079 + (D1080-G1080)</f>
        <v>#VALUE!</v>
      </c>
      <c r="N1080">
        <v>7</v>
      </c>
      <c r="O1080" t="s">
        <v>44</v>
      </c>
      <c r="P1080">
        <v>1</v>
      </c>
      <c r="R1080">
        <v>1588</v>
      </c>
      <c r="S1080" s="17">
        <v>42149</v>
      </c>
      <c r="T1080" s="17">
        <v>42149</v>
      </c>
      <c r="W1080">
        <v>2015</v>
      </c>
      <c r="X1080">
        <v>7</v>
      </c>
      <c r="AC1080" t="s">
        <v>2048</v>
      </c>
      <c r="AD1080" t="s">
        <v>302</v>
      </c>
      <c r="AE1080" t="s">
        <v>46</v>
      </c>
      <c r="AG1080">
        <v>33</v>
      </c>
      <c r="AH1080">
        <v>2</v>
      </c>
      <c r="AI1080" t="s">
        <v>50</v>
      </c>
      <c r="AM1080">
        <v>0</v>
      </c>
      <c r="AP1080" t="s">
        <v>457</v>
      </c>
    </row>
    <row r="1081" spans="1:42" customFormat="1">
      <c r="A1081">
        <v>272797</v>
      </c>
      <c r="B1081" t="s">
        <v>102</v>
      </c>
      <c r="C1081" t="s">
        <v>2182</v>
      </c>
      <c r="D1081" s="22">
        <v>157068</v>
      </c>
      <c r="E1081" s="17">
        <v>42139</v>
      </c>
      <c r="F1081" s="18">
        <v>0.44086805555555553</v>
      </c>
      <c r="G1081" s="22">
        <v>0</v>
      </c>
      <c r="H1081">
        <v>0</v>
      </c>
      <c r="I1081" s="19" t="e">
        <f>I1080 + (D1081-G1081)</f>
        <v>#VALUE!</v>
      </c>
      <c r="N1081">
        <v>60</v>
      </c>
      <c r="O1081" t="s">
        <v>60</v>
      </c>
      <c r="P1081">
        <v>1</v>
      </c>
      <c r="R1081">
        <v>1588</v>
      </c>
      <c r="S1081" s="17">
        <v>42166</v>
      </c>
      <c r="T1081" s="17">
        <v>42166</v>
      </c>
      <c r="W1081">
        <v>2015</v>
      </c>
      <c r="X1081">
        <v>60</v>
      </c>
      <c r="AC1081" t="s">
        <v>2048</v>
      </c>
      <c r="AD1081" t="s">
        <v>302</v>
      </c>
      <c r="AE1081" t="s">
        <v>46</v>
      </c>
      <c r="AG1081">
        <v>52</v>
      </c>
      <c r="AH1081">
        <v>2</v>
      </c>
      <c r="AI1081" t="s">
        <v>50</v>
      </c>
      <c r="AM1081">
        <v>0</v>
      </c>
      <c r="AP1081" t="s">
        <v>325</v>
      </c>
    </row>
    <row r="1082" spans="1:42" customFormat="1">
      <c r="A1082">
        <v>272809</v>
      </c>
      <c r="B1082" t="s">
        <v>102</v>
      </c>
      <c r="C1082" t="s">
        <v>3446</v>
      </c>
      <c r="D1082" s="22">
        <v>1386</v>
      </c>
      <c r="E1082" s="17">
        <v>42139</v>
      </c>
      <c r="F1082" s="18">
        <v>0.44603009259259258</v>
      </c>
      <c r="G1082" s="22">
        <v>0</v>
      </c>
      <c r="H1082">
        <v>0</v>
      </c>
      <c r="I1082" s="19" t="e">
        <f>I1081 + (D1082-G1082)</f>
        <v>#VALUE!</v>
      </c>
      <c r="N1082">
        <v>24</v>
      </c>
      <c r="O1082" t="s">
        <v>68</v>
      </c>
      <c r="P1082">
        <v>1</v>
      </c>
      <c r="R1082">
        <v>1588</v>
      </c>
      <c r="S1082" s="17">
        <v>42166</v>
      </c>
      <c r="T1082" s="17">
        <v>42166</v>
      </c>
      <c r="W1082">
        <v>2015</v>
      </c>
      <c r="X1082">
        <v>24</v>
      </c>
      <c r="AC1082" t="s">
        <v>2048</v>
      </c>
      <c r="AD1082" t="s">
        <v>302</v>
      </c>
      <c r="AE1082" t="s">
        <v>46</v>
      </c>
      <c r="AG1082">
        <v>12</v>
      </c>
      <c r="AH1082">
        <v>2</v>
      </c>
      <c r="AI1082" t="s">
        <v>50</v>
      </c>
      <c r="AM1082">
        <v>0</v>
      </c>
      <c r="AP1082" t="s">
        <v>392</v>
      </c>
    </row>
    <row r="1083" spans="1:42" customFormat="1">
      <c r="A1083">
        <v>272810</v>
      </c>
      <c r="B1083" t="s">
        <v>102</v>
      </c>
      <c r="C1083" t="s">
        <v>3446</v>
      </c>
      <c r="D1083" s="22">
        <v>1386</v>
      </c>
      <c r="E1083" s="17">
        <v>42139</v>
      </c>
      <c r="F1083" s="18">
        <v>0.44633101851851853</v>
      </c>
      <c r="G1083" s="22">
        <v>0</v>
      </c>
      <c r="H1083">
        <v>0</v>
      </c>
      <c r="I1083" s="19" t="e">
        <f>I1082 + (D1083-G1083)</f>
        <v>#VALUE!</v>
      </c>
      <c r="N1083">
        <v>24</v>
      </c>
      <c r="O1083" t="s">
        <v>68</v>
      </c>
      <c r="P1083">
        <v>1</v>
      </c>
      <c r="R1083">
        <v>1588</v>
      </c>
      <c r="S1083" s="17">
        <v>42166</v>
      </c>
      <c r="T1083" s="17">
        <v>42166</v>
      </c>
      <c r="W1083">
        <v>2015</v>
      </c>
      <c r="X1083">
        <v>24</v>
      </c>
      <c r="AC1083" t="s">
        <v>2048</v>
      </c>
      <c r="AD1083" t="s">
        <v>302</v>
      </c>
      <c r="AE1083" t="s">
        <v>46</v>
      </c>
      <c r="AG1083">
        <v>12</v>
      </c>
      <c r="AH1083">
        <v>2</v>
      </c>
      <c r="AI1083" t="s">
        <v>50</v>
      </c>
      <c r="AM1083">
        <v>0</v>
      </c>
      <c r="AP1083" t="s">
        <v>392</v>
      </c>
    </row>
    <row r="1084" spans="1:42" customFormat="1">
      <c r="A1084">
        <v>272811</v>
      </c>
      <c r="B1084" t="s">
        <v>102</v>
      </c>
      <c r="C1084" t="s">
        <v>3446</v>
      </c>
      <c r="D1084" s="22">
        <v>1092</v>
      </c>
      <c r="E1084" s="17">
        <v>42139</v>
      </c>
      <c r="F1084" s="18">
        <v>0.44711805555555556</v>
      </c>
      <c r="G1084" s="22">
        <v>0</v>
      </c>
      <c r="H1084">
        <v>0</v>
      </c>
      <c r="I1084" s="19" t="e">
        <f>I1083 + (D1084-G1084)</f>
        <v>#VALUE!</v>
      </c>
      <c r="N1084">
        <v>24</v>
      </c>
      <c r="O1084" t="s">
        <v>68</v>
      </c>
      <c r="P1084">
        <v>1</v>
      </c>
      <c r="R1084">
        <v>1588</v>
      </c>
      <c r="S1084" s="17">
        <v>42166</v>
      </c>
      <c r="T1084" s="17">
        <v>42166</v>
      </c>
      <c r="W1084">
        <v>2015</v>
      </c>
      <c r="X1084">
        <v>24</v>
      </c>
      <c r="AC1084" t="s">
        <v>2048</v>
      </c>
      <c r="AD1084" t="s">
        <v>302</v>
      </c>
      <c r="AE1084" t="s">
        <v>46</v>
      </c>
      <c r="AG1084">
        <v>12</v>
      </c>
      <c r="AH1084">
        <v>2</v>
      </c>
      <c r="AI1084" t="s">
        <v>50</v>
      </c>
      <c r="AM1084">
        <v>0</v>
      </c>
      <c r="AP1084" t="s">
        <v>392</v>
      </c>
    </row>
    <row r="1085" spans="1:42" customFormat="1">
      <c r="A1085">
        <v>272812</v>
      </c>
      <c r="B1085" t="s">
        <v>102</v>
      </c>
      <c r="C1085" t="s">
        <v>3446</v>
      </c>
      <c r="D1085" s="22">
        <v>1386</v>
      </c>
      <c r="E1085" s="17">
        <v>42139</v>
      </c>
      <c r="F1085" s="18">
        <v>0.44734953703703706</v>
      </c>
      <c r="G1085" s="22">
        <v>0</v>
      </c>
      <c r="H1085">
        <v>0</v>
      </c>
      <c r="I1085" s="19" t="e">
        <f>I1084 + (D1085-G1085)</f>
        <v>#VALUE!</v>
      </c>
      <c r="N1085">
        <v>24</v>
      </c>
      <c r="O1085" t="s">
        <v>68</v>
      </c>
      <c r="P1085">
        <v>1</v>
      </c>
      <c r="R1085">
        <v>1588</v>
      </c>
      <c r="S1085" s="17">
        <v>42166</v>
      </c>
      <c r="T1085" s="17">
        <v>42166</v>
      </c>
      <c r="W1085">
        <v>2015</v>
      </c>
      <c r="X1085">
        <v>24</v>
      </c>
      <c r="AC1085" t="s">
        <v>2048</v>
      </c>
      <c r="AD1085" t="s">
        <v>302</v>
      </c>
      <c r="AE1085" t="s">
        <v>46</v>
      </c>
      <c r="AG1085">
        <v>12</v>
      </c>
      <c r="AH1085">
        <v>2</v>
      </c>
      <c r="AI1085" t="s">
        <v>50</v>
      </c>
      <c r="AM1085">
        <v>0</v>
      </c>
      <c r="AP1085" t="s">
        <v>392</v>
      </c>
    </row>
    <row r="1086" spans="1:42" customFormat="1">
      <c r="A1086">
        <v>272813</v>
      </c>
      <c r="B1086" t="s">
        <v>102</v>
      </c>
      <c r="C1086" t="s">
        <v>3446</v>
      </c>
      <c r="D1086" s="22">
        <v>1130</v>
      </c>
      <c r="E1086" s="17">
        <v>42139</v>
      </c>
      <c r="F1086" s="18">
        <v>0.44763888888888892</v>
      </c>
      <c r="G1086" s="22">
        <v>0</v>
      </c>
      <c r="H1086">
        <v>0</v>
      </c>
      <c r="I1086" s="19" t="e">
        <f>I1085 + (D1086-G1086)</f>
        <v>#VALUE!</v>
      </c>
      <c r="N1086">
        <v>24</v>
      </c>
      <c r="O1086" t="s">
        <v>68</v>
      </c>
      <c r="P1086">
        <v>1</v>
      </c>
      <c r="R1086">
        <v>1588</v>
      </c>
      <c r="S1086" s="17">
        <v>42166</v>
      </c>
      <c r="T1086" s="17">
        <v>42166</v>
      </c>
      <c r="W1086">
        <v>2015</v>
      </c>
      <c r="X1086">
        <v>24</v>
      </c>
      <c r="AC1086" t="s">
        <v>2048</v>
      </c>
      <c r="AD1086" t="s">
        <v>302</v>
      </c>
      <c r="AE1086" t="s">
        <v>46</v>
      </c>
      <c r="AG1086">
        <v>12</v>
      </c>
      <c r="AH1086">
        <v>2</v>
      </c>
      <c r="AI1086" t="s">
        <v>50</v>
      </c>
      <c r="AM1086">
        <v>0</v>
      </c>
      <c r="AP1086" t="s">
        <v>392</v>
      </c>
    </row>
    <row r="1087" spans="1:42" customFormat="1">
      <c r="A1087">
        <v>272814</v>
      </c>
      <c r="B1087" t="s">
        <v>102</v>
      </c>
      <c r="C1087" t="s">
        <v>3446</v>
      </c>
      <c r="D1087" s="22">
        <v>1386</v>
      </c>
      <c r="E1087" s="17">
        <v>42139</v>
      </c>
      <c r="F1087" s="18">
        <v>0.44791666666666669</v>
      </c>
      <c r="G1087" s="22">
        <v>0</v>
      </c>
      <c r="H1087">
        <v>0</v>
      </c>
      <c r="I1087" s="19" t="e">
        <f>I1086 + (D1087-G1087)</f>
        <v>#VALUE!</v>
      </c>
      <c r="N1087">
        <v>24</v>
      </c>
      <c r="O1087" t="s">
        <v>68</v>
      </c>
      <c r="P1087">
        <v>1</v>
      </c>
      <c r="R1087">
        <v>1588</v>
      </c>
      <c r="S1087" s="17">
        <v>42166</v>
      </c>
      <c r="T1087" s="17">
        <v>42166</v>
      </c>
      <c r="W1087">
        <v>2015</v>
      </c>
      <c r="X1087">
        <v>24</v>
      </c>
      <c r="AC1087" t="s">
        <v>2048</v>
      </c>
      <c r="AD1087" t="s">
        <v>302</v>
      </c>
      <c r="AE1087" t="s">
        <v>46</v>
      </c>
      <c r="AG1087">
        <v>12</v>
      </c>
      <c r="AH1087">
        <v>2</v>
      </c>
      <c r="AI1087" t="s">
        <v>50</v>
      </c>
      <c r="AM1087">
        <v>0</v>
      </c>
      <c r="AP1087" t="s">
        <v>392</v>
      </c>
    </row>
    <row r="1088" spans="1:42" customFormat="1">
      <c r="A1088">
        <v>272815</v>
      </c>
      <c r="B1088" t="s">
        <v>102</v>
      </c>
      <c r="C1088" t="s">
        <v>3446</v>
      </c>
      <c r="D1088" s="22">
        <v>1386</v>
      </c>
      <c r="E1088" s="17">
        <v>42139</v>
      </c>
      <c r="F1088" s="18">
        <v>0.44866898148148149</v>
      </c>
      <c r="G1088" s="22">
        <v>0</v>
      </c>
      <c r="H1088">
        <v>0</v>
      </c>
      <c r="I1088" s="19" t="e">
        <f>I1087 + (D1088-G1088)</f>
        <v>#VALUE!</v>
      </c>
      <c r="N1088">
        <v>24</v>
      </c>
      <c r="O1088" t="s">
        <v>68</v>
      </c>
      <c r="P1088">
        <v>1</v>
      </c>
      <c r="R1088">
        <v>1588</v>
      </c>
      <c r="S1088" s="17">
        <v>42166</v>
      </c>
      <c r="T1088" s="17">
        <v>42166</v>
      </c>
      <c r="W1088">
        <v>2015</v>
      </c>
      <c r="X1088">
        <v>24</v>
      </c>
      <c r="AC1088" t="s">
        <v>2048</v>
      </c>
      <c r="AD1088" t="s">
        <v>302</v>
      </c>
      <c r="AE1088" t="s">
        <v>46</v>
      </c>
      <c r="AG1088">
        <v>12</v>
      </c>
      <c r="AH1088">
        <v>2</v>
      </c>
      <c r="AI1088" t="s">
        <v>50</v>
      </c>
      <c r="AM1088">
        <v>0</v>
      </c>
      <c r="AP1088" t="s">
        <v>392</v>
      </c>
    </row>
    <row r="1089" spans="1:42" customFormat="1">
      <c r="A1089">
        <v>270672</v>
      </c>
      <c r="B1089" t="s">
        <v>102</v>
      </c>
      <c r="C1089" t="s">
        <v>3456</v>
      </c>
      <c r="D1089" s="22">
        <v>20000</v>
      </c>
      <c r="E1089" s="17">
        <v>42139</v>
      </c>
      <c r="F1089" s="18">
        <v>0.47791666666666671</v>
      </c>
      <c r="G1089" s="22">
        <v>0</v>
      </c>
      <c r="H1089">
        <v>0</v>
      </c>
      <c r="I1089" s="19" t="e">
        <f>I1088 + (D1089-G1089)</f>
        <v>#VALUE!</v>
      </c>
      <c r="N1089">
        <v>7</v>
      </c>
      <c r="O1089" t="s">
        <v>44</v>
      </c>
      <c r="P1089">
        <v>1</v>
      </c>
      <c r="R1089">
        <v>1588</v>
      </c>
      <c r="S1089" s="17">
        <v>42145</v>
      </c>
      <c r="T1089" s="17">
        <v>42149</v>
      </c>
      <c r="W1089">
        <v>2015</v>
      </c>
      <c r="X1089">
        <v>24</v>
      </c>
      <c r="AC1089" t="s">
        <v>2048</v>
      </c>
      <c r="AD1089" t="s">
        <v>302</v>
      </c>
      <c r="AE1089" t="s">
        <v>46</v>
      </c>
      <c r="AG1089">
        <v>2</v>
      </c>
      <c r="AH1089">
        <v>2</v>
      </c>
      <c r="AI1089" t="s">
        <v>50</v>
      </c>
      <c r="AM1089">
        <v>0</v>
      </c>
      <c r="AP1089" t="s">
        <v>2544</v>
      </c>
    </row>
    <row r="1090" spans="1:42" customFormat="1">
      <c r="A1090">
        <v>270454</v>
      </c>
      <c r="B1090" t="s">
        <v>102</v>
      </c>
      <c r="C1090" t="s">
        <v>3050</v>
      </c>
      <c r="D1090" s="22">
        <v>1068.8800000000001</v>
      </c>
      <c r="E1090" s="17">
        <v>42142</v>
      </c>
      <c r="F1090" s="18">
        <v>0.3684837962962963</v>
      </c>
      <c r="G1090" s="22">
        <v>0</v>
      </c>
      <c r="H1090">
        <v>0</v>
      </c>
      <c r="I1090" s="19" t="e">
        <f>I1089 + (D1090-G1090)</f>
        <v>#VALUE!</v>
      </c>
      <c r="N1090">
        <v>24</v>
      </c>
      <c r="O1090" t="s">
        <v>68</v>
      </c>
      <c r="P1090">
        <v>1</v>
      </c>
      <c r="R1090">
        <v>1588</v>
      </c>
      <c r="S1090" s="17">
        <v>42145</v>
      </c>
      <c r="T1090" s="17">
        <v>42145</v>
      </c>
      <c r="W1090">
        <v>2015</v>
      </c>
      <c r="X1090">
        <v>24</v>
      </c>
      <c r="AC1090" t="s">
        <v>2048</v>
      </c>
      <c r="AD1090" t="s">
        <v>302</v>
      </c>
      <c r="AE1090" t="s">
        <v>46</v>
      </c>
      <c r="AG1090">
        <v>74</v>
      </c>
      <c r="AH1090">
        <v>2</v>
      </c>
      <c r="AI1090" t="s">
        <v>50</v>
      </c>
      <c r="AM1090">
        <v>0</v>
      </c>
      <c r="AP1090" t="s">
        <v>506</v>
      </c>
    </row>
    <row r="1091" spans="1:42" customFormat="1">
      <c r="A1091">
        <v>270455</v>
      </c>
      <c r="B1091" t="s">
        <v>102</v>
      </c>
      <c r="C1091" t="s">
        <v>3050</v>
      </c>
      <c r="D1091" s="22">
        <v>1689</v>
      </c>
      <c r="E1091" s="17">
        <v>42142</v>
      </c>
      <c r="F1091" s="18">
        <v>0.36890046296296292</v>
      </c>
      <c r="G1091" s="22">
        <v>0</v>
      </c>
      <c r="H1091">
        <v>0</v>
      </c>
      <c r="I1091" s="19" t="e">
        <f>I1090 + (D1091-G1091)</f>
        <v>#VALUE!</v>
      </c>
      <c r="N1091">
        <v>24</v>
      </c>
      <c r="O1091" t="s">
        <v>68</v>
      </c>
      <c r="P1091">
        <v>1</v>
      </c>
      <c r="R1091">
        <v>1588</v>
      </c>
      <c r="S1091" s="17">
        <v>42145</v>
      </c>
      <c r="T1091" s="17">
        <v>42145</v>
      </c>
      <c r="W1091">
        <v>2015</v>
      </c>
      <c r="X1091">
        <v>24</v>
      </c>
      <c r="AC1091" t="s">
        <v>2048</v>
      </c>
      <c r="AD1091" t="s">
        <v>302</v>
      </c>
      <c r="AE1091" t="s">
        <v>46</v>
      </c>
      <c r="AG1091">
        <v>74</v>
      </c>
      <c r="AH1091">
        <v>2</v>
      </c>
      <c r="AI1091" t="s">
        <v>50</v>
      </c>
      <c r="AM1091">
        <v>0</v>
      </c>
      <c r="AP1091" t="s">
        <v>506</v>
      </c>
    </row>
    <row r="1092" spans="1:42" customFormat="1">
      <c r="A1092">
        <v>270456</v>
      </c>
      <c r="B1092" t="s">
        <v>102</v>
      </c>
      <c r="C1092" t="s">
        <v>3050</v>
      </c>
      <c r="D1092" s="22">
        <v>1325.7</v>
      </c>
      <c r="E1092" s="17">
        <v>42142</v>
      </c>
      <c r="F1092" s="18">
        <v>0.36922453703703706</v>
      </c>
      <c r="G1092" s="22">
        <v>0</v>
      </c>
      <c r="H1092">
        <v>0</v>
      </c>
      <c r="I1092" s="19" t="e">
        <f>I1091 + (D1092-G1092)</f>
        <v>#VALUE!</v>
      </c>
      <c r="N1092">
        <v>24</v>
      </c>
      <c r="O1092" t="s">
        <v>68</v>
      </c>
      <c r="P1092">
        <v>1</v>
      </c>
      <c r="R1092">
        <v>1588</v>
      </c>
      <c r="S1092" s="17">
        <v>42145</v>
      </c>
      <c r="T1092" s="17">
        <v>42145</v>
      </c>
      <c r="W1092">
        <v>2015</v>
      </c>
      <c r="X1092">
        <v>24</v>
      </c>
      <c r="AC1092" t="s">
        <v>2048</v>
      </c>
      <c r="AD1092" t="s">
        <v>302</v>
      </c>
      <c r="AE1092" t="s">
        <v>46</v>
      </c>
      <c r="AG1092">
        <v>74</v>
      </c>
      <c r="AH1092">
        <v>2</v>
      </c>
      <c r="AI1092" t="s">
        <v>50</v>
      </c>
      <c r="AM1092">
        <v>0</v>
      </c>
      <c r="AP1092" t="s">
        <v>506</v>
      </c>
    </row>
    <row r="1093" spans="1:42" customFormat="1">
      <c r="A1093">
        <v>270858</v>
      </c>
      <c r="B1093" t="s">
        <v>102</v>
      </c>
      <c r="C1093" t="s">
        <v>3562</v>
      </c>
      <c r="D1093" s="22">
        <v>1386</v>
      </c>
      <c r="E1093" s="17">
        <v>42142</v>
      </c>
      <c r="F1093" s="18">
        <v>0.59673611111111113</v>
      </c>
      <c r="G1093" s="22">
        <v>0</v>
      </c>
      <c r="H1093">
        <v>0</v>
      </c>
      <c r="I1093" s="19" t="e">
        <f>I1092 + (D1093-G1093)</f>
        <v>#VALUE!</v>
      </c>
      <c r="N1093">
        <v>24</v>
      </c>
      <c r="O1093" t="s">
        <v>68</v>
      </c>
      <c r="P1093">
        <v>1</v>
      </c>
      <c r="R1093">
        <v>1588</v>
      </c>
      <c r="S1093" s="17">
        <v>42146</v>
      </c>
      <c r="T1093" s="17">
        <v>42146</v>
      </c>
      <c r="W1093">
        <v>2015</v>
      </c>
      <c r="X1093">
        <v>24</v>
      </c>
      <c r="AC1093" t="s">
        <v>2048</v>
      </c>
      <c r="AD1093" t="s">
        <v>302</v>
      </c>
      <c r="AE1093" t="s">
        <v>46</v>
      </c>
      <c r="AG1093">
        <v>12</v>
      </c>
      <c r="AH1093">
        <v>2</v>
      </c>
      <c r="AI1093" t="s">
        <v>50</v>
      </c>
      <c r="AM1093">
        <v>0</v>
      </c>
      <c r="AP1093" t="s">
        <v>392</v>
      </c>
    </row>
    <row r="1094" spans="1:42" customFormat="1">
      <c r="A1094">
        <v>270938</v>
      </c>
      <c r="B1094" t="s">
        <v>3619</v>
      </c>
      <c r="C1094" t="s">
        <v>3392</v>
      </c>
      <c r="D1094" s="22">
        <v>9000</v>
      </c>
      <c r="E1094" s="17">
        <v>42143</v>
      </c>
      <c r="F1094" s="18">
        <v>0.40966435185185185</v>
      </c>
      <c r="G1094" s="22">
        <v>0</v>
      </c>
      <c r="H1094">
        <v>0</v>
      </c>
      <c r="I1094" s="19" t="e">
        <f>I1093 + (D1094-G1094)</f>
        <v>#VALUE!</v>
      </c>
      <c r="N1094">
        <v>7</v>
      </c>
      <c r="O1094" t="s">
        <v>44</v>
      </c>
      <c r="P1094">
        <v>1</v>
      </c>
      <c r="R1094">
        <v>1588</v>
      </c>
      <c r="S1094" s="17">
        <v>42149</v>
      </c>
      <c r="T1094" s="17">
        <v>42149</v>
      </c>
      <c r="W1094">
        <v>2015</v>
      </c>
      <c r="X1094">
        <v>7</v>
      </c>
      <c r="AC1094" t="s">
        <v>2048</v>
      </c>
      <c r="AD1094" t="s">
        <v>302</v>
      </c>
      <c r="AE1094" t="s">
        <v>46</v>
      </c>
      <c r="AG1094">
        <v>33</v>
      </c>
      <c r="AH1094">
        <v>2</v>
      </c>
      <c r="AI1094" t="s">
        <v>50</v>
      </c>
      <c r="AM1094">
        <v>0</v>
      </c>
      <c r="AP1094" t="s">
        <v>457</v>
      </c>
    </row>
    <row r="1095" spans="1:42" customFormat="1">
      <c r="A1095">
        <v>270604</v>
      </c>
      <c r="B1095" t="s">
        <v>102</v>
      </c>
      <c r="C1095" t="s">
        <v>3716</v>
      </c>
      <c r="D1095" s="22">
        <v>8000</v>
      </c>
      <c r="E1095" s="17">
        <v>42143</v>
      </c>
      <c r="F1095" s="18">
        <v>0.41696759259259258</v>
      </c>
      <c r="G1095" s="22">
        <v>0</v>
      </c>
      <c r="H1095">
        <v>0</v>
      </c>
      <c r="I1095" s="19" t="e">
        <f>I1094 + (D1095-G1095)</f>
        <v>#VALUE!</v>
      </c>
      <c r="N1095">
        <v>24</v>
      </c>
      <c r="O1095" t="s">
        <v>68</v>
      </c>
      <c r="P1095">
        <v>1</v>
      </c>
      <c r="R1095">
        <v>1588</v>
      </c>
      <c r="S1095" s="17">
        <v>42145</v>
      </c>
      <c r="T1095" s="17">
        <v>42145</v>
      </c>
      <c r="W1095">
        <v>2015</v>
      </c>
      <c r="X1095">
        <v>24</v>
      </c>
      <c r="AC1095" t="s">
        <v>2048</v>
      </c>
      <c r="AD1095" t="s">
        <v>302</v>
      </c>
      <c r="AE1095" t="s">
        <v>46</v>
      </c>
      <c r="AG1095">
        <v>52</v>
      </c>
      <c r="AH1095">
        <v>2</v>
      </c>
      <c r="AI1095" t="s">
        <v>50</v>
      </c>
      <c r="AM1095">
        <v>0</v>
      </c>
      <c r="AP1095" t="s">
        <v>325</v>
      </c>
    </row>
    <row r="1096" spans="1:42" customFormat="1">
      <c r="A1096">
        <v>270793</v>
      </c>
      <c r="B1096" t="s">
        <v>102</v>
      </c>
      <c r="C1096" t="s">
        <v>3446</v>
      </c>
      <c r="D1096" s="22">
        <v>27500</v>
      </c>
      <c r="E1096" s="17">
        <v>42143</v>
      </c>
      <c r="F1096" s="18">
        <v>0.54189814814814818</v>
      </c>
      <c r="G1096" s="22">
        <v>0</v>
      </c>
      <c r="H1096">
        <v>0</v>
      </c>
      <c r="I1096" s="19" t="e">
        <f>I1095 + (D1096-G1096)</f>
        <v>#VALUE!</v>
      </c>
      <c r="N1096">
        <v>24</v>
      </c>
      <c r="O1096" t="s">
        <v>68</v>
      </c>
      <c r="P1096">
        <v>1</v>
      </c>
      <c r="R1096">
        <v>1588</v>
      </c>
      <c r="S1096" s="17">
        <v>42146</v>
      </c>
      <c r="T1096" s="17">
        <v>42146</v>
      </c>
      <c r="W1096">
        <v>2015</v>
      </c>
      <c r="X1096">
        <v>24</v>
      </c>
      <c r="AC1096" t="s">
        <v>2048</v>
      </c>
      <c r="AD1096" t="s">
        <v>302</v>
      </c>
      <c r="AE1096" t="s">
        <v>46</v>
      </c>
      <c r="AG1096">
        <v>52</v>
      </c>
      <c r="AH1096">
        <v>2</v>
      </c>
      <c r="AI1096" t="s">
        <v>50</v>
      </c>
      <c r="AM1096">
        <v>0</v>
      </c>
      <c r="AP1096" t="s">
        <v>325</v>
      </c>
    </row>
    <row r="1097" spans="1:42" customFormat="1">
      <c r="A1097">
        <v>272828</v>
      </c>
      <c r="B1097" t="s">
        <v>102</v>
      </c>
      <c r="C1097" t="s">
        <v>3050</v>
      </c>
      <c r="D1097" s="22">
        <v>1386</v>
      </c>
      <c r="E1097" s="17">
        <v>42146</v>
      </c>
      <c r="F1097" s="18">
        <v>0.54723379629629632</v>
      </c>
      <c r="G1097" s="22">
        <v>0</v>
      </c>
      <c r="H1097">
        <v>0</v>
      </c>
      <c r="I1097" s="19" t="e">
        <f>I1096 + (D1097-G1097)</f>
        <v>#VALUE!</v>
      </c>
      <c r="N1097">
        <v>24</v>
      </c>
      <c r="O1097" t="s">
        <v>68</v>
      </c>
      <c r="P1097">
        <v>1</v>
      </c>
      <c r="R1097">
        <v>1588</v>
      </c>
      <c r="S1097" s="17">
        <v>42166</v>
      </c>
      <c r="T1097" s="17">
        <v>42166</v>
      </c>
      <c r="W1097">
        <v>2010</v>
      </c>
      <c r="X1097">
        <v>24</v>
      </c>
      <c r="AC1097" t="s">
        <v>2048</v>
      </c>
      <c r="AD1097" t="s">
        <v>302</v>
      </c>
      <c r="AE1097" t="s">
        <v>46</v>
      </c>
      <c r="AG1097">
        <v>12</v>
      </c>
      <c r="AH1097">
        <v>2</v>
      </c>
      <c r="AI1097" t="s">
        <v>50</v>
      </c>
      <c r="AM1097">
        <v>0</v>
      </c>
      <c r="AP1097" t="s">
        <v>392</v>
      </c>
    </row>
    <row r="1098" spans="1:42" customFormat="1">
      <c r="A1098">
        <v>272869</v>
      </c>
      <c r="B1098" t="s">
        <v>3162</v>
      </c>
      <c r="C1098" t="s">
        <v>4588</v>
      </c>
      <c r="D1098" s="22">
        <v>11389</v>
      </c>
      <c r="E1098" s="17">
        <v>42149</v>
      </c>
      <c r="F1098" s="18">
        <v>0.58599537037037031</v>
      </c>
      <c r="G1098" s="22">
        <v>0</v>
      </c>
      <c r="H1098">
        <v>0</v>
      </c>
      <c r="I1098" s="19" t="e">
        <f>I1097 + (D1098-G1098)</f>
        <v>#VALUE!</v>
      </c>
      <c r="N1098">
        <v>60</v>
      </c>
      <c r="O1098" t="s">
        <v>60</v>
      </c>
      <c r="P1098">
        <v>2</v>
      </c>
      <c r="R1098">
        <v>1588</v>
      </c>
      <c r="S1098" s="17">
        <v>42166</v>
      </c>
      <c r="T1098" s="17">
        <v>42166</v>
      </c>
      <c r="W1098">
        <v>2015</v>
      </c>
      <c r="X1098">
        <v>60</v>
      </c>
      <c r="AC1098" t="s">
        <v>2048</v>
      </c>
      <c r="AD1098" t="s">
        <v>302</v>
      </c>
      <c r="AE1098" t="s">
        <v>46</v>
      </c>
      <c r="AG1098">
        <v>52</v>
      </c>
      <c r="AH1098">
        <v>12</v>
      </c>
      <c r="AI1098" t="s">
        <v>104</v>
      </c>
      <c r="AM1098">
        <v>0</v>
      </c>
      <c r="AP1098" t="s">
        <v>325</v>
      </c>
    </row>
    <row r="1099" spans="1:42" customFormat="1">
      <c r="A1099">
        <v>272871</v>
      </c>
      <c r="B1099" t="s">
        <v>102</v>
      </c>
      <c r="C1099" t="s">
        <v>4589</v>
      </c>
      <c r="D1099" s="22">
        <v>5560</v>
      </c>
      <c r="E1099" s="17">
        <v>42149</v>
      </c>
      <c r="F1099" s="18">
        <v>0.58773148148148147</v>
      </c>
      <c r="G1099" s="22">
        <v>0</v>
      </c>
      <c r="H1099">
        <v>0</v>
      </c>
      <c r="I1099" s="19" t="e">
        <f>I1098 + (D1099-G1099)</f>
        <v>#VALUE!</v>
      </c>
      <c r="N1099">
        <v>60</v>
      </c>
      <c r="O1099" t="s">
        <v>60</v>
      </c>
      <c r="P1099">
        <v>2</v>
      </c>
      <c r="R1099">
        <v>1588</v>
      </c>
      <c r="S1099" s="17">
        <v>42166</v>
      </c>
      <c r="T1099" s="17">
        <v>42166</v>
      </c>
      <c r="W1099">
        <v>2015</v>
      </c>
      <c r="X1099">
        <v>60</v>
      </c>
      <c r="AC1099" t="s">
        <v>2048</v>
      </c>
      <c r="AD1099" t="s">
        <v>302</v>
      </c>
      <c r="AE1099" t="s">
        <v>46</v>
      </c>
      <c r="AG1099">
        <v>52</v>
      </c>
      <c r="AH1099">
        <v>12</v>
      </c>
      <c r="AI1099" t="s">
        <v>104</v>
      </c>
      <c r="AM1099">
        <v>0</v>
      </c>
      <c r="AP1099" t="s">
        <v>325</v>
      </c>
    </row>
    <row r="1100" spans="1:42" customFormat="1">
      <c r="A1100">
        <v>272872</v>
      </c>
      <c r="B1100" t="s">
        <v>102</v>
      </c>
      <c r="C1100" t="s">
        <v>4590</v>
      </c>
      <c r="D1100" s="22">
        <v>6570</v>
      </c>
      <c r="E1100" s="17">
        <v>42149</v>
      </c>
      <c r="F1100" s="18">
        <v>0.58976851851851853</v>
      </c>
      <c r="G1100" s="22">
        <v>0</v>
      </c>
      <c r="H1100">
        <v>0</v>
      </c>
      <c r="I1100" s="19" t="e">
        <f>I1099 + (D1100-G1100)</f>
        <v>#VALUE!</v>
      </c>
      <c r="N1100">
        <v>60</v>
      </c>
      <c r="O1100" t="s">
        <v>60</v>
      </c>
      <c r="P1100">
        <v>2</v>
      </c>
      <c r="R1100">
        <v>1588</v>
      </c>
      <c r="S1100" s="17">
        <v>42166</v>
      </c>
      <c r="T1100" s="17">
        <v>42166</v>
      </c>
      <c r="W1100">
        <v>2015</v>
      </c>
      <c r="X1100">
        <v>60</v>
      </c>
      <c r="AC1100" t="s">
        <v>2048</v>
      </c>
      <c r="AD1100" t="s">
        <v>302</v>
      </c>
      <c r="AE1100" t="s">
        <v>46</v>
      </c>
      <c r="AG1100">
        <v>52</v>
      </c>
      <c r="AH1100">
        <v>12</v>
      </c>
      <c r="AI1100" t="s">
        <v>104</v>
      </c>
      <c r="AM1100">
        <v>0</v>
      </c>
      <c r="AP1100" t="s">
        <v>325</v>
      </c>
    </row>
    <row r="1101" spans="1:42" customFormat="1">
      <c r="A1101">
        <v>272873</v>
      </c>
      <c r="B1101" t="s">
        <v>102</v>
      </c>
      <c r="C1101" t="s">
        <v>4591</v>
      </c>
      <c r="D1101" s="22">
        <v>37106.29</v>
      </c>
      <c r="E1101" s="17">
        <v>42149</v>
      </c>
      <c r="F1101" s="18">
        <v>0.59028935185185183</v>
      </c>
      <c r="G1101" s="22">
        <v>0</v>
      </c>
      <c r="H1101">
        <v>0</v>
      </c>
      <c r="I1101" s="19" t="e">
        <f>I1100 + (D1101-G1101)</f>
        <v>#VALUE!</v>
      </c>
      <c r="N1101">
        <v>60</v>
      </c>
      <c r="O1101" t="s">
        <v>60</v>
      </c>
      <c r="P1101">
        <v>2</v>
      </c>
      <c r="R1101">
        <v>1588</v>
      </c>
      <c r="S1101" s="17">
        <v>42166</v>
      </c>
      <c r="T1101" s="17">
        <v>42166</v>
      </c>
      <c r="W1101">
        <v>2015</v>
      </c>
      <c r="X1101">
        <v>60</v>
      </c>
      <c r="AC1101" t="s">
        <v>2048</v>
      </c>
      <c r="AD1101" t="s">
        <v>302</v>
      </c>
      <c r="AE1101" t="s">
        <v>46</v>
      </c>
      <c r="AG1101">
        <v>52</v>
      </c>
      <c r="AH1101">
        <v>12</v>
      </c>
      <c r="AI1101" t="s">
        <v>104</v>
      </c>
      <c r="AM1101">
        <v>0</v>
      </c>
      <c r="AP1101" t="s">
        <v>325</v>
      </c>
    </row>
    <row r="1102" spans="1:42" customFormat="1">
      <c r="A1102">
        <v>272874</v>
      </c>
      <c r="B1102" t="s">
        <v>102</v>
      </c>
      <c r="C1102" t="s">
        <v>4592</v>
      </c>
      <c r="D1102" s="22">
        <v>25000</v>
      </c>
      <c r="E1102" s="17">
        <v>42149</v>
      </c>
      <c r="F1102" s="18">
        <v>0.59084490740740747</v>
      </c>
      <c r="G1102" s="22">
        <v>0</v>
      </c>
      <c r="H1102">
        <v>0</v>
      </c>
      <c r="I1102" s="19" t="e">
        <f>I1101 + (D1102-G1102)</f>
        <v>#VALUE!</v>
      </c>
      <c r="N1102">
        <v>60</v>
      </c>
      <c r="O1102" t="s">
        <v>60</v>
      </c>
      <c r="P1102">
        <v>2</v>
      </c>
      <c r="R1102">
        <v>1588</v>
      </c>
      <c r="S1102" s="17">
        <v>42166</v>
      </c>
      <c r="T1102" s="17">
        <v>42166</v>
      </c>
      <c r="W1102">
        <v>2015</v>
      </c>
      <c r="X1102">
        <v>60</v>
      </c>
      <c r="AC1102" t="s">
        <v>2048</v>
      </c>
      <c r="AD1102" t="s">
        <v>302</v>
      </c>
      <c r="AE1102" t="s">
        <v>46</v>
      </c>
      <c r="AG1102">
        <v>52</v>
      </c>
      <c r="AH1102">
        <v>12</v>
      </c>
      <c r="AI1102" t="s">
        <v>104</v>
      </c>
      <c r="AM1102">
        <v>0</v>
      </c>
      <c r="AP1102" t="s">
        <v>325</v>
      </c>
    </row>
    <row r="1103" spans="1:42" customFormat="1">
      <c r="A1103">
        <v>272849</v>
      </c>
      <c r="B1103" t="s">
        <v>4965</v>
      </c>
      <c r="C1103" t="s">
        <v>3553</v>
      </c>
      <c r="D1103" s="22">
        <v>1443.54</v>
      </c>
      <c r="E1103" s="17">
        <v>42151</v>
      </c>
      <c r="F1103" s="18">
        <v>0.55807870370370372</v>
      </c>
      <c r="G1103" s="22">
        <v>0</v>
      </c>
      <c r="H1103">
        <v>0</v>
      </c>
      <c r="I1103" s="19" t="e">
        <f>I1102 + (D1103-G1103)</f>
        <v>#VALUE!</v>
      </c>
      <c r="N1103">
        <v>24</v>
      </c>
      <c r="O1103" t="s">
        <v>68</v>
      </c>
      <c r="P1103">
        <v>1</v>
      </c>
      <c r="R1103">
        <v>1588</v>
      </c>
      <c r="S1103" s="17">
        <v>42166</v>
      </c>
      <c r="T1103" s="17">
        <v>42166</v>
      </c>
      <c r="W1103">
        <v>2015</v>
      </c>
      <c r="X1103">
        <v>24</v>
      </c>
      <c r="AC1103" t="s">
        <v>2048</v>
      </c>
      <c r="AD1103" t="s">
        <v>302</v>
      </c>
      <c r="AE1103" t="s">
        <v>46</v>
      </c>
      <c r="AG1103">
        <v>12</v>
      </c>
      <c r="AH1103">
        <v>2</v>
      </c>
      <c r="AI1103" t="s">
        <v>50</v>
      </c>
      <c r="AM1103">
        <v>0</v>
      </c>
      <c r="AP1103" t="s">
        <v>392</v>
      </c>
    </row>
    <row r="1104" spans="1:42" customFormat="1">
      <c r="A1104">
        <v>271684</v>
      </c>
      <c r="B1104" t="s">
        <v>102</v>
      </c>
      <c r="C1104" t="s">
        <v>5126</v>
      </c>
      <c r="D1104" s="22">
        <v>29900</v>
      </c>
      <c r="E1104" s="17">
        <v>42152</v>
      </c>
      <c r="F1104" s="18">
        <v>0.58108796296296295</v>
      </c>
      <c r="G1104" s="22">
        <v>0</v>
      </c>
      <c r="H1104">
        <v>0</v>
      </c>
      <c r="I1104" s="19" t="e">
        <f>I1103 + (D1104-G1104)</f>
        <v>#VALUE!</v>
      </c>
      <c r="N1104">
        <v>24</v>
      </c>
      <c r="O1104" t="s">
        <v>68</v>
      </c>
      <c r="P1104">
        <v>1</v>
      </c>
      <c r="R1104">
        <v>1588</v>
      </c>
      <c r="S1104" s="17">
        <v>42158</v>
      </c>
      <c r="T1104" s="17">
        <v>42158</v>
      </c>
      <c r="W1104">
        <v>2015</v>
      </c>
      <c r="X1104">
        <v>24</v>
      </c>
      <c r="AC1104" t="s">
        <v>2048</v>
      </c>
      <c r="AD1104" t="s">
        <v>302</v>
      </c>
      <c r="AE1104" t="s">
        <v>46</v>
      </c>
      <c r="AG1104">
        <v>52</v>
      </c>
      <c r="AH1104">
        <v>2</v>
      </c>
      <c r="AI1104" t="s">
        <v>50</v>
      </c>
      <c r="AM1104">
        <v>0</v>
      </c>
      <c r="AP1104" t="s">
        <v>325</v>
      </c>
    </row>
    <row r="1105" spans="1:42" customFormat="1">
      <c r="A1105">
        <v>271685</v>
      </c>
      <c r="B1105" t="s">
        <v>102</v>
      </c>
      <c r="C1105" t="s">
        <v>5127</v>
      </c>
      <c r="D1105" s="22">
        <v>16700</v>
      </c>
      <c r="E1105" s="17">
        <v>42152</v>
      </c>
      <c r="F1105" s="18">
        <v>0.58155092592592594</v>
      </c>
      <c r="G1105" s="22">
        <v>0</v>
      </c>
      <c r="H1105">
        <v>0</v>
      </c>
      <c r="I1105" s="19" t="e">
        <f>I1104 + (D1105-G1105)</f>
        <v>#VALUE!</v>
      </c>
      <c r="N1105">
        <v>24</v>
      </c>
      <c r="O1105" t="s">
        <v>68</v>
      </c>
      <c r="P1105">
        <v>1</v>
      </c>
      <c r="R1105">
        <v>1588</v>
      </c>
      <c r="S1105" s="17">
        <v>42158</v>
      </c>
      <c r="T1105" s="17">
        <v>42158</v>
      </c>
      <c r="W1105">
        <v>2015</v>
      </c>
      <c r="X1105">
        <v>24</v>
      </c>
      <c r="AC1105" t="s">
        <v>2048</v>
      </c>
      <c r="AD1105" t="s">
        <v>302</v>
      </c>
      <c r="AE1105" t="s">
        <v>46</v>
      </c>
      <c r="AG1105">
        <v>52</v>
      </c>
      <c r="AH1105">
        <v>2</v>
      </c>
      <c r="AI1105" t="s">
        <v>50</v>
      </c>
      <c r="AM1105">
        <v>0</v>
      </c>
      <c r="AP1105" t="s">
        <v>325</v>
      </c>
    </row>
    <row r="1106" spans="1:42" customFormat="1">
      <c r="A1106">
        <v>271686</v>
      </c>
      <c r="B1106" t="s">
        <v>102</v>
      </c>
      <c r="C1106" t="s">
        <v>5128</v>
      </c>
      <c r="D1106" s="22">
        <v>20000</v>
      </c>
      <c r="E1106" s="17">
        <v>42152</v>
      </c>
      <c r="F1106" s="18">
        <v>0.58181712962962961</v>
      </c>
      <c r="G1106" s="22">
        <v>0</v>
      </c>
      <c r="H1106">
        <v>0</v>
      </c>
      <c r="I1106" s="19" t="e">
        <f>I1105 + (D1106-G1106)</f>
        <v>#VALUE!</v>
      </c>
      <c r="N1106">
        <v>24</v>
      </c>
      <c r="O1106" t="s">
        <v>68</v>
      </c>
      <c r="P1106">
        <v>1</v>
      </c>
      <c r="R1106">
        <v>1588</v>
      </c>
      <c r="S1106" s="17">
        <v>42158</v>
      </c>
      <c r="T1106" s="17">
        <v>42158</v>
      </c>
      <c r="W1106">
        <v>2015</v>
      </c>
      <c r="X1106">
        <v>24</v>
      </c>
      <c r="AC1106" t="s">
        <v>2048</v>
      </c>
      <c r="AD1106" t="s">
        <v>302</v>
      </c>
      <c r="AE1106" t="s">
        <v>46</v>
      </c>
      <c r="AG1106">
        <v>52</v>
      </c>
      <c r="AH1106">
        <v>2</v>
      </c>
      <c r="AI1106" t="s">
        <v>50</v>
      </c>
      <c r="AM1106">
        <v>0</v>
      </c>
      <c r="AP1106" t="s">
        <v>325</v>
      </c>
    </row>
    <row r="1107" spans="1:42" customFormat="1">
      <c r="A1107">
        <v>271687</v>
      </c>
      <c r="B1107" t="s">
        <v>102</v>
      </c>
      <c r="C1107" t="s">
        <v>5129</v>
      </c>
      <c r="D1107" s="22">
        <v>7400</v>
      </c>
      <c r="E1107" s="17">
        <v>42152</v>
      </c>
      <c r="F1107" s="18">
        <v>0.5820833333333334</v>
      </c>
      <c r="G1107" s="22">
        <v>0</v>
      </c>
      <c r="H1107">
        <v>0</v>
      </c>
      <c r="I1107" s="19" t="e">
        <f>I1106 + (D1107-G1107)</f>
        <v>#VALUE!</v>
      </c>
      <c r="N1107">
        <v>24</v>
      </c>
      <c r="O1107" t="s">
        <v>68</v>
      </c>
      <c r="P1107">
        <v>1</v>
      </c>
      <c r="R1107">
        <v>1588</v>
      </c>
      <c r="S1107" s="17">
        <v>42158</v>
      </c>
      <c r="T1107" s="17">
        <v>42158</v>
      </c>
      <c r="W1107">
        <v>2015</v>
      </c>
      <c r="X1107">
        <v>24</v>
      </c>
      <c r="AC1107" t="s">
        <v>2048</v>
      </c>
      <c r="AD1107" t="s">
        <v>302</v>
      </c>
      <c r="AE1107" t="s">
        <v>46</v>
      </c>
      <c r="AG1107">
        <v>52</v>
      </c>
      <c r="AH1107">
        <v>2</v>
      </c>
      <c r="AI1107" t="s">
        <v>50</v>
      </c>
      <c r="AM1107">
        <v>0</v>
      </c>
      <c r="AP1107" t="s">
        <v>325</v>
      </c>
    </row>
    <row r="1108" spans="1:42" customFormat="1">
      <c r="A1108">
        <v>268623</v>
      </c>
      <c r="B1108" t="s">
        <v>102</v>
      </c>
      <c r="C1108" t="s">
        <v>1273</v>
      </c>
      <c r="D1108" s="22">
        <v>1880.42</v>
      </c>
      <c r="E1108" s="17">
        <v>42129</v>
      </c>
      <c r="F1108" s="18">
        <v>0.36335648148148153</v>
      </c>
      <c r="G1108" s="22">
        <v>0</v>
      </c>
      <c r="H1108">
        <v>0</v>
      </c>
      <c r="I1108" s="19" t="e">
        <f>I1107 + (D1108-G1108)</f>
        <v>#VALUE!</v>
      </c>
      <c r="N1108">
        <v>7</v>
      </c>
      <c r="O1108" t="s">
        <v>44</v>
      </c>
      <c r="P1108">
        <v>1</v>
      </c>
      <c r="R1108">
        <v>1621</v>
      </c>
      <c r="S1108" s="17">
        <v>42131</v>
      </c>
      <c r="T1108" s="17">
        <v>42131</v>
      </c>
      <c r="W1108">
        <v>2015</v>
      </c>
      <c r="X1108">
        <v>7</v>
      </c>
      <c r="AC1108" t="s">
        <v>1274</v>
      </c>
      <c r="AD1108" t="s">
        <v>302</v>
      </c>
      <c r="AE1108" t="s">
        <v>46</v>
      </c>
      <c r="AG1108">
        <v>5</v>
      </c>
      <c r="AH1108">
        <v>12</v>
      </c>
      <c r="AI1108" t="s">
        <v>104</v>
      </c>
      <c r="AM1108">
        <v>0</v>
      </c>
      <c r="AP1108" t="s">
        <v>312</v>
      </c>
    </row>
    <row r="1109" spans="1:42" customFormat="1">
      <c r="A1109">
        <v>270042</v>
      </c>
      <c r="B1109" t="s">
        <v>102</v>
      </c>
      <c r="C1109" t="s">
        <v>1273</v>
      </c>
      <c r="D1109" s="22">
        <v>1386</v>
      </c>
      <c r="E1109" s="17">
        <v>42131</v>
      </c>
      <c r="F1109" s="18">
        <v>0.63567129629629626</v>
      </c>
      <c r="G1109" s="22">
        <v>0</v>
      </c>
      <c r="H1109">
        <v>0</v>
      </c>
      <c r="I1109" s="19" t="e">
        <f>I1108 + (D1109-G1109)</f>
        <v>#VALUE!</v>
      </c>
      <c r="N1109">
        <v>24</v>
      </c>
      <c r="O1109" t="s">
        <v>68</v>
      </c>
      <c r="P1109">
        <v>1</v>
      </c>
      <c r="R1109">
        <v>1621</v>
      </c>
      <c r="S1109" s="17">
        <v>42139</v>
      </c>
      <c r="T1109" s="17">
        <v>42139</v>
      </c>
      <c r="W1109">
        <v>2015</v>
      </c>
      <c r="X1109">
        <v>24</v>
      </c>
      <c r="AC1109" t="s">
        <v>1274</v>
      </c>
      <c r="AD1109" t="s">
        <v>302</v>
      </c>
      <c r="AE1109" t="s">
        <v>46</v>
      </c>
      <c r="AG1109">
        <v>5</v>
      </c>
      <c r="AH1109">
        <v>2</v>
      </c>
      <c r="AI1109" t="s">
        <v>50</v>
      </c>
      <c r="AM1109">
        <v>0</v>
      </c>
      <c r="AP1109" t="s">
        <v>312</v>
      </c>
    </row>
    <row r="1110" spans="1:42" customFormat="1">
      <c r="A1110">
        <v>270044</v>
      </c>
      <c r="B1110" t="s">
        <v>102</v>
      </c>
      <c r="C1110" t="s">
        <v>1273</v>
      </c>
      <c r="D1110" s="22">
        <v>1386</v>
      </c>
      <c r="E1110" s="17">
        <v>42137</v>
      </c>
      <c r="F1110" s="18">
        <v>0.63755787037037037</v>
      </c>
      <c r="G1110" s="22">
        <v>0</v>
      </c>
      <c r="H1110">
        <v>0</v>
      </c>
      <c r="I1110" s="19" t="e">
        <f>I1109 + (D1110-G1110)</f>
        <v>#VALUE!</v>
      </c>
      <c r="N1110">
        <v>24</v>
      </c>
      <c r="O1110" t="s">
        <v>68</v>
      </c>
      <c r="P1110">
        <v>1</v>
      </c>
      <c r="R1110">
        <v>1621</v>
      </c>
      <c r="S1110" s="17">
        <v>42139</v>
      </c>
      <c r="T1110" s="17">
        <v>42139</v>
      </c>
      <c r="W1110">
        <v>2015</v>
      </c>
      <c r="X1110">
        <v>24</v>
      </c>
      <c r="AC1110" t="s">
        <v>1274</v>
      </c>
      <c r="AD1110" t="s">
        <v>302</v>
      </c>
      <c r="AE1110" t="s">
        <v>46</v>
      </c>
      <c r="AG1110">
        <v>5</v>
      </c>
      <c r="AH1110">
        <v>9</v>
      </c>
      <c r="AI1110" t="s">
        <v>54</v>
      </c>
      <c r="AM1110">
        <v>0</v>
      </c>
      <c r="AP1110" t="s">
        <v>312</v>
      </c>
    </row>
    <row r="1111" spans="1:42" customFormat="1">
      <c r="A1111">
        <v>270941</v>
      </c>
      <c r="B1111" t="s">
        <v>102</v>
      </c>
      <c r="C1111" t="s">
        <v>1273</v>
      </c>
      <c r="D1111" s="22">
        <v>440</v>
      </c>
      <c r="E1111" s="17">
        <v>42138</v>
      </c>
      <c r="F1111" s="18">
        <v>0.41498842592592594</v>
      </c>
      <c r="G1111" s="22">
        <v>0</v>
      </c>
      <c r="H1111">
        <v>0</v>
      </c>
      <c r="I1111" s="19" t="e">
        <f>I1110 + (D1111-G1111)</f>
        <v>#VALUE!</v>
      </c>
      <c r="N1111">
        <v>7</v>
      </c>
      <c r="O1111" t="s">
        <v>44</v>
      </c>
      <c r="P1111">
        <v>1</v>
      </c>
      <c r="R1111">
        <v>1621</v>
      </c>
      <c r="S1111" s="17">
        <v>42149</v>
      </c>
      <c r="T1111" s="17">
        <v>42149</v>
      </c>
      <c r="W1111">
        <v>2015</v>
      </c>
      <c r="X1111">
        <v>7</v>
      </c>
      <c r="AC1111" t="s">
        <v>1274</v>
      </c>
      <c r="AD1111" t="s">
        <v>302</v>
      </c>
      <c r="AE1111" t="s">
        <v>46</v>
      </c>
      <c r="AG1111">
        <v>5</v>
      </c>
      <c r="AH1111">
        <v>12</v>
      </c>
      <c r="AI1111" t="s">
        <v>104</v>
      </c>
      <c r="AM1111">
        <v>0</v>
      </c>
      <c r="AP1111" t="s">
        <v>312</v>
      </c>
    </row>
    <row r="1112" spans="1:42" customFormat="1">
      <c r="A1112">
        <v>271063</v>
      </c>
      <c r="B1112" t="s">
        <v>102</v>
      </c>
      <c r="C1112" t="s">
        <v>4160</v>
      </c>
      <c r="D1112" s="22">
        <v>1567.25</v>
      </c>
      <c r="E1112" s="17">
        <v>42146</v>
      </c>
      <c r="F1112" s="18">
        <v>0.49614583333333334</v>
      </c>
      <c r="G1112" s="22">
        <v>0</v>
      </c>
      <c r="H1112">
        <v>0</v>
      </c>
      <c r="I1112" s="19" t="e">
        <f>I1111 + (D1112-G1112)</f>
        <v>#VALUE!</v>
      </c>
      <c r="N1112">
        <v>7</v>
      </c>
      <c r="O1112" t="s">
        <v>44</v>
      </c>
      <c r="P1112">
        <v>1</v>
      </c>
      <c r="R1112">
        <v>1621</v>
      </c>
      <c r="S1112" s="17">
        <v>42150</v>
      </c>
      <c r="T1112" s="17">
        <v>42150</v>
      </c>
      <c r="W1112">
        <v>2015</v>
      </c>
      <c r="X1112">
        <v>7</v>
      </c>
      <c r="AC1112" t="s">
        <v>1274</v>
      </c>
      <c r="AD1112" t="s">
        <v>302</v>
      </c>
      <c r="AE1112" t="s">
        <v>46</v>
      </c>
      <c r="AG1112">
        <v>7</v>
      </c>
      <c r="AH1112">
        <v>8</v>
      </c>
      <c r="AI1112" t="s">
        <v>52</v>
      </c>
      <c r="AM1112">
        <v>0</v>
      </c>
      <c r="AP1112" t="s">
        <v>220</v>
      </c>
    </row>
    <row r="1113" spans="1:42" customFormat="1">
      <c r="A1113">
        <v>268643</v>
      </c>
      <c r="B1113" t="s">
        <v>346</v>
      </c>
      <c r="C1113" t="s">
        <v>347</v>
      </c>
      <c r="D1113" s="22">
        <v>107990.25</v>
      </c>
      <c r="E1113" s="17">
        <v>42128</v>
      </c>
      <c r="F1113" s="18">
        <v>0.37913194444444448</v>
      </c>
      <c r="G1113" s="22">
        <v>0</v>
      </c>
      <c r="H1113">
        <v>0</v>
      </c>
      <c r="I1113" s="19" t="e">
        <f>I1112 + (D1113-G1113)</f>
        <v>#VALUE!</v>
      </c>
      <c r="N1113">
        <v>60</v>
      </c>
      <c r="O1113" t="s">
        <v>60</v>
      </c>
      <c r="P1113">
        <v>1</v>
      </c>
      <c r="R1113">
        <v>1505</v>
      </c>
      <c r="S1113" s="17">
        <v>42131</v>
      </c>
      <c r="T1113" s="17">
        <v>42131</v>
      </c>
      <c r="W1113">
        <v>2015</v>
      </c>
      <c r="X1113">
        <v>60</v>
      </c>
      <c r="AC1113" t="s">
        <v>110</v>
      </c>
      <c r="AD1113" t="s">
        <v>301</v>
      </c>
      <c r="AE1113" t="s">
        <v>46</v>
      </c>
      <c r="AG1113">
        <v>52</v>
      </c>
      <c r="AH1113">
        <v>10</v>
      </c>
      <c r="AI1113" t="s">
        <v>95</v>
      </c>
      <c r="AM1113">
        <v>0</v>
      </c>
      <c r="AP1113" t="s">
        <v>325</v>
      </c>
    </row>
    <row r="1114" spans="1:42" customFormat="1">
      <c r="A1114">
        <v>268456</v>
      </c>
      <c r="B1114" t="s">
        <v>346</v>
      </c>
      <c r="C1114" t="s">
        <v>1012</v>
      </c>
      <c r="D1114" s="22">
        <v>410412.64</v>
      </c>
      <c r="E1114" s="17">
        <v>42128</v>
      </c>
      <c r="F1114" s="18">
        <v>0.66731481481481481</v>
      </c>
      <c r="G1114" s="22">
        <v>0</v>
      </c>
      <c r="H1114">
        <v>0</v>
      </c>
      <c r="I1114" s="19" t="e">
        <f>I1113 + (D1114-G1114)</f>
        <v>#VALUE!</v>
      </c>
      <c r="N1114">
        <v>7</v>
      </c>
      <c r="O1114" t="s">
        <v>44</v>
      </c>
      <c r="P1114">
        <v>1</v>
      </c>
      <c r="R1114">
        <v>1505</v>
      </c>
      <c r="S1114" s="17">
        <v>42130</v>
      </c>
      <c r="T1114" s="17">
        <v>42130</v>
      </c>
      <c r="W1114">
        <v>2015</v>
      </c>
      <c r="X1114">
        <v>7</v>
      </c>
      <c r="AC1114" t="s">
        <v>110</v>
      </c>
      <c r="AD1114" t="s">
        <v>301</v>
      </c>
      <c r="AE1114" t="s">
        <v>46</v>
      </c>
      <c r="AG1114">
        <v>12</v>
      </c>
      <c r="AH1114">
        <v>10</v>
      </c>
      <c r="AI1114" t="s">
        <v>95</v>
      </c>
      <c r="AM1114">
        <v>0</v>
      </c>
      <c r="AP1114" t="s">
        <v>392</v>
      </c>
    </row>
    <row r="1115" spans="1:42" customFormat="1">
      <c r="A1115">
        <v>268457</v>
      </c>
      <c r="B1115" t="s">
        <v>346</v>
      </c>
      <c r="C1115" t="s">
        <v>1012</v>
      </c>
      <c r="D1115" s="22">
        <v>201211.45</v>
      </c>
      <c r="E1115" s="17">
        <v>42128</v>
      </c>
      <c r="F1115" s="18">
        <v>0.66771990740740739</v>
      </c>
      <c r="G1115" s="22">
        <v>0</v>
      </c>
      <c r="H1115">
        <v>0</v>
      </c>
      <c r="I1115" s="19" t="e">
        <f>I1114 + (D1115-G1115)</f>
        <v>#VALUE!</v>
      </c>
      <c r="N1115">
        <v>7</v>
      </c>
      <c r="O1115" t="s">
        <v>44</v>
      </c>
      <c r="P1115">
        <v>1</v>
      </c>
      <c r="R1115">
        <v>1505</v>
      </c>
      <c r="S1115" s="17">
        <v>42130</v>
      </c>
      <c r="T1115" s="17">
        <v>42130</v>
      </c>
      <c r="W1115">
        <v>2015</v>
      </c>
      <c r="X1115">
        <v>7</v>
      </c>
      <c r="AC1115" t="s">
        <v>110</v>
      </c>
      <c r="AD1115" t="s">
        <v>301</v>
      </c>
      <c r="AE1115" t="s">
        <v>46</v>
      </c>
      <c r="AG1115">
        <v>12</v>
      </c>
      <c r="AH1115">
        <v>10</v>
      </c>
      <c r="AI1115" t="s">
        <v>95</v>
      </c>
      <c r="AM1115">
        <v>0</v>
      </c>
      <c r="AP1115" t="s">
        <v>392</v>
      </c>
    </row>
    <row r="1116" spans="1:42" customFormat="1">
      <c r="A1116">
        <v>268455</v>
      </c>
      <c r="B1116" t="s">
        <v>1560</v>
      </c>
      <c r="C1116" t="s">
        <v>1561</v>
      </c>
      <c r="D1116" s="22">
        <v>127930.05</v>
      </c>
      <c r="E1116" s="17">
        <v>42129</v>
      </c>
      <c r="F1116" s="18">
        <v>0.6661921296296297</v>
      </c>
      <c r="G1116" s="22">
        <v>0</v>
      </c>
      <c r="H1116">
        <v>0</v>
      </c>
      <c r="I1116" s="19" t="e">
        <f>I1115 + (D1116-G1116)</f>
        <v>#VALUE!</v>
      </c>
      <c r="N1116">
        <v>7</v>
      </c>
      <c r="O1116" t="s">
        <v>44</v>
      </c>
      <c r="P1116">
        <v>1</v>
      </c>
      <c r="R1116">
        <v>1505</v>
      </c>
      <c r="S1116" s="17">
        <v>42130</v>
      </c>
      <c r="T1116" s="17">
        <v>42130</v>
      </c>
      <c r="W1116">
        <v>2015</v>
      </c>
      <c r="X1116">
        <v>7</v>
      </c>
      <c r="AC1116" t="s">
        <v>110</v>
      </c>
      <c r="AD1116" t="s">
        <v>301</v>
      </c>
      <c r="AE1116" t="s">
        <v>46</v>
      </c>
      <c r="AG1116">
        <v>12</v>
      </c>
      <c r="AH1116">
        <v>10</v>
      </c>
      <c r="AI1116" t="s">
        <v>95</v>
      </c>
      <c r="AM1116">
        <v>0</v>
      </c>
      <c r="AP1116" t="s">
        <v>392</v>
      </c>
    </row>
    <row r="1117" spans="1:42" customFormat="1">
      <c r="A1117">
        <v>268898</v>
      </c>
      <c r="B1117" t="s">
        <v>1715</v>
      </c>
      <c r="C1117" t="s">
        <v>1716</v>
      </c>
      <c r="D1117" s="22">
        <v>125564.04</v>
      </c>
      <c r="E1117" s="17">
        <v>42130</v>
      </c>
      <c r="F1117" s="18">
        <v>0.61106481481481478</v>
      </c>
      <c r="G1117" s="22">
        <v>0</v>
      </c>
      <c r="H1117">
        <v>0</v>
      </c>
      <c r="I1117" s="19" t="e">
        <f>I1116 + (D1117-G1117)</f>
        <v>#VALUE!</v>
      </c>
      <c r="N1117">
        <v>24</v>
      </c>
      <c r="O1117" t="s">
        <v>68</v>
      </c>
      <c r="P1117">
        <v>1</v>
      </c>
      <c r="R1117">
        <v>1505</v>
      </c>
      <c r="S1117" s="17">
        <v>42135</v>
      </c>
      <c r="T1117" s="17">
        <v>42135</v>
      </c>
      <c r="W1117">
        <v>2015</v>
      </c>
      <c r="X1117">
        <v>24</v>
      </c>
      <c r="AC1117" t="s">
        <v>110</v>
      </c>
      <c r="AD1117" t="s">
        <v>301</v>
      </c>
      <c r="AE1117" t="s">
        <v>46</v>
      </c>
      <c r="AG1117">
        <v>12</v>
      </c>
      <c r="AH1117">
        <v>10</v>
      </c>
      <c r="AI1117" t="s">
        <v>95</v>
      </c>
      <c r="AM1117">
        <v>0</v>
      </c>
      <c r="AP1117" t="s">
        <v>392</v>
      </c>
    </row>
    <row r="1118" spans="1:42" customFormat="1">
      <c r="A1118">
        <v>269052</v>
      </c>
      <c r="B1118" t="s">
        <v>2002</v>
      </c>
      <c r="C1118" t="s">
        <v>2003</v>
      </c>
      <c r="D1118" s="22">
        <v>20357.150000000001</v>
      </c>
      <c r="E1118" s="17">
        <v>42131</v>
      </c>
      <c r="F1118" s="18">
        <v>0.62689814814814815</v>
      </c>
      <c r="G1118" s="22">
        <v>0</v>
      </c>
      <c r="H1118">
        <v>0</v>
      </c>
      <c r="I1118" s="19" t="e">
        <f>I1117 + (D1118-G1118)</f>
        <v>#VALUE!</v>
      </c>
      <c r="N1118">
        <v>24</v>
      </c>
      <c r="O1118" t="s">
        <v>68</v>
      </c>
      <c r="P1118">
        <v>1</v>
      </c>
      <c r="R1118">
        <v>1505</v>
      </c>
      <c r="S1118" s="17">
        <v>42135</v>
      </c>
      <c r="T1118" s="17">
        <v>42135</v>
      </c>
      <c r="W1118">
        <v>2015</v>
      </c>
      <c r="X1118">
        <v>24</v>
      </c>
      <c r="AC1118" t="s">
        <v>110</v>
      </c>
      <c r="AD1118" t="s">
        <v>301</v>
      </c>
      <c r="AE1118" t="s">
        <v>46</v>
      </c>
      <c r="AG1118">
        <v>12</v>
      </c>
      <c r="AH1118">
        <v>10</v>
      </c>
      <c r="AI1118" t="s">
        <v>95</v>
      </c>
      <c r="AM1118">
        <v>0</v>
      </c>
      <c r="AP1118" t="s">
        <v>392</v>
      </c>
    </row>
    <row r="1119" spans="1:42" customFormat="1">
      <c r="A1119">
        <v>269055</v>
      </c>
      <c r="B1119" t="s">
        <v>2002</v>
      </c>
      <c r="C1119" t="s">
        <v>2003</v>
      </c>
      <c r="D1119" s="22">
        <v>38401.699999999997</v>
      </c>
      <c r="E1119" s="17">
        <v>42131</v>
      </c>
      <c r="F1119" s="18">
        <v>0.62791666666666668</v>
      </c>
      <c r="G1119" s="22">
        <v>0</v>
      </c>
      <c r="H1119">
        <v>0</v>
      </c>
      <c r="I1119" s="19" t="e">
        <f>I1118 + (D1119-G1119)</f>
        <v>#VALUE!</v>
      </c>
      <c r="N1119">
        <v>24</v>
      </c>
      <c r="O1119" t="s">
        <v>68</v>
      </c>
      <c r="P1119">
        <v>1</v>
      </c>
      <c r="R1119">
        <v>1505</v>
      </c>
      <c r="S1119" s="17">
        <v>42135</v>
      </c>
      <c r="T1119" s="17">
        <v>42135</v>
      </c>
      <c r="W1119">
        <v>2015</v>
      </c>
      <c r="X1119">
        <v>24</v>
      </c>
      <c r="AC1119" t="s">
        <v>110</v>
      </c>
      <c r="AD1119" t="s">
        <v>301</v>
      </c>
      <c r="AE1119" t="s">
        <v>46</v>
      </c>
      <c r="AG1119">
        <v>12</v>
      </c>
      <c r="AH1119">
        <v>10</v>
      </c>
      <c r="AI1119" t="s">
        <v>95</v>
      </c>
      <c r="AM1119">
        <v>0</v>
      </c>
      <c r="AP1119" t="s">
        <v>392</v>
      </c>
    </row>
    <row r="1120" spans="1:42" customFormat="1">
      <c r="A1120">
        <v>269112</v>
      </c>
      <c r="B1120" t="s">
        <v>2223</v>
      </c>
      <c r="C1120" t="s">
        <v>2224</v>
      </c>
      <c r="D1120" s="22">
        <v>88812.4</v>
      </c>
      <c r="E1120" s="17">
        <v>42132</v>
      </c>
      <c r="F1120" s="18">
        <v>0.63380787037037034</v>
      </c>
      <c r="G1120" s="22">
        <v>0</v>
      </c>
      <c r="H1120">
        <v>0</v>
      </c>
      <c r="I1120" s="19" t="e">
        <f>I1119 + (D1120-G1120)</f>
        <v>#VALUE!</v>
      </c>
      <c r="N1120">
        <v>24</v>
      </c>
      <c r="O1120" t="s">
        <v>68</v>
      </c>
      <c r="P1120">
        <v>1</v>
      </c>
      <c r="R1120">
        <v>1505</v>
      </c>
      <c r="S1120" s="17">
        <v>42135</v>
      </c>
      <c r="T1120" s="17">
        <v>42135</v>
      </c>
      <c r="W1120">
        <v>2015</v>
      </c>
      <c r="X1120">
        <v>24</v>
      </c>
      <c r="AC1120" t="s">
        <v>110</v>
      </c>
      <c r="AD1120" t="s">
        <v>301</v>
      </c>
      <c r="AE1120" t="s">
        <v>46</v>
      </c>
      <c r="AG1120">
        <v>12</v>
      </c>
      <c r="AH1120">
        <v>10</v>
      </c>
      <c r="AI1120" t="s">
        <v>95</v>
      </c>
      <c r="AM1120">
        <v>0</v>
      </c>
      <c r="AP1120" t="s">
        <v>392</v>
      </c>
    </row>
    <row r="1121" spans="1:42" customFormat="1">
      <c r="A1121">
        <v>269894</v>
      </c>
      <c r="B1121" t="s">
        <v>2493</v>
      </c>
      <c r="C1121" t="s">
        <v>2494</v>
      </c>
      <c r="D1121" s="22">
        <v>28013.9</v>
      </c>
      <c r="E1121" s="17">
        <v>42135</v>
      </c>
      <c r="F1121" s="18">
        <v>0.4352199074074074</v>
      </c>
      <c r="G1121" s="22">
        <v>0</v>
      </c>
      <c r="H1121">
        <v>0</v>
      </c>
      <c r="I1121" s="19" t="e">
        <f>I1120 + (D1121-G1121)</f>
        <v>#VALUE!</v>
      </c>
      <c r="N1121">
        <v>24</v>
      </c>
      <c r="O1121" t="s">
        <v>68</v>
      </c>
      <c r="P1121">
        <v>1</v>
      </c>
      <c r="R1121">
        <v>1505</v>
      </c>
      <c r="S1121" s="17">
        <v>42138</v>
      </c>
      <c r="T1121" s="17">
        <v>42138</v>
      </c>
      <c r="W1121">
        <v>2015</v>
      </c>
      <c r="X1121">
        <v>24</v>
      </c>
      <c r="AC1121" t="s">
        <v>110</v>
      </c>
      <c r="AD1121" t="s">
        <v>301</v>
      </c>
      <c r="AE1121" t="s">
        <v>46</v>
      </c>
      <c r="AG1121">
        <v>12</v>
      </c>
      <c r="AH1121">
        <v>10</v>
      </c>
      <c r="AI1121" t="s">
        <v>95</v>
      </c>
      <c r="AM1121">
        <v>0</v>
      </c>
      <c r="AP1121" t="s">
        <v>392</v>
      </c>
    </row>
    <row r="1122" spans="1:42" customFormat="1">
      <c r="A1122">
        <v>269904</v>
      </c>
      <c r="B1122" t="s">
        <v>2900</v>
      </c>
      <c r="C1122" t="s">
        <v>2901</v>
      </c>
      <c r="D1122" s="22">
        <v>33440.050000000003</v>
      </c>
      <c r="E1122" s="17">
        <v>42136</v>
      </c>
      <c r="F1122" s="18">
        <v>0.45030092592592591</v>
      </c>
      <c r="G1122" s="22">
        <v>0</v>
      </c>
      <c r="H1122">
        <v>0</v>
      </c>
      <c r="I1122" s="19" t="e">
        <f>I1121 + (D1122-G1122)</f>
        <v>#VALUE!</v>
      </c>
      <c r="N1122">
        <v>24</v>
      </c>
      <c r="O1122" t="s">
        <v>68</v>
      </c>
      <c r="P1122">
        <v>1</v>
      </c>
      <c r="R1122">
        <v>1505</v>
      </c>
      <c r="S1122" s="17">
        <v>42138</v>
      </c>
      <c r="T1122" s="17">
        <v>42138</v>
      </c>
      <c r="W1122">
        <v>2015</v>
      </c>
      <c r="X1122">
        <v>24</v>
      </c>
      <c r="AC1122" t="s">
        <v>110</v>
      </c>
      <c r="AD1122" t="s">
        <v>301</v>
      </c>
      <c r="AE1122" t="s">
        <v>46</v>
      </c>
      <c r="AG1122">
        <v>12</v>
      </c>
      <c r="AH1122">
        <v>10</v>
      </c>
      <c r="AI1122" t="s">
        <v>95</v>
      </c>
      <c r="AM1122">
        <v>0</v>
      </c>
      <c r="AP1122" t="s">
        <v>392</v>
      </c>
    </row>
    <row r="1123" spans="1:42" customFormat="1">
      <c r="A1123">
        <v>270552</v>
      </c>
      <c r="B1123" t="s">
        <v>3524</v>
      </c>
      <c r="C1123" t="s">
        <v>3525</v>
      </c>
      <c r="D1123" s="22">
        <v>71569</v>
      </c>
      <c r="E1123" s="17">
        <v>42142</v>
      </c>
      <c r="F1123" s="18">
        <v>0.40856481481481483</v>
      </c>
      <c r="G1123" s="22">
        <v>0</v>
      </c>
      <c r="H1123">
        <v>0</v>
      </c>
      <c r="I1123" s="19" t="e">
        <f>I1122 + (D1123-G1123)</f>
        <v>#VALUE!</v>
      </c>
      <c r="N1123">
        <v>24</v>
      </c>
      <c r="O1123" t="s">
        <v>68</v>
      </c>
      <c r="P1123">
        <v>1</v>
      </c>
      <c r="R1123">
        <v>1505</v>
      </c>
      <c r="S1123" s="17">
        <v>42145</v>
      </c>
      <c r="T1123" s="17">
        <v>42145</v>
      </c>
      <c r="W1123">
        <v>2015</v>
      </c>
      <c r="X1123">
        <v>24</v>
      </c>
      <c r="AC1123" t="s">
        <v>110</v>
      </c>
      <c r="AD1123" t="s">
        <v>301</v>
      </c>
      <c r="AE1123" t="s">
        <v>46</v>
      </c>
      <c r="AG1123">
        <v>52</v>
      </c>
      <c r="AH1123">
        <v>10</v>
      </c>
      <c r="AI1123" t="s">
        <v>95</v>
      </c>
      <c r="AM1123">
        <v>0</v>
      </c>
      <c r="AP1123" t="s">
        <v>325</v>
      </c>
    </row>
    <row r="1124" spans="1:42" customFormat="1">
      <c r="A1124">
        <v>272816</v>
      </c>
      <c r="B1124" t="s">
        <v>3524</v>
      </c>
      <c r="C1124" t="s">
        <v>3546</v>
      </c>
      <c r="D1124" s="22">
        <v>11784</v>
      </c>
      <c r="E1124" s="17">
        <v>42142</v>
      </c>
      <c r="F1124" s="18">
        <v>0.45322916666666663</v>
      </c>
      <c r="G1124" s="22">
        <v>0</v>
      </c>
      <c r="H1124">
        <v>0</v>
      </c>
      <c r="I1124" s="19" t="e">
        <f>I1123 + (D1124-G1124)</f>
        <v>#VALUE!</v>
      </c>
      <c r="N1124">
        <v>24</v>
      </c>
      <c r="O1124" t="s">
        <v>68</v>
      </c>
      <c r="P1124">
        <v>1</v>
      </c>
      <c r="R1124">
        <v>1505</v>
      </c>
      <c r="S1124" s="17">
        <v>42166</v>
      </c>
      <c r="T1124" s="17">
        <v>42166</v>
      </c>
      <c r="W1124">
        <v>2015</v>
      </c>
      <c r="X1124">
        <v>24</v>
      </c>
      <c r="AC1124" t="s">
        <v>110</v>
      </c>
      <c r="AD1124" t="s">
        <v>301</v>
      </c>
      <c r="AE1124" t="s">
        <v>46</v>
      </c>
      <c r="AG1124">
        <v>12</v>
      </c>
      <c r="AH1124">
        <v>10</v>
      </c>
      <c r="AI1124" t="s">
        <v>95</v>
      </c>
      <c r="AM1124">
        <v>0</v>
      </c>
      <c r="AP1124" t="s">
        <v>392</v>
      </c>
    </row>
    <row r="1125" spans="1:42" customFormat="1">
      <c r="A1125">
        <v>271065</v>
      </c>
      <c r="B1125" t="s">
        <v>4168</v>
      </c>
      <c r="C1125" t="s">
        <v>4169</v>
      </c>
      <c r="D1125" s="22">
        <v>7357</v>
      </c>
      <c r="E1125" s="17">
        <v>42146</v>
      </c>
      <c r="F1125" s="18">
        <v>0.56374999999999997</v>
      </c>
      <c r="G1125" s="22">
        <v>0</v>
      </c>
      <c r="H1125">
        <v>0</v>
      </c>
      <c r="I1125" s="19" t="e">
        <f>I1124 + (D1125-G1125)</f>
        <v>#VALUE!</v>
      </c>
      <c r="N1125">
        <v>24</v>
      </c>
      <c r="O1125" t="s">
        <v>68</v>
      </c>
      <c r="P1125">
        <v>1</v>
      </c>
      <c r="R1125">
        <v>1505</v>
      </c>
      <c r="S1125" s="17">
        <v>42150</v>
      </c>
      <c r="T1125" s="17">
        <v>42150</v>
      </c>
      <c r="W1125">
        <v>2015</v>
      </c>
      <c r="X1125">
        <v>24</v>
      </c>
      <c r="AC1125" t="s">
        <v>110</v>
      </c>
      <c r="AD1125" t="s">
        <v>301</v>
      </c>
      <c r="AE1125" t="s">
        <v>46</v>
      </c>
      <c r="AG1125">
        <v>52</v>
      </c>
      <c r="AH1125">
        <v>10</v>
      </c>
      <c r="AI1125" t="s">
        <v>95</v>
      </c>
      <c r="AM1125">
        <v>0</v>
      </c>
      <c r="AP1125" t="s">
        <v>325</v>
      </c>
    </row>
    <row r="1126" spans="1:42" customFormat="1">
      <c r="A1126">
        <v>270845</v>
      </c>
      <c r="B1126" t="s">
        <v>102</v>
      </c>
      <c r="C1126" t="s">
        <v>3194</v>
      </c>
      <c r="D1126" s="22">
        <v>2900</v>
      </c>
      <c r="E1126" s="17">
        <v>42143</v>
      </c>
      <c r="F1126" s="18">
        <v>0.5575</v>
      </c>
      <c r="G1126" s="22">
        <v>0</v>
      </c>
      <c r="H1126">
        <v>0</v>
      </c>
      <c r="I1126" s="19" t="e">
        <f>I1125 + (D1126-G1126)</f>
        <v>#VALUE!</v>
      </c>
      <c r="N1126">
        <v>24</v>
      </c>
      <c r="O1126" t="s">
        <v>68</v>
      </c>
      <c r="P1126">
        <v>1</v>
      </c>
      <c r="R1126">
        <v>1386</v>
      </c>
      <c r="S1126" s="17">
        <v>42146</v>
      </c>
      <c r="T1126" s="17">
        <v>42146</v>
      </c>
      <c r="W1126">
        <v>2015</v>
      </c>
      <c r="X1126">
        <v>24</v>
      </c>
      <c r="AC1126" t="s">
        <v>218</v>
      </c>
      <c r="AD1126" t="s">
        <v>301</v>
      </c>
      <c r="AE1126" t="s">
        <v>46</v>
      </c>
      <c r="AG1126">
        <v>4</v>
      </c>
      <c r="AH1126">
        <v>2</v>
      </c>
      <c r="AI1126" t="s">
        <v>50</v>
      </c>
      <c r="AM1126">
        <v>0</v>
      </c>
      <c r="AP1126" t="s">
        <v>389</v>
      </c>
    </row>
    <row r="1127" spans="1:42" customFormat="1">
      <c r="A1127">
        <v>270846</v>
      </c>
      <c r="B1127" t="s">
        <v>102</v>
      </c>
      <c r="C1127" t="s">
        <v>3194</v>
      </c>
      <c r="D1127" s="22">
        <v>10000</v>
      </c>
      <c r="E1127" s="17">
        <v>42143</v>
      </c>
      <c r="F1127" s="18">
        <v>0.55793981481481481</v>
      </c>
      <c r="G1127" s="22">
        <v>0</v>
      </c>
      <c r="H1127">
        <v>0</v>
      </c>
      <c r="I1127" s="19" t="e">
        <f>I1126 + (D1127-G1127)</f>
        <v>#VALUE!</v>
      </c>
      <c r="N1127">
        <v>24</v>
      </c>
      <c r="O1127" t="s">
        <v>68</v>
      </c>
      <c r="P1127">
        <v>1</v>
      </c>
      <c r="R1127">
        <v>1386</v>
      </c>
      <c r="S1127" s="17">
        <v>42146</v>
      </c>
      <c r="T1127" s="17">
        <v>42146</v>
      </c>
      <c r="W1127">
        <v>2015</v>
      </c>
      <c r="X1127">
        <v>24</v>
      </c>
      <c r="AC1127" t="s">
        <v>218</v>
      </c>
      <c r="AD1127" t="s">
        <v>301</v>
      </c>
      <c r="AE1127" t="s">
        <v>46</v>
      </c>
      <c r="AG1127">
        <v>4</v>
      </c>
      <c r="AH1127">
        <v>2</v>
      </c>
      <c r="AI1127" t="s">
        <v>50</v>
      </c>
      <c r="AM1127">
        <v>0</v>
      </c>
      <c r="AP1127" t="s">
        <v>389</v>
      </c>
    </row>
    <row r="1128" spans="1:42" customFormat="1">
      <c r="A1128">
        <v>270847</v>
      </c>
      <c r="B1128" t="s">
        <v>102</v>
      </c>
      <c r="C1128" t="s">
        <v>3769</v>
      </c>
      <c r="D1128" s="22">
        <v>36528</v>
      </c>
      <c r="E1128" s="17">
        <v>42143</v>
      </c>
      <c r="F1128" s="18">
        <v>0.55857638888888894</v>
      </c>
      <c r="G1128" s="22">
        <v>0</v>
      </c>
      <c r="H1128">
        <v>0</v>
      </c>
      <c r="I1128" s="19" t="e">
        <f>I1127 + (D1128-G1128)</f>
        <v>#VALUE!</v>
      </c>
      <c r="N1128">
        <v>24</v>
      </c>
      <c r="O1128" t="s">
        <v>68</v>
      </c>
      <c r="P1128">
        <v>1</v>
      </c>
      <c r="R1128">
        <v>1386</v>
      </c>
      <c r="S1128" s="17">
        <v>42146</v>
      </c>
      <c r="T1128" s="17">
        <v>42146</v>
      </c>
      <c r="W1128">
        <v>2015</v>
      </c>
      <c r="X1128">
        <v>24</v>
      </c>
      <c r="AC1128" t="s">
        <v>218</v>
      </c>
      <c r="AD1128" t="s">
        <v>301</v>
      </c>
      <c r="AE1128" t="s">
        <v>46</v>
      </c>
      <c r="AG1128">
        <v>4</v>
      </c>
      <c r="AH1128">
        <v>9</v>
      </c>
      <c r="AI1128" t="s">
        <v>54</v>
      </c>
      <c r="AM1128">
        <v>0</v>
      </c>
      <c r="AP1128" t="s">
        <v>389</v>
      </c>
    </row>
    <row r="1129" spans="1:42" customFormat="1">
      <c r="A1129">
        <v>269915</v>
      </c>
      <c r="B1129" t="s">
        <v>297</v>
      </c>
      <c r="C1129" t="s">
        <v>1982</v>
      </c>
      <c r="D1129" s="22">
        <v>200000</v>
      </c>
      <c r="E1129" s="17">
        <v>42131</v>
      </c>
      <c r="F1129" s="18">
        <v>0.45886574074074077</v>
      </c>
      <c r="G1129" s="22">
        <v>0</v>
      </c>
      <c r="H1129">
        <v>0</v>
      </c>
      <c r="I1129" s="19" t="e">
        <f>I1128 + (D1129-G1129)</f>
        <v>#VALUE!</v>
      </c>
      <c r="N1129">
        <v>24</v>
      </c>
      <c r="O1129" t="s">
        <v>68</v>
      </c>
      <c r="P1129">
        <v>1</v>
      </c>
      <c r="R1129">
        <v>1372</v>
      </c>
      <c r="S1129" s="17">
        <v>42138</v>
      </c>
      <c r="T1129" s="17">
        <v>42142</v>
      </c>
      <c r="W1129">
        <v>2015</v>
      </c>
      <c r="X1129">
        <v>24</v>
      </c>
      <c r="AC1129" t="s">
        <v>134</v>
      </c>
      <c r="AD1129" t="s">
        <v>301</v>
      </c>
      <c r="AE1129" t="s">
        <v>46</v>
      </c>
      <c r="AG1129">
        <v>4</v>
      </c>
      <c r="AH1129">
        <v>9</v>
      </c>
      <c r="AI1129" t="s">
        <v>54</v>
      </c>
      <c r="AM1129">
        <v>0</v>
      </c>
      <c r="AP1129" t="s">
        <v>389</v>
      </c>
    </row>
    <row r="1130" spans="1:42" customFormat="1">
      <c r="A1130">
        <v>270607</v>
      </c>
      <c r="B1130" t="s">
        <v>235</v>
      </c>
      <c r="C1130" t="s">
        <v>2965</v>
      </c>
      <c r="D1130" s="22">
        <v>52102.720000000001</v>
      </c>
      <c r="E1130" s="17">
        <v>42137</v>
      </c>
      <c r="F1130" s="18">
        <v>0.41996527777777781</v>
      </c>
      <c r="G1130" s="22">
        <v>0</v>
      </c>
      <c r="H1130">
        <v>0</v>
      </c>
      <c r="I1130" s="19" t="e">
        <f>I1129 + (D1130-G1130)</f>
        <v>#VALUE!</v>
      </c>
      <c r="N1130">
        <v>24</v>
      </c>
      <c r="O1130" t="s">
        <v>68</v>
      </c>
      <c r="P1130">
        <v>1</v>
      </c>
      <c r="R1130">
        <v>1372</v>
      </c>
      <c r="S1130" s="17">
        <v>42145</v>
      </c>
      <c r="T1130" s="17">
        <v>42145</v>
      </c>
      <c r="W1130">
        <v>2015</v>
      </c>
      <c r="X1130">
        <v>24</v>
      </c>
      <c r="AC1130" t="s">
        <v>134</v>
      </c>
      <c r="AD1130" t="s">
        <v>301</v>
      </c>
      <c r="AE1130" t="s">
        <v>46</v>
      </c>
      <c r="AG1130">
        <v>4</v>
      </c>
      <c r="AH1130">
        <v>9</v>
      </c>
      <c r="AI1130" t="s">
        <v>54</v>
      </c>
      <c r="AM1130">
        <v>0</v>
      </c>
      <c r="AP1130" t="s">
        <v>389</v>
      </c>
    </row>
    <row r="1131" spans="1:42" customFormat="1">
      <c r="A1131">
        <v>270608</v>
      </c>
      <c r="B1131" t="s">
        <v>235</v>
      </c>
      <c r="C1131" t="s">
        <v>2965</v>
      </c>
      <c r="D1131" s="22">
        <v>28708.18</v>
      </c>
      <c r="E1131" s="17">
        <v>42137</v>
      </c>
      <c r="F1131" s="18">
        <v>0.42072916666666665</v>
      </c>
      <c r="G1131" s="22">
        <v>0</v>
      </c>
      <c r="H1131">
        <v>0</v>
      </c>
      <c r="I1131" s="19" t="e">
        <f>I1130 + (D1131-G1131)</f>
        <v>#VALUE!</v>
      </c>
      <c r="N1131">
        <v>24</v>
      </c>
      <c r="O1131" t="s">
        <v>68</v>
      </c>
      <c r="P1131">
        <v>1</v>
      </c>
      <c r="R1131">
        <v>1372</v>
      </c>
      <c r="S1131" s="17">
        <v>42145</v>
      </c>
      <c r="T1131" s="17">
        <v>42145</v>
      </c>
      <c r="W1131">
        <v>2015</v>
      </c>
      <c r="X1131">
        <v>24</v>
      </c>
      <c r="AC1131" t="s">
        <v>134</v>
      </c>
      <c r="AD1131" t="s">
        <v>301</v>
      </c>
      <c r="AE1131" t="s">
        <v>46</v>
      </c>
      <c r="AG1131">
        <v>4</v>
      </c>
      <c r="AH1131">
        <v>9</v>
      </c>
      <c r="AI1131" t="s">
        <v>54</v>
      </c>
      <c r="AM1131">
        <v>0</v>
      </c>
      <c r="AP1131" t="s">
        <v>389</v>
      </c>
    </row>
    <row r="1132" spans="1:42" customFormat="1">
      <c r="A1132">
        <v>269964</v>
      </c>
      <c r="B1132" t="s">
        <v>297</v>
      </c>
      <c r="C1132" t="s">
        <v>3099</v>
      </c>
      <c r="D1132" s="22">
        <v>100000</v>
      </c>
      <c r="E1132" s="17">
        <v>42137</v>
      </c>
      <c r="F1132" s="18">
        <v>0.66925925925925922</v>
      </c>
      <c r="G1132" s="22">
        <v>0</v>
      </c>
      <c r="H1132">
        <v>0</v>
      </c>
      <c r="I1132" s="19" t="e">
        <f>I1131 + (D1132-G1132)</f>
        <v>#VALUE!</v>
      </c>
      <c r="N1132">
        <v>24</v>
      </c>
      <c r="O1132" t="s">
        <v>68</v>
      </c>
      <c r="P1132">
        <v>1</v>
      </c>
      <c r="R1132">
        <v>1372</v>
      </c>
      <c r="S1132" s="17">
        <v>42138</v>
      </c>
      <c r="T1132" s="17">
        <v>42142</v>
      </c>
      <c r="W1132">
        <v>2015</v>
      </c>
      <c r="X1132">
        <v>24</v>
      </c>
      <c r="AC1132" t="s">
        <v>134</v>
      </c>
      <c r="AD1132" t="s">
        <v>301</v>
      </c>
      <c r="AE1132" t="s">
        <v>46</v>
      </c>
      <c r="AG1132">
        <v>4</v>
      </c>
      <c r="AH1132">
        <v>9</v>
      </c>
      <c r="AI1132" t="s">
        <v>54</v>
      </c>
      <c r="AM1132">
        <v>0</v>
      </c>
      <c r="AP1132" t="s">
        <v>389</v>
      </c>
    </row>
    <row r="1133" spans="1:42" customFormat="1">
      <c r="A1133">
        <v>270270</v>
      </c>
      <c r="B1133" t="s">
        <v>235</v>
      </c>
      <c r="C1133" t="s">
        <v>3099</v>
      </c>
      <c r="D1133" s="22">
        <v>110000</v>
      </c>
      <c r="E1133" s="17">
        <v>42139</v>
      </c>
      <c r="F1133" s="18">
        <v>0.69622685185185185</v>
      </c>
      <c r="G1133" s="22">
        <v>0</v>
      </c>
      <c r="H1133">
        <v>0</v>
      </c>
      <c r="I1133" s="19" t="e">
        <f>I1132 + (D1133-G1133)</f>
        <v>#VALUE!</v>
      </c>
      <c r="N1133">
        <v>24</v>
      </c>
      <c r="O1133" t="s">
        <v>68</v>
      </c>
      <c r="P1133">
        <v>1</v>
      </c>
      <c r="R1133">
        <v>1372</v>
      </c>
      <c r="S1133" s="17">
        <v>42142</v>
      </c>
      <c r="T1133" s="17">
        <v>42142</v>
      </c>
      <c r="W1133">
        <v>2015</v>
      </c>
      <c r="X1133">
        <v>24</v>
      </c>
      <c r="AC1133" t="s">
        <v>134</v>
      </c>
      <c r="AD1133" t="s">
        <v>301</v>
      </c>
      <c r="AE1133" t="s">
        <v>46</v>
      </c>
      <c r="AG1133">
        <v>4</v>
      </c>
      <c r="AH1133">
        <v>9</v>
      </c>
      <c r="AI1133" t="s">
        <v>54</v>
      </c>
      <c r="AM1133">
        <v>0</v>
      </c>
      <c r="AP1133" t="s">
        <v>389</v>
      </c>
    </row>
    <row r="1134" spans="1:42" customFormat="1">
      <c r="A1134">
        <v>271579</v>
      </c>
      <c r="B1134" t="s">
        <v>235</v>
      </c>
      <c r="C1134" t="s">
        <v>4960</v>
      </c>
      <c r="D1134" s="22">
        <v>15000</v>
      </c>
      <c r="E1134" s="17">
        <v>42151</v>
      </c>
      <c r="F1134" s="18">
        <v>0.4432638888888889</v>
      </c>
      <c r="G1134" s="22">
        <v>0</v>
      </c>
      <c r="H1134">
        <v>0</v>
      </c>
      <c r="I1134" s="19" t="e">
        <f>I1133 + (D1134-G1134)</f>
        <v>#VALUE!</v>
      </c>
      <c r="N1134">
        <v>7</v>
      </c>
      <c r="O1134" t="s">
        <v>44</v>
      </c>
      <c r="P1134">
        <v>1</v>
      </c>
      <c r="R1134">
        <v>1372</v>
      </c>
      <c r="S1134" s="17">
        <v>42157</v>
      </c>
      <c r="T1134" s="17">
        <v>42170</v>
      </c>
      <c r="W1134">
        <v>2015</v>
      </c>
      <c r="X1134">
        <v>24</v>
      </c>
      <c r="AC1134" t="s">
        <v>134</v>
      </c>
      <c r="AD1134" t="s">
        <v>301</v>
      </c>
      <c r="AE1134" t="s">
        <v>46</v>
      </c>
      <c r="AG1134">
        <v>12</v>
      </c>
      <c r="AH1134">
        <v>2</v>
      </c>
      <c r="AI1134" t="s">
        <v>50</v>
      </c>
      <c r="AM1134">
        <v>0</v>
      </c>
      <c r="AP1134" t="s">
        <v>392</v>
      </c>
    </row>
    <row r="1135" spans="1:42" customFormat="1">
      <c r="A1135">
        <v>273068</v>
      </c>
      <c r="B1135" t="s">
        <v>102</v>
      </c>
      <c r="C1135" t="s">
        <v>5013</v>
      </c>
      <c r="D1135" s="22">
        <v>10000</v>
      </c>
      <c r="E1135" s="17">
        <v>42151</v>
      </c>
      <c r="F1135" s="18">
        <v>0.64903935185185191</v>
      </c>
      <c r="G1135" s="22">
        <v>0</v>
      </c>
      <c r="H1135">
        <v>0</v>
      </c>
      <c r="I1135" s="19" t="e">
        <f>I1134 + (D1135-G1135)</f>
        <v>#VALUE!</v>
      </c>
      <c r="N1135">
        <v>24</v>
      </c>
      <c r="O1135" t="s">
        <v>68</v>
      </c>
      <c r="P1135">
        <v>1</v>
      </c>
      <c r="R1135">
        <v>1372</v>
      </c>
      <c r="S1135" s="17">
        <v>42170</v>
      </c>
      <c r="T1135" s="17">
        <v>42170</v>
      </c>
      <c r="W1135">
        <v>2015</v>
      </c>
      <c r="X1135">
        <v>24</v>
      </c>
      <c r="AC1135" t="s">
        <v>134</v>
      </c>
      <c r="AD1135" t="s">
        <v>301</v>
      </c>
      <c r="AE1135" t="s">
        <v>46</v>
      </c>
      <c r="AG1135">
        <v>8</v>
      </c>
      <c r="AH1135">
        <v>8</v>
      </c>
      <c r="AI1135" t="s">
        <v>52</v>
      </c>
      <c r="AM1135">
        <v>0</v>
      </c>
      <c r="AP1135" t="s">
        <v>1201</v>
      </c>
    </row>
    <row r="1136" spans="1:42" customFormat="1">
      <c r="A1136">
        <v>271790</v>
      </c>
      <c r="B1136" t="s">
        <v>102</v>
      </c>
      <c r="C1136" t="s">
        <v>4474</v>
      </c>
      <c r="D1136" s="22">
        <v>725000</v>
      </c>
      <c r="E1136" s="17">
        <v>42146</v>
      </c>
      <c r="F1136" s="18">
        <v>0.67267361111111112</v>
      </c>
      <c r="G1136" s="22">
        <v>0</v>
      </c>
      <c r="H1136">
        <v>0</v>
      </c>
      <c r="I1136" s="19" t="e">
        <f>I1135 + (D1136-G1136)</f>
        <v>#VALUE!</v>
      </c>
      <c r="N1136">
        <v>24</v>
      </c>
      <c r="O1136" t="s">
        <v>68</v>
      </c>
      <c r="P1136">
        <v>1</v>
      </c>
      <c r="R1136">
        <v>1373</v>
      </c>
      <c r="S1136" s="17">
        <v>42158</v>
      </c>
      <c r="T1136" s="17">
        <v>42158</v>
      </c>
      <c r="W1136">
        <v>2015</v>
      </c>
      <c r="X1136">
        <v>24</v>
      </c>
      <c r="AC1136" t="s">
        <v>254</v>
      </c>
      <c r="AD1136" t="s">
        <v>301</v>
      </c>
      <c r="AE1136" t="s">
        <v>46</v>
      </c>
      <c r="AG1136">
        <v>5</v>
      </c>
      <c r="AH1136">
        <v>9</v>
      </c>
      <c r="AI1136" t="s">
        <v>54</v>
      </c>
      <c r="AM1136">
        <v>0</v>
      </c>
      <c r="AP1136" t="s">
        <v>312</v>
      </c>
    </row>
    <row r="1137" spans="1:42" customFormat="1">
      <c r="A1137">
        <v>273029</v>
      </c>
      <c r="B1137" t="s">
        <v>102</v>
      </c>
      <c r="C1137" t="s">
        <v>4746</v>
      </c>
      <c r="D1137" s="22">
        <v>551674.96</v>
      </c>
      <c r="E1137" s="17">
        <v>42150</v>
      </c>
      <c r="F1137" s="18">
        <v>0.42131944444444441</v>
      </c>
      <c r="G1137" s="22">
        <v>0</v>
      </c>
      <c r="H1137">
        <v>0</v>
      </c>
      <c r="I1137" s="19" t="e">
        <f>I1136 + (D1137-G1137)</f>
        <v>#VALUE!</v>
      </c>
      <c r="N1137">
        <v>24</v>
      </c>
      <c r="O1137" t="s">
        <v>68</v>
      </c>
      <c r="P1137">
        <v>1</v>
      </c>
      <c r="R1137">
        <v>1373</v>
      </c>
      <c r="S1137" s="17">
        <v>42167</v>
      </c>
      <c r="T1137" s="17">
        <v>42167</v>
      </c>
      <c r="W1137">
        <v>2015</v>
      </c>
      <c r="X1137">
        <v>24</v>
      </c>
      <c r="AC1137" t="s">
        <v>254</v>
      </c>
      <c r="AD1137" t="s">
        <v>301</v>
      </c>
      <c r="AE1137" t="s">
        <v>46</v>
      </c>
      <c r="AG1137">
        <v>5</v>
      </c>
      <c r="AH1137">
        <v>9</v>
      </c>
      <c r="AI1137" t="s">
        <v>54</v>
      </c>
      <c r="AM1137">
        <v>0</v>
      </c>
      <c r="AP1137" t="s">
        <v>312</v>
      </c>
    </row>
    <row r="1138" spans="1:42" customFormat="1">
      <c r="A1138">
        <v>270646</v>
      </c>
      <c r="B1138" t="s">
        <v>102</v>
      </c>
      <c r="C1138" t="s">
        <v>1669</v>
      </c>
      <c r="D1138" s="22">
        <v>200000</v>
      </c>
      <c r="E1138" s="17">
        <v>42130</v>
      </c>
      <c r="F1138" s="18">
        <v>0.45459490740740738</v>
      </c>
      <c r="G1138" s="22">
        <v>0</v>
      </c>
      <c r="H1138">
        <v>0</v>
      </c>
      <c r="I1138" s="19" t="e">
        <f>I1137 + (D1138-G1138)</f>
        <v>#VALUE!</v>
      </c>
      <c r="N1138">
        <v>24</v>
      </c>
      <c r="O1138" t="s">
        <v>68</v>
      </c>
      <c r="P1138">
        <v>1</v>
      </c>
      <c r="R1138">
        <v>1631</v>
      </c>
      <c r="S1138" s="17">
        <v>42145</v>
      </c>
      <c r="T1138" s="17">
        <v>42145</v>
      </c>
      <c r="W1138">
        <v>2015</v>
      </c>
      <c r="X1138">
        <v>24</v>
      </c>
      <c r="AC1138" t="s">
        <v>1670</v>
      </c>
      <c r="AD1138" t="s">
        <v>302</v>
      </c>
      <c r="AE1138" t="s">
        <v>46</v>
      </c>
      <c r="AG1138">
        <v>8</v>
      </c>
      <c r="AH1138">
        <v>9</v>
      </c>
      <c r="AI1138" t="s">
        <v>54</v>
      </c>
      <c r="AM1138">
        <v>0</v>
      </c>
      <c r="AP1138" t="s">
        <v>1201</v>
      </c>
    </row>
    <row r="1139" spans="1:42" customFormat="1">
      <c r="A1139">
        <v>270644</v>
      </c>
      <c r="B1139" t="s">
        <v>235</v>
      </c>
      <c r="C1139" t="s">
        <v>2125</v>
      </c>
      <c r="D1139" s="22">
        <v>33140</v>
      </c>
      <c r="E1139" s="17">
        <v>42132</v>
      </c>
      <c r="F1139" s="18">
        <v>0.44067129629629626</v>
      </c>
      <c r="G1139" s="22">
        <v>0</v>
      </c>
      <c r="H1139">
        <v>0</v>
      </c>
      <c r="I1139" s="19" t="e">
        <f>I1138 + (D1139-G1139)</f>
        <v>#VALUE!</v>
      </c>
      <c r="N1139">
        <v>24</v>
      </c>
      <c r="O1139" t="s">
        <v>68</v>
      </c>
      <c r="P1139">
        <v>1</v>
      </c>
      <c r="R1139">
        <v>1631</v>
      </c>
      <c r="S1139" s="17">
        <v>42145</v>
      </c>
      <c r="T1139" s="17">
        <v>42146</v>
      </c>
      <c r="W1139">
        <v>2015</v>
      </c>
      <c r="X1139">
        <v>24</v>
      </c>
      <c r="AC1139" t="s">
        <v>1670</v>
      </c>
      <c r="AD1139" t="s">
        <v>302</v>
      </c>
      <c r="AE1139" t="s">
        <v>46</v>
      </c>
      <c r="AG1139">
        <v>8</v>
      </c>
      <c r="AH1139">
        <v>9</v>
      </c>
      <c r="AI1139" t="s">
        <v>54</v>
      </c>
      <c r="AM1139">
        <v>0</v>
      </c>
      <c r="AP1139" t="s">
        <v>1201</v>
      </c>
    </row>
    <row r="1140" spans="1:42" customFormat="1">
      <c r="A1140">
        <v>271058</v>
      </c>
      <c r="B1140" t="s">
        <v>102</v>
      </c>
      <c r="C1140" t="s">
        <v>3047</v>
      </c>
      <c r="D1140" s="22">
        <v>30000</v>
      </c>
      <c r="E1140" s="17">
        <v>42137</v>
      </c>
      <c r="F1140" s="18">
        <v>0.48890046296296297</v>
      </c>
      <c r="G1140" s="22">
        <v>0</v>
      </c>
      <c r="H1140">
        <v>0</v>
      </c>
      <c r="I1140" s="19" t="e">
        <f>I1139 + (D1140-G1140)</f>
        <v>#VALUE!</v>
      </c>
      <c r="N1140">
        <v>7</v>
      </c>
      <c r="O1140" t="s">
        <v>44</v>
      </c>
      <c r="P1140">
        <v>1</v>
      </c>
      <c r="R1140">
        <v>1631</v>
      </c>
      <c r="S1140" s="17">
        <v>42150</v>
      </c>
      <c r="T1140" s="17">
        <v>42150</v>
      </c>
      <c r="W1140">
        <v>2015</v>
      </c>
      <c r="X1140">
        <v>7</v>
      </c>
      <c r="AC1140" t="s">
        <v>1670</v>
      </c>
      <c r="AD1140" t="s">
        <v>302</v>
      </c>
      <c r="AE1140" t="s">
        <v>46</v>
      </c>
      <c r="AG1140">
        <v>8</v>
      </c>
      <c r="AH1140">
        <v>8</v>
      </c>
      <c r="AI1140" t="s">
        <v>52</v>
      </c>
      <c r="AM1140">
        <v>0</v>
      </c>
      <c r="AP1140" t="s">
        <v>1201</v>
      </c>
    </row>
    <row r="1141" spans="1:42" customFormat="1">
      <c r="A1141">
        <v>270791</v>
      </c>
      <c r="B1141" t="s">
        <v>235</v>
      </c>
      <c r="C1141" t="s">
        <v>3761</v>
      </c>
      <c r="D1141" s="22">
        <v>44868.32</v>
      </c>
      <c r="E1141" s="17">
        <v>42143</v>
      </c>
      <c r="F1141" s="18">
        <v>0.46354166666666669</v>
      </c>
      <c r="G1141" s="22">
        <v>0</v>
      </c>
      <c r="H1141">
        <v>0</v>
      </c>
      <c r="I1141" s="19" t="e">
        <f>I1140 + (D1141-G1141)</f>
        <v>#VALUE!</v>
      </c>
      <c r="N1141">
        <v>24</v>
      </c>
      <c r="O1141" t="s">
        <v>68</v>
      </c>
      <c r="P1141">
        <v>1</v>
      </c>
      <c r="R1141">
        <v>1631</v>
      </c>
      <c r="S1141" s="17">
        <v>42146</v>
      </c>
      <c r="T1141" s="17">
        <v>42146</v>
      </c>
      <c r="W1141">
        <v>2015</v>
      </c>
      <c r="X1141">
        <v>24</v>
      </c>
      <c r="AC1141" t="s">
        <v>1670</v>
      </c>
      <c r="AD1141" t="s">
        <v>302</v>
      </c>
      <c r="AE1141" t="s">
        <v>46</v>
      </c>
      <c r="AG1141">
        <v>4</v>
      </c>
      <c r="AH1141">
        <v>9</v>
      </c>
      <c r="AI1141" t="s">
        <v>54</v>
      </c>
      <c r="AM1141">
        <v>0</v>
      </c>
      <c r="AP1141" t="s">
        <v>389</v>
      </c>
    </row>
    <row r="1142" spans="1:42" customFormat="1">
      <c r="A1142">
        <v>276055</v>
      </c>
      <c r="B1142" t="s">
        <v>3793</v>
      </c>
      <c r="C1142" t="s">
        <v>3794</v>
      </c>
      <c r="D1142" s="22">
        <v>47131.68</v>
      </c>
      <c r="E1142" s="17">
        <v>42143</v>
      </c>
      <c r="F1142" s="18">
        <v>0.64961805555555563</v>
      </c>
      <c r="G1142" s="22">
        <v>0</v>
      </c>
      <c r="H1142">
        <v>0</v>
      </c>
      <c r="I1142" s="19" t="e">
        <f>I1141 + (D1142-G1142)</f>
        <v>#VALUE!</v>
      </c>
      <c r="N1142">
        <v>7</v>
      </c>
      <c r="O1142" t="s">
        <v>44</v>
      </c>
      <c r="P1142">
        <v>1</v>
      </c>
      <c r="R1142">
        <v>1631</v>
      </c>
      <c r="S1142" s="17">
        <v>42188</v>
      </c>
      <c r="T1142" s="17">
        <v>42188</v>
      </c>
      <c r="W1142">
        <v>2015</v>
      </c>
      <c r="X1142">
        <v>7</v>
      </c>
      <c r="AC1142" t="s">
        <v>1670</v>
      </c>
      <c r="AD1142" t="s">
        <v>302</v>
      </c>
      <c r="AE1142" t="s">
        <v>46</v>
      </c>
      <c r="AG1142">
        <v>56</v>
      </c>
      <c r="AH1142">
        <v>1</v>
      </c>
      <c r="AI1142" t="s">
        <v>58</v>
      </c>
      <c r="AM1142">
        <v>0</v>
      </c>
      <c r="AP1142" t="s">
        <v>59</v>
      </c>
    </row>
    <row r="1143" spans="1:42" customFormat="1">
      <c r="A1143">
        <v>270792</v>
      </c>
      <c r="B1143" t="s">
        <v>235</v>
      </c>
      <c r="C1143" t="s">
        <v>3839</v>
      </c>
      <c r="D1143" s="22">
        <v>62000</v>
      </c>
      <c r="E1143" s="17">
        <v>42144</v>
      </c>
      <c r="F1143" s="18">
        <v>0.46546296296296297</v>
      </c>
      <c r="G1143" s="22">
        <v>0</v>
      </c>
      <c r="H1143">
        <v>0</v>
      </c>
      <c r="I1143" s="19" t="e">
        <f>I1142 + (D1143-G1143)</f>
        <v>#VALUE!</v>
      </c>
      <c r="N1143">
        <v>24</v>
      </c>
      <c r="O1143" t="s">
        <v>68</v>
      </c>
      <c r="P1143">
        <v>1</v>
      </c>
      <c r="R1143">
        <v>1631</v>
      </c>
      <c r="S1143" s="17">
        <v>42146</v>
      </c>
      <c r="T1143" s="17">
        <v>42146</v>
      </c>
      <c r="W1143">
        <v>2015</v>
      </c>
      <c r="X1143">
        <v>24</v>
      </c>
      <c r="AC1143" t="s">
        <v>1670</v>
      </c>
      <c r="AD1143" t="s">
        <v>302</v>
      </c>
      <c r="AE1143" t="s">
        <v>46</v>
      </c>
      <c r="AG1143">
        <v>4</v>
      </c>
      <c r="AH1143">
        <v>9</v>
      </c>
      <c r="AI1143" t="s">
        <v>54</v>
      </c>
      <c r="AM1143">
        <v>0</v>
      </c>
      <c r="AP1143" t="s">
        <v>389</v>
      </c>
    </row>
    <row r="1144" spans="1:42" customFormat="1">
      <c r="A1144">
        <v>268614</v>
      </c>
      <c r="B1144" t="s">
        <v>313</v>
      </c>
      <c r="C1144" t="s">
        <v>314</v>
      </c>
      <c r="D1144" s="22">
        <v>0</v>
      </c>
      <c r="E1144" s="17">
        <v>42128</v>
      </c>
      <c r="F1144" s="18">
        <v>0.36171296296296296</v>
      </c>
      <c r="G1144" s="22">
        <v>621.04999999999995</v>
      </c>
      <c r="H1144">
        <v>0</v>
      </c>
      <c r="I1144" s="19" t="e">
        <f>I1143 + (D1144-G1144)</f>
        <v>#VALUE!</v>
      </c>
      <c r="M1144">
        <v>122868</v>
      </c>
      <c r="N1144">
        <v>7</v>
      </c>
      <c r="O1144" t="s">
        <v>44</v>
      </c>
      <c r="P1144">
        <v>1</v>
      </c>
      <c r="R1144">
        <v>1512</v>
      </c>
      <c r="S1144" s="17">
        <v>42131</v>
      </c>
      <c r="T1144" s="17">
        <v>42131</v>
      </c>
      <c r="W1144">
        <v>2015</v>
      </c>
      <c r="X1144">
        <v>7</v>
      </c>
      <c r="AC1144" t="s">
        <v>56</v>
      </c>
      <c r="AD1144" t="s">
        <v>302</v>
      </c>
      <c r="AE1144" t="s">
        <v>46</v>
      </c>
      <c r="AG1144">
        <v>5</v>
      </c>
      <c r="AH1144">
        <v>9</v>
      </c>
      <c r="AI1144" t="s">
        <v>54</v>
      </c>
      <c r="AK1144">
        <v>0</v>
      </c>
      <c r="AM1144">
        <v>0</v>
      </c>
      <c r="AP1144" t="s">
        <v>312</v>
      </c>
    </row>
    <row r="1145" spans="1:42" customFormat="1">
      <c r="A1145">
        <v>268627</v>
      </c>
      <c r="B1145" t="s">
        <v>329</v>
      </c>
      <c r="C1145" t="s">
        <v>330</v>
      </c>
      <c r="D1145" s="22">
        <v>0</v>
      </c>
      <c r="E1145" s="17">
        <v>42128</v>
      </c>
      <c r="F1145" s="18">
        <v>0.37059027777777781</v>
      </c>
      <c r="G1145" s="22">
        <v>112.08</v>
      </c>
      <c r="H1145">
        <v>0</v>
      </c>
      <c r="I1145" s="19" t="e">
        <f>I1144 + (D1145-G1145)</f>
        <v>#VALUE!</v>
      </c>
      <c r="M1145">
        <v>122873</v>
      </c>
      <c r="N1145">
        <v>7</v>
      </c>
      <c r="O1145" t="s">
        <v>44</v>
      </c>
      <c r="P1145">
        <v>1</v>
      </c>
      <c r="R1145">
        <v>1512</v>
      </c>
      <c r="S1145" s="17">
        <v>42131</v>
      </c>
      <c r="T1145" s="17">
        <v>42131</v>
      </c>
      <c r="W1145">
        <v>2015</v>
      </c>
      <c r="X1145">
        <v>7</v>
      </c>
      <c r="AC1145" t="s">
        <v>56</v>
      </c>
      <c r="AD1145" t="s">
        <v>302</v>
      </c>
      <c r="AE1145" t="s">
        <v>46</v>
      </c>
      <c r="AG1145">
        <v>123</v>
      </c>
      <c r="AH1145">
        <v>9</v>
      </c>
      <c r="AI1145" t="s">
        <v>54</v>
      </c>
      <c r="AK1145">
        <v>0</v>
      </c>
      <c r="AM1145">
        <v>0</v>
      </c>
      <c r="AP1145" t="s">
        <v>331</v>
      </c>
    </row>
    <row r="1146" spans="1:42" customFormat="1">
      <c r="A1146">
        <v>268628</v>
      </c>
      <c r="B1146" t="s">
        <v>332</v>
      </c>
      <c r="C1146" t="s">
        <v>333</v>
      </c>
      <c r="D1146" s="22">
        <v>0</v>
      </c>
      <c r="E1146" s="17">
        <v>42128</v>
      </c>
      <c r="F1146" s="18">
        <v>0.37059027777777781</v>
      </c>
      <c r="G1146" s="22">
        <v>57.48</v>
      </c>
      <c r="H1146">
        <v>0</v>
      </c>
      <c r="I1146" s="19" t="e">
        <f>I1145 + (D1146-G1146)</f>
        <v>#VALUE!</v>
      </c>
      <c r="M1146">
        <v>122874</v>
      </c>
      <c r="N1146">
        <v>7</v>
      </c>
      <c r="O1146" t="s">
        <v>44</v>
      </c>
      <c r="P1146">
        <v>1</v>
      </c>
      <c r="R1146">
        <v>1512</v>
      </c>
      <c r="S1146" s="17">
        <v>42131</v>
      </c>
      <c r="T1146" s="17">
        <v>42131</v>
      </c>
      <c r="W1146">
        <v>2015</v>
      </c>
      <c r="X1146">
        <v>7</v>
      </c>
      <c r="AC1146" t="s">
        <v>56</v>
      </c>
      <c r="AD1146" t="s">
        <v>302</v>
      </c>
      <c r="AE1146" t="s">
        <v>46</v>
      </c>
      <c r="AG1146">
        <v>123</v>
      </c>
      <c r="AH1146">
        <v>9</v>
      </c>
      <c r="AI1146" t="s">
        <v>54</v>
      </c>
      <c r="AK1146">
        <v>0</v>
      </c>
      <c r="AM1146">
        <v>0</v>
      </c>
      <c r="AP1146" t="s">
        <v>331</v>
      </c>
    </row>
    <row r="1147" spans="1:42" customFormat="1">
      <c r="A1147">
        <v>268630</v>
      </c>
      <c r="B1147" t="s">
        <v>334</v>
      </c>
      <c r="C1147" t="s">
        <v>335</v>
      </c>
      <c r="D1147" s="22">
        <v>0</v>
      </c>
      <c r="E1147" s="17">
        <v>42128</v>
      </c>
      <c r="F1147" s="18">
        <v>0.37122685185185184</v>
      </c>
      <c r="G1147" s="22">
        <v>124.05</v>
      </c>
      <c r="H1147">
        <v>0</v>
      </c>
      <c r="I1147" s="19" t="e">
        <f>I1146 + (D1147-G1147)</f>
        <v>#VALUE!</v>
      </c>
      <c r="M1147">
        <v>122875</v>
      </c>
      <c r="N1147">
        <v>7</v>
      </c>
      <c r="O1147" t="s">
        <v>44</v>
      </c>
      <c r="P1147">
        <v>1</v>
      </c>
      <c r="R1147">
        <v>1512</v>
      </c>
      <c r="S1147" s="17">
        <v>42131</v>
      </c>
      <c r="T1147" s="17">
        <v>42131</v>
      </c>
      <c r="W1147">
        <v>2015</v>
      </c>
      <c r="X1147">
        <v>7</v>
      </c>
      <c r="AC1147" t="s">
        <v>56</v>
      </c>
      <c r="AD1147" t="s">
        <v>302</v>
      </c>
      <c r="AE1147" t="s">
        <v>46</v>
      </c>
      <c r="AG1147">
        <v>7</v>
      </c>
      <c r="AH1147">
        <v>9</v>
      </c>
      <c r="AI1147" t="s">
        <v>54</v>
      </c>
      <c r="AK1147">
        <v>0</v>
      </c>
      <c r="AM1147">
        <v>0</v>
      </c>
      <c r="AP1147" t="s">
        <v>220</v>
      </c>
    </row>
    <row r="1148" spans="1:42" customFormat="1">
      <c r="A1148">
        <v>268631</v>
      </c>
      <c r="B1148" t="s">
        <v>336</v>
      </c>
      <c r="C1148" t="s">
        <v>337</v>
      </c>
      <c r="D1148" s="22">
        <v>0</v>
      </c>
      <c r="E1148" s="17">
        <v>42128</v>
      </c>
      <c r="F1148" s="18">
        <v>0.37122685185185184</v>
      </c>
      <c r="G1148" s="22">
        <v>74.89</v>
      </c>
      <c r="H1148">
        <v>0</v>
      </c>
      <c r="I1148" s="19" t="e">
        <f>I1147 + (D1148-G1148)</f>
        <v>#VALUE!</v>
      </c>
      <c r="M1148">
        <v>122876</v>
      </c>
      <c r="N1148">
        <v>7</v>
      </c>
      <c r="O1148" t="s">
        <v>44</v>
      </c>
      <c r="P1148">
        <v>1</v>
      </c>
      <c r="R1148">
        <v>1512</v>
      </c>
      <c r="S1148" s="17">
        <v>42131</v>
      </c>
      <c r="T1148" s="17">
        <v>42131</v>
      </c>
      <c r="W1148">
        <v>2015</v>
      </c>
      <c r="X1148">
        <v>7</v>
      </c>
      <c r="AC1148" t="s">
        <v>56</v>
      </c>
      <c r="AD1148" t="s">
        <v>302</v>
      </c>
      <c r="AE1148" t="s">
        <v>46</v>
      </c>
      <c r="AG1148">
        <v>7</v>
      </c>
      <c r="AH1148">
        <v>9</v>
      </c>
      <c r="AI1148" t="s">
        <v>54</v>
      </c>
      <c r="AK1148">
        <v>0</v>
      </c>
      <c r="AM1148">
        <v>0</v>
      </c>
      <c r="AP1148" t="s">
        <v>220</v>
      </c>
    </row>
    <row r="1149" spans="1:42" customFormat="1">
      <c r="A1149">
        <v>268652</v>
      </c>
      <c r="B1149" t="s">
        <v>364</v>
      </c>
      <c r="C1149" t="s">
        <v>365</v>
      </c>
      <c r="D1149" s="22">
        <v>0</v>
      </c>
      <c r="E1149" s="17">
        <v>42128</v>
      </c>
      <c r="F1149" s="18">
        <v>0.38848379629629631</v>
      </c>
      <c r="G1149" s="22">
        <v>0.24</v>
      </c>
      <c r="H1149">
        <v>0</v>
      </c>
      <c r="I1149" s="19" t="e">
        <f>I1148 + (D1149-G1149)</f>
        <v>#VALUE!</v>
      </c>
      <c r="M1149">
        <v>122896</v>
      </c>
      <c r="N1149">
        <v>7</v>
      </c>
      <c r="O1149" t="s">
        <v>44</v>
      </c>
      <c r="P1149">
        <v>1</v>
      </c>
      <c r="R1149">
        <v>1512</v>
      </c>
      <c r="S1149" s="17">
        <v>42131</v>
      </c>
      <c r="T1149" s="17">
        <v>42131</v>
      </c>
      <c r="W1149">
        <v>2015</v>
      </c>
      <c r="X1149">
        <v>7</v>
      </c>
      <c r="AC1149" t="s">
        <v>56</v>
      </c>
      <c r="AD1149" t="s">
        <v>302</v>
      </c>
      <c r="AE1149" t="s">
        <v>46</v>
      </c>
      <c r="AG1149">
        <v>59</v>
      </c>
      <c r="AH1149">
        <v>9</v>
      </c>
      <c r="AI1149" t="s">
        <v>54</v>
      </c>
      <c r="AK1149">
        <v>0</v>
      </c>
      <c r="AM1149">
        <v>0</v>
      </c>
      <c r="AP1149" t="s">
        <v>341</v>
      </c>
    </row>
    <row r="1150" spans="1:42" customFormat="1">
      <c r="A1150">
        <v>268658</v>
      </c>
      <c r="B1150" t="s">
        <v>370</v>
      </c>
      <c r="C1150" t="s">
        <v>371</v>
      </c>
      <c r="D1150" s="22">
        <v>0</v>
      </c>
      <c r="E1150" s="17">
        <v>42128</v>
      </c>
      <c r="F1150" s="18">
        <v>0.38953703703703701</v>
      </c>
      <c r="G1150" s="22">
        <v>5.24</v>
      </c>
      <c r="H1150">
        <v>0</v>
      </c>
      <c r="I1150" s="19" t="e">
        <f>I1149 + (D1150-G1150)</f>
        <v>#VALUE!</v>
      </c>
      <c r="M1150">
        <v>122893</v>
      </c>
      <c r="N1150">
        <v>7</v>
      </c>
      <c r="O1150" t="s">
        <v>44</v>
      </c>
      <c r="P1150">
        <v>1</v>
      </c>
      <c r="R1150">
        <v>1512</v>
      </c>
      <c r="S1150" s="17">
        <v>42131</v>
      </c>
      <c r="T1150" s="17">
        <v>42131</v>
      </c>
      <c r="W1150">
        <v>2015</v>
      </c>
      <c r="X1150">
        <v>7</v>
      </c>
      <c r="AC1150" t="s">
        <v>56</v>
      </c>
      <c r="AD1150" t="s">
        <v>302</v>
      </c>
      <c r="AE1150" t="s">
        <v>46</v>
      </c>
      <c r="AG1150">
        <v>61</v>
      </c>
      <c r="AH1150">
        <v>9</v>
      </c>
      <c r="AI1150" t="s">
        <v>54</v>
      </c>
      <c r="AK1150">
        <v>0</v>
      </c>
      <c r="AM1150">
        <v>0</v>
      </c>
      <c r="AP1150" t="s">
        <v>343</v>
      </c>
    </row>
    <row r="1151" spans="1:42" customFormat="1">
      <c r="A1151">
        <v>268660</v>
      </c>
      <c r="B1151" t="s">
        <v>372</v>
      </c>
      <c r="C1151" t="s">
        <v>373</v>
      </c>
      <c r="D1151" s="22">
        <v>0</v>
      </c>
      <c r="E1151" s="17">
        <v>42128</v>
      </c>
      <c r="F1151" s="18">
        <v>0.38953703703703701</v>
      </c>
      <c r="G1151" s="22">
        <v>0.21</v>
      </c>
      <c r="H1151">
        <v>0</v>
      </c>
      <c r="I1151" s="19" t="e">
        <f>I1150 + (D1151-G1151)</f>
        <v>#VALUE!</v>
      </c>
      <c r="M1151">
        <v>122894</v>
      </c>
      <c r="N1151">
        <v>7</v>
      </c>
      <c r="O1151" t="s">
        <v>44</v>
      </c>
      <c r="P1151">
        <v>1</v>
      </c>
      <c r="R1151">
        <v>1512</v>
      </c>
      <c r="S1151" s="17">
        <v>42131</v>
      </c>
      <c r="T1151" s="17">
        <v>42131</v>
      </c>
      <c r="W1151">
        <v>2015</v>
      </c>
      <c r="X1151">
        <v>7</v>
      </c>
      <c r="AC1151" t="s">
        <v>56</v>
      </c>
      <c r="AD1151" t="s">
        <v>302</v>
      </c>
      <c r="AE1151" t="s">
        <v>46</v>
      </c>
      <c r="AG1151">
        <v>61</v>
      </c>
      <c r="AH1151">
        <v>9</v>
      </c>
      <c r="AI1151" t="s">
        <v>54</v>
      </c>
      <c r="AK1151">
        <v>0</v>
      </c>
      <c r="AM1151">
        <v>0</v>
      </c>
      <c r="AP1151" t="s">
        <v>343</v>
      </c>
    </row>
    <row r="1152" spans="1:42" customFormat="1">
      <c r="A1152">
        <v>268662</v>
      </c>
      <c r="B1152" t="s">
        <v>374</v>
      </c>
      <c r="C1152" t="s">
        <v>375</v>
      </c>
      <c r="D1152" s="22">
        <v>0</v>
      </c>
      <c r="E1152" s="17">
        <v>42128</v>
      </c>
      <c r="F1152" s="18">
        <v>0.38953703703703701</v>
      </c>
      <c r="G1152" s="22">
        <v>123</v>
      </c>
      <c r="H1152">
        <v>0</v>
      </c>
      <c r="I1152" s="19" t="e">
        <f>I1151 + (D1152-G1152)</f>
        <v>#VALUE!</v>
      </c>
      <c r="M1152">
        <v>122895</v>
      </c>
      <c r="N1152">
        <v>7</v>
      </c>
      <c r="O1152" t="s">
        <v>44</v>
      </c>
      <c r="P1152">
        <v>1</v>
      </c>
      <c r="R1152">
        <v>1512</v>
      </c>
      <c r="S1152" s="17">
        <v>42131</v>
      </c>
      <c r="T1152" s="17">
        <v>42131</v>
      </c>
      <c r="W1152">
        <v>2015</v>
      </c>
      <c r="X1152">
        <v>7</v>
      </c>
      <c r="AC1152" t="s">
        <v>56</v>
      </c>
      <c r="AD1152" t="s">
        <v>302</v>
      </c>
      <c r="AE1152" t="s">
        <v>46</v>
      </c>
      <c r="AG1152">
        <v>61</v>
      </c>
      <c r="AH1152">
        <v>9</v>
      </c>
      <c r="AI1152" t="s">
        <v>54</v>
      </c>
      <c r="AK1152">
        <v>0</v>
      </c>
      <c r="AM1152">
        <v>0</v>
      </c>
      <c r="AP1152" t="s">
        <v>343</v>
      </c>
    </row>
    <row r="1153" spans="1:42" customFormat="1">
      <c r="A1153">
        <v>270280</v>
      </c>
      <c r="B1153" t="s">
        <v>406</v>
      </c>
      <c r="C1153" t="s">
        <v>407</v>
      </c>
      <c r="D1153" s="22">
        <v>0</v>
      </c>
      <c r="E1153" s="17">
        <v>42128</v>
      </c>
      <c r="F1153" s="18">
        <v>0.44562499999999999</v>
      </c>
      <c r="G1153" s="22">
        <v>1067.57</v>
      </c>
      <c r="H1153">
        <v>0</v>
      </c>
      <c r="I1153" s="19" t="e">
        <f>I1152 + (D1153-G1153)</f>
        <v>#VALUE!</v>
      </c>
      <c r="M1153">
        <v>123624</v>
      </c>
      <c r="N1153">
        <v>7</v>
      </c>
      <c r="O1153" t="s">
        <v>44</v>
      </c>
      <c r="P1153">
        <v>2</v>
      </c>
      <c r="R1153">
        <v>1512</v>
      </c>
      <c r="S1153" s="17">
        <v>42143</v>
      </c>
      <c r="T1153" s="17">
        <v>42143</v>
      </c>
      <c r="W1153">
        <v>2015</v>
      </c>
      <c r="X1153">
        <v>7</v>
      </c>
      <c r="AC1153" t="s">
        <v>56</v>
      </c>
      <c r="AD1153" t="s">
        <v>302</v>
      </c>
      <c r="AE1153" t="s">
        <v>46</v>
      </c>
      <c r="AG1153">
        <v>116</v>
      </c>
      <c r="AH1153">
        <v>9</v>
      </c>
      <c r="AI1153" t="s">
        <v>54</v>
      </c>
      <c r="AK1153">
        <v>0</v>
      </c>
      <c r="AM1153">
        <v>0</v>
      </c>
      <c r="AP1153" t="s">
        <v>405</v>
      </c>
    </row>
    <row r="1154" spans="1:42" customFormat="1">
      <c r="A1154">
        <v>270295</v>
      </c>
      <c r="B1154" t="s">
        <v>425</v>
      </c>
      <c r="C1154" t="s">
        <v>426</v>
      </c>
      <c r="D1154" s="22">
        <v>0</v>
      </c>
      <c r="E1154" s="17">
        <v>42128</v>
      </c>
      <c r="F1154" s="18">
        <v>0.45652777777777781</v>
      </c>
      <c r="G1154" s="22">
        <v>5247.94</v>
      </c>
      <c r="H1154">
        <v>0</v>
      </c>
      <c r="I1154" s="19" t="e">
        <f>I1153 + (D1154-G1154)</f>
        <v>#VALUE!</v>
      </c>
      <c r="M1154">
        <v>123640</v>
      </c>
      <c r="N1154">
        <v>7</v>
      </c>
      <c r="O1154" t="s">
        <v>44</v>
      </c>
      <c r="P1154">
        <v>1</v>
      </c>
      <c r="R1154">
        <v>1512</v>
      </c>
      <c r="S1154" s="17">
        <v>42143</v>
      </c>
      <c r="T1154" s="17">
        <v>42143</v>
      </c>
      <c r="W1154">
        <v>2015</v>
      </c>
      <c r="X1154">
        <v>7</v>
      </c>
      <c r="AC1154" t="s">
        <v>56</v>
      </c>
      <c r="AD1154" t="s">
        <v>302</v>
      </c>
      <c r="AE1154" t="s">
        <v>46</v>
      </c>
      <c r="AG1154">
        <v>77</v>
      </c>
      <c r="AH1154">
        <v>9</v>
      </c>
      <c r="AI1154" t="s">
        <v>54</v>
      </c>
      <c r="AK1154">
        <v>0</v>
      </c>
      <c r="AM1154">
        <v>0</v>
      </c>
      <c r="AP1154" t="s">
        <v>427</v>
      </c>
    </row>
    <row r="1155" spans="1:42" customFormat="1">
      <c r="A1155">
        <v>270651</v>
      </c>
      <c r="B1155" t="s">
        <v>442</v>
      </c>
      <c r="C1155" t="s">
        <v>443</v>
      </c>
      <c r="D1155" s="22">
        <v>0</v>
      </c>
      <c r="E1155" s="17">
        <v>42128</v>
      </c>
      <c r="F1155" s="18">
        <v>0.46961805555555558</v>
      </c>
      <c r="G1155" s="22">
        <v>12.68</v>
      </c>
      <c r="H1155">
        <v>0</v>
      </c>
      <c r="I1155" s="19" t="e">
        <f>I1154 + (D1155-G1155)</f>
        <v>#VALUE!</v>
      </c>
      <c r="M1155">
        <v>123803</v>
      </c>
      <c r="N1155">
        <v>7</v>
      </c>
      <c r="O1155" t="s">
        <v>44</v>
      </c>
      <c r="P1155">
        <v>1</v>
      </c>
      <c r="R1155">
        <v>1512</v>
      </c>
      <c r="S1155" s="17">
        <v>42145</v>
      </c>
      <c r="T1155" s="17">
        <v>42145</v>
      </c>
      <c r="W1155">
        <v>2015</v>
      </c>
      <c r="X1155">
        <v>7</v>
      </c>
      <c r="AC1155" t="s">
        <v>56</v>
      </c>
      <c r="AD1155" t="s">
        <v>302</v>
      </c>
      <c r="AE1155" t="s">
        <v>46</v>
      </c>
      <c r="AG1155">
        <v>122</v>
      </c>
      <c r="AH1155">
        <v>9</v>
      </c>
      <c r="AI1155" t="s">
        <v>54</v>
      </c>
      <c r="AK1155">
        <v>0</v>
      </c>
      <c r="AM1155">
        <v>0</v>
      </c>
      <c r="AP1155" t="s">
        <v>444</v>
      </c>
    </row>
    <row r="1156" spans="1:42" customFormat="1">
      <c r="A1156">
        <v>270652</v>
      </c>
      <c r="B1156" t="s">
        <v>445</v>
      </c>
      <c r="C1156" t="s">
        <v>446</v>
      </c>
      <c r="D1156" s="22">
        <v>0</v>
      </c>
      <c r="E1156" s="17">
        <v>42128</v>
      </c>
      <c r="F1156" s="18">
        <v>0.46961805555555558</v>
      </c>
      <c r="G1156" s="22">
        <v>5.65</v>
      </c>
      <c r="H1156">
        <v>0</v>
      </c>
      <c r="I1156" s="19" t="e">
        <f>I1155 + (D1156-G1156)</f>
        <v>#VALUE!</v>
      </c>
      <c r="M1156">
        <v>123804</v>
      </c>
      <c r="N1156">
        <v>7</v>
      </c>
      <c r="O1156" t="s">
        <v>44</v>
      </c>
      <c r="P1156">
        <v>1</v>
      </c>
      <c r="R1156">
        <v>1512</v>
      </c>
      <c r="S1156" s="17">
        <v>42145</v>
      </c>
      <c r="T1156" s="17">
        <v>42145</v>
      </c>
      <c r="W1156">
        <v>2015</v>
      </c>
      <c r="X1156">
        <v>7</v>
      </c>
      <c r="AC1156" t="s">
        <v>56</v>
      </c>
      <c r="AD1156" t="s">
        <v>302</v>
      </c>
      <c r="AE1156" t="s">
        <v>46</v>
      </c>
      <c r="AG1156">
        <v>122</v>
      </c>
      <c r="AH1156">
        <v>9</v>
      </c>
      <c r="AI1156" t="s">
        <v>54</v>
      </c>
      <c r="AK1156">
        <v>0</v>
      </c>
      <c r="AM1156">
        <v>0</v>
      </c>
      <c r="AP1156" t="s">
        <v>444</v>
      </c>
    </row>
    <row r="1157" spans="1:42" customFormat="1">
      <c r="A1157">
        <v>269938</v>
      </c>
      <c r="B1157" t="s">
        <v>458</v>
      </c>
      <c r="C1157" t="s">
        <v>459</v>
      </c>
      <c r="D1157" s="22">
        <v>0</v>
      </c>
      <c r="E1157" s="17">
        <v>42128</v>
      </c>
      <c r="F1157" s="18">
        <v>0.47592592592592592</v>
      </c>
      <c r="G1157" s="22">
        <v>1203.98</v>
      </c>
      <c r="H1157">
        <v>0</v>
      </c>
      <c r="I1157" s="19" t="e">
        <f>I1156 + (D1157-G1157)</f>
        <v>#VALUE!</v>
      </c>
      <c r="M1157">
        <v>123320</v>
      </c>
      <c r="N1157">
        <v>24</v>
      </c>
      <c r="O1157" t="s">
        <v>68</v>
      </c>
      <c r="P1157">
        <v>1</v>
      </c>
      <c r="R1157">
        <v>1512</v>
      </c>
      <c r="S1157" s="17">
        <v>42138</v>
      </c>
      <c r="T1157" s="17">
        <v>42138</v>
      </c>
      <c r="W1157">
        <v>2015</v>
      </c>
      <c r="X1157">
        <v>24</v>
      </c>
      <c r="AC1157" t="s">
        <v>56</v>
      </c>
      <c r="AD1157" t="s">
        <v>302</v>
      </c>
      <c r="AE1157" t="s">
        <v>46</v>
      </c>
      <c r="AG1157">
        <v>33</v>
      </c>
      <c r="AH1157">
        <v>9</v>
      </c>
      <c r="AI1157" t="s">
        <v>54</v>
      </c>
      <c r="AK1157">
        <v>0</v>
      </c>
      <c r="AM1157">
        <v>0</v>
      </c>
      <c r="AP1157" t="s">
        <v>457</v>
      </c>
    </row>
    <row r="1158" spans="1:42" customFormat="1">
      <c r="A1158">
        <v>268077</v>
      </c>
      <c r="B1158" t="s">
        <v>504</v>
      </c>
      <c r="C1158" t="s">
        <v>505</v>
      </c>
      <c r="D1158" s="22">
        <v>0</v>
      </c>
      <c r="E1158" s="17">
        <v>42128</v>
      </c>
      <c r="F1158" s="18">
        <v>0.6033101851851852</v>
      </c>
      <c r="G1158" s="22">
        <v>0.55000000000000004</v>
      </c>
      <c r="H1158">
        <v>0</v>
      </c>
      <c r="I1158" s="19" t="e">
        <f>I1157 + (D1158-G1158)</f>
        <v>#VALUE!</v>
      </c>
      <c r="M1158">
        <v>122420</v>
      </c>
      <c r="N1158">
        <v>60</v>
      </c>
      <c r="O1158" t="s">
        <v>60</v>
      </c>
      <c r="P1158">
        <v>1</v>
      </c>
      <c r="R1158">
        <v>1512</v>
      </c>
      <c r="S1158" s="17">
        <v>42130</v>
      </c>
      <c r="T1158" s="17">
        <v>42130</v>
      </c>
      <c r="W1158">
        <v>2015</v>
      </c>
      <c r="X1158">
        <v>60</v>
      </c>
      <c r="AC1158" t="s">
        <v>56</v>
      </c>
      <c r="AD1158" t="s">
        <v>302</v>
      </c>
      <c r="AE1158" t="s">
        <v>46</v>
      </c>
      <c r="AG1158">
        <v>74</v>
      </c>
      <c r="AH1158">
        <v>9</v>
      </c>
      <c r="AI1158" t="s">
        <v>54</v>
      </c>
      <c r="AK1158">
        <v>0</v>
      </c>
      <c r="AM1158">
        <v>0</v>
      </c>
      <c r="AP1158" t="s">
        <v>506</v>
      </c>
    </row>
    <row r="1159" spans="1:42" customFormat="1">
      <c r="A1159">
        <v>268078</v>
      </c>
      <c r="B1159" t="s">
        <v>507</v>
      </c>
      <c r="C1159" t="s">
        <v>508</v>
      </c>
      <c r="D1159" s="22">
        <v>0</v>
      </c>
      <c r="E1159" s="17">
        <v>42128</v>
      </c>
      <c r="F1159" s="18">
        <v>0.6033101851851852</v>
      </c>
      <c r="G1159" s="22">
        <v>3.69</v>
      </c>
      <c r="H1159">
        <v>0</v>
      </c>
      <c r="I1159" s="19" t="e">
        <f>I1158 + (D1159-G1159)</f>
        <v>#VALUE!</v>
      </c>
      <c r="M1159">
        <v>122421</v>
      </c>
      <c r="N1159">
        <v>60</v>
      </c>
      <c r="O1159" t="s">
        <v>60</v>
      </c>
      <c r="P1159">
        <v>1</v>
      </c>
      <c r="R1159">
        <v>1512</v>
      </c>
      <c r="S1159" s="17">
        <v>42130</v>
      </c>
      <c r="T1159" s="17">
        <v>42130</v>
      </c>
      <c r="W1159">
        <v>2015</v>
      </c>
      <c r="X1159">
        <v>60</v>
      </c>
      <c r="AC1159" t="s">
        <v>56</v>
      </c>
      <c r="AD1159" t="s">
        <v>302</v>
      </c>
      <c r="AE1159" t="s">
        <v>46</v>
      </c>
      <c r="AG1159">
        <v>74</v>
      </c>
      <c r="AH1159">
        <v>9</v>
      </c>
      <c r="AI1159" t="s">
        <v>54</v>
      </c>
      <c r="AK1159">
        <v>0</v>
      </c>
      <c r="AM1159">
        <v>0</v>
      </c>
      <c r="AP1159" t="s">
        <v>506</v>
      </c>
    </row>
    <row r="1160" spans="1:42" customFormat="1">
      <c r="A1160">
        <v>268079</v>
      </c>
      <c r="B1160" t="s">
        <v>509</v>
      </c>
      <c r="C1160" t="s">
        <v>510</v>
      </c>
      <c r="D1160" s="22">
        <v>0</v>
      </c>
      <c r="E1160" s="17">
        <v>42128</v>
      </c>
      <c r="F1160" s="18">
        <v>0.6033101851851852</v>
      </c>
      <c r="G1160" s="22">
        <v>26.12</v>
      </c>
      <c r="H1160">
        <v>0</v>
      </c>
      <c r="I1160" s="19" t="e">
        <f>I1159 + (D1160-G1160)</f>
        <v>#VALUE!</v>
      </c>
      <c r="M1160">
        <v>122422</v>
      </c>
      <c r="N1160">
        <v>60</v>
      </c>
      <c r="O1160" t="s">
        <v>60</v>
      </c>
      <c r="P1160">
        <v>1</v>
      </c>
      <c r="R1160">
        <v>1512</v>
      </c>
      <c r="S1160" s="17">
        <v>42130</v>
      </c>
      <c r="T1160" s="17">
        <v>42130</v>
      </c>
      <c r="W1160">
        <v>2015</v>
      </c>
      <c r="X1160">
        <v>60</v>
      </c>
      <c r="AC1160" t="s">
        <v>56</v>
      </c>
      <c r="AD1160" t="s">
        <v>302</v>
      </c>
      <c r="AE1160" t="s">
        <v>46</v>
      </c>
      <c r="AG1160">
        <v>74</v>
      </c>
      <c r="AH1160">
        <v>9</v>
      </c>
      <c r="AI1160" t="s">
        <v>54</v>
      </c>
      <c r="AK1160">
        <v>0</v>
      </c>
      <c r="AM1160">
        <v>0</v>
      </c>
      <c r="AP1160" t="s">
        <v>506</v>
      </c>
    </row>
    <row r="1161" spans="1:42" customFormat="1">
      <c r="A1161">
        <v>268278</v>
      </c>
      <c r="B1161" t="s">
        <v>857</v>
      </c>
      <c r="C1161" t="s">
        <v>858</v>
      </c>
      <c r="D1161" s="22">
        <v>0</v>
      </c>
      <c r="E1161" s="17">
        <v>42128</v>
      </c>
      <c r="F1161" s="18">
        <v>0.64855324074074072</v>
      </c>
      <c r="G1161" s="22">
        <v>20.149999999999999</v>
      </c>
      <c r="H1161">
        <v>0</v>
      </c>
      <c r="I1161" s="19" t="e">
        <f>I1160 + (D1161-G1161)</f>
        <v>#VALUE!</v>
      </c>
      <c r="M1161">
        <v>122709</v>
      </c>
      <c r="N1161">
        <v>7</v>
      </c>
      <c r="O1161" t="s">
        <v>44</v>
      </c>
      <c r="P1161">
        <v>1</v>
      </c>
      <c r="R1161">
        <v>1512</v>
      </c>
      <c r="S1161" s="17">
        <v>42130</v>
      </c>
      <c r="T1161" s="17">
        <v>42130</v>
      </c>
      <c r="W1161">
        <v>2015</v>
      </c>
      <c r="X1161">
        <v>7</v>
      </c>
      <c r="AC1161" t="s">
        <v>56</v>
      </c>
      <c r="AD1161" t="s">
        <v>302</v>
      </c>
      <c r="AE1161" t="s">
        <v>46</v>
      </c>
      <c r="AG1161">
        <v>12</v>
      </c>
      <c r="AH1161">
        <v>10</v>
      </c>
      <c r="AI1161" t="s">
        <v>95</v>
      </c>
      <c r="AK1161">
        <v>0</v>
      </c>
      <c r="AM1161">
        <v>0</v>
      </c>
      <c r="AP1161" t="s">
        <v>392</v>
      </c>
    </row>
    <row r="1162" spans="1:42" customFormat="1">
      <c r="A1162">
        <v>268282</v>
      </c>
      <c r="B1162" t="s">
        <v>865</v>
      </c>
      <c r="C1162" t="s">
        <v>866</v>
      </c>
      <c r="D1162" s="22">
        <v>0</v>
      </c>
      <c r="E1162" s="17">
        <v>42128</v>
      </c>
      <c r="F1162" s="18">
        <v>0.64856481481481476</v>
      </c>
      <c r="G1162" s="22">
        <v>104.62</v>
      </c>
      <c r="H1162">
        <v>0</v>
      </c>
      <c r="I1162" s="19" t="e">
        <f>I1161 + (D1162-G1162)</f>
        <v>#VALUE!</v>
      </c>
      <c r="M1162">
        <v>122710</v>
      </c>
      <c r="N1162">
        <v>7</v>
      </c>
      <c r="O1162" t="s">
        <v>44</v>
      </c>
      <c r="P1162">
        <v>1</v>
      </c>
      <c r="R1162">
        <v>1512</v>
      </c>
      <c r="S1162" s="17">
        <v>42130</v>
      </c>
      <c r="T1162" s="17">
        <v>42130</v>
      </c>
      <c r="W1162">
        <v>2015</v>
      </c>
      <c r="X1162">
        <v>7</v>
      </c>
      <c r="AC1162" t="s">
        <v>56</v>
      </c>
      <c r="AD1162" t="s">
        <v>302</v>
      </c>
      <c r="AE1162" t="s">
        <v>46</v>
      </c>
      <c r="AG1162">
        <v>12</v>
      </c>
      <c r="AH1162">
        <v>10</v>
      </c>
      <c r="AI1162" t="s">
        <v>95</v>
      </c>
      <c r="AK1162">
        <v>0</v>
      </c>
      <c r="AM1162">
        <v>0</v>
      </c>
      <c r="AP1162" t="s">
        <v>392</v>
      </c>
    </row>
    <row r="1163" spans="1:42" customFormat="1">
      <c r="A1163">
        <v>268285</v>
      </c>
      <c r="B1163" t="s">
        <v>867</v>
      </c>
      <c r="C1163" t="s">
        <v>868</v>
      </c>
      <c r="D1163" s="22">
        <v>0</v>
      </c>
      <c r="E1163" s="17">
        <v>42128</v>
      </c>
      <c r="F1163" s="18">
        <v>0.64856481481481476</v>
      </c>
      <c r="G1163" s="22">
        <v>1813.12</v>
      </c>
      <c r="H1163">
        <v>0</v>
      </c>
      <c r="I1163" s="19" t="e">
        <f>I1162 + (D1163-G1163)</f>
        <v>#VALUE!</v>
      </c>
      <c r="M1163">
        <v>122711</v>
      </c>
      <c r="N1163">
        <v>7</v>
      </c>
      <c r="O1163" t="s">
        <v>44</v>
      </c>
      <c r="P1163">
        <v>1</v>
      </c>
      <c r="R1163">
        <v>1512</v>
      </c>
      <c r="S1163" s="17">
        <v>42130</v>
      </c>
      <c r="T1163" s="17">
        <v>42130</v>
      </c>
      <c r="W1163">
        <v>2015</v>
      </c>
      <c r="X1163">
        <v>7</v>
      </c>
      <c r="AC1163" t="s">
        <v>56</v>
      </c>
      <c r="AD1163" t="s">
        <v>302</v>
      </c>
      <c r="AE1163" t="s">
        <v>46</v>
      </c>
      <c r="AG1163">
        <v>12</v>
      </c>
      <c r="AH1163">
        <v>10</v>
      </c>
      <c r="AI1163" t="s">
        <v>95</v>
      </c>
      <c r="AK1163">
        <v>0</v>
      </c>
      <c r="AM1163">
        <v>0</v>
      </c>
      <c r="AP1163" t="s">
        <v>392</v>
      </c>
    </row>
    <row r="1164" spans="1:42" customFormat="1">
      <c r="A1164">
        <v>276171</v>
      </c>
      <c r="B1164" t="s">
        <v>1122</v>
      </c>
      <c r="C1164" t="s">
        <v>1123</v>
      </c>
      <c r="D1164" s="22">
        <v>0</v>
      </c>
      <c r="E1164" s="17">
        <v>42128</v>
      </c>
      <c r="F1164" s="18">
        <v>0.69177083333333333</v>
      </c>
      <c r="G1164" s="22">
        <v>76.48</v>
      </c>
      <c r="H1164">
        <v>0</v>
      </c>
      <c r="I1164" s="19" t="e">
        <f>I1163 + (D1164-G1164)</f>
        <v>#VALUE!</v>
      </c>
      <c r="M1164">
        <v>128702</v>
      </c>
      <c r="N1164">
        <v>24</v>
      </c>
      <c r="O1164" t="s">
        <v>68</v>
      </c>
      <c r="P1164">
        <v>1</v>
      </c>
      <c r="R1164">
        <v>1512</v>
      </c>
      <c r="S1164" s="17">
        <v>42188</v>
      </c>
      <c r="T1164" s="17">
        <v>42188</v>
      </c>
      <c r="W1164">
        <v>2015</v>
      </c>
      <c r="X1164">
        <v>24</v>
      </c>
      <c r="AC1164" t="s">
        <v>56</v>
      </c>
      <c r="AD1164" t="s">
        <v>302</v>
      </c>
      <c r="AE1164" t="s">
        <v>46</v>
      </c>
      <c r="AG1164">
        <v>107</v>
      </c>
      <c r="AH1164">
        <v>9</v>
      </c>
      <c r="AI1164" t="s">
        <v>54</v>
      </c>
      <c r="AK1164">
        <v>0</v>
      </c>
      <c r="AM1164">
        <v>0</v>
      </c>
      <c r="AP1164" t="s">
        <v>1121</v>
      </c>
    </row>
    <row r="1165" spans="1:42" customFormat="1">
      <c r="A1165">
        <v>276172</v>
      </c>
      <c r="B1165" t="s">
        <v>1124</v>
      </c>
      <c r="C1165" t="s">
        <v>1125</v>
      </c>
      <c r="D1165" s="22">
        <v>0</v>
      </c>
      <c r="E1165" s="17">
        <v>42128</v>
      </c>
      <c r="F1165" s="18">
        <v>0.69177083333333333</v>
      </c>
      <c r="G1165" s="22">
        <v>6.15</v>
      </c>
      <c r="H1165">
        <v>0</v>
      </c>
      <c r="I1165" s="19" t="e">
        <f>I1164 + (D1165-G1165)</f>
        <v>#VALUE!</v>
      </c>
      <c r="M1165">
        <v>128703</v>
      </c>
      <c r="N1165">
        <v>24</v>
      </c>
      <c r="O1165" t="s">
        <v>68</v>
      </c>
      <c r="P1165">
        <v>1</v>
      </c>
      <c r="R1165">
        <v>1512</v>
      </c>
      <c r="S1165" s="17">
        <v>42188</v>
      </c>
      <c r="T1165" s="17">
        <v>42188</v>
      </c>
      <c r="W1165">
        <v>2015</v>
      </c>
      <c r="X1165">
        <v>24</v>
      </c>
      <c r="AC1165" t="s">
        <v>56</v>
      </c>
      <c r="AD1165" t="s">
        <v>302</v>
      </c>
      <c r="AE1165" t="s">
        <v>46</v>
      </c>
      <c r="AG1165">
        <v>107</v>
      </c>
      <c r="AH1165">
        <v>9</v>
      </c>
      <c r="AI1165" t="s">
        <v>54</v>
      </c>
      <c r="AK1165">
        <v>0</v>
      </c>
      <c r="AM1165">
        <v>0</v>
      </c>
      <c r="AP1165" t="s">
        <v>1121</v>
      </c>
    </row>
    <row r="1166" spans="1:42" customFormat="1">
      <c r="A1166">
        <v>268552</v>
      </c>
      <c r="B1166" t="s">
        <v>1170</v>
      </c>
      <c r="C1166" t="s">
        <v>1171</v>
      </c>
      <c r="D1166" s="22">
        <v>0</v>
      </c>
      <c r="E1166" s="17">
        <v>42128</v>
      </c>
      <c r="F1166" s="18">
        <v>0.6988078703703704</v>
      </c>
      <c r="G1166" s="22">
        <v>69.73</v>
      </c>
      <c r="H1166">
        <v>0</v>
      </c>
      <c r="I1166" s="19" t="e">
        <f>I1165 + (D1166-G1166)</f>
        <v>#VALUE!</v>
      </c>
      <c r="M1166">
        <v>122848</v>
      </c>
      <c r="N1166">
        <v>7</v>
      </c>
      <c r="O1166" t="s">
        <v>44</v>
      </c>
      <c r="P1166">
        <v>1</v>
      </c>
      <c r="R1166">
        <v>1512</v>
      </c>
      <c r="S1166" s="17">
        <v>42130</v>
      </c>
      <c r="T1166" s="17">
        <v>42130</v>
      </c>
      <c r="W1166">
        <v>2015</v>
      </c>
      <c r="X1166">
        <v>7</v>
      </c>
      <c r="AC1166" t="s">
        <v>56</v>
      </c>
      <c r="AD1166" t="s">
        <v>302</v>
      </c>
      <c r="AE1166" t="s">
        <v>46</v>
      </c>
      <c r="AG1166">
        <v>26</v>
      </c>
      <c r="AH1166">
        <v>9</v>
      </c>
      <c r="AI1166" t="s">
        <v>54</v>
      </c>
      <c r="AK1166">
        <v>0</v>
      </c>
      <c r="AM1166">
        <v>0</v>
      </c>
      <c r="AP1166" t="s">
        <v>501</v>
      </c>
    </row>
    <row r="1167" spans="1:42" customFormat="1">
      <c r="A1167">
        <v>268559</v>
      </c>
      <c r="B1167" t="s">
        <v>1176</v>
      </c>
      <c r="C1167" t="s">
        <v>1177</v>
      </c>
      <c r="D1167" s="22">
        <v>0</v>
      </c>
      <c r="E1167" s="17">
        <v>42128</v>
      </c>
      <c r="F1167" s="18">
        <v>0.69888888888888889</v>
      </c>
      <c r="G1167" s="22">
        <v>2276.56</v>
      </c>
      <c r="H1167">
        <v>0</v>
      </c>
      <c r="I1167" s="19" t="e">
        <f>I1166 + (D1167-G1167)</f>
        <v>#VALUE!</v>
      </c>
      <c r="M1167">
        <v>122862</v>
      </c>
      <c r="N1167">
        <v>60</v>
      </c>
      <c r="O1167" t="s">
        <v>60</v>
      </c>
      <c r="P1167">
        <v>1</v>
      </c>
      <c r="R1167">
        <v>1512</v>
      </c>
      <c r="S1167" s="17">
        <v>42130</v>
      </c>
      <c r="T1167" s="17">
        <v>42130</v>
      </c>
      <c r="W1167">
        <v>2015</v>
      </c>
      <c r="X1167">
        <v>60</v>
      </c>
      <c r="AC1167" t="s">
        <v>56</v>
      </c>
      <c r="AD1167" t="s">
        <v>302</v>
      </c>
      <c r="AE1167" t="s">
        <v>46</v>
      </c>
      <c r="AG1167">
        <v>52</v>
      </c>
      <c r="AH1167">
        <v>9</v>
      </c>
      <c r="AI1167" t="s">
        <v>54</v>
      </c>
      <c r="AK1167">
        <v>0</v>
      </c>
      <c r="AM1167">
        <v>0</v>
      </c>
      <c r="AP1167" t="s">
        <v>325</v>
      </c>
    </row>
    <row r="1168" spans="1:42" customFormat="1">
      <c r="A1168">
        <v>268560</v>
      </c>
      <c r="B1168" t="s">
        <v>1178</v>
      </c>
      <c r="C1168" t="s">
        <v>1179</v>
      </c>
      <c r="D1168" s="22">
        <v>0</v>
      </c>
      <c r="E1168" s="17">
        <v>42128</v>
      </c>
      <c r="F1168" s="18">
        <v>0.69888888888888889</v>
      </c>
      <c r="G1168" s="22">
        <v>55.43</v>
      </c>
      <c r="H1168">
        <v>0</v>
      </c>
      <c r="I1168" s="19" t="e">
        <f>I1167 + (D1168-G1168)</f>
        <v>#VALUE!</v>
      </c>
      <c r="M1168">
        <v>122863</v>
      </c>
      <c r="N1168">
        <v>60</v>
      </c>
      <c r="O1168" t="s">
        <v>60</v>
      </c>
      <c r="P1168">
        <v>1</v>
      </c>
      <c r="R1168">
        <v>1512</v>
      </c>
      <c r="S1168" s="17">
        <v>42130</v>
      </c>
      <c r="T1168" s="17">
        <v>42130</v>
      </c>
      <c r="W1168">
        <v>2015</v>
      </c>
      <c r="X1168">
        <v>60</v>
      </c>
      <c r="AC1168" t="s">
        <v>56</v>
      </c>
      <c r="AD1168" t="s">
        <v>302</v>
      </c>
      <c r="AE1168" t="s">
        <v>46</v>
      </c>
      <c r="AG1168">
        <v>52</v>
      </c>
      <c r="AH1168">
        <v>9</v>
      </c>
      <c r="AI1168" t="s">
        <v>54</v>
      </c>
      <c r="AK1168">
        <v>0</v>
      </c>
      <c r="AM1168">
        <v>0</v>
      </c>
      <c r="AP1168" t="s">
        <v>325</v>
      </c>
    </row>
    <row r="1169" spans="1:42" customFormat="1">
      <c r="A1169">
        <v>268561</v>
      </c>
      <c r="B1169" t="s">
        <v>1182</v>
      </c>
      <c r="C1169" t="s">
        <v>1183</v>
      </c>
      <c r="D1169" s="22">
        <v>0</v>
      </c>
      <c r="E1169" s="17">
        <v>42128</v>
      </c>
      <c r="F1169" s="18">
        <v>0.69890046296296304</v>
      </c>
      <c r="G1169" s="22">
        <v>91.05</v>
      </c>
      <c r="H1169">
        <v>0</v>
      </c>
      <c r="I1169" s="19" t="e">
        <f>I1168 + (D1169-G1169)</f>
        <v>#VALUE!</v>
      </c>
      <c r="M1169">
        <v>122864</v>
      </c>
      <c r="N1169">
        <v>60</v>
      </c>
      <c r="O1169" t="s">
        <v>60</v>
      </c>
      <c r="P1169">
        <v>1</v>
      </c>
      <c r="R1169">
        <v>1512</v>
      </c>
      <c r="S1169" s="17">
        <v>42130</v>
      </c>
      <c r="T1169" s="17">
        <v>42130</v>
      </c>
      <c r="W1169">
        <v>2015</v>
      </c>
      <c r="X1169">
        <v>60</v>
      </c>
      <c r="AC1169" t="s">
        <v>56</v>
      </c>
      <c r="AD1169" t="s">
        <v>302</v>
      </c>
      <c r="AE1169" t="s">
        <v>46</v>
      </c>
      <c r="AG1169">
        <v>52</v>
      </c>
      <c r="AH1169">
        <v>9</v>
      </c>
      <c r="AI1169" t="s">
        <v>54</v>
      </c>
      <c r="AK1169">
        <v>0</v>
      </c>
      <c r="AM1169">
        <v>0</v>
      </c>
      <c r="AP1169" t="s">
        <v>325</v>
      </c>
    </row>
    <row r="1170" spans="1:42" customFormat="1">
      <c r="A1170">
        <v>268586</v>
      </c>
      <c r="B1170" t="s">
        <v>1199</v>
      </c>
      <c r="C1170" t="s">
        <v>1200</v>
      </c>
      <c r="D1170" s="22">
        <v>0</v>
      </c>
      <c r="E1170" s="17">
        <v>42128</v>
      </c>
      <c r="F1170" s="18">
        <v>0.7047106481481481</v>
      </c>
      <c r="G1170" s="22">
        <v>10.039999999999999</v>
      </c>
      <c r="H1170">
        <v>0</v>
      </c>
      <c r="I1170" s="19" t="e">
        <f>I1169 + (D1170-G1170)</f>
        <v>#VALUE!</v>
      </c>
      <c r="M1170">
        <v>121427</v>
      </c>
      <c r="N1170">
        <v>7</v>
      </c>
      <c r="O1170" t="s">
        <v>44</v>
      </c>
      <c r="P1170">
        <v>1</v>
      </c>
      <c r="R1170">
        <v>1512</v>
      </c>
      <c r="S1170" s="17">
        <v>42130</v>
      </c>
      <c r="T1170" s="17">
        <v>42130</v>
      </c>
      <c r="W1170">
        <v>2015</v>
      </c>
      <c r="X1170">
        <v>7</v>
      </c>
      <c r="AC1170" t="s">
        <v>56</v>
      </c>
      <c r="AD1170" t="s">
        <v>302</v>
      </c>
      <c r="AE1170" t="s">
        <v>46</v>
      </c>
      <c r="AG1170">
        <v>8</v>
      </c>
      <c r="AH1170">
        <v>8</v>
      </c>
      <c r="AI1170" t="s">
        <v>52</v>
      </c>
      <c r="AK1170">
        <v>0</v>
      </c>
      <c r="AM1170">
        <v>0</v>
      </c>
      <c r="AP1170" t="s">
        <v>1201</v>
      </c>
    </row>
    <row r="1171" spans="1:42" customFormat="1">
      <c r="A1171">
        <v>275898</v>
      </c>
      <c r="B1171" t="s">
        <v>1210</v>
      </c>
      <c r="C1171" t="s">
        <v>1211</v>
      </c>
      <c r="D1171" s="22">
        <v>0</v>
      </c>
      <c r="E1171" s="17">
        <v>42128</v>
      </c>
      <c r="F1171" s="18">
        <v>0.71155092592592595</v>
      </c>
      <c r="G1171" s="22">
        <v>0.27</v>
      </c>
      <c r="H1171">
        <v>0</v>
      </c>
      <c r="I1171" s="19" t="e">
        <f>I1170 + (D1171-G1171)</f>
        <v>#VALUE!</v>
      </c>
      <c r="M1171">
        <v>128421</v>
      </c>
      <c r="N1171">
        <v>7</v>
      </c>
      <c r="O1171" t="s">
        <v>44</v>
      </c>
      <c r="P1171">
        <v>2</v>
      </c>
      <c r="R1171">
        <v>1512</v>
      </c>
      <c r="S1171" s="17">
        <v>42187</v>
      </c>
      <c r="T1171" s="17">
        <v>42187</v>
      </c>
      <c r="W1171">
        <v>2015</v>
      </c>
      <c r="X1171">
        <v>7</v>
      </c>
      <c r="AC1171" t="s">
        <v>56</v>
      </c>
      <c r="AD1171" t="s">
        <v>302</v>
      </c>
      <c r="AE1171" t="s">
        <v>46</v>
      </c>
      <c r="AG1171">
        <v>13</v>
      </c>
      <c r="AH1171">
        <v>9</v>
      </c>
      <c r="AI1171" t="s">
        <v>54</v>
      </c>
      <c r="AK1171">
        <v>0</v>
      </c>
      <c r="AM1171">
        <v>0</v>
      </c>
      <c r="AP1171" t="s">
        <v>1212</v>
      </c>
    </row>
    <row r="1172" spans="1:42" customFormat="1">
      <c r="A1172">
        <v>275899</v>
      </c>
      <c r="B1172" t="s">
        <v>1213</v>
      </c>
      <c r="C1172" t="s">
        <v>1214</v>
      </c>
      <c r="D1172" s="22">
        <v>0</v>
      </c>
      <c r="E1172" s="17">
        <v>42128</v>
      </c>
      <c r="F1172" s="18">
        <v>0.71155092592592595</v>
      </c>
      <c r="G1172" s="22">
        <v>26.53</v>
      </c>
      <c r="H1172">
        <v>0</v>
      </c>
      <c r="I1172" s="19" t="e">
        <f>I1171 + (D1172-G1172)</f>
        <v>#VALUE!</v>
      </c>
      <c r="M1172">
        <v>128422</v>
      </c>
      <c r="N1172">
        <v>7</v>
      </c>
      <c r="O1172" t="s">
        <v>44</v>
      </c>
      <c r="P1172">
        <v>2</v>
      </c>
      <c r="R1172">
        <v>1512</v>
      </c>
      <c r="S1172" s="17">
        <v>42187</v>
      </c>
      <c r="T1172" s="17">
        <v>42187</v>
      </c>
      <c r="W1172">
        <v>2015</v>
      </c>
      <c r="X1172">
        <v>7</v>
      </c>
      <c r="AC1172" t="s">
        <v>56</v>
      </c>
      <c r="AD1172" t="s">
        <v>302</v>
      </c>
      <c r="AE1172" t="s">
        <v>46</v>
      </c>
      <c r="AG1172">
        <v>13</v>
      </c>
      <c r="AH1172">
        <v>9</v>
      </c>
      <c r="AI1172" t="s">
        <v>54</v>
      </c>
      <c r="AK1172">
        <v>0</v>
      </c>
      <c r="AM1172">
        <v>0</v>
      </c>
      <c r="AP1172" t="s">
        <v>1212</v>
      </c>
    </row>
    <row r="1173" spans="1:42" customFormat="1">
      <c r="A1173">
        <v>275900</v>
      </c>
      <c r="B1173" t="s">
        <v>1215</v>
      </c>
      <c r="C1173" t="s">
        <v>1216</v>
      </c>
      <c r="D1173" s="22">
        <v>0</v>
      </c>
      <c r="E1173" s="17">
        <v>42128</v>
      </c>
      <c r="F1173" s="18">
        <v>0.71155092592592595</v>
      </c>
      <c r="G1173" s="22">
        <v>4.7</v>
      </c>
      <c r="H1173">
        <v>0</v>
      </c>
      <c r="I1173" s="19" t="e">
        <f>I1172 + (D1173-G1173)</f>
        <v>#VALUE!</v>
      </c>
      <c r="M1173">
        <v>128423</v>
      </c>
      <c r="N1173">
        <v>7</v>
      </c>
      <c r="O1173" t="s">
        <v>44</v>
      </c>
      <c r="P1173">
        <v>2</v>
      </c>
      <c r="R1173">
        <v>1512</v>
      </c>
      <c r="S1173" s="17">
        <v>42187</v>
      </c>
      <c r="T1173" s="17">
        <v>42187</v>
      </c>
      <c r="W1173">
        <v>2015</v>
      </c>
      <c r="X1173">
        <v>7</v>
      </c>
      <c r="AC1173" t="s">
        <v>56</v>
      </c>
      <c r="AD1173" t="s">
        <v>302</v>
      </c>
      <c r="AE1173" t="s">
        <v>46</v>
      </c>
      <c r="AG1173">
        <v>13</v>
      </c>
      <c r="AH1173">
        <v>9</v>
      </c>
      <c r="AI1173" t="s">
        <v>54</v>
      </c>
      <c r="AK1173">
        <v>0</v>
      </c>
      <c r="AM1173">
        <v>0</v>
      </c>
      <c r="AP1173" t="s">
        <v>1212</v>
      </c>
    </row>
    <row r="1174" spans="1:42" customFormat="1">
      <c r="A1174">
        <v>275981</v>
      </c>
      <c r="B1174" t="s">
        <v>1222</v>
      </c>
      <c r="C1174" t="s">
        <v>1223</v>
      </c>
      <c r="D1174" s="22">
        <v>0</v>
      </c>
      <c r="E1174" s="17">
        <v>42128</v>
      </c>
      <c r="F1174" s="18">
        <v>0.73392361111111104</v>
      </c>
      <c r="G1174" s="22">
        <v>0.04</v>
      </c>
      <c r="H1174">
        <v>0</v>
      </c>
      <c r="I1174" s="19" t="e">
        <f>I1173 + (D1174-G1174)</f>
        <v>#VALUE!</v>
      </c>
      <c r="M1174">
        <v>128525</v>
      </c>
      <c r="N1174">
        <v>60</v>
      </c>
      <c r="O1174" t="s">
        <v>60</v>
      </c>
      <c r="P1174">
        <v>1</v>
      </c>
      <c r="R1174">
        <v>1512</v>
      </c>
      <c r="S1174" s="17">
        <v>42187</v>
      </c>
      <c r="T1174" s="17">
        <v>42187</v>
      </c>
      <c r="W1174">
        <v>2015</v>
      </c>
      <c r="X1174">
        <v>60</v>
      </c>
      <c r="AC1174" t="s">
        <v>56</v>
      </c>
      <c r="AD1174" t="s">
        <v>302</v>
      </c>
      <c r="AE1174" t="s">
        <v>46</v>
      </c>
      <c r="AG1174">
        <v>14</v>
      </c>
      <c r="AH1174">
        <v>9</v>
      </c>
      <c r="AI1174" t="s">
        <v>54</v>
      </c>
      <c r="AK1174">
        <v>0</v>
      </c>
      <c r="AM1174">
        <v>0</v>
      </c>
      <c r="AP1174" t="s">
        <v>1224</v>
      </c>
    </row>
    <row r="1175" spans="1:42" customFormat="1">
      <c r="A1175">
        <v>275982</v>
      </c>
      <c r="B1175" t="s">
        <v>1225</v>
      </c>
      <c r="C1175" t="s">
        <v>1226</v>
      </c>
      <c r="D1175" s="22">
        <v>0</v>
      </c>
      <c r="E1175" s="17">
        <v>42128</v>
      </c>
      <c r="F1175" s="18">
        <v>0.73392361111111104</v>
      </c>
      <c r="G1175" s="22">
        <v>34.68</v>
      </c>
      <c r="H1175">
        <v>0</v>
      </c>
      <c r="I1175" s="19" t="e">
        <f>I1174 + (D1175-G1175)</f>
        <v>#VALUE!</v>
      </c>
      <c r="M1175">
        <v>128526</v>
      </c>
      <c r="N1175">
        <v>60</v>
      </c>
      <c r="O1175" t="s">
        <v>60</v>
      </c>
      <c r="P1175">
        <v>1</v>
      </c>
      <c r="R1175">
        <v>1512</v>
      </c>
      <c r="S1175" s="17">
        <v>42187</v>
      </c>
      <c r="T1175" s="17">
        <v>42187</v>
      </c>
      <c r="W1175">
        <v>2015</v>
      </c>
      <c r="X1175">
        <v>60</v>
      </c>
      <c r="AC1175" t="s">
        <v>56</v>
      </c>
      <c r="AD1175" t="s">
        <v>302</v>
      </c>
      <c r="AE1175" t="s">
        <v>46</v>
      </c>
      <c r="AG1175">
        <v>14</v>
      </c>
      <c r="AH1175">
        <v>9</v>
      </c>
      <c r="AI1175" t="s">
        <v>54</v>
      </c>
      <c r="AK1175">
        <v>0</v>
      </c>
      <c r="AM1175">
        <v>0</v>
      </c>
      <c r="AP1175" t="s">
        <v>1224</v>
      </c>
    </row>
    <row r="1176" spans="1:42" customFormat="1">
      <c r="A1176">
        <v>275983</v>
      </c>
      <c r="B1176" t="s">
        <v>1227</v>
      </c>
      <c r="C1176" t="s">
        <v>1228</v>
      </c>
      <c r="D1176" s="22">
        <v>0</v>
      </c>
      <c r="E1176" s="17">
        <v>42128</v>
      </c>
      <c r="F1176" s="18">
        <v>0.73392361111111104</v>
      </c>
      <c r="G1176" s="22">
        <v>6.42</v>
      </c>
      <c r="H1176">
        <v>0</v>
      </c>
      <c r="I1176" s="19" t="e">
        <f>I1175 + (D1176-G1176)</f>
        <v>#VALUE!</v>
      </c>
      <c r="M1176">
        <v>128527</v>
      </c>
      <c r="N1176">
        <v>60</v>
      </c>
      <c r="O1176" t="s">
        <v>60</v>
      </c>
      <c r="P1176">
        <v>1</v>
      </c>
      <c r="R1176">
        <v>1512</v>
      </c>
      <c r="S1176" s="17">
        <v>42187</v>
      </c>
      <c r="T1176" s="17">
        <v>42187</v>
      </c>
      <c r="W1176">
        <v>2015</v>
      </c>
      <c r="X1176">
        <v>60</v>
      </c>
      <c r="AC1176" t="s">
        <v>56</v>
      </c>
      <c r="AD1176" t="s">
        <v>302</v>
      </c>
      <c r="AE1176" t="s">
        <v>46</v>
      </c>
      <c r="AG1176">
        <v>14</v>
      </c>
      <c r="AH1176">
        <v>9</v>
      </c>
      <c r="AI1176" t="s">
        <v>54</v>
      </c>
      <c r="AK1176">
        <v>0</v>
      </c>
      <c r="AM1176">
        <v>0</v>
      </c>
      <c r="AP1176" t="s">
        <v>1224</v>
      </c>
    </row>
    <row r="1177" spans="1:42" customFormat="1">
      <c r="A1177">
        <v>270297</v>
      </c>
      <c r="B1177" t="s">
        <v>1297</v>
      </c>
      <c r="C1177" t="s">
        <v>1298</v>
      </c>
      <c r="D1177" s="22">
        <v>0</v>
      </c>
      <c r="E1177" s="17">
        <v>42129</v>
      </c>
      <c r="F1177" s="18">
        <v>0.45666666666666672</v>
      </c>
      <c r="G1177" s="22">
        <v>1278.3</v>
      </c>
      <c r="H1177">
        <v>0</v>
      </c>
      <c r="I1177" s="19" t="e">
        <f>I1176 + (D1177-G1177)</f>
        <v>#VALUE!</v>
      </c>
      <c r="M1177">
        <v>123641</v>
      </c>
      <c r="N1177">
        <v>7</v>
      </c>
      <c r="O1177" t="s">
        <v>44</v>
      </c>
      <c r="P1177">
        <v>1</v>
      </c>
      <c r="R1177">
        <v>1512</v>
      </c>
      <c r="S1177" s="17">
        <v>42143</v>
      </c>
      <c r="T1177" s="17">
        <v>42143</v>
      </c>
      <c r="W1177">
        <v>2015</v>
      </c>
      <c r="X1177">
        <v>7</v>
      </c>
      <c r="AC1177" t="s">
        <v>56</v>
      </c>
      <c r="AD1177" t="s">
        <v>302</v>
      </c>
      <c r="AE1177" t="s">
        <v>46</v>
      </c>
      <c r="AG1177">
        <v>77</v>
      </c>
      <c r="AH1177">
        <v>9</v>
      </c>
      <c r="AI1177" t="s">
        <v>54</v>
      </c>
      <c r="AK1177">
        <v>0</v>
      </c>
      <c r="AM1177">
        <v>0</v>
      </c>
      <c r="AP1177" t="s">
        <v>427</v>
      </c>
    </row>
    <row r="1178" spans="1:42" customFormat="1">
      <c r="A1178">
        <v>269531</v>
      </c>
      <c r="B1178" t="s">
        <v>1303</v>
      </c>
      <c r="C1178" t="s">
        <v>1304</v>
      </c>
      <c r="D1178" s="22">
        <v>0</v>
      </c>
      <c r="E1178" s="17">
        <v>42129</v>
      </c>
      <c r="F1178" s="18">
        <v>0.45751157407407406</v>
      </c>
      <c r="G1178" s="22">
        <v>409.31</v>
      </c>
      <c r="H1178">
        <v>0</v>
      </c>
      <c r="I1178" s="19" t="e">
        <f>I1177 + (D1178-G1178)</f>
        <v>#VALUE!</v>
      </c>
      <c r="M1178">
        <v>123176</v>
      </c>
      <c r="N1178">
        <v>24</v>
      </c>
      <c r="O1178" t="s">
        <v>68</v>
      </c>
      <c r="P1178">
        <v>1</v>
      </c>
      <c r="R1178">
        <v>1512</v>
      </c>
      <c r="S1178" s="17">
        <v>42136</v>
      </c>
      <c r="T1178" s="17">
        <v>42136</v>
      </c>
      <c r="W1178">
        <v>2015</v>
      </c>
      <c r="X1178">
        <v>24</v>
      </c>
      <c r="AC1178" t="s">
        <v>56</v>
      </c>
      <c r="AD1178" t="s">
        <v>302</v>
      </c>
      <c r="AE1178" t="s">
        <v>46</v>
      </c>
      <c r="AG1178">
        <v>118</v>
      </c>
      <c r="AH1178">
        <v>9</v>
      </c>
      <c r="AI1178" t="s">
        <v>54</v>
      </c>
      <c r="AK1178">
        <v>0</v>
      </c>
      <c r="AM1178">
        <v>0</v>
      </c>
      <c r="AP1178" t="s">
        <v>418</v>
      </c>
    </row>
    <row r="1179" spans="1:42" customFormat="1">
      <c r="A1179">
        <v>269828</v>
      </c>
      <c r="B1179" t="s">
        <v>1349</v>
      </c>
      <c r="C1179" t="s">
        <v>1350</v>
      </c>
      <c r="D1179" s="22">
        <v>0</v>
      </c>
      <c r="E1179" s="17">
        <v>42129</v>
      </c>
      <c r="F1179" s="18">
        <v>0.60562499999999997</v>
      </c>
      <c r="G1179" s="22">
        <v>152.36000000000001</v>
      </c>
      <c r="H1179">
        <v>0</v>
      </c>
      <c r="I1179" s="19" t="e">
        <f>I1178 + (D1179-G1179)</f>
        <v>#VALUE!</v>
      </c>
      <c r="M1179">
        <v>123282</v>
      </c>
      <c r="N1179">
        <v>24</v>
      </c>
      <c r="O1179" t="s">
        <v>68</v>
      </c>
      <c r="P1179">
        <v>1</v>
      </c>
      <c r="R1179">
        <v>1512</v>
      </c>
      <c r="S1179" s="17">
        <v>42137</v>
      </c>
      <c r="T1179" s="17">
        <v>42137</v>
      </c>
      <c r="W1179">
        <v>2015</v>
      </c>
      <c r="X1179">
        <v>24</v>
      </c>
      <c r="AC1179" t="s">
        <v>56</v>
      </c>
      <c r="AD1179" t="s">
        <v>302</v>
      </c>
      <c r="AE1179" t="s">
        <v>46</v>
      </c>
      <c r="AG1179">
        <v>27</v>
      </c>
      <c r="AH1179">
        <v>9</v>
      </c>
      <c r="AI1179" t="s">
        <v>54</v>
      </c>
      <c r="AK1179">
        <v>0</v>
      </c>
      <c r="AM1179">
        <v>0</v>
      </c>
      <c r="AP1179" t="s">
        <v>1337</v>
      </c>
    </row>
    <row r="1180" spans="1:42" customFormat="1">
      <c r="A1180">
        <v>276177</v>
      </c>
      <c r="B1180" t="s">
        <v>1912</v>
      </c>
      <c r="C1180" t="s">
        <v>1913</v>
      </c>
      <c r="D1180" s="22">
        <v>0</v>
      </c>
      <c r="E1180" s="17">
        <v>42130</v>
      </c>
      <c r="F1180" s="18">
        <v>0.69407407407407407</v>
      </c>
      <c r="G1180" s="22">
        <v>21.14</v>
      </c>
      <c r="H1180">
        <v>0</v>
      </c>
      <c r="I1180" s="19" t="e">
        <f>I1179 + (D1180-G1180)</f>
        <v>#VALUE!</v>
      </c>
      <c r="M1180">
        <v>128707</v>
      </c>
      <c r="N1180">
        <v>24</v>
      </c>
      <c r="O1180" t="s">
        <v>68</v>
      </c>
      <c r="P1180">
        <v>1</v>
      </c>
      <c r="R1180">
        <v>1512</v>
      </c>
      <c r="S1180" s="17">
        <v>42188</v>
      </c>
      <c r="T1180" s="17">
        <v>42188</v>
      </c>
      <c r="W1180">
        <v>2015</v>
      </c>
      <c r="X1180">
        <v>24</v>
      </c>
      <c r="AC1180" t="s">
        <v>56</v>
      </c>
      <c r="AD1180" t="s">
        <v>302</v>
      </c>
      <c r="AE1180" t="s">
        <v>46</v>
      </c>
      <c r="AG1180">
        <v>107</v>
      </c>
      <c r="AH1180">
        <v>9</v>
      </c>
      <c r="AI1180" t="s">
        <v>54</v>
      </c>
      <c r="AK1180">
        <v>0</v>
      </c>
      <c r="AM1180">
        <v>0</v>
      </c>
      <c r="AP1180" t="s">
        <v>1121</v>
      </c>
    </row>
    <row r="1181" spans="1:42" customFormat="1">
      <c r="A1181">
        <v>269272</v>
      </c>
      <c r="B1181" t="s">
        <v>1917</v>
      </c>
      <c r="C1181" t="s">
        <v>1918</v>
      </c>
      <c r="D1181" s="22">
        <v>0</v>
      </c>
      <c r="E1181" s="17">
        <v>42130</v>
      </c>
      <c r="F1181" s="18">
        <v>0.70140046296296299</v>
      </c>
      <c r="G1181" s="22">
        <v>0.14000000000000001</v>
      </c>
      <c r="H1181">
        <v>0</v>
      </c>
      <c r="I1181" s="19" t="e">
        <f>I1180 + (D1181-G1181)</f>
        <v>#VALUE!</v>
      </c>
      <c r="M1181">
        <v>123118</v>
      </c>
      <c r="N1181">
        <v>24</v>
      </c>
      <c r="O1181" t="s">
        <v>68</v>
      </c>
      <c r="P1181">
        <v>1</v>
      </c>
      <c r="R1181">
        <v>1512</v>
      </c>
      <c r="S1181" s="17">
        <v>42135</v>
      </c>
      <c r="T1181" s="17">
        <v>42135</v>
      </c>
      <c r="W1181">
        <v>2015</v>
      </c>
      <c r="X1181">
        <v>24</v>
      </c>
      <c r="AC1181" t="s">
        <v>56</v>
      </c>
      <c r="AD1181" t="s">
        <v>302</v>
      </c>
      <c r="AE1181" t="s">
        <v>46</v>
      </c>
      <c r="AG1181">
        <v>29</v>
      </c>
      <c r="AH1181">
        <v>9</v>
      </c>
      <c r="AI1181" t="s">
        <v>54</v>
      </c>
      <c r="AK1181">
        <v>0</v>
      </c>
      <c r="AM1181">
        <v>0</v>
      </c>
      <c r="AP1181" t="s">
        <v>497</v>
      </c>
    </row>
    <row r="1182" spans="1:42" customFormat="1">
      <c r="A1182">
        <v>271722</v>
      </c>
      <c r="B1182" t="s">
        <v>5522</v>
      </c>
      <c r="C1182" t="s">
        <v>5523</v>
      </c>
      <c r="D1182" s="22">
        <v>0</v>
      </c>
      <c r="E1182" s="17">
        <v>42153</v>
      </c>
      <c r="F1182" s="18">
        <v>0.59145833333333331</v>
      </c>
      <c r="G1182" s="22">
        <v>66.489999999999995</v>
      </c>
      <c r="H1182">
        <v>0</v>
      </c>
      <c r="I1182" s="19" t="e">
        <f>I1181 + (D1182-G1182)</f>
        <v>#VALUE!</v>
      </c>
      <c r="M1182">
        <v>124487</v>
      </c>
      <c r="N1182">
        <v>24</v>
      </c>
      <c r="O1182" t="s">
        <v>68</v>
      </c>
      <c r="P1182">
        <v>1</v>
      </c>
      <c r="R1182">
        <v>1512</v>
      </c>
      <c r="S1182" s="17">
        <v>42158</v>
      </c>
      <c r="T1182" s="17">
        <v>42158</v>
      </c>
      <c r="W1182">
        <v>2015</v>
      </c>
      <c r="X1182">
        <v>24</v>
      </c>
      <c r="AC1182" t="s">
        <v>56</v>
      </c>
      <c r="AD1182" t="s">
        <v>302</v>
      </c>
      <c r="AE1182" t="s">
        <v>46</v>
      </c>
      <c r="AG1182">
        <v>52</v>
      </c>
      <c r="AH1182">
        <v>9</v>
      </c>
      <c r="AI1182" t="s">
        <v>54</v>
      </c>
      <c r="AK1182">
        <v>0</v>
      </c>
      <c r="AM1182">
        <v>0</v>
      </c>
      <c r="AP1182" t="s">
        <v>325</v>
      </c>
    </row>
    <row r="1183" spans="1:42" customFormat="1">
      <c r="A1183">
        <v>271723</v>
      </c>
      <c r="B1183" t="s">
        <v>5524</v>
      </c>
      <c r="C1183" t="s">
        <v>5525</v>
      </c>
      <c r="D1183" s="22">
        <v>0</v>
      </c>
      <c r="E1183" s="17">
        <v>42153</v>
      </c>
      <c r="F1183" s="18">
        <v>0.59187500000000004</v>
      </c>
      <c r="G1183" s="22">
        <v>53.19</v>
      </c>
      <c r="H1183">
        <v>0</v>
      </c>
      <c r="I1183" s="19" t="e">
        <f>I1182 + (D1183-G1183)</f>
        <v>#VALUE!</v>
      </c>
      <c r="M1183">
        <v>124488</v>
      </c>
      <c r="N1183">
        <v>24</v>
      </c>
      <c r="O1183" t="s">
        <v>68</v>
      </c>
      <c r="P1183">
        <v>1</v>
      </c>
      <c r="R1183">
        <v>1512</v>
      </c>
      <c r="S1183" s="17">
        <v>42158</v>
      </c>
      <c r="T1183" s="17">
        <v>42158</v>
      </c>
      <c r="W1183">
        <v>2015</v>
      </c>
      <c r="X1183">
        <v>24</v>
      </c>
      <c r="AC1183" t="s">
        <v>56</v>
      </c>
      <c r="AD1183" t="s">
        <v>302</v>
      </c>
      <c r="AE1183" t="s">
        <v>46</v>
      </c>
      <c r="AG1183">
        <v>52</v>
      </c>
      <c r="AH1183">
        <v>9</v>
      </c>
      <c r="AI1183" t="s">
        <v>54</v>
      </c>
      <c r="AK1183">
        <v>0</v>
      </c>
      <c r="AM1183">
        <v>0</v>
      </c>
      <c r="AP1183" t="s">
        <v>325</v>
      </c>
    </row>
    <row r="1184" spans="1:42" customFormat="1">
      <c r="A1184">
        <v>271724</v>
      </c>
      <c r="B1184" t="s">
        <v>5526</v>
      </c>
      <c r="C1184" t="s">
        <v>5527</v>
      </c>
      <c r="D1184" s="22">
        <v>0</v>
      </c>
      <c r="E1184" s="17">
        <v>42153</v>
      </c>
      <c r="F1184" s="18">
        <v>0.59228009259259262</v>
      </c>
      <c r="G1184" s="22">
        <v>2924.42</v>
      </c>
      <c r="H1184">
        <v>0</v>
      </c>
      <c r="I1184" s="19" t="e">
        <f>I1183 + (D1184-G1184)</f>
        <v>#VALUE!</v>
      </c>
      <c r="M1184">
        <v>124489</v>
      </c>
      <c r="N1184">
        <v>24</v>
      </c>
      <c r="O1184" t="s">
        <v>68</v>
      </c>
      <c r="P1184">
        <v>1</v>
      </c>
      <c r="R1184">
        <v>1512</v>
      </c>
      <c r="S1184" s="17">
        <v>42158</v>
      </c>
      <c r="T1184" s="17">
        <v>42158</v>
      </c>
      <c r="W1184">
        <v>2015</v>
      </c>
      <c r="X1184">
        <v>24</v>
      </c>
      <c r="AC1184" t="s">
        <v>56</v>
      </c>
      <c r="AD1184" t="s">
        <v>302</v>
      </c>
      <c r="AE1184" t="s">
        <v>46</v>
      </c>
      <c r="AG1184">
        <v>52</v>
      </c>
      <c r="AH1184">
        <v>9</v>
      </c>
      <c r="AI1184" t="s">
        <v>54</v>
      </c>
      <c r="AK1184">
        <v>0</v>
      </c>
      <c r="AM1184">
        <v>0</v>
      </c>
      <c r="AP1184" t="s">
        <v>325</v>
      </c>
    </row>
    <row r="1185" spans="1:42" customFormat="1">
      <c r="A1185">
        <v>268613</v>
      </c>
      <c r="B1185" t="s">
        <v>310</v>
      </c>
      <c r="C1185" t="s">
        <v>311</v>
      </c>
      <c r="D1185" s="22">
        <v>0</v>
      </c>
      <c r="E1185" s="17">
        <v>42128</v>
      </c>
      <c r="F1185" s="18">
        <v>0.36170138888888892</v>
      </c>
      <c r="G1185" s="22">
        <v>5253.13</v>
      </c>
      <c r="H1185">
        <v>0</v>
      </c>
      <c r="I1185" s="19" t="e">
        <f>I1184 + (D1185-G1185)</f>
        <v>#VALUE!</v>
      </c>
      <c r="M1185">
        <v>122867</v>
      </c>
      <c r="N1185">
        <v>7</v>
      </c>
      <c r="O1185" t="s">
        <v>44</v>
      </c>
      <c r="P1185">
        <v>1</v>
      </c>
      <c r="R1185">
        <v>1448</v>
      </c>
      <c r="S1185" s="17">
        <v>42131</v>
      </c>
      <c r="T1185" s="17">
        <v>42131</v>
      </c>
      <c r="W1185">
        <v>2015</v>
      </c>
      <c r="X1185">
        <v>7</v>
      </c>
      <c r="AC1185" t="s">
        <v>53</v>
      </c>
      <c r="AD1185" t="s">
        <v>302</v>
      </c>
      <c r="AE1185" t="s">
        <v>46</v>
      </c>
      <c r="AG1185">
        <v>5</v>
      </c>
      <c r="AH1185">
        <v>9</v>
      </c>
      <c r="AI1185" t="s">
        <v>54</v>
      </c>
      <c r="AK1185">
        <v>0</v>
      </c>
      <c r="AM1185">
        <v>0</v>
      </c>
      <c r="AP1185" t="s">
        <v>312</v>
      </c>
    </row>
    <row r="1186" spans="1:42" customFormat="1">
      <c r="A1186">
        <v>268650</v>
      </c>
      <c r="B1186" t="s">
        <v>354</v>
      </c>
      <c r="C1186" t="s">
        <v>355</v>
      </c>
      <c r="D1186" s="22">
        <v>0</v>
      </c>
      <c r="E1186" s="17">
        <v>42128</v>
      </c>
      <c r="F1186" s="18">
        <v>0.38848379629629631</v>
      </c>
      <c r="G1186" s="22">
        <v>0.97</v>
      </c>
      <c r="H1186">
        <v>0</v>
      </c>
      <c r="I1186" s="19" t="e">
        <f>I1185 + (D1186-G1186)</f>
        <v>#VALUE!</v>
      </c>
      <c r="M1186">
        <v>122884</v>
      </c>
      <c r="N1186">
        <v>7</v>
      </c>
      <c r="O1186" t="s">
        <v>44</v>
      </c>
      <c r="P1186">
        <v>1</v>
      </c>
      <c r="R1186">
        <v>1448</v>
      </c>
      <c r="S1186" s="17">
        <v>42131</v>
      </c>
      <c r="T1186" s="17">
        <v>42131</v>
      </c>
      <c r="W1186">
        <v>2015</v>
      </c>
      <c r="X1186">
        <v>7</v>
      </c>
      <c r="AC1186" t="s">
        <v>53</v>
      </c>
      <c r="AD1186" t="s">
        <v>302</v>
      </c>
      <c r="AE1186" t="s">
        <v>46</v>
      </c>
      <c r="AG1186">
        <v>59</v>
      </c>
      <c r="AH1186">
        <v>9</v>
      </c>
      <c r="AI1186" t="s">
        <v>54</v>
      </c>
      <c r="AK1186">
        <v>0</v>
      </c>
      <c r="AM1186">
        <v>0</v>
      </c>
      <c r="AP1186" t="s">
        <v>341</v>
      </c>
    </row>
    <row r="1187" spans="1:42" customFormat="1">
      <c r="A1187">
        <v>268653</v>
      </c>
      <c r="B1187" t="s">
        <v>358</v>
      </c>
      <c r="C1187" t="s">
        <v>359</v>
      </c>
      <c r="D1187" s="22">
        <v>0</v>
      </c>
      <c r="E1187" s="17">
        <v>42128</v>
      </c>
      <c r="F1187" s="18">
        <v>0.38848379629629631</v>
      </c>
      <c r="G1187" s="22">
        <v>0.32</v>
      </c>
      <c r="H1187">
        <v>0</v>
      </c>
      <c r="I1187" s="19" t="e">
        <f>I1186 + (D1187-G1187)</f>
        <v>#VALUE!</v>
      </c>
      <c r="M1187">
        <v>122885</v>
      </c>
      <c r="N1187">
        <v>7</v>
      </c>
      <c r="O1187" t="s">
        <v>44</v>
      </c>
      <c r="P1187">
        <v>1</v>
      </c>
      <c r="R1187">
        <v>1448</v>
      </c>
      <c r="S1187" s="17">
        <v>42131</v>
      </c>
      <c r="T1187" s="17">
        <v>42131</v>
      </c>
      <c r="W1187">
        <v>2015</v>
      </c>
      <c r="X1187">
        <v>7</v>
      </c>
      <c r="AC1187" t="s">
        <v>53</v>
      </c>
      <c r="AD1187" t="s">
        <v>302</v>
      </c>
      <c r="AE1187" t="s">
        <v>46</v>
      </c>
      <c r="AG1187">
        <v>59</v>
      </c>
      <c r="AH1187">
        <v>9</v>
      </c>
      <c r="AI1187" t="s">
        <v>54</v>
      </c>
      <c r="AK1187">
        <v>0</v>
      </c>
      <c r="AM1187">
        <v>0</v>
      </c>
      <c r="AP1187" t="s">
        <v>341</v>
      </c>
    </row>
    <row r="1188" spans="1:42" customFormat="1">
      <c r="A1188">
        <v>268659</v>
      </c>
      <c r="B1188" t="s">
        <v>366</v>
      </c>
      <c r="C1188" t="s">
        <v>367</v>
      </c>
      <c r="D1188" s="22">
        <v>0</v>
      </c>
      <c r="E1188" s="17">
        <v>42128</v>
      </c>
      <c r="F1188" s="18">
        <v>0.38953703703703701</v>
      </c>
      <c r="G1188" s="22">
        <v>9391.73</v>
      </c>
      <c r="H1188">
        <v>0</v>
      </c>
      <c r="I1188" s="19" t="e">
        <f>I1187 + (D1188-G1188)</f>
        <v>#VALUE!</v>
      </c>
      <c r="M1188">
        <v>122882</v>
      </c>
      <c r="N1188">
        <v>7</v>
      </c>
      <c r="O1188" t="s">
        <v>44</v>
      </c>
      <c r="P1188">
        <v>1</v>
      </c>
      <c r="R1188">
        <v>1448</v>
      </c>
      <c r="S1188" s="17">
        <v>42131</v>
      </c>
      <c r="T1188" s="17">
        <v>42131</v>
      </c>
      <c r="W1188">
        <v>2015</v>
      </c>
      <c r="X1188">
        <v>7</v>
      </c>
      <c r="AC1188" t="s">
        <v>53</v>
      </c>
      <c r="AD1188" t="s">
        <v>302</v>
      </c>
      <c r="AE1188" t="s">
        <v>46</v>
      </c>
      <c r="AG1188">
        <v>61</v>
      </c>
      <c r="AH1188">
        <v>9</v>
      </c>
      <c r="AI1188" t="s">
        <v>54</v>
      </c>
      <c r="AK1188">
        <v>0</v>
      </c>
      <c r="AM1188">
        <v>0</v>
      </c>
      <c r="AP1188" t="s">
        <v>343</v>
      </c>
    </row>
    <row r="1189" spans="1:42" customFormat="1">
      <c r="A1189">
        <v>268661</v>
      </c>
      <c r="B1189" t="s">
        <v>368</v>
      </c>
      <c r="C1189" t="s">
        <v>369</v>
      </c>
      <c r="D1189" s="22">
        <v>0</v>
      </c>
      <c r="E1189" s="17">
        <v>42128</v>
      </c>
      <c r="F1189" s="18">
        <v>0.38953703703703701</v>
      </c>
      <c r="G1189" s="22">
        <v>51.93</v>
      </c>
      <c r="H1189">
        <v>0</v>
      </c>
      <c r="I1189" s="19" t="e">
        <f>I1188 + (D1189-G1189)</f>
        <v>#VALUE!</v>
      </c>
      <c r="M1189">
        <v>122883</v>
      </c>
      <c r="N1189">
        <v>7</v>
      </c>
      <c r="O1189" t="s">
        <v>44</v>
      </c>
      <c r="P1189">
        <v>1</v>
      </c>
      <c r="R1189">
        <v>1448</v>
      </c>
      <c r="S1189" s="17">
        <v>42131</v>
      </c>
      <c r="T1189" s="17">
        <v>42131</v>
      </c>
      <c r="W1189">
        <v>2015</v>
      </c>
      <c r="X1189">
        <v>7</v>
      </c>
      <c r="AC1189" t="s">
        <v>53</v>
      </c>
      <c r="AD1189" t="s">
        <v>302</v>
      </c>
      <c r="AE1189" t="s">
        <v>46</v>
      </c>
      <c r="AG1189">
        <v>61</v>
      </c>
      <c r="AH1189">
        <v>9</v>
      </c>
      <c r="AI1189" t="s">
        <v>54</v>
      </c>
      <c r="AK1189">
        <v>0</v>
      </c>
      <c r="AM1189">
        <v>0</v>
      </c>
      <c r="AP1189" t="s">
        <v>343</v>
      </c>
    </row>
    <row r="1190" spans="1:42" customFormat="1">
      <c r="A1190">
        <v>270653</v>
      </c>
      <c r="B1190" t="s">
        <v>447</v>
      </c>
      <c r="C1190" t="s">
        <v>448</v>
      </c>
      <c r="D1190" s="22">
        <v>0</v>
      </c>
      <c r="E1190" s="17">
        <v>42128</v>
      </c>
      <c r="F1190" s="18">
        <v>0.46961805555555558</v>
      </c>
      <c r="G1190" s="22">
        <v>968.81</v>
      </c>
      <c r="H1190">
        <v>0</v>
      </c>
      <c r="I1190" s="19" t="e">
        <f>I1189 + (D1190-G1190)</f>
        <v>#VALUE!</v>
      </c>
      <c r="M1190">
        <v>123805</v>
      </c>
      <c r="N1190">
        <v>7</v>
      </c>
      <c r="O1190" t="s">
        <v>44</v>
      </c>
      <c r="P1190">
        <v>1</v>
      </c>
      <c r="R1190">
        <v>1448</v>
      </c>
      <c r="S1190" s="17">
        <v>42145</v>
      </c>
      <c r="T1190" s="17">
        <v>42145</v>
      </c>
      <c r="W1190">
        <v>2015</v>
      </c>
      <c r="X1190">
        <v>7</v>
      </c>
      <c r="AC1190" t="s">
        <v>53</v>
      </c>
      <c r="AD1190" t="s">
        <v>302</v>
      </c>
      <c r="AE1190" t="s">
        <v>46</v>
      </c>
      <c r="AG1190">
        <v>122</v>
      </c>
      <c r="AH1190">
        <v>9</v>
      </c>
      <c r="AI1190" t="s">
        <v>54</v>
      </c>
      <c r="AK1190">
        <v>0</v>
      </c>
      <c r="AM1190">
        <v>0</v>
      </c>
      <c r="AP1190" t="s">
        <v>444</v>
      </c>
    </row>
    <row r="1191" spans="1:42" customFormat="1">
      <c r="A1191">
        <v>270654</v>
      </c>
      <c r="B1191" t="s">
        <v>449</v>
      </c>
      <c r="C1191" t="s">
        <v>450</v>
      </c>
      <c r="D1191" s="22">
        <v>0</v>
      </c>
      <c r="E1191" s="17">
        <v>42128</v>
      </c>
      <c r="F1191" s="18">
        <v>0.46961805555555558</v>
      </c>
      <c r="G1191" s="22">
        <v>368.3</v>
      </c>
      <c r="H1191">
        <v>0</v>
      </c>
      <c r="I1191" s="19" t="e">
        <f>I1190 + (D1191-G1191)</f>
        <v>#VALUE!</v>
      </c>
      <c r="M1191">
        <v>123806</v>
      </c>
      <c r="N1191">
        <v>7</v>
      </c>
      <c r="O1191" t="s">
        <v>44</v>
      </c>
      <c r="P1191">
        <v>1</v>
      </c>
      <c r="R1191">
        <v>1448</v>
      </c>
      <c r="S1191" s="17">
        <v>42145</v>
      </c>
      <c r="T1191" s="17">
        <v>42145</v>
      </c>
      <c r="W1191">
        <v>2015</v>
      </c>
      <c r="X1191">
        <v>7</v>
      </c>
      <c r="AC1191" t="s">
        <v>53</v>
      </c>
      <c r="AD1191" t="s">
        <v>302</v>
      </c>
      <c r="AE1191" t="s">
        <v>46</v>
      </c>
      <c r="AG1191">
        <v>122</v>
      </c>
      <c r="AH1191">
        <v>9</v>
      </c>
      <c r="AI1191" t="s">
        <v>54</v>
      </c>
      <c r="AK1191">
        <v>0</v>
      </c>
      <c r="AM1191">
        <v>0</v>
      </c>
      <c r="AP1191" t="s">
        <v>444</v>
      </c>
    </row>
    <row r="1192" spans="1:42" customFormat="1">
      <c r="A1192">
        <v>276170</v>
      </c>
      <c r="B1192" t="s">
        <v>1119</v>
      </c>
      <c r="C1192" t="s">
        <v>1120</v>
      </c>
      <c r="D1192" s="22">
        <v>0</v>
      </c>
      <c r="E1192" s="17">
        <v>42128</v>
      </c>
      <c r="F1192" s="18">
        <v>0.69177083333333333</v>
      </c>
      <c r="G1192" s="22">
        <v>27.38</v>
      </c>
      <c r="H1192">
        <v>0</v>
      </c>
      <c r="I1192" s="19" t="e">
        <f>I1191 + (D1192-G1192)</f>
        <v>#VALUE!</v>
      </c>
      <c r="M1192">
        <v>128700</v>
      </c>
      <c r="N1192">
        <v>24</v>
      </c>
      <c r="O1192" t="s">
        <v>68</v>
      </c>
      <c r="P1192">
        <v>1</v>
      </c>
      <c r="R1192">
        <v>1448</v>
      </c>
      <c r="S1192" s="17">
        <v>42188</v>
      </c>
      <c r="T1192" s="17">
        <v>42188</v>
      </c>
      <c r="W1192">
        <v>2015</v>
      </c>
      <c r="X1192">
        <v>24</v>
      </c>
      <c r="AC1192" t="s">
        <v>53</v>
      </c>
      <c r="AD1192" t="s">
        <v>302</v>
      </c>
      <c r="AE1192" t="s">
        <v>46</v>
      </c>
      <c r="AG1192">
        <v>107</v>
      </c>
      <c r="AH1192">
        <v>9</v>
      </c>
      <c r="AI1192" t="s">
        <v>54</v>
      </c>
      <c r="AK1192">
        <v>0</v>
      </c>
      <c r="AM1192">
        <v>0</v>
      </c>
      <c r="AP1192" t="s">
        <v>1121</v>
      </c>
    </row>
    <row r="1193" spans="1:42" customFormat="1">
      <c r="A1193">
        <v>276169</v>
      </c>
      <c r="B1193" t="s">
        <v>1130</v>
      </c>
      <c r="C1193" t="s">
        <v>1131</v>
      </c>
      <c r="D1193" s="22">
        <v>0</v>
      </c>
      <c r="E1193" s="17">
        <v>42128</v>
      </c>
      <c r="F1193" s="18">
        <v>0.69177083333333333</v>
      </c>
      <c r="G1193" s="22">
        <v>4572.41</v>
      </c>
      <c r="H1193">
        <v>0</v>
      </c>
      <c r="I1193" s="19" t="e">
        <f>I1192 + (D1193-G1193)</f>
        <v>#VALUE!</v>
      </c>
      <c r="M1193">
        <v>128699</v>
      </c>
      <c r="N1193">
        <v>24</v>
      </c>
      <c r="O1193" t="s">
        <v>68</v>
      </c>
      <c r="P1193">
        <v>1</v>
      </c>
      <c r="R1193">
        <v>1448</v>
      </c>
      <c r="S1193" s="17">
        <v>42188</v>
      </c>
      <c r="T1193" s="17">
        <v>42188</v>
      </c>
      <c r="W1193">
        <v>2015</v>
      </c>
      <c r="X1193">
        <v>24</v>
      </c>
      <c r="AC1193" t="s">
        <v>53</v>
      </c>
      <c r="AD1193" t="s">
        <v>302</v>
      </c>
      <c r="AE1193" t="s">
        <v>46</v>
      </c>
      <c r="AG1193">
        <v>107</v>
      </c>
      <c r="AH1193">
        <v>9</v>
      </c>
      <c r="AI1193" t="s">
        <v>54</v>
      </c>
      <c r="AK1193">
        <v>0</v>
      </c>
      <c r="AM1193">
        <v>0</v>
      </c>
      <c r="AP1193" t="s">
        <v>1121</v>
      </c>
    </row>
    <row r="1194" spans="1:42" customFormat="1">
      <c r="A1194">
        <v>268567</v>
      </c>
      <c r="B1194" t="s">
        <v>1185</v>
      </c>
      <c r="C1194" t="s">
        <v>1186</v>
      </c>
      <c r="D1194" s="22">
        <v>0</v>
      </c>
      <c r="E1194" s="17">
        <v>42128</v>
      </c>
      <c r="F1194" s="18">
        <v>0.69956018518518526</v>
      </c>
      <c r="G1194" s="22">
        <v>2375</v>
      </c>
      <c r="H1194">
        <v>0</v>
      </c>
      <c r="I1194" s="19" t="e">
        <f>I1193 + (D1194-G1194)</f>
        <v>#VALUE!</v>
      </c>
      <c r="M1194">
        <v>115637</v>
      </c>
      <c r="N1194">
        <v>60</v>
      </c>
      <c r="O1194" t="s">
        <v>60</v>
      </c>
      <c r="P1194">
        <v>1</v>
      </c>
      <c r="R1194">
        <v>1448</v>
      </c>
      <c r="S1194" s="17">
        <v>42130</v>
      </c>
      <c r="T1194" s="17">
        <v>42130</v>
      </c>
      <c r="W1194">
        <v>2015</v>
      </c>
      <c r="X1194">
        <v>60</v>
      </c>
      <c r="AC1194" t="s">
        <v>53</v>
      </c>
      <c r="AD1194" t="s">
        <v>302</v>
      </c>
      <c r="AE1194" t="s">
        <v>46</v>
      </c>
      <c r="AG1194">
        <v>52</v>
      </c>
      <c r="AH1194">
        <v>9</v>
      </c>
      <c r="AI1194" t="s">
        <v>54</v>
      </c>
      <c r="AK1194">
        <v>0</v>
      </c>
      <c r="AM1194">
        <v>0</v>
      </c>
      <c r="AP1194" t="s">
        <v>325</v>
      </c>
    </row>
    <row r="1195" spans="1:42" customFormat="1">
      <c r="A1195">
        <v>276176</v>
      </c>
      <c r="B1195" t="s">
        <v>1910</v>
      </c>
      <c r="C1195" t="s">
        <v>1911</v>
      </c>
      <c r="D1195" s="22">
        <v>0</v>
      </c>
      <c r="E1195" s="17">
        <v>42130</v>
      </c>
      <c r="F1195" s="18">
        <v>0.69359953703703703</v>
      </c>
      <c r="G1195" s="22">
        <v>418.83</v>
      </c>
      <c r="H1195">
        <v>0</v>
      </c>
      <c r="I1195" s="19" t="e">
        <f>I1194 + (D1195-G1195)</f>
        <v>#VALUE!</v>
      </c>
      <c r="M1195">
        <v>128706</v>
      </c>
      <c r="N1195">
        <v>24</v>
      </c>
      <c r="O1195" t="s">
        <v>68</v>
      </c>
      <c r="P1195">
        <v>1</v>
      </c>
      <c r="R1195">
        <v>1448</v>
      </c>
      <c r="S1195" s="17">
        <v>42188</v>
      </c>
      <c r="T1195" s="17">
        <v>42188</v>
      </c>
      <c r="W1195">
        <v>2015</v>
      </c>
      <c r="X1195">
        <v>24</v>
      </c>
      <c r="AC1195" t="s">
        <v>53</v>
      </c>
      <c r="AD1195" t="s">
        <v>302</v>
      </c>
      <c r="AE1195" t="s">
        <v>46</v>
      </c>
      <c r="AG1195">
        <v>107</v>
      </c>
      <c r="AH1195">
        <v>9</v>
      </c>
      <c r="AI1195" t="s">
        <v>54</v>
      </c>
      <c r="AK1195">
        <v>0</v>
      </c>
      <c r="AM1195">
        <v>0</v>
      </c>
      <c r="AP1195" t="s">
        <v>1121</v>
      </c>
    </row>
    <row r="1196" spans="1:42" customFormat="1">
      <c r="A1196">
        <v>270072</v>
      </c>
      <c r="B1196" t="s">
        <v>2739</v>
      </c>
      <c r="C1196" t="s">
        <v>2740</v>
      </c>
      <c r="D1196" s="22">
        <v>0</v>
      </c>
      <c r="E1196" s="17">
        <v>42135</v>
      </c>
      <c r="F1196" s="18">
        <v>0.68321759259259263</v>
      </c>
      <c r="G1196" s="22">
        <v>2500</v>
      </c>
      <c r="H1196">
        <v>0</v>
      </c>
      <c r="I1196" s="19" t="e">
        <f>I1195 + (D1196-G1196)</f>
        <v>#VALUE!</v>
      </c>
      <c r="M1196">
        <v>115641</v>
      </c>
      <c r="N1196">
        <v>24</v>
      </c>
      <c r="O1196" t="s">
        <v>68</v>
      </c>
      <c r="P1196">
        <v>1</v>
      </c>
      <c r="R1196">
        <v>1448</v>
      </c>
      <c r="S1196" s="17">
        <v>42139</v>
      </c>
      <c r="T1196" s="17">
        <v>42139</v>
      </c>
      <c r="W1196">
        <v>2015</v>
      </c>
      <c r="X1196">
        <v>24</v>
      </c>
      <c r="AC1196" t="s">
        <v>53</v>
      </c>
      <c r="AD1196" t="s">
        <v>302</v>
      </c>
      <c r="AE1196" t="s">
        <v>46</v>
      </c>
      <c r="AG1196">
        <v>52</v>
      </c>
      <c r="AH1196">
        <v>2</v>
      </c>
      <c r="AI1196" t="s">
        <v>50</v>
      </c>
      <c r="AK1196">
        <v>0</v>
      </c>
      <c r="AM1196">
        <v>0</v>
      </c>
      <c r="AP1196" t="s">
        <v>325</v>
      </c>
    </row>
    <row r="1197" spans="1:42" customFormat="1">
      <c r="A1197">
        <v>272899</v>
      </c>
      <c r="B1197" t="s">
        <v>5002</v>
      </c>
      <c r="C1197" t="s">
        <v>5003</v>
      </c>
      <c r="D1197" s="22">
        <v>0</v>
      </c>
      <c r="E1197" s="17">
        <v>42151</v>
      </c>
      <c r="F1197" s="18">
        <v>0.61903935185185188</v>
      </c>
      <c r="G1197" s="22">
        <v>5320</v>
      </c>
      <c r="H1197">
        <v>0</v>
      </c>
      <c r="I1197" s="19" t="e">
        <f>I1196 + (D1197-G1197)</f>
        <v>#VALUE!</v>
      </c>
      <c r="M1197">
        <v>115630</v>
      </c>
      <c r="N1197">
        <v>60</v>
      </c>
      <c r="O1197" t="s">
        <v>60</v>
      </c>
      <c r="P1197">
        <v>1</v>
      </c>
      <c r="R1197">
        <v>1448</v>
      </c>
      <c r="S1197" s="17">
        <v>42166</v>
      </c>
      <c r="T1197" s="17">
        <v>42166</v>
      </c>
      <c r="W1197">
        <v>2015</v>
      </c>
      <c r="X1197">
        <v>60</v>
      </c>
      <c r="AC1197" t="s">
        <v>53</v>
      </c>
      <c r="AD1197" t="s">
        <v>302</v>
      </c>
      <c r="AE1197" t="s">
        <v>46</v>
      </c>
      <c r="AG1197">
        <v>52</v>
      </c>
      <c r="AH1197">
        <v>2</v>
      </c>
      <c r="AI1197" t="s">
        <v>50</v>
      </c>
      <c r="AK1197">
        <v>0</v>
      </c>
      <c r="AM1197">
        <v>0</v>
      </c>
      <c r="AP1197" t="s">
        <v>325</v>
      </c>
    </row>
    <row r="1198" spans="1:42" customFormat="1">
      <c r="A1198">
        <v>271783</v>
      </c>
      <c r="B1198" t="s">
        <v>5151</v>
      </c>
      <c r="C1198" t="s">
        <v>5152</v>
      </c>
      <c r="D1198" s="22">
        <v>0</v>
      </c>
      <c r="E1198" s="17">
        <v>42152</v>
      </c>
      <c r="F1198" s="18">
        <v>0.669988425925926</v>
      </c>
      <c r="G1198" s="22">
        <v>8767.6200000000008</v>
      </c>
      <c r="H1198">
        <v>0</v>
      </c>
      <c r="I1198" s="19" t="e">
        <f>I1197 + (D1198-G1198)</f>
        <v>#VALUE!</v>
      </c>
      <c r="M1198">
        <v>124526</v>
      </c>
      <c r="N1198">
        <v>24</v>
      </c>
      <c r="O1198" t="s">
        <v>68</v>
      </c>
      <c r="P1198">
        <v>1</v>
      </c>
      <c r="R1198">
        <v>1448</v>
      </c>
      <c r="S1198" s="17">
        <v>42158</v>
      </c>
      <c r="T1198" s="17">
        <v>42158</v>
      </c>
      <c r="W1198">
        <v>2015</v>
      </c>
      <c r="X1198">
        <v>24</v>
      </c>
      <c r="AC1198" t="s">
        <v>53</v>
      </c>
      <c r="AD1198" t="s">
        <v>302</v>
      </c>
      <c r="AE1198" t="s">
        <v>46</v>
      </c>
      <c r="AG1198">
        <v>7</v>
      </c>
      <c r="AH1198">
        <v>9</v>
      </c>
      <c r="AI1198" t="s">
        <v>54</v>
      </c>
      <c r="AK1198">
        <v>0</v>
      </c>
      <c r="AM1198">
        <v>0</v>
      </c>
      <c r="AP1198" t="s">
        <v>220</v>
      </c>
    </row>
    <row r="1199" spans="1:42" customFormat="1">
      <c r="A1199">
        <v>271784</v>
      </c>
      <c r="B1199" t="s">
        <v>5153</v>
      </c>
      <c r="C1199" t="s">
        <v>5154</v>
      </c>
      <c r="D1199" s="22">
        <v>0</v>
      </c>
      <c r="E1199" s="17">
        <v>42152</v>
      </c>
      <c r="F1199" s="18">
        <v>0.669988425925926</v>
      </c>
      <c r="G1199" s="22">
        <v>4959.41</v>
      </c>
      <c r="H1199">
        <v>0</v>
      </c>
      <c r="I1199" s="19" t="e">
        <f>I1198 + (D1199-G1199)</f>
        <v>#VALUE!</v>
      </c>
      <c r="M1199">
        <v>124527</v>
      </c>
      <c r="N1199">
        <v>24</v>
      </c>
      <c r="O1199" t="s">
        <v>68</v>
      </c>
      <c r="P1199">
        <v>1</v>
      </c>
      <c r="R1199">
        <v>1448</v>
      </c>
      <c r="S1199" s="17">
        <v>42158</v>
      </c>
      <c r="T1199" s="17">
        <v>42158</v>
      </c>
      <c r="W1199">
        <v>2015</v>
      </c>
      <c r="X1199">
        <v>24</v>
      </c>
      <c r="AC1199" t="s">
        <v>53</v>
      </c>
      <c r="AD1199" t="s">
        <v>302</v>
      </c>
      <c r="AE1199" t="s">
        <v>46</v>
      </c>
      <c r="AG1199">
        <v>7</v>
      </c>
      <c r="AH1199">
        <v>9</v>
      </c>
      <c r="AI1199" t="s">
        <v>54</v>
      </c>
      <c r="AK1199">
        <v>0</v>
      </c>
      <c r="AM1199">
        <v>0</v>
      </c>
      <c r="AP1199" t="s">
        <v>220</v>
      </c>
    </row>
    <row r="1200" spans="1:42" customFormat="1">
      <c r="A1200">
        <v>271785</v>
      </c>
      <c r="B1200" t="s">
        <v>5155</v>
      </c>
      <c r="C1200" t="s">
        <v>5156</v>
      </c>
      <c r="D1200" s="22">
        <v>0</v>
      </c>
      <c r="E1200" s="17">
        <v>42152</v>
      </c>
      <c r="F1200" s="18">
        <v>0.6708101851851852</v>
      </c>
      <c r="G1200" s="22">
        <v>378.71</v>
      </c>
      <c r="H1200">
        <v>0</v>
      </c>
      <c r="I1200" s="19" t="e">
        <f>I1199 + (D1200-G1200)</f>
        <v>#VALUE!</v>
      </c>
      <c r="M1200">
        <v>124528</v>
      </c>
      <c r="N1200">
        <v>24</v>
      </c>
      <c r="O1200" t="s">
        <v>68</v>
      </c>
      <c r="P1200">
        <v>1</v>
      </c>
      <c r="R1200">
        <v>1448</v>
      </c>
      <c r="S1200" s="17">
        <v>42158</v>
      </c>
      <c r="T1200" s="17">
        <v>42158</v>
      </c>
      <c r="W1200">
        <v>2015</v>
      </c>
      <c r="X1200">
        <v>24</v>
      </c>
      <c r="AC1200" t="s">
        <v>53</v>
      </c>
      <c r="AD1200" t="s">
        <v>302</v>
      </c>
      <c r="AE1200" t="s">
        <v>46</v>
      </c>
      <c r="AG1200">
        <v>7</v>
      </c>
      <c r="AH1200">
        <v>9</v>
      </c>
      <c r="AI1200" t="s">
        <v>54</v>
      </c>
      <c r="AK1200">
        <v>0</v>
      </c>
      <c r="AM1200">
        <v>0</v>
      </c>
      <c r="AP1200" t="s">
        <v>220</v>
      </c>
    </row>
    <row r="1201" spans="1:42" customFormat="1">
      <c r="A1201">
        <v>268641</v>
      </c>
      <c r="B1201" t="s">
        <v>344</v>
      </c>
      <c r="C1201" t="s">
        <v>345</v>
      </c>
      <c r="D1201" s="22">
        <v>0</v>
      </c>
      <c r="E1201" s="17">
        <v>42128</v>
      </c>
      <c r="F1201" s="18">
        <v>0.37737268518518513</v>
      </c>
      <c r="G1201" s="22">
        <v>14976.83</v>
      </c>
      <c r="H1201">
        <v>0</v>
      </c>
      <c r="I1201" s="19" t="e">
        <f>I1200 + (D1201-G1201)</f>
        <v>#VALUE!</v>
      </c>
      <c r="M1201">
        <v>122881</v>
      </c>
      <c r="N1201">
        <v>60</v>
      </c>
      <c r="O1201" t="s">
        <v>60</v>
      </c>
      <c r="P1201">
        <v>1</v>
      </c>
      <c r="R1201">
        <v>1459</v>
      </c>
      <c r="S1201" s="17">
        <v>42131</v>
      </c>
      <c r="T1201" s="17">
        <v>42131</v>
      </c>
      <c r="W1201">
        <v>2015</v>
      </c>
      <c r="X1201">
        <v>60</v>
      </c>
      <c r="AC1201" t="s">
        <v>112</v>
      </c>
      <c r="AD1201" t="s">
        <v>302</v>
      </c>
      <c r="AE1201" t="s">
        <v>46</v>
      </c>
      <c r="AG1201">
        <v>52</v>
      </c>
      <c r="AH1201">
        <v>10</v>
      </c>
      <c r="AI1201" t="s">
        <v>95</v>
      </c>
      <c r="AK1201">
        <v>0</v>
      </c>
      <c r="AM1201">
        <v>0</v>
      </c>
      <c r="AP1201" t="s">
        <v>325</v>
      </c>
    </row>
    <row r="1202" spans="1:42" customFormat="1">
      <c r="A1202">
        <v>270281</v>
      </c>
      <c r="B1202" t="s">
        <v>403</v>
      </c>
      <c r="C1202" t="s">
        <v>404</v>
      </c>
      <c r="D1202" s="22">
        <v>0</v>
      </c>
      <c r="E1202" s="17">
        <v>42128</v>
      </c>
      <c r="F1202" s="18">
        <v>0.44562499999999999</v>
      </c>
      <c r="G1202" s="22">
        <v>13909.26</v>
      </c>
      <c r="H1202">
        <v>0</v>
      </c>
      <c r="I1202" s="19" t="e">
        <f>I1201 + (D1202-G1202)</f>
        <v>#VALUE!</v>
      </c>
      <c r="M1202">
        <v>123621</v>
      </c>
      <c r="N1202">
        <v>7</v>
      </c>
      <c r="O1202" t="s">
        <v>44</v>
      </c>
      <c r="P1202">
        <v>2</v>
      </c>
      <c r="R1202">
        <v>1459</v>
      </c>
      <c r="S1202" s="17">
        <v>42143</v>
      </c>
      <c r="T1202" s="17">
        <v>42143</v>
      </c>
      <c r="W1202">
        <v>2015</v>
      </c>
      <c r="X1202">
        <v>7</v>
      </c>
      <c r="AC1202" t="s">
        <v>112</v>
      </c>
      <c r="AD1202" t="s">
        <v>302</v>
      </c>
      <c r="AE1202" t="s">
        <v>46</v>
      </c>
      <c r="AG1202">
        <v>116</v>
      </c>
      <c r="AH1202">
        <v>9</v>
      </c>
      <c r="AI1202" t="s">
        <v>54</v>
      </c>
      <c r="AK1202">
        <v>0</v>
      </c>
      <c r="AM1202">
        <v>0</v>
      </c>
      <c r="AP1202" t="s">
        <v>405</v>
      </c>
    </row>
    <row r="1203" spans="1:42" customFormat="1">
      <c r="A1203">
        <v>270294</v>
      </c>
      <c r="B1203" t="s">
        <v>428</v>
      </c>
      <c r="C1203" t="s">
        <v>429</v>
      </c>
      <c r="D1203" s="22">
        <v>0</v>
      </c>
      <c r="E1203" s="17">
        <v>42128</v>
      </c>
      <c r="F1203" s="18">
        <v>0.45652777777777781</v>
      </c>
      <c r="G1203" s="22">
        <v>62760.43</v>
      </c>
      <c r="H1203">
        <v>0</v>
      </c>
      <c r="I1203" s="19" t="e">
        <f>I1202 + (D1203-G1203)</f>
        <v>#VALUE!</v>
      </c>
      <c r="M1203">
        <v>123628</v>
      </c>
      <c r="N1203">
        <v>7</v>
      </c>
      <c r="O1203" t="s">
        <v>44</v>
      </c>
      <c r="P1203">
        <v>1</v>
      </c>
      <c r="R1203">
        <v>1459</v>
      </c>
      <c r="S1203" s="17">
        <v>42143</v>
      </c>
      <c r="T1203" s="17">
        <v>42143</v>
      </c>
      <c r="W1203">
        <v>2015</v>
      </c>
      <c r="X1203">
        <v>7</v>
      </c>
      <c r="AC1203" t="s">
        <v>112</v>
      </c>
      <c r="AD1203" t="s">
        <v>302</v>
      </c>
      <c r="AE1203" t="s">
        <v>46</v>
      </c>
      <c r="AG1203">
        <v>77</v>
      </c>
      <c r="AH1203">
        <v>9</v>
      </c>
      <c r="AI1203" t="s">
        <v>54</v>
      </c>
      <c r="AK1203">
        <v>0</v>
      </c>
      <c r="AM1203">
        <v>0</v>
      </c>
      <c r="AP1203" t="s">
        <v>427</v>
      </c>
    </row>
    <row r="1204" spans="1:42" customFormat="1">
      <c r="A1204">
        <v>269937</v>
      </c>
      <c r="B1204" t="s">
        <v>455</v>
      </c>
      <c r="C1204" t="s">
        <v>456</v>
      </c>
      <c r="D1204" s="22">
        <v>0</v>
      </c>
      <c r="E1204" s="17">
        <v>42128</v>
      </c>
      <c r="F1204" s="18">
        <v>0.47546296296296298</v>
      </c>
      <c r="G1204" s="22">
        <v>56883.98</v>
      </c>
      <c r="H1204">
        <v>0</v>
      </c>
      <c r="I1204" s="19" t="e">
        <f>I1203 + (D1204-G1204)</f>
        <v>#VALUE!</v>
      </c>
      <c r="M1204">
        <v>123319</v>
      </c>
      <c r="N1204">
        <v>24</v>
      </c>
      <c r="O1204" t="s">
        <v>68</v>
      </c>
      <c r="P1204">
        <v>1</v>
      </c>
      <c r="R1204">
        <v>1459</v>
      </c>
      <c r="S1204" s="17">
        <v>42138</v>
      </c>
      <c r="T1204" s="17">
        <v>42138</v>
      </c>
      <c r="W1204">
        <v>2015</v>
      </c>
      <c r="X1204">
        <v>24</v>
      </c>
      <c r="AC1204" t="s">
        <v>112</v>
      </c>
      <c r="AD1204" t="s">
        <v>302</v>
      </c>
      <c r="AE1204" t="s">
        <v>46</v>
      </c>
      <c r="AG1204">
        <v>33</v>
      </c>
      <c r="AH1204">
        <v>9</v>
      </c>
      <c r="AI1204" t="s">
        <v>54</v>
      </c>
      <c r="AK1204">
        <v>0</v>
      </c>
      <c r="AM1204">
        <v>0</v>
      </c>
      <c r="AP1204" t="s">
        <v>457</v>
      </c>
    </row>
    <row r="1205" spans="1:42" customFormat="1">
      <c r="A1205">
        <v>268446</v>
      </c>
      <c r="B1205" t="s">
        <v>996</v>
      </c>
      <c r="C1205" t="s">
        <v>997</v>
      </c>
      <c r="D1205" s="22">
        <v>0</v>
      </c>
      <c r="E1205" s="17">
        <v>42128</v>
      </c>
      <c r="F1205" s="18">
        <v>0.66571759259259256</v>
      </c>
      <c r="G1205" s="22">
        <v>53184.06</v>
      </c>
      <c r="H1205">
        <v>0</v>
      </c>
      <c r="I1205" s="19" t="e">
        <f>I1204 + (D1205-G1205)</f>
        <v>#VALUE!</v>
      </c>
      <c r="M1205">
        <v>122769</v>
      </c>
      <c r="N1205">
        <v>7</v>
      </c>
      <c r="O1205" t="s">
        <v>44</v>
      </c>
      <c r="P1205">
        <v>1</v>
      </c>
      <c r="R1205">
        <v>1459</v>
      </c>
      <c r="S1205" s="17">
        <v>42130</v>
      </c>
      <c r="T1205" s="17">
        <v>42130</v>
      </c>
      <c r="W1205">
        <v>2015</v>
      </c>
      <c r="X1205">
        <v>7</v>
      </c>
      <c r="AC1205" t="s">
        <v>112</v>
      </c>
      <c r="AD1205" t="s">
        <v>302</v>
      </c>
      <c r="AE1205" t="s">
        <v>46</v>
      </c>
      <c r="AG1205">
        <v>12</v>
      </c>
      <c r="AH1205">
        <v>10</v>
      </c>
      <c r="AI1205" t="s">
        <v>95</v>
      </c>
      <c r="AK1205">
        <v>0</v>
      </c>
      <c r="AM1205">
        <v>0</v>
      </c>
      <c r="AP1205" t="s">
        <v>392</v>
      </c>
    </row>
    <row r="1206" spans="1:42" customFormat="1">
      <c r="A1206">
        <v>268445</v>
      </c>
      <c r="B1206" t="s">
        <v>998</v>
      </c>
      <c r="C1206" t="s">
        <v>999</v>
      </c>
      <c r="D1206" s="22">
        <v>0</v>
      </c>
      <c r="E1206" s="17">
        <v>42128</v>
      </c>
      <c r="F1206" s="18">
        <v>0.66571759259259256</v>
      </c>
      <c r="G1206" s="22">
        <v>102809.03</v>
      </c>
      <c r="H1206">
        <v>0</v>
      </c>
      <c r="I1206" s="19" t="e">
        <f>I1205 + (D1206-G1206)</f>
        <v>#VALUE!</v>
      </c>
      <c r="M1206">
        <v>122768</v>
      </c>
      <c r="N1206">
        <v>7</v>
      </c>
      <c r="O1206" t="s">
        <v>44</v>
      </c>
      <c r="P1206">
        <v>1</v>
      </c>
      <c r="R1206">
        <v>1459</v>
      </c>
      <c r="S1206" s="17">
        <v>42130</v>
      </c>
      <c r="T1206" s="17">
        <v>42130</v>
      </c>
      <c r="W1206">
        <v>2015</v>
      </c>
      <c r="X1206">
        <v>7</v>
      </c>
      <c r="AC1206" t="s">
        <v>112</v>
      </c>
      <c r="AD1206" t="s">
        <v>302</v>
      </c>
      <c r="AE1206" t="s">
        <v>46</v>
      </c>
      <c r="AG1206">
        <v>12</v>
      </c>
      <c r="AH1206">
        <v>10</v>
      </c>
      <c r="AI1206" t="s">
        <v>95</v>
      </c>
      <c r="AK1206">
        <v>0</v>
      </c>
      <c r="AM1206">
        <v>0</v>
      </c>
      <c r="AP1206" t="s">
        <v>392</v>
      </c>
    </row>
    <row r="1207" spans="1:42" customFormat="1">
      <c r="A1207">
        <v>270296</v>
      </c>
      <c r="B1207" t="s">
        <v>1299</v>
      </c>
      <c r="C1207" t="s">
        <v>1300</v>
      </c>
      <c r="D1207" s="22">
        <v>0</v>
      </c>
      <c r="E1207" s="17">
        <v>42129</v>
      </c>
      <c r="F1207" s="18">
        <v>0.45666666666666672</v>
      </c>
      <c r="G1207" s="22">
        <v>15377.52</v>
      </c>
      <c r="H1207">
        <v>0</v>
      </c>
      <c r="I1207" s="19" t="e">
        <f>I1206 + (D1207-G1207)</f>
        <v>#VALUE!</v>
      </c>
      <c r="M1207">
        <v>123627</v>
      </c>
      <c r="N1207">
        <v>7</v>
      </c>
      <c r="O1207" t="s">
        <v>44</v>
      </c>
      <c r="P1207">
        <v>1</v>
      </c>
      <c r="R1207">
        <v>1459</v>
      </c>
      <c r="S1207" s="17">
        <v>42143</v>
      </c>
      <c r="T1207" s="17">
        <v>42143</v>
      </c>
      <c r="W1207">
        <v>2015</v>
      </c>
      <c r="X1207">
        <v>7</v>
      </c>
      <c r="AC1207" t="s">
        <v>112</v>
      </c>
      <c r="AD1207" t="s">
        <v>302</v>
      </c>
      <c r="AE1207" t="s">
        <v>46</v>
      </c>
      <c r="AG1207">
        <v>77</v>
      </c>
      <c r="AH1207">
        <v>9</v>
      </c>
      <c r="AI1207" t="s">
        <v>54</v>
      </c>
      <c r="AK1207">
        <v>0</v>
      </c>
      <c r="AM1207">
        <v>0</v>
      </c>
      <c r="AP1207" t="s">
        <v>427</v>
      </c>
    </row>
    <row r="1208" spans="1:42" customFormat="1">
      <c r="A1208">
        <v>269532</v>
      </c>
      <c r="B1208" t="s">
        <v>1305</v>
      </c>
      <c r="C1208" t="s">
        <v>1306</v>
      </c>
      <c r="D1208" s="22">
        <v>0</v>
      </c>
      <c r="E1208" s="17">
        <v>42129</v>
      </c>
      <c r="F1208" s="18">
        <v>0.45751157407407406</v>
      </c>
      <c r="G1208" s="22">
        <v>8240.73</v>
      </c>
      <c r="H1208">
        <v>0</v>
      </c>
      <c r="I1208" s="19" t="e">
        <f>I1207 + (D1208-G1208)</f>
        <v>#VALUE!</v>
      </c>
      <c r="M1208">
        <v>123177</v>
      </c>
      <c r="N1208">
        <v>24</v>
      </c>
      <c r="O1208" t="s">
        <v>68</v>
      </c>
      <c r="P1208">
        <v>1</v>
      </c>
      <c r="R1208">
        <v>1459</v>
      </c>
      <c r="S1208" s="17">
        <v>42136</v>
      </c>
      <c r="T1208" s="17">
        <v>42136</v>
      </c>
      <c r="W1208">
        <v>2015</v>
      </c>
      <c r="X1208">
        <v>24</v>
      </c>
      <c r="AC1208" t="s">
        <v>112</v>
      </c>
      <c r="AD1208" t="s">
        <v>302</v>
      </c>
      <c r="AE1208" t="s">
        <v>46</v>
      </c>
      <c r="AG1208">
        <v>118</v>
      </c>
      <c r="AH1208">
        <v>9</v>
      </c>
      <c r="AI1208" t="s">
        <v>54</v>
      </c>
      <c r="AK1208">
        <v>0</v>
      </c>
      <c r="AM1208">
        <v>0</v>
      </c>
      <c r="AP1208" t="s">
        <v>418</v>
      </c>
    </row>
    <row r="1209" spans="1:42" customFormat="1">
      <c r="A1209">
        <v>268485</v>
      </c>
      <c r="B1209" t="s">
        <v>1563</v>
      </c>
      <c r="C1209" t="s">
        <v>1564</v>
      </c>
      <c r="D1209" s="22">
        <v>0</v>
      </c>
      <c r="E1209" s="17">
        <v>42129</v>
      </c>
      <c r="F1209" s="18">
        <v>0.6802083333333333</v>
      </c>
      <c r="G1209" s="22">
        <v>16491.09</v>
      </c>
      <c r="H1209">
        <v>0</v>
      </c>
      <c r="I1209" s="19" t="e">
        <f>I1208 + (D1209-G1209)</f>
        <v>#VALUE!</v>
      </c>
      <c r="M1209">
        <v>122770</v>
      </c>
      <c r="N1209">
        <v>7</v>
      </c>
      <c r="O1209" t="s">
        <v>44</v>
      </c>
      <c r="P1209">
        <v>1</v>
      </c>
      <c r="R1209">
        <v>1459</v>
      </c>
      <c r="S1209" s="17">
        <v>42130</v>
      </c>
      <c r="T1209" s="17">
        <v>42130</v>
      </c>
      <c r="W1209">
        <v>2015</v>
      </c>
      <c r="X1209">
        <v>7</v>
      </c>
      <c r="AC1209" t="s">
        <v>112</v>
      </c>
      <c r="AD1209" t="s">
        <v>302</v>
      </c>
      <c r="AE1209" t="s">
        <v>46</v>
      </c>
      <c r="AG1209">
        <v>12</v>
      </c>
      <c r="AH1209">
        <v>10</v>
      </c>
      <c r="AI1209" t="s">
        <v>95</v>
      </c>
      <c r="AK1209">
        <v>0</v>
      </c>
      <c r="AM1209">
        <v>0</v>
      </c>
      <c r="AP1209" t="s">
        <v>392</v>
      </c>
    </row>
    <row r="1210" spans="1:42" customFormat="1">
      <c r="A1210">
        <v>268904</v>
      </c>
      <c r="B1210" t="s">
        <v>1717</v>
      </c>
      <c r="C1210" t="s">
        <v>1718</v>
      </c>
      <c r="D1210" s="22">
        <v>0</v>
      </c>
      <c r="E1210" s="17">
        <v>42130</v>
      </c>
      <c r="F1210" s="18">
        <v>0.61261574074074077</v>
      </c>
      <c r="G1210" s="22">
        <v>16101.63</v>
      </c>
      <c r="H1210">
        <v>0</v>
      </c>
      <c r="I1210" s="19" t="e">
        <f>I1209 + (D1210-G1210)</f>
        <v>#VALUE!</v>
      </c>
      <c r="M1210">
        <v>122956</v>
      </c>
      <c r="N1210">
        <v>24</v>
      </c>
      <c r="O1210" t="s">
        <v>68</v>
      </c>
      <c r="P1210">
        <v>1</v>
      </c>
      <c r="R1210">
        <v>1459</v>
      </c>
      <c r="S1210" s="17">
        <v>42135</v>
      </c>
      <c r="T1210" s="17">
        <v>42135</v>
      </c>
      <c r="W1210">
        <v>2015</v>
      </c>
      <c r="X1210">
        <v>24</v>
      </c>
      <c r="AC1210" t="s">
        <v>112</v>
      </c>
      <c r="AD1210" t="s">
        <v>302</v>
      </c>
      <c r="AE1210" t="s">
        <v>46</v>
      </c>
      <c r="AG1210">
        <v>12</v>
      </c>
      <c r="AH1210">
        <v>10</v>
      </c>
      <c r="AI1210" t="s">
        <v>95</v>
      </c>
      <c r="AK1210">
        <v>0</v>
      </c>
      <c r="AM1210">
        <v>0</v>
      </c>
      <c r="AP1210" t="s">
        <v>392</v>
      </c>
    </row>
    <row r="1211" spans="1:42" customFormat="1">
      <c r="A1211">
        <v>269971</v>
      </c>
      <c r="B1211" t="s">
        <v>2000</v>
      </c>
      <c r="C1211" t="s">
        <v>2001</v>
      </c>
      <c r="D1211" s="22">
        <v>0</v>
      </c>
      <c r="E1211" s="17">
        <v>42131</v>
      </c>
      <c r="F1211" s="18">
        <v>0.59087962962962959</v>
      </c>
      <c r="G1211" s="22">
        <v>4898.33</v>
      </c>
      <c r="H1211">
        <v>0</v>
      </c>
      <c r="I1211" s="19" t="e">
        <f>I1210 + (D1211-G1211)</f>
        <v>#VALUE!</v>
      </c>
      <c r="M1211">
        <v>123048</v>
      </c>
      <c r="N1211">
        <v>24</v>
      </c>
      <c r="O1211" t="s">
        <v>68</v>
      </c>
      <c r="P1211">
        <v>1</v>
      </c>
      <c r="R1211">
        <v>1459</v>
      </c>
      <c r="S1211" s="17">
        <v>42139</v>
      </c>
      <c r="T1211" s="17">
        <v>42139</v>
      </c>
      <c r="W1211">
        <v>2015</v>
      </c>
      <c r="X1211">
        <v>24</v>
      </c>
      <c r="AC1211" t="s">
        <v>112</v>
      </c>
      <c r="AD1211" t="s">
        <v>302</v>
      </c>
      <c r="AE1211" t="s">
        <v>46</v>
      </c>
      <c r="AG1211">
        <v>12</v>
      </c>
      <c r="AH1211">
        <v>10</v>
      </c>
      <c r="AI1211" t="s">
        <v>95</v>
      </c>
      <c r="AK1211">
        <v>0</v>
      </c>
      <c r="AM1211">
        <v>0</v>
      </c>
      <c r="AP1211" t="s">
        <v>392</v>
      </c>
    </row>
    <row r="1212" spans="1:42" customFormat="1">
      <c r="A1212">
        <v>269081</v>
      </c>
      <c r="B1212" t="s">
        <v>2004</v>
      </c>
      <c r="C1212" t="s">
        <v>2005</v>
      </c>
      <c r="D1212" s="22">
        <v>0</v>
      </c>
      <c r="E1212" s="17">
        <v>42131</v>
      </c>
      <c r="F1212" s="18">
        <v>0.62942129629629628</v>
      </c>
      <c r="G1212" s="22">
        <v>1853.76</v>
      </c>
      <c r="H1212">
        <v>0</v>
      </c>
      <c r="I1212" s="19" t="e">
        <f>I1211 + (D1212-G1212)</f>
        <v>#VALUE!</v>
      </c>
      <c r="M1212">
        <v>123047</v>
      </c>
      <c r="N1212">
        <v>24</v>
      </c>
      <c r="O1212" t="s">
        <v>68</v>
      </c>
      <c r="P1212">
        <v>1</v>
      </c>
      <c r="R1212">
        <v>1459</v>
      </c>
      <c r="S1212" s="17">
        <v>42135</v>
      </c>
      <c r="T1212" s="17">
        <v>42135</v>
      </c>
      <c r="W1212">
        <v>2015</v>
      </c>
      <c r="X1212">
        <v>24</v>
      </c>
      <c r="AC1212" t="s">
        <v>112</v>
      </c>
      <c r="AD1212" t="s">
        <v>302</v>
      </c>
      <c r="AE1212" t="s">
        <v>46</v>
      </c>
      <c r="AG1212">
        <v>12</v>
      </c>
      <c r="AH1212">
        <v>10</v>
      </c>
      <c r="AI1212" t="s">
        <v>95</v>
      </c>
      <c r="AK1212">
        <v>0</v>
      </c>
      <c r="AM1212">
        <v>0</v>
      </c>
      <c r="AP1212" t="s">
        <v>392</v>
      </c>
    </row>
    <row r="1213" spans="1:42" customFormat="1">
      <c r="A1213">
        <v>269552</v>
      </c>
      <c r="B1213" t="s">
        <v>2200</v>
      </c>
      <c r="C1213" t="s">
        <v>2201</v>
      </c>
      <c r="D1213" s="22">
        <v>0</v>
      </c>
      <c r="E1213" s="17">
        <v>42132</v>
      </c>
      <c r="F1213" s="18">
        <v>0.46652777777777782</v>
      </c>
      <c r="G1213" s="22">
        <v>341.04</v>
      </c>
      <c r="H1213">
        <v>0</v>
      </c>
      <c r="I1213" s="19" t="e">
        <f>I1212 + (D1213-G1213)</f>
        <v>#VALUE!</v>
      </c>
      <c r="M1213">
        <v>123195</v>
      </c>
      <c r="N1213">
        <v>24</v>
      </c>
      <c r="O1213" t="s">
        <v>68</v>
      </c>
      <c r="P1213">
        <v>1</v>
      </c>
      <c r="R1213">
        <v>1459</v>
      </c>
      <c r="S1213" s="17">
        <v>42136</v>
      </c>
      <c r="T1213" s="17">
        <v>42136</v>
      </c>
      <c r="W1213">
        <v>2015</v>
      </c>
      <c r="X1213">
        <v>24</v>
      </c>
      <c r="AC1213" t="s">
        <v>112</v>
      </c>
      <c r="AD1213" t="s">
        <v>302</v>
      </c>
      <c r="AE1213" t="s">
        <v>46</v>
      </c>
      <c r="AG1213">
        <v>8</v>
      </c>
      <c r="AH1213">
        <v>9</v>
      </c>
      <c r="AI1213" t="s">
        <v>54</v>
      </c>
      <c r="AK1213">
        <v>0</v>
      </c>
      <c r="AM1213">
        <v>0</v>
      </c>
      <c r="AP1213" t="s">
        <v>1201</v>
      </c>
    </row>
    <row r="1214" spans="1:42" customFormat="1">
      <c r="A1214">
        <v>269116</v>
      </c>
      <c r="B1214" t="s">
        <v>2225</v>
      </c>
      <c r="C1214" t="s">
        <v>2226</v>
      </c>
      <c r="D1214" s="22">
        <v>0</v>
      </c>
      <c r="E1214" s="17">
        <v>42132</v>
      </c>
      <c r="F1214" s="18">
        <v>0.63543981481481482</v>
      </c>
      <c r="G1214" s="22">
        <v>11268.27</v>
      </c>
      <c r="H1214">
        <v>0</v>
      </c>
      <c r="I1214" s="19" t="e">
        <f>I1213 + (D1214-G1214)</f>
        <v>#VALUE!</v>
      </c>
      <c r="M1214">
        <v>123067</v>
      </c>
      <c r="N1214">
        <v>24</v>
      </c>
      <c r="O1214" t="s">
        <v>68</v>
      </c>
      <c r="P1214">
        <v>1</v>
      </c>
      <c r="R1214">
        <v>1459</v>
      </c>
      <c r="S1214" s="17">
        <v>42135</v>
      </c>
      <c r="T1214" s="17">
        <v>42135</v>
      </c>
      <c r="W1214">
        <v>2015</v>
      </c>
      <c r="X1214">
        <v>24</v>
      </c>
      <c r="AC1214" t="s">
        <v>112</v>
      </c>
      <c r="AD1214" t="s">
        <v>302</v>
      </c>
      <c r="AE1214" t="s">
        <v>46</v>
      </c>
      <c r="AG1214">
        <v>12</v>
      </c>
      <c r="AH1214">
        <v>10</v>
      </c>
      <c r="AI1214" t="s">
        <v>95</v>
      </c>
      <c r="AK1214">
        <v>0</v>
      </c>
      <c r="AM1214">
        <v>0</v>
      </c>
      <c r="AP1214" t="s">
        <v>392</v>
      </c>
    </row>
    <row r="1215" spans="1:42" customFormat="1">
      <c r="A1215">
        <v>269895</v>
      </c>
      <c r="B1215" t="s">
        <v>2495</v>
      </c>
      <c r="C1215" t="s">
        <v>2496</v>
      </c>
      <c r="D1215" s="22">
        <v>0</v>
      </c>
      <c r="E1215" s="17">
        <v>42135</v>
      </c>
      <c r="F1215" s="18">
        <v>0.43677083333333333</v>
      </c>
      <c r="G1215" s="22">
        <v>3497.09</v>
      </c>
      <c r="H1215">
        <v>0</v>
      </c>
      <c r="I1215" s="19" t="e">
        <f>I1214 + (D1215-G1215)</f>
        <v>#VALUE!</v>
      </c>
      <c r="M1215">
        <v>123295</v>
      </c>
      <c r="N1215">
        <v>24</v>
      </c>
      <c r="O1215" t="s">
        <v>68</v>
      </c>
      <c r="P1215">
        <v>1</v>
      </c>
      <c r="R1215">
        <v>1459</v>
      </c>
      <c r="S1215" s="17">
        <v>42138</v>
      </c>
      <c r="T1215" s="17">
        <v>42138</v>
      </c>
      <c r="W1215">
        <v>2015</v>
      </c>
      <c r="X1215">
        <v>24</v>
      </c>
      <c r="AC1215" t="s">
        <v>112</v>
      </c>
      <c r="AD1215" t="s">
        <v>302</v>
      </c>
      <c r="AE1215" t="s">
        <v>46</v>
      </c>
      <c r="AG1215">
        <v>12</v>
      </c>
      <c r="AH1215">
        <v>10</v>
      </c>
      <c r="AI1215" t="s">
        <v>95</v>
      </c>
      <c r="AK1215">
        <v>0</v>
      </c>
      <c r="AM1215">
        <v>0</v>
      </c>
      <c r="AP1215" t="s">
        <v>392</v>
      </c>
    </row>
    <row r="1216" spans="1:42" customFormat="1">
      <c r="A1216">
        <v>269905</v>
      </c>
      <c r="B1216" t="s">
        <v>2902</v>
      </c>
      <c r="C1216" t="s">
        <v>2903</v>
      </c>
      <c r="D1216" s="22">
        <v>0</v>
      </c>
      <c r="E1216" s="17">
        <v>42136</v>
      </c>
      <c r="F1216" s="18">
        <v>0.45181712962962961</v>
      </c>
      <c r="G1216" s="22">
        <v>3779.25</v>
      </c>
      <c r="H1216">
        <v>0</v>
      </c>
      <c r="I1216" s="19" t="e">
        <f>I1215 + (D1216-G1216)</f>
        <v>#VALUE!</v>
      </c>
      <c r="M1216">
        <v>123303</v>
      </c>
      <c r="N1216">
        <v>24</v>
      </c>
      <c r="O1216" t="s">
        <v>68</v>
      </c>
      <c r="P1216">
        <v>1</v>
      </c>
      <c r="R1216">
        <v>1459</v>
      </c>
      <c r="S1216" s="17">
        <v>42138</v>
      </c>
      <c r="T1216" s="17">
        <v>42138</v>
      </c>
      <c r="W1216">
        <v>2015</v>
      </c>
      <c r="X1216">
        <v>24</v>
      </c>
      <c r="AC1216" t="s">
        <v>112</v>
      </c>
      <c r="AD1216" t="s">
        <v>302</v>
      </c>
      <c r="AE1216" t="s">
        <v>46</v>
      </c>
      <c r="AG1216">
        <v>12</v>
      </c>
      <c r="AH1216">
        <v>10</v>
      </c>
      <c r="AI1216" t="s">
        <v>95</v>
      </c>
      <c r="AK1216">
        <v>0</v>
      </c>
      <c r="AM1216">
        <v>0</v>
      </c>
      <c r="AP1216" t="s">
        <v>392</v>
      </c>
    </row>
    <row r="1217" spans="1:42" customFormat="1">
      <c r="A1217">
        <v>270553</v>
      </c>
      <c r="B1217" t="s">
        <v>3526</v>
      </c>
      <c r="C1217" t="s">
        <v>3527</v>
      </c>
      <c r="D1217" s="22">
        <v>0</v>
      </c>
      <c r="E1217" s="17">
        <v>42142</v>
      </c>
      <c r="F1217" s="18">
        <v>0.41005787037037034</v>
      </c>
      <c r="G1217" s="22">
        <v>9195.64</v>
      </c>
      <c r="H1217">
        <v>0</v>
      </c>
      <c r="I1217" s="19" t="e">
        <f>I1216 + (D1217-G1217)</f>
        <v>#VALUE!</v>
      </c>
      <c r="M1217">
        <v>123733</v>
      </c>
      <c r="N1217">
        <v>24</v>
      </c>
      <c r="O1217" t="s">
        <v>68</v>
      </c>
      <c r="P1217">
        <v>1</v>
      </c>
      <c r="R1217">
        <v>1459</v>
      </c>
      <c r="S1217" s="17">
        <v>42145</v>
      </c>
      <c r="T1217" s="17">
        <v>42145</v>
      </c>
      <c r="W1217">
        <v>2015</v>
      </c>
      <c r="X1217">
        <v>24</v>
      </c>
      <c r="AC1217" t="s">
        <v>112</v>
      </c>
      <c r="AD1217" t="s">
        <v>302</v>
      </c>
      <c r="AE1217" t="s">
        <v>46</v>
      </c>
      <c r="AG1217">
        <v>52</v>
      </c>
      <c r="AH1217">
        <v>10</v>
      </c>
      <c r="AI1217" t="s">
        <v>95</v>
      </c>
      <c r="AK1217">
        <v>0</v>
      </c>
      <c r="AM1217">
        <v>0</v>
      </c>
      <c r="AP1217" t="s">
        <v>325</v>
      </c>
    </row>
    <row r="1218" spans="1:42" customFormat="1">
      <c r="A1218">
        <v>272817</v>
      </c>
      <c r="B1218" t="s">
        <v>3547</v>
      </c>
      <c r="C1218" t="s">
        <v>3548</v>
      </c>
      <c r="D1218" s="22">
        <v>0</v>
      </c>
      <c r="E1218" s="17">
        <v>42142</v>
      </c>
      <c r="F1218" s="18">
        <v>0.45482638888888888</v>
      </c>
      <c r="G1218" s="22">
        <v>1415.04</v>
      </c>
      <c r="H1218">
        <v>0</v>
      </c>
      <c r="I1218" s="19" t="e">
        <f>I1217 + (D1218-G1218)</f>
        <v>#VALUE!</v>
      </c>
      <c r="M1218">
        <v>125062</v>
      </c>
      <c r="N1218">
        <v>24</v>
      </c>
      <c r="O1218" t="s">
        <v>68</v>
      </c>
      <c r="P1218">
        <v>1</v>
      </c>
      <c r="R1218">
        <v>1459</v>
      </c>
      <c r="S1218" s="17">
        <v>42166</v>
      </c>
      <c r="T1218" s="17">
        <v>42166</v>
      </c>
      <c r="W1218">
        <v>2015</v>
      </c>
      <c r="X1218">
        <v>24</v>
      </c>
      <c r="AC1218" t="s">
        <v>112</v>
      </c>
      <c r="AD1218" t="s">
        <v>302</v>
      </c>
      <c r="AE1218" t="s">
        <v>46</v>
      </c>
      <c r="AG1218">
        <v>12</v>
      </c>
      <c r="AH1218">
        <v>10</v>
      </c>
      <c r="AI1218" t="s">
        <v>95</v>
      </c>
      <c r="AK1218">
        <v>0</v>
      </c>
      <c r="AM1218">
        <v>0</v>
      </c>
      <c r="AP1218" t="s">
        <v>392</v>
      </c>
    </row>
    <row r="1219" spans="1:42" customFormat="1">
      <c r="A1219">
        <v>271064</v>
      </c>
      <c r="B1219" t="s">
        <v>4166</v>
      </c>
      <c r="C1219" t="s">
        <v>4167</v>
      </c>
      <c r="D1219" s="22">
        <v>0</v>
      </c>
      <c r="E1219" s="17">
        <v>42146</v>
      </c>
      <c r="F1219" s="18">
        <v>0.56359953703703702</v>
      </c>
      <c r="G1219" s="22">
        <v>923.86</v>
      </c>
      <c r="H1219">
        <v>0</v>
      </c>
      <c r="I1219" s="19" t="e">
        <f>I1218 + (D1219-G1219)</f>
        <v>#VALUE!</v>
      </c>
      <c r="M1219">
        <v>124041</v>
      </c>
      <c r="N1219">
        <v>24</v>
      </c>
      <c r="O1219" t="s">
        <v>68</v>
      </c>
      <c r="P1219">
        <v>1</v>
      </c>
      <c r="R1219">
        <v>1459</v>
      </c>
      <c r="S1219" s="17">
        <v>42150</v>
      </c>
      <c r="T1219" s="17">
        <v>42150</v>
      </c>
      <c r="W1219">
        <v>2015</v>
      </c>
      <c r="X1219">
        <v>24</v>
      </c>
      <c r="AC1219" t="s">
        <v>112</v>
      </c>
      <c r="AD1219" t="s">
        <v>302</v>
      </c>
      <c r="AE1219" t="s">
        <v>46</v>
      </c>
      <c r="AG1219">
        <v>52</v>
      </c>
      <c r="AH1219">
        <v>10</v>
      </c>
      <c r="AI1219" t="s">
        <v>95</v>
      </c>
      <c r="AK1219">
        <v>0</v>
      </c>
      <c r="AM1219">
        <v>0</v>
      </c>
      <c r="AP1219" t="s">
        <v>325</v>
      </c>
    </row>
    <row r="1220" spans="1:42" customFormat="1">
      <c r="A1220">
        <v>273039</v>
      </c>
      <c r="B1220" t="s">
        <v>5307</v>
      </c>
      <c r="C1220" t="s">
        <v>5308</v>
      </c>
      <c r="D1220" s="22">
        <v>0</v>
      </c>
      <c r="E1220" s="17">
        <v>42153</v>
      </c>
      <c r="F1220" s="18">
        <v>0.42798611111111112</v>
      </c>
      <c r="G1220" s="22">
        <v>38.659999999999997</v>
      </c>
      <c r="H1220">
        <v>0</v>
      </c>
      <c r="I1220" s="19" t="e">
        <f>I1219 + (D1220-G1220)</f>
        <v>#VALUE!</v>
      </c>
      <c r="M1220">
        <v>125186</v>
      </c>
      <c r="N1220">
        <v>24</v>
      </c>
      <c r="O1220" t="s">
        <v>68</v>
      </c>
      <c r="P1220">
        <v>1</v>
      </c>
      <c r="R1220">
        <v>1459</v>
      </c>
      <c r="S1220" s="17">
        <v>42167</v>
      </c>
      <c r="T1220" s="17">
        <v>42167</v>
      </c>
      <c r="W1220">
        <v>2015</v>
      </c>
      <c r="X1220">
        <v>24</v>
      </c>
      <c r="AC1220" t="s">
        <v>112</v>
      </c>
      <c r="AD1220" t="s">
        <v>302</v>
      </c>
      <c r="AE1220" t="s">
        <v>46</v>
      </c>
      <c r="AG1220">
        <v>5</v>
      </c>
      <c r="AH1220">
        <v>9</v>
      </c>
      <c r="AI1220" t="s">
        <v>54</v>
      </c>
      <c r="AK1220">
        <v>0</v>
      </c>
      <c r="AM1220">
        <v>0</v>
      </c>
      <c r="AP1220" t="s">
        <v>312</v>
      </c>
    </row>
    <row r="1221" spans="1:42" customFormat="1">
      <c r="A1221">
        <v>271388</v>
      </c>
      <c r="B1221" t="s">
        <v>4924</v>
      </c>
      <c r="C1221" t="s">
        <v>4925</v>
      </c>
      <c r="D1221" s="22">
        <v>0</v>
      </c>
      <c r="E1221" s="17">
        <v>42150</v>
      </c>
      <c r="F1221" s="18">
        <v>0.69407407407407407</v>
      </c>
      <c r="G1221" s="22">
        <v>5834.08</v>
      </c>
      <c r="H1221">
        <v>0</v>
      </c>
      <c r="I1221" s="19" t="e">
        <f>I1220 + (D1221-G1221)</f>
        <v>#VALUE!</v>
      </c>
      <c r="M1221">
        <v>124265</v>
      </c>
      <c r="N1221">
        <v>24</v>
      </c>
      <c r="O1221" t="s">
        <v>68</v>
      </c>
      <c r="P1221">
        <v>1</v>
      </c>
      <c r="R1221">
        <v>892</v>
      </c>
      <c r="S1221" s="17">
        <v>42151</v>
      </c>
      <c r="T1221" s="17">
        <v>42151</v>
      </c>
      <c r="W1221">
        <v>2015</v>
      </c>
      <c r="X1221">
        <v>24</v>
      </c>
      <c r="AC1221" t="s">
        <v>105</v>
      </c>
      <c r="AD1221" t="s">
        <v>301</v>
      </c>
      <c r="AE1221" t="s">
        <v>46</v>
      </c>
      <c r="AG1221">
        <v>26</v>
      </c>
      <c r="AH1221">
        <v>9</v>
      </c>
      <c r="AI1221" t="s">
        <v>54</v>
      </c>
      <c r="AK1221">
        <v>0</v>
      </c>
      <c r="AM1221">
        <v>0</v>
      </c>
      <c r="AP1221" t="s">
        <v>501</v>
      </c>
    </row>
    <row r="1222" spans="1:42" customFormat="1">
      <c r="A1222">
        <v>267657</v>
      </c>
      <c r="B1222" t="s">
        <v>1217</v>
      </c>
      <c r="C1222" t="s">
        <v>1218</v>
      </c>
      <c r="D1222" s="22">
        <v>0</v>
      </c>
      <c r="E1222" s="17">
        <v>42128</v>
      </c>
      <c r="F1222" s="18">
        <v>0.72434027777777776</v>
      </c>
      <c r="G1222" s="22">
        <v>150</v>
      </c>
      <c r="H1222">
        <v>0</v>
      </c>
      <c r="I1222" s="19" t="e">
        <f>I1221 + (D1222-G1222)</f>
        <v>#VALUE!</v>
      </c>
      <c r="M1222">
        <v>122354</v>
      </c>
      <c r="N1222">
        <v>24</v>
      </c>
      <c r="O1222" t="s">
        <v>68</v>
      </c>
      <c r="P1222">
        <v>1</v>
      </c>
      <c r="R1222">
        <v>1455</v>
      </c>
      <c r="S1222" s="17">
        <v>42129</v>
      </c>
      <c r="T1222" s="17">
        <v>42129</v>
      </c>
      <c r="W1222">
        <v>2015</v>
      </c>
      <c r="X1222">
        <v>24</v>
      </c>
      <c r="AC1222" t="s">
        <v>88</v>
      </c>
      <c r="AD1222" t="s">
        <v>301</v>
      </c>
      <c r="AE1222" t="s">
        <v>46</v>
      </c>
      <c r="AG1222">
        <v>56</v>
      </c>
      <c r="AH1222">
        <v>1</v>
      </c>
      <c r="AI1222" t="s">
        <v>58</v>
      </c>
      <c r="AK1222">
        <v>0</v>
      </c>
      <c r="AM1222">
        <v>0</v>
      </c>
      <c r="AP1222" t="s">
        <v>59</v>
      </c>
    </row>
    <row r="1223" spans="1:42" customFormat="1">
      <c r="A1223">
        <v>267048</v>
      </c>
      <c r="B1223" t="s">
        <v>1243</v>
      </c>
      <c r="C1223" t="s">
        <v>1244</v>
      </c>
      <c r="D1223" s="22">
        <v>0</v>
      </c>
      <c r="E1223" s="17">
        <v>42128</v>
      </c>
      <c r="F1223" s="18">
        <v>0.7478125000000001</v>
      </c>
      <c r="G1223" s="22">
        <v>128.54</v>
      </c>
      <c r="H1223">
        <v>0</v>
      </c>
      <c r="I1223" s="19" t="e">
        <f>I1222 + (D1223-G1223)</f>
        <v>#VALUE!</v>
      </c>
      <c r="M1223">
        <v>121958</v>
      </c>
      <c r="N1223">
        <v>24</v>
      </c>
      <c r="O1223" t="s">
        <v>68</v>
      </c>
      <c r="P1223">
        <v>1</v>
      </c>
      <c r="R1223">
        <v>1455</v>
      </c>
      <c r="S1223" s="17">
        <v>42128</v>
      </c>
      <c r="T1223" s="17">
        <v>42128</v>
      </c>
      <c r="W1223">
        <v>2015</v>
      </c>
      <c r="X1223">
        <v>24</v>
      </c>
      <c r="AC1223" t="s">
        <v>88</v>
      </c>
      <c r="AD1223" t="s">
        <v>301</v>
      </c>
      <c r="AE1223" t="s">
        <v>46</v>
      </c>
      <c r="AG1223">
        <v>56</v>
      </c>
      <c r="AH1223">
        <v>1</v>
      </c>
      <c r="AI1223" t="s">
        <v>58</v>
      </c>
      <c r="AK1223">
        <v>0</v>
      </c>
      <c r="AM1223">
        <v>0</v>
      </c>
      <c r="AP1223" t="s">
        <v>59</v>
      </c>
    </row>
    <row r="1224" spans="1:42" customFormat="1">
      <c r="A1224">
        <v>267683</v>
      </c>
      <c r="B1224" t="s">
        <v>1251</v>
      </c>
      <c r="C1224" t="s">
        <v>1252</v>
      </c>
      <c r="D1224" s="22">
        <v>0</v>
      </c>
      <c r="E1224" s="17">
        <v>42128</v>
      </c>
      <c r="F1224" s="18">
        <v>0.75528935185185186</v>
      </c>
      <c r="G1224" s="22">
        <v>1156</v>
      </c>
      <c r="H1224">
        <v>0</v>
      </c>
      <c r="I1224" s="19" t="e">
        <f>I1223 + (D1224-G1224)</f>
        <v>#VALUE!</v>
      </c>
      <c r="M1224">
        <v>114144</v>
      </c>
      <c r="N1224">
        <v>24</v>
      </c>
      <c r="O1224" t="s">
        <v>68</v>
      </c>
      <c r="P1224">
        <v>1</v>
      </c>
      <c r="R1224">
        <v>1455</v>
      </c>
      <c r="S1224" s="17">
        <v>42129</v>
      </c>
      <c r="T1224" s="17">
        <v>42129</v>
      </c>
      <c r="W1224">
        <v>2015</v>
      </c>
      <c r="X1224">
        <v>24</v>
      </c>
      <c r="AC1224" t="s">
        <v>88</v>
      </c>
      <c r="AD1224" t="s">
        <v>301</v>
      </c>
      <c r="AE1224" t="s">
        <v>46</v>
      </c>
      <c r="AG1224">
        <v>26</v>
      </c>
      <c r="AH1224">
        <v>9</v>
      </c>
      <c r="AI1224" t="s">
        <v>54</v>
      </c>
      <c r="AK1224">
        <v>0</v>
      </c>
      <c r="AM1224">
        <v>0</v>
      </c>
      <c r="AP1224" t="s">
        <v>501</v>
      </c>
    </row>
    <row r="1225" spans="1:42" customFormat="1">
      <c r="A1225">
        <v>267686</v>
      </c>
      <c r="B1225" t="s">
        <v>1257</v>
      </c>
      <c r="C1225" t="s">
        <v>1258</v>
      </c>
      <c r="D1225" s="22">
        <v>0</v>
      </c>
      <c r="E1225" s="17">
        <v>42128</v>
      </c>
      <c r="F1225" s="18">
        <v>0.75665509259259256</v>
      </c>
      <c r="G1225" s="22">
        <v>726.93</v>
      </c>
      <c r="H1225">
        <v>0</v>
      </c>
      <c r="I1225" s="19" t="e">
        <f>I1224 + (D1225-G1225)</f>
        <v>#VALUE!</v>
      </c>
      <c r="M1225">
        <v>122387</v>
      </c>
      <c r="N1225">
        <v>24</v>
      </c>
      <c r="O1225" t="s">
        <v>68</v>
      </c>
      <c r="P1225">
        <v>1</v>
      </c>
      <c r="R1225">
        <v>1455</v>
      </c>
      <c r="S1225" s="17">
        <v>42129</v>
      </c>
      <c r="T1225" s="17">
        <v>42129</v>
      </c>
      <c r="W1225">
        <v>2015</v>
      </c>
      <c r="X1225">
        <v>24</v>
      </c>
      <c r="AC1225" t="s">
        <v>88</v>
      </c>
      <c r="AD1225" t="s">
        <v>301</v>
      </c>
      <c r="AE1225" t="s">
        <v>46</v>
      </c>
      <c r="AG1225">
        <v>26</v>
      </c>
      <c r="AH1225">
        <v>9</v>
      </c>
      <c r="AI1225" t="s">
        <v>54</v>
      </c>
      <c r="AK1225">
        <v>0</v>
      </c>
      <c r="AM1225">
        <v>0</v>
      </c>
      <c r="AP1225" t="s">
        <v>501</v>
      </c>
    </row>
    <row r="1226" spans="1:42" customFormat="1">
      <c r="A1226">
        <v>267690</v>
      </c>
      <c r="B1226" t="s">
        <v>1267</v>
      </c>
      <c r="C1226" t="s">
        <v>1268</v>
      </c>
      <c r="D1226" s="22">
        <v>0</v>
      </c>
      <c r="E1226" s="17">
        <v>42128</v>
      </c>
      <c r="F1226" s="18">
        <v>0.7584953703703704</v>
      </c>
      <c r="G1226" s="22">
        <v>109.5</v>
      </c>
      <c r="H1226">
        <v>0</v>
      </c>
      <c r="I1226" s="19" t="e">
        <f>I1225 + (D1226-G1226)</f>
        <v>#VALUE!</v>
      </c>
      <c r="M1226">
        <v>114155</v>
      </c>
      <c r="N1226">
        <v>24</v>
      </c>
      <c r="O1226" t="s">
        <v>68</v>
      </c>
      <c r="P1226">
        <v>1</v>
      </c>
      <c r="R1226">
        <v>1455</v>
      </c>
      <c r="S1226" s="17">
        <v>42129</v>
      </c>
      <c r="T1226" s="17">
        <v>42129</v>
      </c>
      <c r="W1226">
        <v>2015</v>
      </c>
      <c r="X1226">
        <v>24</v>
      </c>
      <c r="AC1226" t="s">
        <v>88</v>
      </c>
      <c r="AD1226" t="s">
        <v>301</v>
      </c>
      <c r="AE1226" t="s">
        <v>46</v>
      </c>
      <c r="AG1226">
        <v>26</v>
      </c>
      <c r="AH1226">
        <v>9</v>
      </c>
      <c r="AI1226" t="s">
        <v>54</v>
      </c>
      <c r="AK1226">
        <v>0</v>
      </c>
      <c r="AM1226">
        <v>0</v>
      </c>
      <c r="AP1226" t="s">
        <v>501</v>
      </c>
    </row>
    <row r="1227" spans="1:42" customFormat="1">
      <c r="A1227">
        <v>269758</v>
      </c>
      <c r="B1227" t="s">
        <v>1980</v>
      </c>
      <c r="C1227" t="s">
        <v>1981</v>
      </c>
      <c r="D1227" s="22">
        <v>0</v>
      </c>
      <c r="E1227" s="17">
        <v>42131</v>
      </c>
      <c r="F1227" s="18">
        <v>0.45482638888888888</v>
      </c>
      <c r="G1227" s="22">
        <v>500</v>
      </c>
      <c r="H1227">
        <v>0</v>
      </c>
      <c r="I1227" s="19" t="e">
        <f>I1226 + (D1227-G1227)</f>
        <v>#VALUE!</v>
      </c>
      <c r="M1227">
        <v>123262</v>
      </c>
      <c r="N1227">
        <v>24</v>
      </c>
      <c r="O1227" t="s">
        <v>68</v>
      </c>
      <c r="P1227">
        <v>1</v>
      </c>
      <c r="R1227">
        <v>1455</v>
      </c>
      <c r="S1227" s="17">
        <v>42137</v>
      </c>
      <c r="T1227" s="17">
        <v>42137</v>
      </c>
      <c r="W1227">
        <v>2015</v>
      </c>
      <c r="X1227">
        <v>24</v>
      </c>
      <c r="AC1227" t="s">
        <v>88</v>
      </c>
      <c r="AD1227" t="s">
        <v>301</v>
      </c>
      <c r="AE1227" t="s">
        <v>46</v>
      </c>
      <c r="AG1227">
        <v>56</v>
      </c>
      <c r="AH1227">
        <v>1</v>
      </c>
      <c r="AI1227" t="s">
        <v>58</v>
      </c>
      <c r="AK1227">
        <v>0</v>
      </c>
      <c r="AM1227">
        <v>0</v>
      </c>
      <c r="AP1227" t="s">
        <v>59</v>
      </c>
    </row>
    <row r="1228" spans="1:42" customFormat="1">
      <c r="A1228">
        <v>269769</v>
      </c>
      <c r="B1228" t="s">
        <v>1991</v>
      </c>
      <c r="C1228" t="s">
        <v>1992</v>
      </c>
      <c r="D1228" s="22">
        <v>0</v>
      </c>
      <c r="E1228" s="17">
        <v>42131</v>
      </c>
      <c r="F1228" s="18">
        <v>0.47143518518518518</v>
      </c>
      <c r="G1228" s="22">
        <v>800</v>
      </c>
      <c r="H1228">
        <v>0</v>
      </c>
      <c r="I1228" s="19" t="e">
        <f>I1227 + (D1228-G1228)</f>
        <v>#VALUE!</v>
      </c>
      <c r="M1228">
        <v>123273</v>
      </c>
      <c r="N1228">
        <v>24</v>
      </c>
      <c r="O1228" t="s">
        <v>68</v>
      </c>
      <c r="P1228">
        <v>1</v>
      </c>
      <c r="R1228">
        <v>1455</v>
      </c>
      <c r="S1228" s="17">
        <v>42137</v>
      </c>
      <c r="T1228" s="17">
        <v>42137</v>
      </c>
      <c r="W1228">
        <v>2015</v>
      </c>
      <c r="X1228">
        <v>24</v>
      </c>
      <c r="AC1228" t="s">
        <v>88</v>
      </c>
      <c r="AD1228" t="s">
        <v>301</v>
      </c>
      <c r="AE1228" t="s">
        <v>46</v>
      </c>
      <c r="AG1228">
        <v>56</v>
      </c>
      <c r="AH1228">
        <v>1</v>
      </c>
      <c r="AI1228" t="s">
        <v>58</v>
      </c>
      <c r="AK1228">
        <v>0</v>
      </c>
      <c r="AM1228">
        <v>0</v>
      </c>
      <c r="AP1228" t="s">
        <v>59</v>
      </c>
    </row>
    <row r="1229" spans="1:42" customFormat="1">
      <c r="A1229">
        <v>269742</v>
      </c>
      <c r="B1229" t="s">
        <v>2499</v>
      </c>
      <c r="C1229" t="s">
        <v>2500</v>
      </c>
      <c r="D1229" s="22">
        <v>0</v>
      </c>
      <c r="E1229" s="17">
        <v>42135</v>
      </c>
      <c r="F1229" s="18">
        <v>0.43837962962962962</v>
      </c>
      <c r="G1229" s="22">
        <v>3882.55</v>
      </c>
      <c r="H1229">
        <v>0</v>
      </c>
      <c r="I1229" s="19" t="e">
        <f>I1228 + (D1229-G1229)</f>
        <v>#VALUE!</v>
      </c>
      <c r="M1229">
        <v>36177</v>
      </c>
      <c r="N1229">
        <v>24</v>
      </c>
      <c r="O1229" t="s">
        <v>68</v>
      </c>
      <c r="P1229">
        <v>1</v>
      </c>
      <c r="R1229">
        <v>1455</v>
      </c>
      <c r="S1229" s="17">
        <v>42137</v>
      </c>
      <c r="T1229" s="17">
        <v>42137</v>
      </c>
      <c r="W1229">
        <v>2015</v>
      </c>
      <c r="X1229">
        <v>24</v>
      </c>
      <c r="AC1229" t="s">
        <v>88</v>
      </c>
      <c r="AD1229" t="s">
        <v>301</v>
      </c>
      <c r="AE1229" t="s">
        <v>46</v>
      </c>
      <c r="AG1229">
        <v>96</v>
      </c>
      <c r="AH1229">
        <v>9</v>
      </c>
      <c r="AI1229" t="s">
        <v>54</v>
      </c>
      <c r="AK1229">
        <v>0</v>
      </c>
      <c r="AM1229">
        <v>0</v>
      </c>
      <c r="AP1229" t="s">
        <v>1703</v>
      </c>
    </row>
    <row r="1230" spans="1:42" customFormat="1">
      <c r="A1230">
        <v>270405</v>
      </c>
      <c r="B1230" t="s">
        <v>2977</v>
      </c>
      <c r="C1230" t="s">
        <v>2978</v>
      </c>
      <c r="D1230" s="22">
        <v>0</v>
      </c>
      <c r="E1230" s="17">
        <v>42137</v>
      </c>
      <c r="F1230" s="18">
        <v>0.45083333333333336</v>
      </c>
      <c r="G1230" s="22">
        <v>2150</v>
      </c>
      <c r="H1230">
        <v>0</v>
      </c>
      <c r="I1230" s="19" t="e">
        <f>I1229 + (D1230-G1230)</f>
        <v>#VALUE!</v>
      </c>
      <c r="M1230">
        <v>123528</v>
      </c>
      <c r="N1230">
        <v>24</v>
      </c>
      <c r="O1230" t="s">
        <v>68</v>
      </c>
      <c r="P1230">
        <v>1</v>
      </c>
      <c r="R1230">
        <v>1455</v>
      </c>
      <c r="S1230" s="17">
        <v>42144</v>
      </c>
      <c r="T1230" s="17">
        <v>42144</v>
      </c>
      <c r="W1230">
        <v>2015</v>
      </c>
      <c r="X1230">
        <v>24</v>
      </c>
      <c r="AC1230" t="s">
        <v>88</v>
      </c>
      <c r="AD1230" t="s">
        <v>301</v>
      </c>
      <c r="AE1230" t="s">
        <v>46</v>
      </c>
      <c r="AG1230">
        <v>52</v>
      </c>
      <c r="AH1230">
        <v>2</v>
      </c>
      <c r="AI1230" t="s">
        <v>50</v>
      </c>
      <c r="AK1230">
        <v>0</v>
      </c>
      <c r="AM1230">
        <v>0</v>
      </c>
      <c r="AP1230" t="s">
        <v>325</v>
      </c>
    </row>
    <row r="1231" spans="1:42" customFormat="1">
      <c r="A1231">
        <v>270440</v>
      </c>
      <c r="B1231" t="s">
        <v>3171</v>
      </c>
      <c r="C1231" t="s">
        <v>3172</v>
      </c>
      <c r="D1231" s="22">
        <v>0</v>
      </c>
      <c r="E1231" s="17">
        <v>42138</v>
      </c>
      <c r="F1231" s="18">
        <v>0.46396990740740746</v>
      </c>
      <c r="G1231" s="22">
        <v>2000</v>
      </c>
      <c r="H1231">
        <v>0</v>
      </c>
      <c r="I1231" s="19" t="e">
        <f>I1230 + (D1231-G1231)</f>
        <v>#VALUE!</v>
      </c>
      <c r="M1231">
        <v>123527</v>
      </c>
      <c r="N1231">
        <v>24</v>
      </c>
      <c r="O1231" t="s">
        <v>68</v>
      </c>
      <c r="P1231">
        <v>1</v>
      </c>
      <c r="R1231">
        <v>1455</v>
      </c>
      <c r="S1231" s="17">
        <v>42144</v>
      </c>
      <c r="T1231" s="17">
        <v>42144</v>
      </c>
      <c r="W1231">
        <v>2015</v>
      </c>
      <c r="X1231">
        <v>24</v>
      </c>
      <c r="AC1231" t="s">
        <v>88</v>
      </c>
      <c r="AD1231" t="s">
        <v>301</v>
      </c>
      <c r="AE1231" t="s">
        <v>46</v>
      </c>
      <c r="AG1231">
        <v>52</v>
      </c>
      <c r="AH1231">
        <v>2</v>
      </c>
      <c r="AI1231" t="s">
        <v>50</v>
      </c>
      <c r="AK1231">
        <v>0</v>
      </c>
      <c r="AM1231">
        <v>0</v>
      </c>
      <c r="AP1231" t="s">
        <v>325</v>
      </c>
    </row>
    <row r="1232" spans="1:42" customFormat="1">
      <c r="A1232">
        <v>270200</v>
      </c>
      <c r="B1232" t="s">
        <v>3199</v>
      </c>
      <c r="C1232" t="s">
        <v>3200</v>
      </c>
      <c r="D1232" s="22">
        <v>0</v>
      </c>
      <c r="E1232" s="17">
        <v>42138</v>
      </c>
      <c r="F1232" s="18">
        <v>0.62070601851851859</v>
      </c>
      <c r="G1232" s="22">
        <v>120.53</v>
      </c>
      <c r="H1232">
        <v>0</v>
      </c>
      <c r="I1232" s="19" t="e">
        <f>I1231 + (D1232-G1232)</f>
        <v>#VALUE!</v>
      </c>
      <c r="M1232">
        <v>123534</v>
      </c>
      <c r="N1232">
        <v>24</v>
      </c>
      <c r="O1232" t="s">
        <v>68</v>
      </c>
      <c r="P1232">
        <v>1</v>
      </c>
      <c r="R1232">
        <v>1455</v>
      </c>
      <c r="S1232" s="17">
        <v>42142</v>
      </c>
      <c r="T1232" s="17">
        <v>42142</v>
      </c>
      <c r="W1232">
        <v>2015</v>
      </c>
      <c r="X1232">
        <v>24</v>
      </c>
      <c r="AC1232" t="s">
        <v>88</v>
      </c>
      <c r="AD1232" t="s">
        <v>301</v>
      </c>
      <c r="AE1232" t="s">
        <v>46</v>
      </c>
      <c r="AG1232">
        <v>56</v>
      </c>
      <c r="AH1232">
        <v>1</v>
      </c>
      <c r="AI1232" t="s">
        <v>58</v>
      </c>
      <c r="AK1232">
        <v>0</v>
      </c>
      <c r="AM1232">
        <v>0</v>
      </c>
      <c r="AP1232" t="s">
        <v>59</v>
      </c>
    </row>
    <row r="1233" spans="1:42" customFormat="1">
      <c r="A1233">
        <v>270913</v>
      </c>
      <c r="B1233" t="s">
        <v>3504</v>
      </c>
      <c r="C1233" t="s">
        <v>3505</v>
      </c>
      <c r="D1233" s="22">
        <v>0</v>
      </c>
      <c r="E1233" s="17">
        <v>42142</v>
      </c>
      <c r="F1233" s="18">
        <v>0.36200231481481482</v>
      </c>
      <c r="G1233" s="22">
        <v>100</v>
      </c>
      <c r="H1233">
        <v>0</v>
      </c>
      <c r="I1233" s="19" t="e">
        <f>I1232 + (D1233-G1233)</f>
        <v>#VALUE!</v>
      </c>
      <c r="M1233">
        <v>123959</v>
      </c>
      <c r="N1233">
        <v>24</v>
      </c>
      <c r="O1233" t="s">
        <v>68</v>
      </c>
      <c r="P1233">
        <v>1</v>
      </c>
      <c r="R1233">
        <v>1455</v>
      </c>
      <c r="S1233" s="17">
        <v>42149</v>
      </c>
      <c r="T1233" s="17">
        <v>42149</v>
      </c>
      <c r="W1233">
        <v>2015</v>
      </c>
      <c r="X1233">
        <v>24</v>
      </c>
      <c r="AC1233" t="s">
        <v>88</v>
      </c>
      <c r="AD1233" t="s">
        <v>301</v>
      </c>
      <c r="AE1233" t="s">
        <v>46</v>
      </c>
      <c r="AG1233">
        <v>56</v>
      </c>
      <c r="AH1233">
        <v>9</v>
      </c>
      <c r="AI1233" t="s">
        <v>54</v>
      </c>
      <c r="AK1233">
        <v>0</v>
      </c>
      <c r="AM1233">
        <v>0</v>
      </c>
      <c r="AP1233" t="s">
        <v>59</v>
      </c>
    </row>
    <row r="1234" spans="1:42" customFormat="1">
      <c r="A1234">
        <v>270943</v>
      </c>
      <c r="B1234" t="s">
        <v>3712</v>
      </c>
      <c r="C1234" t="s">
        <v>3713</v>
      </c>
      <c r="D1234" s="22">
        <v>0</v>
      </c>
      <c r="E1234" s="17">
        <v>42143</v>
      </c>
      <c r="F1234" s="18">
        <v>0.41606481481481478</v>
      </c>
      <c r="G1234" s="22">
        <v>125.52</v>
      </c>
      <c r="H1234">
        <v>0</v>
      </c>
      <c r="I1234" s="19" t="e">
        <f>I1233 + (D1234-G1234)</f>
        <v>#VALUE!</v>
      </c>
      <c r="M1234">
        <v>123987</v>
      </c>
      <c r="N1234">
        <v>24</v>
      </c>
      <c r="O1234" t="s">
        <v>68</v>
      </c>
      <c r="P1234">
        <v>1</v>
      </c>
      <c r="R1234">
        <v>1455</v>
      </c>
      <c r="S1234" s="17">
        <v>42149</v>
      </c>
      <c r="T1234" s="17">
        <v>42149</v>
      </c>
      <c r="W1234">
        <v>2015</v>
      </c>
      <c r="X1234">
        <v>24</v>
      </c>
      <c r="AC1234" t="s">
        <v>88</v>
      </c>
      <c r="AD1234" t="s">
        <v>301</v>
      </c>
      <c r="AE1234" t="s">
        <v>46</v>
      </c>
      <c r="AG1234">
        <v>56</v>
      </c>
      <c r="AH1234">
        <v>1</v>
      </c>
      <c r="AI1234" t="s">
        <v>58</v>
      </c>
      <c r="AK1234">
        <v>0</v>
      </c>
      <c r="AM1234">
        <v>0</v>
      </c>
      <c r="AP1234" t="s">
        <v>59</v>
      </c>
    </row>
    <row r="1235" spans="1:42" customFormat="1">
      <c r="A1235">
        <v>270906</v>
      </c>
      <c r="B1235" t="s">
        <v>3817</v>
      </c>
      <c r="C1235" t="s">
        <v>3818</v>
      </c>
      <c r="D1235" s="22">
        <v>0</v>
      </c>
      <c r="E1235" s="17">
        <v>42143</v>
      </c>
      <c r="F1235" s="18">
        <v>0.7049305555555555</v>
      </c>
      <c r="G1235" s="22">
        <v>2100</v>
      </c>
      <c r="H1235">
        <v>0</v>
      </c>
      <c r="I1235" s="19" t="e">
        <f>I1234 + (D1235-G1235)</f>
        <v>#VALUE!</v>
      </c>
      <c r="M1235">
        <v>123954</v>
      </c>
      <c r="N1235">
        <v>24</v>
      </c>
      <c r="O1235" t="s">
        <v>68</v>
      </c>
      <c r="P1235">
        <v>1</v>
      </c>
      <c r="R1235">
        <v>1455</v>
      </c>
      <c r="S1235" s="17">
        <v>42146</v>
      </c>
      <c r="T1235" s="17">
        <v>42146</v>
      </c>
      <c r="W1235">
        <v>2015</v>
      </c>
      <c r="X1235">
        <v>24</v>
      </c>
      <c r="AC1235" t="s">
        <v>88</v>
      </c>
      <c r="AD1235" t="s">
        <v>301</v>
      </c>
      <c r="AE1235" t="s">
        <v>46</v>
      </c>
      <c r="AG1235">
        <v>26</v>
      </c>
      <c r="AH1235">
        <v>9</v>
      </c>
      <c r="AI1235" t="s">
        <v>54</v>
      </c>
      <c r="AK1235">
        <v>0</v>
      </c>
      <c r="AM1235">
        <v>0</v>
      </c>
      <c r="AP1235" t="s">
        <v>501</v>
      </c>
    </row>
    <row r="1236" spans="1:42" customFormat="1">
      <c r="A1236">
        <v>270695</v>
      </c>
      <c r="B1236" t="s">
        <v>3929</v>
      </c>
      <c r="C1236" t="s">
        <v>3930</v>
      </c>
      <c r="D1236" s="22">
        <v>0</v>
      </c>
      <c r="E1236" s="17">
        <v>42145</v>
      </c>
      <c r="F1236" s="18">
        <v>0.38997685185185182</v>
      </c>
      <c r="G1236" s="22">
        <v>1853.38</v>
      </c>
      <c r="H1236">
        <v>0</v>
      </c>
      <c r="I1236" s="19" t="e">
        <f>I1235 + (D1236-G1236)</f>
        <v>#VALUE!</v>
      </c>
      <c r="M1236">
        <v>123837</v>
      </c>
      <c r="N1236">
        <v>24</v>
      </c>
      <c r="O1236" t="s">
        <v>68</v>
      </c>
      <c r="P1236">
        <v>1</v>
      </c>
      <c r="R1236">
        <v>1455</v>
      </c>
      <c r="S1236" s="17">
        <v>42146</v>
      </c>
      <c r="T1236" s="17">
        <v>42146</v>
      </c>
      <c r="W1236">
        <v>2015</v>
      </c>
      <c r="X1236">
        <v>24</v>
      </c>
      <c r="AC1236" t="s">
        <v>88</v>
      </c>
      <c r="AD1236" t="s">
        <v>301</v>
      </c>
      <c r="AE1236" t="s">
        <v>46</v>
      </c>
      <c r="AG1236">
        <v>8</v>
      </c>
      <c r="AH1236">
        <v>9</v>
      </c>
      <c r="AI1236" t="s">
        <v>54</v>
      </c>
      <c r="AK1236">
        <v>0</v>
      </c>
      <c r="AM1236">
        <v>0</v>
      </c>
      <c r="AP1236" t="s">
        <v>1201</v>
      </c>
    </row>
    <row r="1237" spans="1:42" customFormat="1">
      <c r="A1237">
        <v>270944</v>
      </c>
      <c r="B1237" t="s">
        <v>3981</v>
      </c>
      <c r="C1237" t="s">
        <v>3982</v>
      </c>
      <c r="D1237" s="22">
        <v>0</v>
      </c>
      <c r="E1237" s="17">
        <v>42145</v>
      </c>
      <c r="F1237" s="18">
        <v>0.41668981481481482</v>
      </c>
      <c r="G1237" s="22">
        <v>120</v>
      </c>
      <c r="H1237">
        <v>0</v>
      </c>
      <c r="I1237" s="19" t="e">
        <f>I1236 + (D1237-G1237)</f>
        <v>#VALUE!</v>
      </c>
      <c r="M1237">
        <v>123990</v>
      </c>
      <c r="N1237">
        <v>24</v>
      </c>
      <c r="O1237" t="s">
        <v>68</v>
      </c>
      <c r="P1237">
        <v>1</v>
      </c>
      <c r="R1237">
        <v>1455</v>
      </c>
      <c r="S1237" s="17">
        <v>42149</v>
      </c>
      <c r="T1237" s="17">
        <v>42149</v>
      </c>
      <c r="W1237">
        <v>2015</v>
      </c>
      <c r="X1237">
        <v>24</v>
      </c>
      <c r="AC1237" t="s">
        <v>88</v>
      </c>
      <c r="AD1237" t="s">
        <v>301</v>
      </c>
      <c r="AE1237" t="s">
        <v>46</v>
      </c>
      <c r="AG1237">
        <v>56</v>
      </c>
      <c r="AH1237">
        <v>1</v>
      </c>
      <c r="AI1237" t="s">
        <v>58</v>
      </c>
      <c r="AK1237">
        <v>0</v>
      </c>
      <c r="AM1237">
        <v>0</v>
      </c>
      <c r="AP1237" t="s">
        <v>59</v>
      </c>
    </row>
    <row r="1238" spans="1:42" customFormat="1">
      <c r="A1238">
        <v>271520</v>
      </c>
      <c r="B1238" t="s">
        <v>4491</v>
      </c>
      <c r="C1238" t="s">
        <v>4492</v>
      </c>
      <c r="D1238" s="22">
        <v>0</v>
      </c>
      <c r="E1238" s="17">
        <v>42146</v>
      </c>
      <c r="F1238" s="18">
        <v>0.71208333333333329</v>
      </c>
      <c r="G1238" s="22">
        <v>2000</v>
      </c>
      <c r="H1238">
        <v>0</v>
      </c>
      <c r="I1238" s="19" t="e">
        <f>I1237 + (D1238-G1238)</f>
        <v>#VALUE!</v>
      </c>
      <c r="M1238">
        <v>124354</v>
      </c>
      <c r="N1238">
        <v>24</v>
      </c>
      <c r="O1238" t="s">
        <v>68</v>
      </c>
      <c r="P1238">
        <v>1</v>
      </c>
      <c r="R1238">
        <v>1455</v>
      </c>
      <c r="S1238" s="17">
        <v>42156</v>
      </c>
      <c r="T1238" s="17">
        <v>42156</v>
      </c>
      <c r="W1238">
        <v>2015</v>
      </c>
      <c r="X1238">
        <v>24</v>
      </c>
      <c r="AC1238" t="s">
        <v>88</v>
      </c>
      <c r="AD1238" t="s">
        <v>301</v>
      </c>
      <c r="AE1238" t="s">
        <v>46</v>
      </c>
      <c r="AG1238">
        <v>56</v>
      </c>
      <c r="AH1238">
        <v>1</v>
      </c>
      <c r="AI1238" t="s">
        <v>58</v>
      </c>
      <c r="AK1238">
        <v>0</v>
      </c>
      <c r="AM1238">
        <v>0</v>
      </c>
      <c r="AP1238" t="s">
        <v>59</v>
      </c>
    </row>
    <row r="1239" spans="1:42" customFormat="1">
      <c r="A1239">
        <v>271412</v>
      </c>
      <c r="B1239" t="s">
        <v>4725</v>
      </c>
      <c r="C1239" t="s">
        <v>4726</v>
      </c>
      <c r="D1239" s="22">
        <v>0</v>
      </c>
      <c r="E1239" s="17">
        <v>42150</v>
      </c>
      <c r="F1239" s="18">
        <v>0.38984953703703701</v>
      </c>
      <c r="G1239" s="22">
        <v>2000</v>
      </c>
      <c r="H1239">
        <v>0</v>
      </c>
      <c r="I1239" s="19" t="e">
        <f>I1238 + (D1239-G1239)</f>
        <v>#VALUE!</v>
      </c>
      <c r="M1239">
        <v>124270</v>
      </c>
      <c r="N1239">
        <v>24</v>
      </c>
      <c r="O1239" t="s">
        <v>68</v>
      </c>
      <c r="P1239">
        <v>1</v>
      </c>
      <c r="R1239">
        <v>1455</v>
      </c>
      <c r="S1239" s="17">
        <v>42152</v>
      </c>
      <c r="T1239" s="17">
        <v>42152</v>
      </c>
      <c r="W1239">
        <v>2015</v>
      </c>
      <c r="X1239">
        <v>24</v>
      </c>
      <c r="AC1239" t="s">
        <v>88</v>
      </c>
      <c r="AD1239" t="s">
        <v>301</v>
      </c>
      <c r="AE1239" t="s">
        <v>46</v>
      </c>
      <c r="AG1239">
        <v>26</v>
      </c>
      <c r="AH1239">
        <v>8</v>
      </c>
      <c r="AI1239" t="s">
        <v>52</v>
      </c>
      <c r="AK1239">
        <v>0</v>
      </c>
      <c r="AM1239">
        <v>0</v>
      </c>
      <c r="AP1239" t="s">
        <v>501</v>
      </c>
    </row>
    <row r="1240" spans="1:42" customFormat="1">
      <c r="A1240">
        <v>271516</v>
      </c>
      <c r="B1240" t="s">
        <v>5167</v>
      </c>
      <c r="C1240" t="s">
        <v>5168</v>
      </c>
      <c r="D1240" s="22">
        <v>0</v>
      </c>
      <c r="E1240" s="17">
        <v>42152</v>
      </c>
      <c r="F1240" s="18">
        <v>0.70699074074074064</v>
      </c>
      <c r="G1240" s="22">
        <v>40</v>
      </c>
      <c r="H1240">
        <v>0</v>
      </c>
      <c r="I1240" s="19" t="e">
        <f>I1239 + (D1240-G1240)</f>
        <v>#VALUE!</v>
      </c>
      <c r="M1240">
        <v>124353</v>
      </c>
      <c r="N1240">
        <v>24</v>
      </c>
      <c r="O1240" t="s">
        <v>68</v>
      </c>
      <c r="P1240">
        <v>1</v>
      </c>
      <c r="R1240">
        <v>1455</v>
      </c>
      <c r="S1240" s="17">
        <v>42156</v>
      </c>
      <c r="T1240" s="17">
        <v>42156</v>
      </c>
      <c r="W1240">
        <v>2015</v>
      </c>
      <c r="X1240">
        <v>24</v>
      </c>
      <c r="AC1240" t="s">
        <v>88</v>
      </c>
      <c r="AD1240" t="s">
        <v>301</v>
      </c>
      <c r="AE1240" t="s">
        <v>46</v>
      </c>
      <c r="AG1240">
        <v>56</v>
      </c>
      <c r="AH1240">
        <v>1</v>
      </c>
      <c r="AI1240" t="s">
        <v>58</v>
      </c>
      <c r="AK1240">
        <v>0</v>
      </c>
      <c r="AM1240">
        <v>0</v>
      </c>
      <c r="AP1240" t="s">
        <v>59</v>
      </c>
    </row>
    <row r="1241" spans="1:42" customFormat="1">
      <c r="A1241">
        <v>267687</v>
      </c>
      <c r="B1241" t="s">
        <v>1259</v>
      </c>
      <c r="C1241" t="s">
        <v>1260</v>
      </c>
      <c r="D1241" s="22">
        <v>0</v>
      </c>
      <c r="E1241" s="17">
        <v>42128</v>
      </c>
      <c r="F1241" s="18">
        <v>0.75744212962962953</v>
      </c>
      <c r="G1241" s="22">
        <v>279.88</v>
      </c>
      <c r="H1241">
        <v>0</v>
      </c>
      <c r="I1241" s="19" t="e">
        <f>I1240 + (D1241-G1241)</f>
        <v>#VALUE!</v>
      </c>
      <c r="M1241">
        <v>122388</v>
      </c>
      <c r="N1241">
        <v>24</v>
      </c>
      <c r="O1241" t="s">
        <v>68</v>
      </c>
      <c r="P1241">
        <v>1</v>
      </c>
      <c r="R1241">
        <v>918</v>
      </c>
      <c r="S1241" s="17">
        <v>42129</v>
      </c>
      <c r="T1241" s="17">
        <v>42129</v>
      </c>
      <c r="W1241">
        <v>2015</v>
      </c>
      <c r="X1241">
        <v>24</v>
      </c>
      <c r="AC1241" t="s">
        <v>133</v>
      </c>
      <c r="AD1241" t="s">
        <v>301</v>
      </c>
      <c r="AE1241" t="s">
        <v>46</v>
      </c>
      <c r="AG1241">
        <v>26</v>
      </c>
      <c r="AH1241">
        <v>9</v>
      </c>
      <c r="AI1241" t="s">
        <v>54</v>
      </c>
      <c r="AK1241">
        <v>0</v>
      </c>
      <c r="AM1241">
        <v>0</v>
      </c>
      <c r="AP1241" t="s">
        <v>501</v>
      </c>
    </row>
    <row r="1242" spans="1:42" customFormat="1">
      <c r="A1242">
        <v>269084</v>
      </c>
      <c r="B1242" t="s">
        <v>2006</v>
      </c>
      <c r="C1242" t="s">
        <v>2007</v>
      </c>
      <c r="D1242" s="22">
        <v>0</v>
      </c>
      <c r="E1242" s="17">
        <v>42131</v>
      </c>
      <c r="F1242" s="18">
        <v>0.63037037037037036</v>
      </c>
      <c r="G1242" s="22">
        <v>26067.83</v>
      </c>
      <c r="H1242">
        <v>0</v>
      </c>
      <c r="I1242" s="19" t="e">
        <f>I1241 + (D1242-G1242)</f>
        <v>#VALUE!</v>
      </c>
      <c r="M1242">
        <v>110706</v>
      </c>
      <c r="N1242">
        <v>24</v>
      </c>
      <c r="O1242" t="s">
        <v>68</v>
      </c>
      <c r="P1242">
        <v>1</v>
      </c>
      <c r="R1242">
        <v>302</v>
      </c>
      <c r="S1242" s="17">
        <v>42135</v>
      </c>
      <c r="T1242" s="17">
        <v>42135</v>
      </c>
      <c r="W1242">
        <v>2015</v>
      </c>
      <c r="X1242">
        <v>24</v>
      </c>
      <c r="AC1242" t="s">
        <v>279</v>
      </c>
      <c r="AD1242" t="s">
        <v>301</v>
      </c>
      <c r="AE1242" t="s">
        <v>46</v>
      </c>
      <c r="AG1242">
        <v>12</v>
      </c>
      <c r="AH1242">
        <v>2</v>
      </c>
      <c r="AI1242" t="s">
        <v>50</v>
      </c>
      <c r="AK1242">
        <v>0</v>
      </c>
      <c r="AM1242">
        <v>0</v>
      </c>
      <c r="AP1242" t="s">
        <v>392</v>
      </c>
    </row>
    <row r="1243" spans="1:42" customFormat="1">
      <c r="A1243">
        <v>271524</v>
      </c>
      <c r="B1243" t="s">
        <v>5177</v>
      </c>
      <c r="C1243" t="s">
        <v>5178</v>
      </c>
      <c r="D1243" s="22">
        <v>0</v>
      </c>
      <c r="E1243" s="17">
        <v>42152</v>
      </c>
      <c r="F1243" s="18">
        <v>0.72076388888888887</v>
      </c>
      <c r="G1243" s="22">
        <v>675</v>
      </c>
      <c r="H1243">
        <v>0</v>
      </c>
      <c r="I1243" s="19" t="e">
        <f>I1242 + (D1243-G1243)</f>
        <v>#VALUE!</v>
      </c>
      <c r="M1243">
        <v>124357</v>
      </c>
      <c r="N1243">
        <v>24</v>
      </c>
      <c r="O1243" t="s">
        <v>68</v>
      </c>
      <c r="P1243">
        <v>1</v>
      </c>
      <c r="R1243">
        <v>1519</v>
      </c>
      <c r="S1243" s="17">
        <v>42156</v>
      </c>
      <c r="T1243" s="17">
        <v>42156</v>
      </c>
      <c r="W1243">
        <v>2015</v>
      </c>
      <c r="X1243">
        <v>24</v>
      </c>
      <c r="AC1243" t="s">
        <v>170</v>
      </c>
      <c r="AD1243" t="s">
        <v>301</v>
      </c>
      <c r="AE1243" t="s">
        <v>46</v>
      </c>
      <c r="AG1243">
        <v>4</v>
      </c>
      <c r="AH1243">
        <v>9</v>
      </c>
      <c r="AI1243" t="s">
        <v>54</v>
      </c>
      <c r="AK1243">
        <v>0</v>
      </c>
      <c r="AM1243">
        <v>0</v>
      </c>
      <c r="AP1243" t="s">
        <v>389</v>
      </c>
    </row>
    <row r="1244" spans="1:42" customFormat="1">
      <c r="A1244">
        <v>271541</v>
      </c>
      <c r="B1244" t="s">
        <v>5242</v>
      </c>
      <c r="C1244" t="s">
        <v>5243</v>
      </c>
      <c r="D1244" s="22">
        <v>0</v>
      </c>
      <c r="E1244" s="17">
        <v>42153</v>
      </c>
      <c r="F1244" s="18">
        <v>0.40098379629629632</v>
      </c>
      <c r="G1244" s="22">
        <v>1159.4000000000001</v>
      </c>
      <c r="H1244">
        <v>0</v>
      </c>
      <c r="I1244" s="19" t="e">
        <f>I1243 + (D1244-G1244)</f>
        <v>#VALUE!</v>
      </c>
      <c r="M1244">
        <v>124383</v>
      </c>
      <c r="N1244">
        <v>24</v>
      </c>
      <c r="O1244" t="s">
        <v>68</v>
      </c>
      <c r="P1244">
        <v>1</v>
      </c>
      <c r="R1244">
        <v>326</v>
      </c>
      <c r="S1244" s="17">
        <v>42157</v>
      </c>
      <c r="T1244" s="17">
        <v>42157</v>
      </c>
      <c r="W1244">
        <v>2015</v>
      </c>
      <c r="X1244">
        <v>24</v>
      </c>
      <c r="AC1244" t="s">
        <v>5244</v>
      </c>
      <c r="AD1244" t="s">
        <v>301</v>
      </c>
      <c r="AE1244" t="s">
        <v>46</v>
      </c>
      <c r="AG1244">
        <v>4</v>
      </c>
      <c r="AH1244">
        <v>9</v>
      </c>
      <c r="AI1244" t="s">
        <v>54</v>
      </c>
      <c r="AK1244">
        <v>0</v>
      </c>
      <c r="AM1244">
        <v>0</v>
      </c>
      <c r="AP1244" t="s">
        <v>389</v>
      </c>
    </row>
    <row r="1245" spans="1:42" customFormat="1">
      <c r="A1245">
        <v>271542</v>
      </c>
      <c r="B1245" t="s">
        <v>5245</v>
      </c>
      <c r="C1245" t="s">
        <v>5246</v>
      </c>
      <c r="D1245" s="22">
        <v>0</v>
      </c>
      <c r="E1245" s="17">
        <v>42153</v>
      </c>
      <c r="F1245" s="18">
        <v>0.40156249999999999</v>
      </c>
      <c r="G1245" s="22">
        <v>3362.26</v>
      </c>
      <c r="H1245">
        <v>0</v>
      </c>
      <c r="I1245" s="19" t="e">
        <f>I1244 + (D1245-G1245)</f>
        <v>#VALUE!</v>
      </c>
      <c r="M1245">
        <v>124384</v>
      </c>
      <c r="N1245">
        <v>24</v>
      </c>
      <c r="O1245" t="s">
        <v>68</v>
      </c>
      <c r="P1245">
        <v>1</v>
      </c>
      <c r="R1245">
        <v>326</v>
      </c>
      <c r="S1245" s="17">
        <v>42157</v>
      </c>
      <c r="T1245" s="17">
        <v>42157</v>
      </c>
      <c r="W1245">
        <v>2015</v>
      </c>
      <c r="X1245">
        <v>24</v>
      </c>
      <c r="AC1245" t="s">
        <v>5244</v>
      </c>
      <c r="AD1245" t="s">
        <v>301</v>
      </c>
      <c r="AE1245" t="s">
        <v>46</v>
      </c>
      <c r="AG1245">
        <v>4</v>
      </c>
      <c r="AH1245">
        <v>9</v>
      </c>
      <c r="AI1245" t="s">
        <v>54</v>
      </c>
      <c r="AK1245">
        <v>0</v>
      </c>
      <c r="AM1245">
        <v>0</v>
      </c>
      <c r="AP1245" t="s">
        <v>389</v>
      </c>
    </row>
    <row r="1246" spans="1:42" customFormat="1">
      <c r="A1246">
        <v>271543</v>
      </c>
      <c r="B1246" t="s">
        <v>5247</v>
      </c>
      <c r="C1246" t="s">
        <v>5248</v>
      </c>
      <c r="D1246" s="22">
        <v>0</v>
      </c>
      <c r="E1246" s="17">
        <v>42153</v>
      </c>
      <c r="F1246" s="18">
        <v>0.40226851851851847</v>
      </c>
      <c r="G1246" s="22">
        <v>5101.3599999999997</v>
      </c>
      <c r="H1246">
        <v>0</v>
      </c>
      <c r="I1246" s="19" t="e">
        <f>I1245 + (D1246-G1246)</f>
        <v>#VALUE!</v>
      </c>
      <c r="M1246">
        <v>124385</v>
      </c>
      <c r="N1246">
        <v>24</v>
      </c>
      <c r="O1246" t="s">
        <v>68</v>
      </c>
      <c r="P1246">
        <v>1</v>
      </c>
      <c r="R1246">
        <v>326</v>
      </c>
      <c r="S1246" s="17">
        <v>42157</v>
      </c>
      <c r="T1246" s="17">
        <v>42157</v>
      </c>
      <c r="W1246">
        <v>2015</v>
      </c>
      <c r="X1246">
        <v>24</v>
      </c>
      <c r="AC1246" t="s">
        <v>5244</v>
      </c>
      <c r="AD1246" t="s">
        <v>301</v>
      </c>
      <c r="AE1246" t="s">
        <v>46</v>
      </c>
      <c r="AG1246">
        <v>4</v>
      </c>
      <c r="AH1246">
        <v>9</v>
      </c>
      <c r="AI1246" t="s">
        <v>54</v>
      </c>
      <c r="AK1246">
        <v>0</v>
      </c>
      <c r="AM1246">
        <v>0</v>
      </c>
      <c r="AP1246" t="s">
        <v>389</v>
      </c>
    </row>
    <row r="1247" spans="1:42" customFormat="1">
      <c r="A1247">
        <v>271544</v>
      </c>
      <c r="B1247" t="s">
        <v>5249</v>
      </c>
      <c r="C1247" t="s">
        <v>5250</v>
      </c>
      <c r="D1247" s="22">
        <v>0</v>
      </c>
      <c r="E1247" s="17">
        <v>42153</v>
      </c>
      <c r="F1247" s="18">
        <v>0.40278935185185188</v>
      </c>
      <c r="G1247" s="22">
        <v>1749.9</v>
      </c>
      <c r="H1247">
        <v>0</v>
      </c>
      <c r="I1247" s="19" t="e">
        <f>I1246 + (D1247-G1247)</f>
        <v>#VALUE!</v>
      </c>
      <c r="M1247">
        <v>124386</v>
      </c>
      <c r="N1247">
        <v>24</v>
      </c>
      <c r="O1247" t="s">
        <v>68</v>
      </c>
      <c r="P1247">
        <v>1</v>
      </c>
      <c r="R1247">
        <v>326</v>
      </c>
      <c r="S1247" s="17">
        <v>42157</v>
      </c>
      <c r="T1247" s="17">
        <v>42157</v>
      </c>
      <c r="W1247">
        <v>2015</v>
      </c>
      <c r="X1247">
        <v>24</v>
      </c>
      <c r="AC1247" t="s">
        <v>5244</v>
      </c>
      <c r="AD1247" t="s">
        <v>301</v>
      </c>
      <c r="AE1247" t="s">
        <v>46</v>
      </c>
      <c r="AG1247">
        <v>4</v>
      </c>
      <c r="AH1247">
        <v>9</v>
      </c>
      <c r="AI1247" t="s">
        <v>54</v>
      </c>
      <c r="AK1247">
        <v>0</v>
      </c>
      <c r="AM1247">
        <v>0</v>
      </c>
      <c r="AP1247" t="s">
        <v>389</v>
      </c>
    </row>
    <row r="1248" spans="1:42" customFormat="1">
      <c r="A1248">
        <v>271545</v>
      </c>
      <c r="B1248" t="s">
        <v>5251</v>
      </c>
      <c r="C1248" t="s">
        <v>5252</v>
      </c>
      <c r="D1248" s="22">
        <v>0</v>
      </c>
      <c r="E1248" s="17">
        <v>42153</v>
      </c>
      <c r="F1248" s="18">
        <v>0.40334490740740742</v>
      </c>
      <c r="G1248" s="22">
        <v>22165.4</v>
      </c>
      <c r="H1248">
        <v>0</v>
      </c>
      <c r="I1248" s="19" t="e">
        <f>I1247 + (D1248-G1248)</f>
        <v>#VALUE!</v>
      </c>
      <c r="M1248">
        <v>124387</v>
      </c>
      <c r="N1248">
        <v>24</v>
      </c>
      <c r="O1248" t="s">
        <v>68</v>
      </c>
      <c r="P1248">
        <v>1</v>
      </c>
      <c r="R1248">
        <v>326</v>
      </c>
      <c r="S1248" s="17">
        <v>42157</v>
      </c>
      <c r="T1248" s="17">
        <v>42157</v>
      </c>
      <c r="W1248">
        <v>2015</v>
      </c>
      <c r="X1248">
        <v>24</v>
      </c>
      <c r="AC1248" t="s">
        <v>5244</v>
      </c>
      <c r="AD1248" t="s">
        <v>301</v>
      </c>
      <c r="AE1248" t="s">
        <v>46</v>
      </c>
      <c r="AG1248">
        <v>4</v>
      </c>
      <c r="AH1248">
        <v>9</v>
      </c>
      <c r="AI1248" t="s">
        <v>54</v>
      </c>
      <c r="AK1248">
        <v>0</v>
      </c>
      <c r="AM1248">
        <v>0</v>
      </c>
      <c r="AP1248" t="s">
        <v>389</v>
      </c>
    </row>
    <row r="1249" spans="1:42" customFormat="1">
      <c r="A1249">
        <v>271547</v>
      </c>
      <c r="B1249" t="s">
        <v>5253</v>
      </c>
      <c r="C1249" t="s">
        <v>5254</v>
      </c>
      <c r="D1249" s="22">
        <v>0</v>
      </c>
      <c r="E1249" s="17">
        <v>42153</v>
      </c>
      <c r="F1249" s="18">
        <v>0.40510416666666665</v>
      </c>
      <c r="G1249" s="22">
        <v>3339.8</v>
      </c>
      <c r="H1249">
        <v>0</v>
      </c>
      <c r="I1249" s="19" t="e">
        <f>I1248 + (D1249-G1249)</f>
        <v>#VALUE!</v>
      </c>
      <c r="M1249">
        <v>124389</v>
      </c>
      <c r="N1249">
        <v>24</v>
      </c>
      <c r="O1249" t="s">
        <v>68</v>
      </c>
      <c r="P1249">
        <v>1</v>
      </c>
      <c r="R1249">
        <v>326</v>
      </c>
      <c r="S1249" s="17">
        <v>42157</v>
      </c>
      <c r="T1249" s="17">
        <v>42157</v>
      </c>
      <c r="W1249">
        <v>2015</v>
      </c>
      <c r="X1249">
        <v>24</v>
      </c>
      <c r="AC1249" t="s">
        <v>5244</v>
      </c>
      <c r="AD1249" t="s">
        <v>301</v>
      </c>
      <c r="AE1249" t="s">
        <v>46</v>
      </c>
      <c r="AG1249">
        <v>2</v>
      </c>
      <c r="AH1249">
        <v>9</v>
      </c>
      <c r="AI1249" t="s">
        <v>54</v>
      </c>
      <c r="AK1249">
        <v>0</v>
      </c>
      <c r="AM1249">
        <v>0</v>
      </c>
      <c r="AP1249" t="s">
        <v>2544</v>
      </c>
    </row>
    <row r="1250" spans="1:42" customFormat="1">
      <c r="A1250">
        <v>271548</v>
      </c>
      <c r="B1250" t="s">
        <v>5255</v>
      </c>
      <c r="C1250" t="s">
        <v>5256</v>
      </c>
      <c r="D1250" s="22">
        <v>0</v>
      </c>
      <c r="E1250" s="17">
        <v>42153</v>
      </c>
      <c r="F1250" s="18">
        <v>0.40585648148148151</v>
      </c>
      <c r="G1250" s="22">
        <v>318.27</v>
      </c>
      <c r="H1250">
        <v>0</v>
      </c>
      <c r="I1250" s="19" t="e">
        <f>I1249 + (D1250-G1250)</f>
        <v>#VALUE!</v>
      </c>
      <c r="M1250">
        <v>124390</v>
      </c>
      <c r="N1250">
        <v>24</v>
      </c>
      <c r="O1250" t="s">
        <v>68</v>
      </c>
      <c r="P1250">
        <v>1</v>
      </c>
      <c r="R1250">
        <v>326</v>
      </c>
      <c r="S1250" s="17">
        <v>42157</v>
      </c>
      <c r="T1250" s="17">
        <v>42157</v>
      </c>
      <c r="W1250">
        <v>2015</v>
      </c>
      <c r="X1250">
        <v>24</v>
      </c>
      <c r="AC1250" t="s">
        <v>5244</v>
      </c>
      <c r="AD1250" t="s">
        <v>301</v>
      </c>
      <c r="AE1250" t="s">
        <v>46</v>
      </c>
      <c r="AG1250">
        <v>2</v>
      </c>
      <c r="AH1250">
        <v>9</v>
      </c>
      <c r="AI1250" t="s">
        <v>54</v>
      </c>
      <c r="AK1250">
        <v>0</v>
      </c>
      <c r="AM1250">
        <v>0</v>
      </c>
      <c r="AP1250" t="s">
        <v>2544</v>
      </c>
    </row>
    <row r="1251" spans="1:42" customFormat="1">
      <c r="A1251">
        <v>271549</v>
      </c>
      <c r="B1251" t="s">
        <v>5257</v>
      </c>
      <c r="C1251" t="s">
        <v>5258</v>
      </c>
      <c r="D1251" s="22">
        <v>0</v>
      </c>
      <c r="E1251" s="17">
        <v>42153</v>
      </c>
      <c r="F1251" s="18">
        <v>0.40633101851851849</v>
      </c>
      <c r="G1251" s="22">
        <v>15259.17</v>
      </c>
      <c r="H1251">
        <v>0</v>
      </c>
      <c r="I1251" s="19" t="e">
        <f>I1250 + (D1251-G1251)</f>
        <v>#VALUE!</v>
      </c>
      <c r="M1251">
        <v>124391</v>
      </c>
      <c r="N1251">
        <v>24</v>
      </c>
      <c r="O1251" t="s">
        <v>68</v>
      </c>
      <c r="P1251">
        <v>1</v>
      </c>
      <c r="R1251">
        <v>326</v>
      </c>
      <c r="S1251" s="17">
        <v>42157</v>
      </c>
      <c r="T1251" s="17">
        <v>42157</v>
      </c>
      <c r="W1251">
        <v>2015</v>
      </c>
      <c r="X1251">
        <v>24</v>
      </c>
      <c r="AC1251" t="s">
        <v>5244</v>
      </c>
      <c r="AD1251" t="s">
        <v>301</v>
      </c>
      <c r="AE1251" t="s">
        <v>46</v>
      </c>
      <c r="AG1251">
        <v>2</v>
      </c>
      <c r="AH1251">
        <v>9</v>
      </c>
      <c r="AI1251" t="s">
        <v>54</v>
      </c>
      <c r="AK1251">
        <v>0</v>
      </c>
      <c r="AM1251">
        <v>0</v>
      </c>
      <c r="AP1251" t="s">
        <v>2544</v>
      </c>
    </row>
    <row r="1252" spans="1:42" customFormat="1">
      <c r="A1252">
        <v>273089</v>
      </c>
      <c r="B1252" t="s">
        <v>5570</v>
      </c>
      <c r="C1252" t="s">
        <v>5571</v>
      </c>
      <c r="D1252" s="22">
        <v>0</v>
      </c>
      <c r="E1252" s="17">
        <v>42153</v>
      </c>
      <c r="F1252" s="18">
        <v>0.74275462962962957</v>
      </c>
      <c r="G1252" s="22">
        <v>27184.32</v>
      </c>
      <c r="H1252">
        <v>0</v>
      </c>
      <c r="I1252" s="19" t="e">
        <f>I1251 + (D1252-G1252)</f>
        <v>#VALUE!</v>
      </c>
      <c r="M1252">
        <v>124388</v>
      </c>
      <c r="N1252">
        <v>24</v>
      </c>
      <c r="O1252" t="s">
        <v>68</v>
      </c>
      <c r="P1252">
        <v>1</v>
      </c>
      <c r="R1252">
        <v>326</v>
      </c>
      <c r="S1252" s="17">
        <v>42170</v>
      </c>
      <c r="T1252" s="17">
        <v>42170</v>
      </c>
      <c r="W1252">
        <v>2015</v>
      </c>
      <c r="X1252">
        <v>24</v>
      </c>
      <c r="AC1252" t="s">
        <v>5244</v>
      </c>
      <c r="AD1252" t="s">
        <v>301</v>
      </c>
      <c r="AE1252" t="s">
        <v>46</v>
      </c>
      <c r="AG1252">
        <v>2</v>
      </c>
      <c r="AH1252">
        <v>9</v>
      </c>
      <c r="AI1252" t="s">
        <v>54</v>
      </c>
      <c r="AK1252">
        <v>0</v>
      </c>
      <c r="AM1252">
        <v>0</v>
      </c>
      <c r="AP1252" t="s">
        <v>2544</v>
      </c>
    </row>
    <row r="1253" spans="1:42" customFormat="1">
      <c r="A1253">
        <v>268180</v>
      </c>
      <c r="B1253" t="s">
        <v>683</v>
      </c>
      <c r="C1253" t="s">
        <v>684</v>
      </c>
      <c r="D1253" s="22">
        <v>0</v>
      </c>
      <c r="E1253" s="17">
        <v>42128</v>
      </c>
      <c r="F1253" s="18">
        <v>0.64778935185185182</v>
      </c>
      <c r="G1253" s="22">
        <v>147.30000000000001</v>
      </c>
      <c r="H1253">
        <v>0</v>
      </c>
      <c r="I1253" s="19" t="e">
        <f>I1252 + (D1253-G1253)</f>
        <v>#VALUE!</v>
      </c>
      <c r="M1253">
        <v>122571</v>
      </c>
      <c r="N1253">
        <v>7</v>
      </c>
      <c r="O1253" t="s">
        <v>44</v>
      </c>
      <c r="P1253">
        <v>1</v>
      </c>
      <c r="R1253">
        <v>1578</v>
      </c>
      <c r="S1253" s="17">
        <v>42130</v>
      </c>
      <c r="T1253" s="17">
        <v>42130</v>
      </c>
      <c r="W1253">
        <v>2015</v>
      </c>
      <c r="X1253">
        <v>7</v>
      </c>
      <c r="AC1253" t="s">
        <v>106</v>
      </c>
      <c r="AD1253" t="s">
        <v>302</v>
      </c>
      <c r="AE1253" t="s">
        <v>46</v>
      </c>
      <c r="AG1253">
        <v>12</v>
      </c>
      <c r="AH1253">
        <v>10</v>
      </c>
      <c r="AI1253" t="s">
        <v>95</v>
      </c>
      <c r="AK1253">
        <v>0</v>
      </c>
      <c r="AM1253">
        <v>0</v>
      </c>
      <c r="AP1253" t="s">
        <v>392</v>
      </c>
    </row>
    <row r="1254" spans="1:42" customFormat="1">
      <c r="A1254">
        <v>268179</v>
      </c>
      <c r="B1254" t="s">
        <v>685</v>
      </c>
      <c r="C1254" t="s">
        <v>686</v>
      </c>
      <c r="D1254" s="22">
        <v>0</v>
      </c>
      <c r="E1254" s="17">
        <v>42128</v>
      </c>
      <c r="F1254" s="18">
        <v>0.64778935185185182</v>
      </c>
      <c r="G1254" s="22">
        <v>1473</v>
      </c>
      <c r="H1254">
        <v>0</v>
      </c>
      <c r="I1254" s="19" t="e">
        <f>I1253 + (D1254-G1254)</f>
        <v>#VALUE!</v>
      </c>
      <c r="M1254">
        <v>122481</v>
      </c>
      <c r="N1254">
        <v>7</v>
      </c>
      <c r="O1254" t="s">
        <v>44</v>
      </c>
      <c r="P1254">
        <v>1</v>
      </c>
      <c r="R1254">
        <v>1578</v>
      </c>
      <c r="S1254" s="17">
        <v>42130</v>
      </c>
      <c r="T1254" s="17">
        <v>42130</v>
      </c>
      <c r="W1254">
        <v>2015</v>
      </c>
      <c r="X1254">
        <v>7</v>
      </c>
      <c r="AC1254" t="s">
        <v>106</v>
      </c>
      <c r="AD1254" t="s">
        <v>302</v>
      </c>
      <c r="AE1254" t="s">
        <v>46</v>
      </c>
      <c r="AG1254">
        <v>12</v>
      </c>
      <c r="AH1254">
        <v>10</v>
      </c>
      <c r="AI1254" t="s">
        <v>95</v>
      </c>
      <c r="AK1254">
        <v>0</v>
      </c>
      <c r="AM1254">
        <v>0</v>
      </c>
      <c r="AP1254" t="s">
        <v>392</v>
      </c>
    </row>
    <row r="1255" spans="1:42" customFormat="1">
      <c r="A1255">
        <v>268183</v>
      </c>
      <c r="B1255" t="s">
        <v>687</v>
      </c>
      <c r="C1255" t="s">
        <v>688</v>
      </c>
      <c r="D1255" s="22">
        <v>0</v>
      </c>
      <c r="E1255" s="17">
        <v>42128</v>
      </c>
      <c r="F1255" s="18">
        <v>0.64780092592592597</v>
      </c>
      <c r="G1255" s="22">
        <v>1473</v>
      </c>
      <c r="H1255">
        <v>0</v>
      </c>
      <c r="I1255" s="19" t="e">
        <f>I1254 + (D1255-G1255)</f>
        <v>#VALUE!</v>
      </c>
      <c r="M1255">
        <v>122501</v>
      </c>
      <c r="N1255">
        <v>7</v>
      </c>
      <c r="O1255" t="s">
        <v>44</v>
      </c>
      <c r="P1255">
        <v>1</v>
      </c>
      <c r="R1255">
        <v>1578</v>
      </c>
      <c r="S1255" s="17">
        <v>42130</v>
      </c>
      <c r="T1255" s="17">
        <v>42130</v>
      </c>
      <c r="W1255">
        <v>2015</v>
      </c>
      <c r="X1255">
        <v>7</v>
      </c>
      <c r="AC1255" t="s">
        <v>106</v>
      </c>
      <c r="AD1255" t="s">
        <v>302</v>
      </c>
      <c r="AE1255" t="s">
        <v>46</v>
      </c>
      <c r="AG1255">
        <v>12</v>
      </c>
      <c r="AH1255">
        <v>10</v>
      </c>
      <c r="AI1255" t="s">
        <v>95</v>
      </c>
      <c r="AK1255">
        <v>0</v>
      </c>
      <c r="AM1255">
        <v>0</v>
      </c>
      <c r="AP1255" t="s">
        <v>392</v>
      </c>
    </row>
    <row r="1256" spans="1:42" customFormat="1">
      <c r="A1256">
        <v>268184</v>
      </c>
      <c r="B1256" t="s">
        <v>689</v>
      </c>
      <c r="C1256" t="s">
        <v>690</v>
      </c>
      <c r="D1256" s="22">
        <v>0</v>
      </c>
      <c r="E1256" s="17">
        <v>42128</v>
      </c>
      <c r="F1256" s="18">
        <v>0.64780092592592597</v>
      </c>
      <c r="G1256" s="22">
        <v>1473</v>
      </c>
      <c r="H1256">
        <v>0</v>
      </c>
      <c r="I1256" s="19" t="e">
        <f>I1255 + (D1256-G1256)</f>
        <v>#VALUE!</v>
      </c>
      <c r="M1256">
        <v>122511</v>
      </c>
      <c r="N1256">
        <v>7</v>
      </c>
      <c r="O1256" t="s">
        <v>44</v>
      </c>
      <c r="P1256">
        <v>1</v>
      </c>
      <c r="R1256">
        <v>1578</v>
      </c>
      <c r="S1256" s="17">
        <v>42130</v>
      </c>
      <c r="T1256" s="17">
        <v>42130</v>
      </c>
      <c r="W1256">
        <v>2015</v>
      </c>
      <c r="X1256">
        <v>7</v>
      </c>
      <c r="AC1256" t="s">
        <v>106</v>
      </c>
      <c r="AD1256" t="s">
        <v>302</v>
      </c>
      <c r="AE1256" t="s">
        <v>46</v>
      </c>
      <c r="AG1256">
        <v>12</v>
      </c>
      <c r="AH1256">
        <v>10</v>
      </c>
      <c r="AI1256" t="s">
        <v>95</v>
      </c>
      <c r="AK1256">
        <v>0</v>
      </c>
      <c r="AM1256">
        <v>0</v>
      </c>
      <c r="AP1256" t="s">
        <v>392</v>
      </c>
    </row>
    <row r="1257" spans="1:42" customFormat="1">
      <c r="A1257">
        <v>268185</v>
      </c>
      <c r="B1257" t="s">
        <v>691</v>
      </c>
      <c r="C1257" t="s">
        <v>692</v>
      </c>
      <c r="D1257" s="22">
        <v>0</v>
      </c>
      <c r="E1257" s="17">
        <v>42128</v>
      </c>
      <c r="F1257" s="18">
        <v>0.64780092592592597</v>
      </c>
      <c r="G1257" s="22">
        <v>1473</v>
      </c>
      <c r="H1257">
        <v>0</v>
      </c>
      <c r="I1257" s="19" t="e">
        <f>I1256 + (D1257-G1257)</f>
        <v>#VALUE!</v>
      </c>
      <c r="M1257">
        <v>122521</v>
      </c>
      <c r="N1257">
        <v>7</v>
      </c>
      <c r="O1257" t="s">
        <v>44</v>
      </c>
      <c r="P1257">
        <v>1</v>
      </c>
      <c r="R1257">
        <v>1578</v>
      </c>
      <c r="S1257" s="17">
        <v>42130</v>
      </c>
      <c r="T1257" s="17">
        <v>42130</v>
      </c>
      <c r="W1257">
        <v>2015</v>
      </c>
      <c r="X1257">
        <v>7</v>
      </c>
      <c r="AC1257" t="s">
        <v>106</v>
      </c>
      <c r="AD1257" t="s">
        <v>302</v>
      </c>
      <c r="AE1257" t="s">
        <v>46</v>
      </c>
      <c r="AG1257">
        <v>12</v>
      </c>
      <c r="AH1257">
        <v>10</v>
      </c>
      <c r="AI1257" t="s">
        <v>95</v>
      </c>
      <c r="AK1257">
        <v>0</v>
      </c>
      <c r="AM1257">
        <v>0</v>
      </c>
      <c r="AP1257" t="s">
        <v>392</v>
      </c>
    </row>
    <row r="1258" spans="1:42" customFormat="1">
      <c r="A1258">
        <v>268186</v>
      </c>
      <c r="B1258" t="s">
        <v>693</v>
      </c>
      <c r="C1258" t="s">
        <v>694</v>
      </c>
      <c r="D1258" s="22">
        <v>0</v>
      </c>
      <c r="E1258" s="17">
        <v>42128</v>
      </c>
      <c r="F1258" s="18">
        <v>0.64780092592592597</v>
      </c>
      <c r="G1258" s="22">
        <v>73.650000000000006</v>
      </c>
      <c r="H1258">
        <v>0</v>
      </c>
      <c r="I1258" s="19" t="e">
        <f>I1257 + (D1258-G1258)</f>
        <v>#VALUE!</v>
      </c>
      <c r="M1258">
        <v>122551</v>
      </c>
      <c r="N1258">
        <v>7</v>
      </c>
      <c r="O1258" t="s">
        <v>44</v>
      </c>
      <c r="P1258">
        <v>1</v>
      </c>
      <c r="R1258">
        <v>1578</v>
      </c>
      <c r="S1258" s="17">
        <v>42130</v>
      </c>
      <c r="T1258" s="17">
        <v>42130</v>
      </c>
      <c r="W1258">
        <v>2015</v>
      </c>
      <c r="X1258">
        <v>7</v>
      </c>
      <c r="AC1258" t="s">
        <v>106</v>
      </c>
      <c r="AD1258" t="s">
        <v>302</v>
      </c>
      <c r="AE1258" t="s">
        <v>46</v>
      </c>
      <c r="AG1258">
        <v>12</v>
      </c>
      <c r="AH1258">
        <v>10</v>
      </c>
      <c r="AI1258" t="s">
        <v>95</v>
      </c>
      <c r="AK1258">
        <v>0</v>
      </c>
      <c r="AM1258">
        <v>0</v>
      </c>
      <c r="AP1258" t="s">
        <v>392</v>
      </c>
    </row>
    <row r="1259" spans="1:42" customFormat="1">
      <c r="A1259">
        <v>268187</v>
      </c>
      <c r="B1259" t="s">
        <v>695</v>
      </c>
      <c r="C1259" t="s">
        <v>696</v>
      </c>
      <c r="D1259" s="22">
        <v>0</v>
      </c>
      <c r="E1259" s="17">
        <v>42128</v>
      </c>
      <c r="F1259" s="18">
        <v>0.64780092592592597</v>
      </c>
      <c r="G1259" s="22">
        <v>1051</v>
      </c>
      <c r="H1259">
        <v>0</v>
      </c>
      <c r="I1259" s="19" t="e">
        <f>I1258 + (D1259-G1259)</f>
        <v>#VALUE!</v>
      </c>
      <c r="M1259">
        <v>122561</v>
      </c>
      <c r="N1259">
        <v>7</v>
      </c>
      <c r="O1259" t="s">
        <v>44</v>
      </c>
      <c r="P1259">
        <v>1</v>
      </c>
      <c r="R1259">
        <v>1578</v>
      </c>
      <c r="S1259" s="17">
        <v>42130</v>
      </c>
      <c r="T1259" s="17">
        <v>42130</v>
      </c>
      <c r="W1259">
        <v>2015</v>
      </c>
      <c r="X1259">
        <v>7</v>
      </c>
      <c r="AC1259" t="s">
        <v>106</v>
      </c>
      <c r="AD1259" t="s">
        <v>302</v>
      </c>
      <c r="AE1259" t="s">
        <v>46</v>
      </c>
      <c r="AG1259">
        <v>12</v>
      </c>
      <c r="AH1259">
        <v>10</v>
      </c>
      <c r="AI1259" t="s">
        <v>95</v>
      </c>
      <c r="AK1259">
        <v>0</v>
      </c>
      <c r="AM1259">
        <v>0</v>
      </c>
      <c r="AP1259" t="s">
        <v>392</v>
      </c>
    </row>
    <row r="1260" spans="1:42" customFormat="1">
      <c r="A1260">
        <v>268182</v>
      </c>
      <c r="B1260" t="s">
        <v>697</v>
      </c>
      <c r="C1260" t="s">
        <v>698</v>
      </c>
      <c r="D1260" s="22">
        <v>0</v>
      </c>
      <c r="E1260" s="17">
        <v>42128</v>
      </c>
      <c r="F1260" s="18">
        <v>0.64780092592592597</v>
      </c>
      <c r="G1260" s="22">
        <v>1473</v>
      </c>
      <c r="H1260">
        <v>0</v>
      </c>
      <c r="I1260" s="19" t="e">
        <f>I1259 + (D1260-G1260)</f>
        <v>#VALUE!</v>
      </c>
      <c r="M1260">
        <v>122491</v>
      </c>
      <c r="N1260">
        <v>7</v>
      </c>
      <c r="O1260" t="s">
        <v>44</v>
      </c>
      <c r="P1260">
        <v>1</v>
      </c>
      <c r="R1260">
        <v>1578</v>
      </c>
      <c r="S1260" s="17">
        <v>42130</v>
      </c>
      <c r="T1260" s="17">
        <v>42130</v>
      </c>
      <c r="W1260">
        <v>2015</v>
      </c>
      <c r="X1260">
        <v>7</v>
      </c>
      <c r="AC1260" t="s">
        <v>106</v>
      </c>
      <c r="AD1260" t="s">
        <v>302</v>
      </c>
      <c r="AE1260" t="s">
        <v>46</v>
      </c>
      <c r="AG1260">
        <v>12</v>
      </c>
      <c r="AH1260">
        <v>10</v>
      </c>
      <c r="AI1260" t="s">
        <v>95</v>
      </c>
      <c r="AK1260">
        <v>0</v>
      </c>
      <c r="AM1260">
        <v>0</v>
      </c>
      <c r="AP1260" t="s">
        <v>392</v>
      </c>
    </row>
    <row r="1261" spans="1:42" customFormat="1">
      <c r="A1261">
        <v>268188</v>
      </c>
      <c r="B1261" t="s">
        <v>699</v>
      </c>
      <c r="C1261" t="s">
        <v>700</v>
      </c>
      <c r="D1261" s="22">
        <v>0</v>
      </c>
      <c r="E1261" s="17">
        <v>42128</v>
      </c>
      <c r="F1261" s="18">
        <v>0.64780092592592597</v>
      </c>
      <c r="G1261" s="22">
        <v>1473</v>
      </c>
      <c r="H1261">
        <v>0</v>
      </c>
      <c r="I1261" s="19" t="e">
        <f>I1260 + (D1261-G1261)</f>
        <v>#VALUE!</v>
      </c>
      <c r="M1261">
        <v>122472</v>
      </c>
      <c r="N1261">
        <v>7</v>
      </c>
      <c r="O1261" t="s">
        <v>44</v>
      </c>
      <c r="P1261">
        <v>1</v>
      </c>
      <c r="R1261">
        <v>1578</v>
      </c>
      <c r="S1261" s="17">
        <v>42130</v>
      </c>
      <c r="T1261" s="17">
        <v>42130</v>
      </c>
      <c r="W1261">
        <v>2015</v>
      </c>
      <c r="X1261">
        <v>7</v>
      </c>
      <c r="AC1261" t="s">
        <v>106</v>
      </c>
      <c r="AD1261" t="s">
        <v>302</v>
      </c>
      <c r="AE1261" t="s">
        <v>46</v>
      </c>
      <c r="AG1261">
        <v>12</v>
      </c>
      <c r="AH1261">
        <v>10</v>
      </c>
      <c r="AI1261" t="s">
        <v>95</v>
      </c>
      <c r="AK1261">
        <v>0</v>
      </c>
      <c r="AM1261">
        <v>0</v>
      </c>
      <c r="AP1261" t="s">
        <v>392</v>
      </c>
    </row>
    <row r="1262" spans="1:42" customFormat="1">
      <c r="A1262">
        <v>268190</v>
      </c>
      <c r="B1262" t="s">
        <v>701</v>
      </c>
      <c r="C1262" t="s">
        <v>702</v>
      </c>
      <c r="D1262" s="22">
        <v>0</v>
      </c>
      <c r="E1262" s="17">
        <v>42128</v>
      </c>
      <c r="F1262" s="18">
        <v>0.64780092592592597</v>
      </c>
      <c r="G1262" s="22">
        <v>1473</v>
      </c>
      <c r="H1262">
        <v>0</v>
      </c>
      <c r="I1262" s="19" t="e">
        <f>I1261 + (D1262-G1262)</f>
        <v>#VALUE!</v>
      </c>
      <c r="M1262">
        <v>122482</v>
      </c>
      <c r="N1262">
        <v>7</v>
      </c>
      <c r="O1262" t="s">
        <v>44</v>
      </c>
      <c r="P1262">
        <v>1</v>
      </c>
      <c r="R1262">
        <v>1578</v>
      </c>
      <c r="S1262" s="17">
        <v>42130</v>
      </c>
      <c r="T1262" s="17">
        <v>42130</v>
      </c>
      <c r="W1262">
        <v>2015</v>
      </c>
      <c r="X1262">
        <v>7</v>
      </c>
      <c r="AC1262" t="s">
        <v>106</v>
      </c>
      <c r="AD1262" t="s">
        <v>302</v>
      </c>
      <c r="AE1262" t="s">
        <v>46</v>
      </c>
      <c r="AG1262">
        <v>12</v>
      </c>
      <c r="AH1262">
        <v>10</v>
      </c>
      <c r="AI1262" t="s">
        <v>95</v>
      </c>
      <c r="AK1262">
        <v>0</v>
      </c>
      <c r="AM1262">
        <v>0</v>
      </c>
      <c r="AP1262" t="s">
        <v>392</v>
      </c>
    </row>
    <row r="1263" spans="1:42" customFormat="1">
      <c r="A1263">
        <v>268193</v>
      </c>
      <c r="B1263" t="s">
        <v>705</v>
      </c>
      <c r="C1263" t="s">
        <v>706</v>
      </c>
      <c r="D1263" s="22">
        <v>0</v>
      </c>
      <c r="E1263" s="17">
        <v>42128</v>
      </c>
      <c r="F1263" s="18">
        <v>0.64781250000000001</v>
      </c>
      <c r="G1263" s="22">
        <v>1473</v>
      </c>
      <c r="H1263">
        <v>0</v>
      </c>
      <c r="I1263" s="19" t="e">
        <f>I1262 + (D1263-G1263)</f>
        <v>#VALUE!</v>
      </c>
      <c r="M1263">
        <v>122502</v>
      </c>
      <c r="N1263">
        <v>7</v>
      </c>
      <c r="O1263" t="s">
        <v>44</v>
      </c>
      <c r="P1263">
        <v>1</v>
      </c>
      <c r="R1263">
        <v>1578</v>
      </c>
      <c r="S1263" s="17">
        <v>42130</v>
      </c>
      <c r="T1263" s="17">
        <v>42130</v>
      </c>
      <c r="W1263">
        <v>2015</v>
      </c>
      <c r="X1263">
        <v>7</v>
      </c>
      <c r="AC1263" t="s">
        <v>106</v>
      </c>
      <c r="AD1263" t="s">
        <v>302</v>
      </c>
      <c r="AE1263" t="s">
        <v>46</v>
      </c>
      <c r="AG1263">
        <v>12</v>
      </c>
      <c r="AH1263">
        <v>10</v>
      </c>
      <c r="AI1263" t="s">
        <v>95</v>
      </c>
      <c r="AK1263">
        <v>0</v>
      </c>
      <c r="AM1263">
        <v>0</v>
      </c>
      <c r="AP1263" t="s">
        <v>392</v>
      </c>
    </row>
    <row r="1264" spans="1:42" customFormat="1">
      <c r="A1264">
        <v>268192</v>
      </c>
      <c r="B1264" t="s">
        <v>707</v>
      </c>
      <c r="C1264" t="s">
        <v>708</v>
      </c>
      <c r="D1264" s="22">
        <v>0</v>
      </c>
      <c r="E1264" s="17">
        <v>42128</v>
      </c>
      <c r="F1264" s="18">
        <v>0.64781250000000001</v>
      </c>
      <c r="G1264" s="22">
        <v>1473</v>
      </c>
      <c r="H1264">
        <v>0</v>
      </c>
      <c r="I1264" s="19" t="e">
        <f>I1263 + (D1264-G1264)</f>
        <v>#VALUE!</v>
      </c>
      <c r="M1264">
        <v>122492</v>
      </c>
      <c r="N1264">
        <v>7</v>
      </c>
      <c r="O1264" t="s">
        <v>44</v>
      </c>
      <c r="P1264">
        <v>1</v>
      </c>
      <c r="R1264">
        <v>1578</v>
      </c>
      <c r="S1264" s="17">
        <v>42130</v>
      </c>
      <c r="T1264" s="17">
        <v>42130</v>
      </c>
      <c r="W1264">
        <v>2015</v>
      </c>
      <c r="X1264">
        <v>7</v>
      </c>
      <c r="AC1264" t="s">
        <v>106</v>
      </c>
      <c r="AD1264" t="s">
        <v>302</v>
      </c>
      <c r="AE1264" t="s">
        <v>46</v>
      </c>
      <c r="AG1264">
        <v>12</v>
      </c>
      <c r="AH1264">
        <v>10</v>
      </c>
      <c r="AI1264" t="s">
        <v>95</v>
      </c>
      <c r="AK1264">
        <v>0</v>
      </c>
      <c r="AM1264">
        <v>0</v>
      </c>
      <c r="AP1264" t="s">
        <v>392</v>
      </c>
    </row>
    <row r="1265" spans="1:42" customFormat="1">
      <c r="A1265">
        <v>268194</v>
      </c>
      <c r="B1265" t="s">
        <v>709</v>
      </c>
      <c r="C1265" t="s">
        <v>710</v>
      </c>
      <c r="D1265" s="22">
        <v>0</v>
      </c>
      <c r="E1265" s="17">
        <v>42128</v>
      </c>
      <c r="F1265" s="18">
        <v>0.64782407407407405</v>
      </c>
      <c r="G1265" s="22">
        <v>1473</v>
      </c>
      <c r="H1265">
        <v>0</v>
      </c>
      <c r="I1265" s="19" t="e">
        <f>I1264 + (D1265-G1265)</f>
        <v>#VALUE!</v>
      </c>
      <c r="M1265">
        <v>122512</v>
      </c>
      <c r="N1265">
        <v>7</v>
      </c>
      <c r="O1265" t="s">
        <v>44</v>
      </c>
      <c r="P1265">
        <v>1</v>
      </c>
      <c r="R1265">
        <v>1578</v>
      </c>
      <c r="S1265" s="17">
        <v>42130</v>
      </c>
      <c r="T1265" s="17">
        <v>42130</v>
      </c>
      <c r="W1265">
        <v>2015</v>
      </c>
      <c r="X1265">
        <v>7</v>
      </c>
      <c r="AC1265" t="s">
        <v>106</v>
      </c>
      <c r="AD1265" t="s">
        <v>302</v>
      </c>
      <c r="AE1265" t="s">
        <v>46</v>
      </c>
      <c r="AG1265">
        <v>12</v>
      </c>
      <c r="AH1265">
        <v>10</v>
      </c>
      <c r="AI1265" t="s">
        <v>95</v>
      </c>
      <c r="AK1265">
        <v>0</v>
      </c>
      <c r="AM1265">
        <v>0</v>
      </c>
      <c r="AP1265" t="s">
        <v>392</v>
      </c>
    </row>
    <row r="1266" spans="1:42" customFormat="1">
      <c r="A1266">
        <v>268195</v>
      </c>
      <c r="B1266" t="s">
        <v>711</v>
      </c>
      <c r="C1266" t="s">
        <v>712</v>
      </c>
      <c r="D1266" s="22">
        <v>0</v>
      </c>
      <c r="E1266" s="17">
        <v>42128</v>
      </c>
      <c r="F1266" s="18">
        <v>0.64783564814814809</v>
      </c>
      <c r="G1266" s="22">
        <v>1473</v>
      </c>
      <c r="H1266">
        <v>0</v>
      </c>
      <c r="I1266" s="19" t="e">
        <f>I1265 + (D1266-G1266)</f>
        <v>#VALUE!</v>
      </c>
      <c r="M1266">
        <v>122522</v>
      </c>
      <c r="N1266">
        <v>7</v>
      </c>
      <c r="O1266" t="s">
        <v>44</v>
      </c>
      <c r="P1266">
        <v>1</v>
      </c>
      <c r="R1266">
        <v>1578</v>
      </c>
      <c r="S1266" s="17">
        <v>42130</v>
      </c>
      <c r="T1266" s="17">
        <v>42130</v>
      </c>
      <c r="W1266">
        <v>2015</v>
      </c>
      <c r="X1266">
        <v>7</v>
      </c>
      <c r="AC1266" t="s">
        <v>106</v>
      </c>
      <c r="AD1266" t="s">
        <v>302</v>
      </c>
      <c r="AE1266" t="s">
        <v>46</v>
      </c>
      <c r="AG1266">
        <v>12</v>
      </c>
      <c r="AH1266">
        <v>10</v>
      </c>
      <c r="AI1266" t="s">
        <v>95</v>
      </c>
      <c r="AK1266">
        <v>0</v>
      </c>
      <c r="AM1266">
        <v>0</v>
      </c>
      <c r="AP1266" t="s">
        <v>392</v>
      </c>
    </row>
    <row r="1267" spans="1:42" customFormat="1">
      <c r="A1267">
        <v>268197</v>
      </c>
      <c r="B1267" t="s">
        <v>713</v>
      </c>
      <c r="C1267" t="s">
        <v>714</v>
      </c>
      <c r="D1267" s="22">
        <v>0</v>
      </c>
      <c r="E1267" s="17">
        <v>42128</v>
      </c>
      <c r="F1267" s="18">
        <v>0.64783564814814809</v>
      </c>
      <c r="G1267" s="22">
        <v>998.45</v>
      </c>
      <c r="H1267">
        <v>0</v>
      </c>
      <c r="I1267" s="19" t="e">
        <f>I1266 + (D1267-G1267)</f>
        <v>#VALUE!</v>
      </c>
      <c r="M1267">
        <v>122562</v>
      </c>
      <c r="N1267">
        <v>7</v>
      </c>
      <c r="O1267" t="s">
        <v>44</v>
      </c>
      <c r="P1267">
        <v>1</v>
      </c>
      <c r="R1267">
        <v>1578</v>
      </c>
      <c r="S1267" s="17">
        <v>42130</v>
      </c>
      <c r="T1267" s="17">
        <v>42130</v>
      </c>
      <c r="W1267">
        <v>2015</v>
      </c>
      <c r="X1267">
        <v>7</v>
      </c>
      <c r="AC1267" t="s">
        <v>106</v>
      </c>
      <c r="AD1267" t="s">
        <v>302</v>
      </c>
      <c r="AE1267" t="s">
        <v>46</v>
      </c>
      <c r="AG1267">
        <v>12</v>
      </c>
      <c r="AH1267">
        <v>10</v>
      </c>
      <c r="AI1267" t="s">
        <v>95</v>
      </c>
      <c r="AK1267">
        <v>0</v>
      </c>
      <c r="AM1267">
        <v>0</v>
      </c>
      <c r="AP1267" t="s">
        <v>392</v>
      </c>
    </row>
    <row r="1268" spans="1:42" customFormat="1">
      <c r="A1268">
        <v>268203</v>
      </c>
      <c r="B1268" t="s">
        <v>715</v>
      </c>
      <c r="C1268" t="s">
        <v>716</v>
      </c>
      <c r="D1268" s="22">
        <v>0</v>
      </c>
      <c r="E1268" s="17">
        <v>42128</v>
      </c>
      <c r="F1268" s="18">
        <v>0.64783564814814809</v>
      </c>
      <c r="G1268" s="22">
        <v>1473</v>
      </c>
      <c r="H1268">
        <v>0</v>
      </c>
      <c r="I1268" s="19" t="e">
        <f>I1267 + (D1268-G1268)</f>
        <v>#VALUE!</v>
      </c>
      <c r="M1268">
        <v>122503</v>
      </c>
      <c r="N1268">
        <v>7</v>
      </c>
      <c r="O1268" t="s">
        <v>44</v>
      </c>
      <c r="P1268">
        <v>1</v>
      </c>
      <c r="R1268">
        <v>1578</v>
      </c>
      <c r="S1268" s="17">
        <v>42130</v>
      </c>
      <c r="T1268" s="17">
        <v>42130</v>
      </c>
      <c r="W1268">
        <v>2015</v>
      </c>
      <c r="X1268">
        <v>7</v>
      </c>
      <c r="AC1268" t="s">
        <v>106</v>
      </c>
      <c r="AD1268" t="s">
        <v>302</v>
      </c>
      <c r="AE1268" t="s">
        <v>46</v>
      </c>
      <c r="AG1268">
        <v>12</v>
      </c>
      <c r="AH1268">
        <v>10</v>
      </c>
      <c r="AI1268" t="s">
        <v>95</v>
      </c>
      <c r="AK1268">
        <v>0</v>
      </c>
      <c r="AM1268">
        <v>0</v>
      </c>
      <c r="AP1268" t="s">
        <v>392</v>
      </c>
    </row>
    <row r="1269" spans="1:42" customFormat="1">
      <c r="A1269">
        <v>268198</v>
      </c>
      <c r="B1269" t="s">
        <v>717</v>
      </c>
      <c r="C1269" t="s">
        <v>718</v>
      </c>
      <c r="D1269" s="22">
        <v>0</v>
      </c>
      <c r="E1269" s="17">
        <v>42128</v>
      </c>
      <c r="F1269" s="18">
        <v>0.64783564814814809</v>
      </c>
      <c r="G1269" s="22">
        <v>1473</v>
      </c>
      <c r="H1269">
        <v>0</v>
      </c>
      <c r="I1269" s="19" t="e">
        <f>I1268 + (D1269-G1269)</f>
        <v>#VALUE!</v>
      </c>
      <c r="M1269">
        <v>122473</v>
      </c>
      <c r="N1269">
        <v>7</v>
      </c>
      <c r="O1269" t="s">
        <v>44</v>
      </c>
      <c r="P1269">
        <v>1</v>
      </c>
      <c r="R1269">
        <v>1578</v>
      </c>
      <c r="S1269" s="17">
        <v>42130</v>
      </c>
      <c r="T1269" s="17">
        <v>42130</v>
      </c>
      <c r="W1269">
        <v>2015</v>
      </c>
      <c r="X1269">
        <v>7</v>
      </c>
      <c r="AC1269" t="s">
        <v>106</v>
      </c>
      <c r="AD1269" t="s">
        <v>302</v>
      </c>
      <c r="AE1269" t="s">
        <v>46</v>
      </c>
      <c r="AG1269">
        <v>12</v>
      </c>
      <c r="AH1269">
        <v>10</v>
      </c>
      <c r="AI1269" t="s">
        <v>95</v>
      </c>
      <c r="AK1269">
        <v>0</v>
      </c>
      <c r="AM1269">
        <v>0</v>
      </c>
      <c r="AP1269" t="s">
        <v>392</v>
      </c>
    </row>
    <row r="1270" spans="1:42" customFormat="1">
      <c r="A1270">
        <v>268200</v>
      </c>
      <c r="B1270" t="s">
        <v>719</v>
      </c>
      <c r="C1270" t="s">
        <v>720</v>
      </c>
      <c r="D1270" s="22">
        <v>0</v>
      </c>
      <c r="E1270" s="17">
        <v>42128</v>
      </c>
      <c r="F1270" s="18">
        <v>0.64783564814814809</v>
      </c>
      <c r="G1270" s="22">
        <v>1473</v>
      </c>
      <c r="H1270">
        <v>0</v>
      </c>
      <c r="I1270" s="19" t="e">
        <f>I1269 + (D1270-G1270)</f>
        <v>#VALUE!</v>
      </c>
      <c r="M1270">
        <v>122483</v>
      </c>
      <c r="N1270">
        <v>7</v>
      </c>
      <c r="O1270" t="s">
        <v>44</v>
      </c>
      <c r="P1270">
        <v>1</v>
      </c>
      <c r="R1270">
        <v>1578</v>
      </c>
      <c r="S1270" s="17">
        <v>42130</v>
      </c>
      <c r="T1270" s="17">
        <v>42130</v>
      </c>
      <c r="W1270">
        <v>2015</v>
      </c>
      <c r="X1270">
        <v>7</v>
      </c>
      <c r="AC1270" t="s">
        <v>106</v>
      </c>
      <c r="AD1270" t="s">
        <v>302</v>
      </c>
      <c r="AE1270" t="s">
        <v>46</v>
      </c>
      <c r="AG1270">
        <v>12</v>
      </c>
      <c r="AH1270">
        <v>10</v>
      </c>
      <c r="AI1270" t="s">
        <v>95</v>
      </c>
      <c r="AK1270">
        <v>0</v>
      </c>
      <c r="AM1270">
        <v>0</v>
      </c>
      <c r="AP1270" t="s">
        <v>392</v>
      </c>
    </row>
    <row r="1271" spans="1:42" customFormat="1">
      <c r="A1271">
        <v>268202</v>
      </c>
      <c r="B1271" t="s">
        <v>721</v>
      </c>
      <c r="C1271" t="s">
        <v>722</v>
      </c>
      <c r="D1271" s="22">
        <v>0</v>
      </c>
      <c r="E1271" s="17">
        <v>42128</v>
      </c>
      <c r="F1271" s="18">
        <v>0.64783564814814809</v>
      </c>
      <c r="G1271" s="22">
        <v>1473</v>
      </c>
      <c r="H1271">
        <v>0</v>
      </c>
      <c r="I1271" s="19" t="e">
        <f>I1270 + (D1271-G1271)</f>
        <v>#VALUE!</v>
      </c>
      <c r="M1271">
        <v>122493</v>
      </c>
      <c r="N1271">
        <v>7</v>
      </c>
      <c r="O1271" t="s">
        <v>44</v>
      </c>
      <c r="P1271">
        <v>1</v>
      </c>
      <c r="R1271">
        <v>1578</v>
      </c>
      <c r="S1271" s="17">
        <v>42130</v>
      </c>
      <c r="T1271" s="17">
        <v>42130</v>
      </c>
      <c r="W1271">
        <v>2015</v>
      </c>
      <c r="X1271">
        <v>7</v>
      </c>
      <c r="AC1271" t="s">
        <v>106</v>
      </c>
      <c r="AD1271" t="s">
        <v>302</v>
      </c>
      <c r="AE1271" t="s">
        <v>46</v>
      </c>
      <c r="AG1271">
        <v>12</v>
      </c>
      <c r="AH1271">
        <v>10</v>
      </c>
      <c r="AI1271" t="s">
        <v>95</v>
      </c>
      <c r="AK1271">
        <v>0</v>
      </c>
      <c r="AM1271">
        <v>0</v>
      </c>
      <c r="AP1271" t="s">
        <v>392</v>
      </c>
    </row>
    <row r="1272" spans="1:42" customFormat="1">
      <c r="A1272">
        <v>268204</v>
      </c>
      <c r="B1272" t="s">
        <v>725</v>
      </c>
      <c r="C1272" t="s">
        <v>726</v>
      </c>
      <c r="D1272" s="22">
        <v>0</v>
      </c>
      <c r="E1272" s="17">
        <v>42128</v>
      </c>
      <c r="F1272" s="18">
        <v>0.64784722222222224</v>
      </c>
      <c r="G1272" s="22">
        <v>1473</v>
      </c>
      <c r="H1272">
        <v>0</v>
      </c>
      <c r="I1272" s="19" t="e">
        <f>I1271 + (D1272-G1272)</f>
        <v>#VALUE!</v>
      </c>
      <c r="M1272">
        <v>122513</v>
      </c>
      <c r="N1272">
        <v>7</v>
      </c>
      <c r="O1272" t="s">
        <v>44</v>
      </c>
      <c r="P1272">
        <v>1</v>
      </c>
      <c r="R1272">
        <v>1578</v>
      </c>
      <c r="S1272" s="17">
        <v>42130</v>
      </c>
      <c r="T1272" s="17">
        <v>42130</v>
      </c>
      <c r="W1272">
        <v>2015</v>
      </c>
      <c r="X1272">
        <v>7</v>
      </c>
      <c r="AC1272" t="s">
        <v>106</v>
      </c>
      <c r="AD1272" t="s">
        <v>302</v>
      </c>
      <c r="AE1272" t="s">
        <v>46</v>
      </c>
      <c r="AG1272">
        <v>12</v>
      </c>
      <c r="AH1272">
        <v>10</v>
      </c>
      <c r="AI1272" t="s">
        <v>95</v>
      </c>
      <c r="AK1272">
        <v>0</v>
      </c>
      <c r="AM1272">
        <v>0</v>
      </c>
      <c r="AP1272" t="s">
        <v>392</v>
      </c>
    </row>
    <row r="1273" spans="1:42" customFormat="1">
      <c r="A1273">
        <v>268205</v>
      </c>
      <c r="B1273" t="s">
        <v>727</v>
      </c>
      <c r="C1273" t="s">
        <v>728</v>
      </c>
      <c r="D1273" s="22">
        <v>0</v>
      </c>
      <c r="E1273" s="17">
        <v>42128</v>
      </c>
      <c r="F1273" s="18">
        <v>0.64784722222222224</v>
      </c>
      <c r="G1273" s="22">
        <v>1473</v>
      </c>
      <c r="H1273">
        <v>0</v>
      </c>
      <c r="I1273" s="19" t="e">
        <f>I1272 + (D1273-G1273)</f>
        <v>#VALUE!</v>
      </c>
      <c r="M1273">
        <v>122523</v>
      </c>
      <c r="N1273">
        <v>7</v>
      </c>
      <c r="O1273" t="s">
        <v>44</v>
      </c>
      <c r="P1273">
        <v>1</v>
      </c>
      <c r="R1273">
        <v>1578</v>
      </c>
      <c r="S1273" s="17">
        <v>42130</v>
      </c>
      <c r="T1273" s="17">
        <v>42130</v>
      </c>
      <c r="W1273">
        <v>2015</v>
      </c>
      <c r="X1273">
        <v>7</v>
      </c>
      <c r="AC1273" t="s">
        <v>106</v>
      </c>
      <c r="AD1273" t="s">
        <v>302</v>
      </c>
      <c r="AE1273" t="s">
        <v>46</v>
      </c>
      <c r="AG1273">
        <v>12</v>
      </c>
      <c r="AH1273">
        <v>10</v>
      </c>
      <c r="AI1273" t="s">
        <v>95</v>
      </c>
      <c r="AK1273">
        <v>0</v>
      </c>
      <c r="AM1273">
        <v>0</v>
      </c>
      <c r="AP1273" t="s">
        <v>392</v>
      </c>
    </row>
    <row r="1274" spans="1:42" customFormat="1">
      <c r="A1274">
        <v>268206</v>
      </c>
      <c r="B1274" t="s">
        <v>729</v>
      </c>
      <c r="C1274" t="s">
        <v>730</v>
      </c>
      <c r="D1274" s="22">
        <v>0</v>
      </c>
      <c r="E1274" s="17">
        <v>42128</v>
      </c>
      <c r="F1274" s="18">
        <v>0.64784722222222224</v>
      </c>
      <c r="G1274" s="22">
        <v>1473</v>
      </c>
      <c r="H1274">
        <v>0</v>
      </c>
      <c r="I1274" s="19" t="e">
        <f>I1273 + (D1274-G1274)</f>
        <v>#VALUE!</v>
      </c>
      <c r="M1274">
        <v>122543</v>
      </c>
      <c r="N1274">
        <v>7</v>
      </c>
      <c r="O1274" t="s">
        <v>44</v>
      </c>
      <c r="P1274">
        <v>1</v>
      </c>
      <c r="R1274">
        <v>1578</v>
      </c>
      <c r="S1274" s="17">
        <v>42130</v>
      </c>
      <c r="T1274" s="17">
        <v>42130</v>
      </c>
      <c r="W1274">
        <v>2015</v>
      </c>
      <c r="X1274">
        <v>7</v>
      </c>
      <c r="AC1274" t="s">
        <v>106</v>
      </c>
      <c r="AD1274" t="s">
        <v>302</v>
      </c>
      <c r="AE1274" t="s">
        <v>46</v>
      </c>
      <c r="AG1274">
        <v>12</v>
      </c>
      <c r="AH1274">
        <v>10</v>
      </c>
      <c r="AI1274" t="s">
        <v>95</v>
      </c>
      <c r="AK1274">
        <v>0</v>
      </c>
      <c r="AM1274">
        <v>0</v>
      </c>
      <c r="AP1274" t="s">
        <v>392</v>
      </c>
    </row>
    <row r="1275" spans="1:42" customFormat="1">
      <c r="A1275">
        <v>268207</v>
      </c>
      <c r="B1275" t="s">
        <v>731</v>
      </c>
      <c r="C1275" t="s">
        <v>732</v>
      </c>
      <c r="D1275" s="22">
        <v>0</v>
      </c>
      <c r="E1275" s="17">
        <v>42128</v>
      </c>
      <c r="F1275" s="18">
        <v>0.64784722222222224</v>
      </c>
      <c r="G1275" s="22">
        <v>1399.35</v>
      </c>
      <c r="H1275">
        <v>0</v>
      </c>
      <c r="I1275" s="19" t="e">
        <f>I1274 + (D1275-G1275)</f>
        <v>#VALUE!</v>
      </c>
      <c r="M1275">
        <v>122553</v>
      </c>
      <c r="N1275">
        <v>7</v>
      </c>
      <c r="O1275" t="s">
        <v>44</v>
      </c>
      <c r="P1275">
        <v>1</v>
      </c>
      <c r="R1275">
        <v>1578</v>
      </c>
      <c r="S1275" s="17">
        <v>42130</v>
      </c>
      <c r="T1275" s="17">
        <v>42130</v>
      </c>
      <c r="W1275">
        <v>2015</v>
      </c>
      <c r="X1275">
        <v>7</v>
      </c>
      <c r="AC1275" t="s">
        <v>106</v>
      </c>
      <c r="AD1275" t="s">
        <v>302</v>
      </c>
      <c r="AE1275" t="s">
        <v>46</v>
      </c>
      <c r="AG1275">
        <v>12</v>
      </c>
      <c r="AH1275">
        <v>10</v>
      </c>
      <c r="AI1275" t="s">
        <v>95</v>
      </c>
      <c r="AK1275">
        <v>0</v>
      </c>
      <c r="AM1275">
        <v>0</v>
      </c>
      <c r="AP1275" t="s">
        <v>392</v>
      </c>
    </row>
    <row r="1276" spans="1:42" customFormat="1">
      <c r="A1276">
        <v>268208</v>
      </c>
      <c r="B1276" t="s">
        <v>733</v>
      </c>
      <c r="C1276" t="s">
        <v>734</v>
      </c>
      <c r="D1276" s="22">
        <v>0</v>
      </c>
      <c r="E1276" s="17">
        <v>42128</v>
      </c>
      <c r="F1276" s="18">
        <v>0.64784722222222224</v>
      </c>
      <c r="G1276" s="22">
        <v>998.45</v>
      </c>
      <c r="H1276">
        <v>0</v>
      </c>
      <c r="I1276" s="19" t="e">
        <f>I1275 + (D1276-G1276)</f>
        <v>#VALUE!</v>
      </c>
      <c r="M1276">
        <v>122563</v>
      </c>
      <c r="N1276">
        <v>7</v>
      </c>
      <c r="O1276" t="s">
        <v>44</v>
      </c>
      <c r="P1276">
        <v>1</v>
      </c>
      <c r="R1276">
        <v>1578</v>
      </c>
      <c r="S1276" s="17">
        <v>42130</v>
      </c>
      <c r="T1276" s="17">
        <v>42130</v>
      </c>
      <c r="W1276">
        <v>2015</v>
      </c>
      <c r="X1276">
        <v>7</v>
      </c>
      <c r="AC1276" t="s">
        <v>106</v>
      </c>
      <c r="AD1276" t="s">
        <v>302</v>
      </c>
      <c r="AE1276" t="s">
        <v>46</v>
      </c>
      <c r="AG1276">
        <v>12</v>
      </c>
      <c r="AH1276">
        <v>10</v>
      </c>
      <c r="AI1276" t="s">
        <v>95</v>
      </c>
      <c r="AK1276">
        <v>0</v>
      </c>
      <c r="AM1276">
        <v>0</v>
      </c>
      <c r="AP1276" t="s">
        <v>392</v>
      </c>
    </row>
    <row r="1277" spans="1:42" customFormat="1">
      <c r="A1277">
        <v>268213</v>
      </c>
      <c r="B1277" t="s">
        <v>735</v>
      </c>
      <c r="C1277" t="s">
        <v>736</v>
      </c>
      <c r="D1277" s="22">
        <v>0</v>
      </c>
      <c r="E1277" s="17">
        <v>42128</v>
      </c>
      <c r="F1277" s="18">
        <v>0.64784722222222224</v>
      </c>
      <c r="G1277" s="22">
        <v>1473</v>
      </c>
      <c r="H1277">
        <v>0</v>
      </c>
      <c r="I1277" s="19" t="e">
        <f>I1276 + (D1277-G1277)</f>
        <v>#VALUE!</v>
      </c>
      <c r="M1277">
        <v>122504</v>
      </c>
      <c r="N1277">
        <v>7</v>
      </c>
      <c r="O1277" t="s">
        <v>44</v>
      </c>
      <c r="P1277">
        <v>1</v>
      </c>
      <c r="R1277">
        <v>1578</v>
      </c>
      <c r="S1277" s="17">
        <v>42130</v>
      </c>
      <c r="T1277" s="17">
        <v>42130</v>
      </c>
      <c r="W1277">
        <v>2015</v>
      </c>
      <c r="X1277">
        <v>7</v>
      </c>
      <c r="AC1277" t="s">
        <v>106</v>
      </c>
      <c r="AD1277" t="s">
        <v>302</v>
      </c>
      <c r="AE1277" t="s">
        <v>46</v>
      </c>
      <c r="AG1277">
        <v>12</v>
      </c>
      <c r="AH1277">
        <v>10</v>
      </c>
      <c r="AI1277" t="s">
        <v>95</v>
      </c>
      <c r="AK1277">
        <v>0</v>
      </c>
      <c r="AM1277">
        <v>0</v>
      </c>
      <c r="AP1277" t="s">
        <v>392</v>
      </c>
    </row>
    <row r="1278" spans="1:42" customFormat="1">
      <c r="A1278">
        <v>268209</v>
      </c>
      <c r="B1278" t="s">
        <v>737</v>
      </c>
      <c r="C1278" t="s">
        <v>738</v>
      </c>
      <c r="D1278" s="22">
        <v>0</v>
      </c>
      <c r="E1278" s="17">
        <v>42128</v>
      </c>
      <c r="F1278" s="18">
        <v>0.64784722222222224</v>
      </c>
      <c r="G1278" s="22">
        <v>1473</v>
      </c>
      <c r="H1278">
        <v>0</v>
      </c>
      <c r="I1278" s="19" t="e">
        <f>I1277 + (D1278-G1278)</f>
        <v>#VALUE!</v>
      </c>
      <c r="M1278">
        <v>122474</v>
      </c>
      <c r="N1278">
        <v>7</v>
      </c>
      <c r="O1278" t="s">
        <v>44</v>
      </c>
      <c r="P1278">
        <v>1</v>
      </c>
      <c r="R1278">
        <v>1578</v>
      </c>
      <c r="S1278" s="17">
        <v>42130</v>
      </c>
      <c r="T1278" s="17">
        <v>42130</v>
      </c>
      <c r="W1278">
        <v>2015</v>
      </c>
      <c r="X1278">
        <v>7</v>
      </c>
      <c r="AC1278" t="s">
        <v>106</v>
      </c>
      <c r="AD1278" t="s">
        <v>302</v>
      </c>
      <c r="AE1278" t="s">
        <v>46</v>
      </c>
      <c r="AG1278">
        <v>12</v>
      </c>
      <c r="AH1278">
        <v>10</v>
      </c>
      <c r="AI1278" t="s">
        <v>95</v>
      </c>
      <c r="AK1278">
        <v>0</v>
      </c>
      <c r="AM1278">
        <v>0</v>
      </c>
      <c r="AP1278" t="s">
        <v>392</v>
      </c>
    </row>
    <row r="1279" spans="1:42" customFormat="1">
      <c r="A1279">
        <v>268211</v>
      </c>
      <c r="B1279" t="s">
        <v>739</v>
      </c>
      <c r="C1279" t="s">
        <v>740</v>
      </c>
      <c r="D1279" s="22">
        <v>0</v>
      </c>
      <c r="E1279" s="17">
        <v>42128</v>
      </c>
      <c r="F1279" s="18">
        <v>0.64784722222222224</v>
      </c>
      <c r="G1279" s="22">
        <v>1473</v>
      </c>
      <c r="H1279">
        <v>0</v>
      </c>
      <c r="I1279" s="19" t="e">
        <f>I1278 + (D1279-G1279)</f>
        <v>#VALUE!</v>
      </c>
      <c r="M1279">
        <v>122484</v>
      </c>
      <c r="N1279">
        <v>7</v>
      </c>
      <c r="O1279" t="s">
        <v>44</v>
      </c>
      <c r="P1279">
        <v>1</v>
      </c>
      <c r="R1279">
        <v>1578</v>
      </c>
      <c r="S1279" s="17">
        <v>42130</v>
      </c>
      <c r="T1279" s="17">
        <v>42130</v>
      </c>
      <c r="W1279">
        <v>2015</v>
      </c>
      <c r="X1279">
        <v>7</v>
      </c>
      <c r="AC1279" t="s">
        <v>106</v>
      </c>
      <c r="AD1279" t="s">
        <v>302</v>
      </c>
      <c r="AE1279" t="s">
        <v>46</v>
      </c>
      <c r="AG1279">
        <v>12</v>
      </c>
      <c r="AH1279">
        <v>10</v>
      </c>
      <c r="AI1279" t="s">
        <v>95</v>
      </c>
      <c r="AK1279">
        <v>0</v>
      </c>
      <c r="AM1279">
        <v>0</v>
      </c>
      <c r="AP1279" t="s">
        <v>392</v>
      </c>
    </row>
    <row r="1280" spans="1:42" customFormat="1">
      <c r="A1280">
        <v>268212</v>
      </c>
      <c r="B1280" t="s">
        <v>741</v>
      </c>
      <c r="C1280" t="s">
        <v>742</v>
      </c>
      <c r="D1280" s="22">
        <v>0</v>
      </c>
      <c r="E1280" s="17">
        <v>42128</v>
      </c>
      <c r="F1280" s="18">
        <v>0.64784722222222224</v>
      </c>
      <c r="G1280" s="22">
        <v>1473</v>
      </c>
      <c r="H1280">
        <v>0</v>
      </c>
      <c r="I1280" s="19" t="e">
        <f>I1279 + (D1280-G1280)</f>
        <v>#VALUE!</v>
      </c>
      <c r="M1280">
        <v>122494</v>
      </c>
      <c r="N1280">
        <v>7</v>
      </c>
      <c r="O1280" t="s">
        <v>44</v>
      </c>
      <c r="P1280">
        <v>1</v>
      </c>
      <c r="R1280">
        <v>1578</v>
      </c>
      <c r="S1280" s="17">
        <v>42130</v>
      </c>
      <c r="T1280" s="17">
        <v>42130</v>
      </c>
      <c r="W1280">
        <v>2015</v>
      </c>
      <c r="X1280">
        <v>7</v>
      </c>
      <c r="AC1280" t="s">
        <v>106</v>
      </c>
      <c r="AD1280" t="s">
        <v>302</v>
      </c>
      <c r="AE1280" t="s">
        <v>46</v>
      </c>
      <c r="AG1280">
        <v>12</v>
      </c>
      <c r="AH1280">
        <v>10</v>
      </c>
      <c r="AI1280" t="s">
        <v>95</v>
      </c>
      <c r="AK1280">
        <v>0</v>
      </c>
      <c r="AM1280">
        <v>0</v>
      </c>
      <c r="AP1280" t="s">
        <v>392</v>
      </c>
    </row>
    <row r="1281" spans="1:42" customFormat="1">
      <c r="A1281">
        <v>268214</v>
      </c>
      <c r="B1281" t="s">
        <v>745</v>
      </c>
      <c r="C1281" t="s">
        <v>746</v>
      </c>
      <c r="D1281" s="22">
        <v>0</v>
      </c>
      <c r="E1281" s="17">
        <v>42128</v>
      </c>
      <c r="F1281" s="18">
        <v>0.64785879629629628</v>
      </c>
      <c r="G1281" s="22">
        <v>1473</v>
      </c>
      <c r="H1281">
        <v>0</v>
      </c>
      <c r="I1281" s="19" t="e">
        <f>I1280 + (D1281-G1281)</f>
        <v>#VALUE!</v>
      </c>
      <c r="M1281">
        <v>122514</v>
      </c>
      <c r="N1281">
        <v>7</v>
      </c>
      <c r="O1281" t="s">
        <v>44</v>
      </c>
      <c r="P1281">
        <v>1</v>
      </c>
      <c r="R1281">
        <v>1578</v>
      </c>
      <c r="S1281" s="17">
        <v>42130</v>
      </c>
      <c r="T1281" s="17">
        <v>42130</v>
      </c>
      <c r="W1281">
        <v>2015</v>
      </c>
      <c r="X1281">
        <v>7</v>
      </c>
      <c r="AC1281" t="s">
        <v>106</v>
      </c>
      <c r="AD1281" t="s">
        <v>302</v>
      </c>
      <c r="AE1281" t="s">
        <v>46</v>
      </c>
      <c r="AG1281">
        <v>12</v>
      </c>
      <c r="AH1281">
        <v>10</v>
      </c>
      <c r="AI1281" t="s">
        <v>95</v>
      </c>
      <c r="AK1281">
        <v>0</v>
      </c>
      <c r="AM1281">
        <v>0</v>
      </c>
      <c r="AP1281" t="s">
        <v>392</v>
      </c>
    </row>
    <row r="1282" spans="1:42" customFormat="1">
      <c r="A1282">
        <v>268215</v>
      </c>
      <c r="B1282" t="s">
        <v>747</v>
      </c>
      <c r="C1282" t="s">
        <v>748</v>
      </c>
      <c r="D1282" s="22">
        <v>0</v>
      </c>
      <c r="E1282" s="17">
        <v>42128</v>
      </c>
      <c r="F1282" s="18">
        <v>0.64785879629629628</v>
      </c>
      <c r="G1282" s="22">
        <v>1473</v>
      </c>
      <c r="H1282">
        <v>0</v>
      </c>
      <c r="I1282" s="19" t="e">
        <f>I1281 + (D1282-G1282)</f>
        <v>#VALUE!</v>
      </c>
      <c r="M1282">
        <v>122524</v>
      </c>
      <c r="N1282">
        <v>7</v>
      </c>
      <c r="O1282" t="s">
        <v>44</v>
      </c>
      <c r="P1282">
        <v>1</v>
      </c>
      <c r="R1282">
        <v>1578</v>
      </c>
      <c r="S1282" s="17">
        <v>42130</v>
      </c>
      <c r="T1282" s="17">
        <v>42130</v>
      </c>
      <c r="W1282">
        <v>2015</v>
      </c>
      <c r="X1282">
        <v>7</v>
      </c>
      <c r="AC1282" t="s">
        <v>106</v>
      </c>
      <c r="AD1282" t="s">
        <v>302</v>
      </c>
      <c r="AE1282" t="s">
        <v>46</v>
      </c>
      <c r="AG1282">
        <v>12</v>
      </c>
      <c r="AH1282">
        <v>10</v>
      </c>
      <c r="AI1282" t="s">
        <v>95</v>
      </c>
      <c r="AK1282">
        <v>0</v>
      </c>
      <c r="AM1282">
        <v>0</v>
      </c>
      <c r="AP1282" t="s">
        <v>392</v>
      </c>
    </row>
    <row r="1283" spans="1:42" customFormat="1">
      <c r="A1283">
        <v>268216</v>
      </c>
      <c r="B1283" t="s">
        <v>749</v>
      </c>
      <c r="C1283" t="s">
        <v>750</v>
      </c>
      <c r="D1283" s="22">
        <v>0</v>
      </c>
      <c r="E1283" s="17">
        <v>42128</v>
      </c>
      <c r="F1283" s="18">
        <v>0.64785879629629628</v>
      </c>
      <c r="G1283" s="22">
        <v>274</v>
      </c>
      <c r="H1283">
        <v>0</v>
      </c>
      <c r="I1283" s="19" t="e">
        <f>I1282 + (D1283-G1283)</f>
        <v>#VALUE!</v>
      </c>
      <c r="M1283">
        <v>122544</v>
      </c>
      <c r="N1283">
        <v>7</v>
      </c>
      <c r="O1283" t="s">
        <v>44</v>
      </c>
      <c r="P1283">
        <v>1</v>
      </c>
      <c r="R1283">
        <v>1578</v>
      </c>
      <c r="S1283" s="17">
        <v>42130</v>
      </c>
      <c r="T1283" s="17">
        <v>42130</v>
      </c>
      <c r="W1283">
        <v>2015</v>
      </c>
      <c r="X1283">
        <v>7</v>
      </c>
      <c r="AC1283" t="s">
        <v>106</v>
      </c>
      <c r="AD1283" t="s">
        <v>302</v>
      </c>
      <c r="AE1283" t="s">
        <v>46</v>
      </c>
      <c r="AG1283">
        <v>12</v>
      </c>
      <c r="AH1283">
        <v>10</v>
      </c>
      <c r="AI1283" t="s">
        <v>95</v>
      </c>
      <c r="AK1283">
        <v>0</v>
      </c>
      <c r="AM1283">
        <v>0</v>
      </c>
      <c r="AP1283" t="s">
        <v>392</v>
      </c>
    </row>
    <row r="1284" spans="1:42" customFormat="1">
      <c r="A1284">
        <v>268218</v>
      </c>
      <c r="B1284" t="s">
        <v>751</v>
      </c>
      <c r="C1284" t="s">
        <v>752</v>
      </c>
      <c r="D1284" s="22">
        <v>0</v>
      </c>
      <c r="E1284" s="17">
        <v>42128</v>
      </c>
      <c r="F1284" s="18">
        <v>0.64785879629629628</v>
      </c>
      <c r="G1284" s="22">
        <v>998.45</v>
      </c>
      <c r="H1284">
        <v>0</v>
      </c>
      <c r="I1284" s="19" t="e">
        <f>I1283 + (D1284-G1284)</f>
        <v>#VALUE!</v>
      </c>
      <c r="M1284">
        <v>122564</v>
      </c>
      <c r="N1284">
        <v>7</v>
      </c>
      <c r="O1284" t="s">
        <v>44</v>
      </c>
      <c r="P1284">
        <v>1</v>
      </c>
      <c r="R1284">
        <v>1578</v>
      </c>
      <c r="S1284" s="17">
        <v>42130</v>
      </c>
      <c r="T1284" s="17">
        <v>42130</v>
      </c>
      <c r="W1284">
        <v>2015</v>
      </c>
      <c r="X1284">
        <v>7</v>
      </c>
      <c r="AC1284" t="s">
        <v>106</v>
      </c>
      <c r="AD1284" t="s">
        <v>302</v>
      </c>
      <c r="AE1284" t="s">
        <v>46</v>
      </c>
      <c r="AG1284">
        <v>12</v>
      </c>
      <c r="AH1284">
        <v>10</v>
      </c>
      <c r="AI1284" t="s">
        <v>95</v>
      </c>
      <c r="AK1284">
        <v>0</v>
      </c>
      <c r="AM1284">
        <v>0</v>
      </c>
      <c r="AP1284" t="s">
        <v>392</v>
      </c>
    </row>
    <row r="1285" spans="1:42" customFormat="1">
      <c r="A1285">
        <v>268223</v>
      </c>
      <c r="B1285" t="s">
        <v>753</v>
      </c>
      <c r="C1285" t="s">
        <v>754</v>
      </c>
      <c r="D1285" s="22">
        <v>0</v>
      </c>
      <c r="E1285" s="17">
        <v>42128</v>
      </c>
      <c r="F1285" s="18">
        <v>0.64785879629629628</v>
      </c>
      <c r="G1285" s="22">
        <v>1473</v>
      </c>
      <c r="H1285">
        <v>0</v>
      </c>
      <c r="I1285" s="19" t="e">
        <f>I1284 + (D1285-G1285)</f>
        <v>#VALUE!</v>
      </c>
      <c r="M1285">
        <v>122505</v>
      </c>
      <c r="N1285">
        <v>7</v>
      </c>
      <c r="O1285" t="s">
        <v>44</v>
      </c>
      <c r="P1285">
        <v>1</v>
      </c>
      <c r="R1285">
        <v>1578</v>
      </c>
      <c r="S1285" s="17">
        <v>42130</v>
      </c>
      <c r="T1285" s="17">
        <v>42130</v>
      </c>
      <c r="W1285">
        <v>2015</v>
      </c>
      <c r="X1285">
        <v>7</v>
      </c>
      <c r="AC1285" t="s">
        <v>106</v>
      </c>
      <c r="AD1285" t="s">
        <v>302</v>
      </c>
      <c r="AE1285" t="s">
        <v>46</v>
      </c>
      <c r="AG1285">
        <v>12</v>
      </c>
      <c r="AH1285">
        <v>10</v>
      </c>
      <c r="AI1285" t="s">
        <v>95</v>
      </c>
      <c r="AK1285">
        <v>0</v>
      </c>
      <c r="AM1285">
        <v>0</v>
      </c>
      <c r="AP1285" t="s">
        <v>392</v>
      </c>
    </row>
    <row r="1286" spans="1:42" customFormat="1">
      <c r="A1286">
        <v>268219</v>
      </c>
      <c r="B1286" t="s">
        <v>755</v>
      </c>
      <c r="C1286" t="s">
        <v>756</v>
      </c>
      <c r="D1286" s="22">
        <v>0</v>
      </c>
      <c r="E1286" s="17">
        <v>42128</v>
      </c>
      <c r="F1286" s="18">
        <v>0.64785879629629628</v>
      </c>
      <c r="G1286" s="22">
        <v>1473</v>
      </c>
      <c r="H1286">
        <v>0</v>
      </c>
      <c r="I1286" s="19" t="e">
        <f>I1285 + (D1286-G1286)</f>
        <v>#VALUE!</v>
      </c>
      <c r="M1286">
        <v>122475</v>
      </c>
      <c r="N1286">
        <v>7</v>
      </c>
      <c r="O1286" t="s">
        <v>44</v>
      </c>
      <c r="P1286">
        <v>1</v>
      </c>
      <c r="R1286">
        <v>1578</v>
      </c>
      <c r="S1286" s="17">
        <v>42130</v>
      </c>
      <c r="T1286" s="17">
        <v>42130</v>
      </c>
      <c r="W1286">
        <v>2015</v>
      </c>
      <c r="X1286">
        <v>7</v>
      </c>
      <c r="AC1286" t="s">
        <v>106</v>
      </c>
      <c r="AD1286" t="s">
        <v>302</v>
      </c>
      <c r="AE1286" t="s">
        <v>46</v>
      </c>
      <c r="AG1286">
        <v>12</v>
      </c>
      <c r="AH1286">
        <v>10</v>
      </c>
      <c r="AI1286" t="s">
        <v>95</v>
      </c>
      <c r="AK1286">
        <v>0</v>
      </c>
      <c r="AM1286">
        <v>0</v>
      </c>
      <c r="AP1286" t="s">
        <v>392</v>
      </c>
    </row>
    <row r="1287" spans="1:42" customFormat="1">
      <c r="A1287">
        <v>268221</v>
      </c>
      <c r="B1287" t="s">
        <v>757</v>
      </c>
      <c r="C1287" t="s">
        <v>758</v>
      </c>
      <c r="D1287" s="22">
        <v>0</v>
      </c>
      <c r="E1287" s="17">
        <v>42128</v>
      </c>
      <c r="F1287" s="18">
        <v>0.64785879629629628</v>
      </c>
      <c r="G1287" s="22">
        <v>1473</v>
      </c>
      <c r="H1287">
        <v>0</v>
      </c>
      <c r="I1287" s="19" t="e">
        <f>I1286 + (D1287-G1287)</f>
        <v>#VALUE!</v>
      </c>
      <c r="M1287">
        <v>122485</v>
      </c>
      <c r="N1287">
        <v>7</v>
      </c>
      <c r="O1287" t="s">
        <v>44</v>
      </c>
      <c r="P1287">
        <v>1</v>
      </c>
      <c r="R1287">
        <v>1578</v>
      </c>
      <c r="S1287" s="17">
        <v>42130</v>
      </c>
      <c r="T1287" s="17">
        <v>42130</v>
      </c>
      <c r="W1287">
        <v>2015</v>
      </c>
      <c r="X1287">
        <v>7</v>
      </c>
      <c r="AC1287" t="s">
        <v>106</v>
      </c>
      <c r="AD1287" t="s">
        <v>302</v>
      </c>
      <c r="AE1287" t="s">
        <v>46</v>
      </c>
      <c r="AG1287">
        <v>12</v>
      </c>
      <c r="AH1287">
        <v>10</v>
      </c>
      <c r="AI1287" t="s">
        <v>95</v>
      </c>
      <c r="AK1287">
        <v>0</v>
      </c>
      <c r="AM1287">
        <v>0</v>
      </c>
      <c r="AP1287" t="s">
        <v>392</v>
      </c>
    </row>
    <row r="1288" spans="1:42" customFormat="1">
      <c r="A1288">
        <v>268222</v>
      </c>
      <c r="B1288" t="s">
        <v>759</v>
      </c>
      <c r="C1288" t="s">
        <v>760</v>
      </c>
      <c r="D1288" s="22">
        <v>0</v>
      </c>
      <c r="E1288" s="17">
        <v>42128</v>
      </c>
      <c r="F1288" s="18">
        <v>0.64785879629629628</v>
      </c>
      <c r="G1288" s="22">
        <v>1473</v>
      </c>
      <c r="H1288">
        <v>0</v>
      </c>
      <c r="I1288" s="19" t="e">
        <f>I1287 + (D1288-G1288)</f>
        <v>#VALUE!</v>
      </c>
      <c r="M1288">
        <v>122495</v>
      </c>
      <c r="N1288">
        <v>7</v>
      </c>
      <c r="O1288" t="s">
        <v>44</v>
      </c>
      <c r="P1288">
        <v>1</v>
      </c>
      <c r="R1288">
        <v>1578</v>
      </c>
      <c r="S1288" s="17">
        <v>42130</v>
      </c>
      <c r="T1288" s="17">
        <v>42130</v>
      </c>
      <c r="W1288">
        <v>2015</v>
      </c>
      <c r="X1288">
        <v>7</v>
      </c>
      <c r="AC1288" t="s">
        <v>106</v>
      </c>
      <c r="AD1288" t="s">
        <v>302</v>
      </c>
      <c r="AE1288" t="s">
        <v>46</v>
      </c>
      <c r="AG1288">
        <v>12</v>
      </c>
      <c r="AH1288">
        <v>10</v>
      </c>
      <c r="AI1288" t="s">
        <v>95</v>
      </c>
      <c r="AK1288">
        <v>0</v>
      </c>
      <c r="AM1288">
        <v>0</v>
      </c>
      <c r="AP1288" t="s">
        <v>392</v>
      </c>
    </row>
    <row r="1289" spans="1:42" customFormat="1">
      <c r="A1289">
        <v>268224</v>
      </c>
      <c r="B1289" t="s">
        <v>761</v>
      </c>
      <c r="C1289" t="s">
        <v>762</v>
      </c>
      <c r="D1289" s="22">
        <v>0</v>
      </c>
      <c r="E1289" s="17">
        <v>42128</v>
      </c>
      <c r="F1289" s="18">
        <v>0.64787037037037043</v>
      </c>
      <c r="G1289" s="22">
        <v>1473</v>
      </c>
      <c r="H1289">
        <v>0</v>
      </c>
      <c r="I1289" s="19" t="e">
        <f>I1288 + (D1289-G1289)</f>
        <v>#VALUE!</v>
      </c>
      <c r="M1289">
        <v>122515</v>
      </c>
      <c r="N1289">
        <v>7</v>
      </c>
      <c r="O1289" t="s">
        <v>44</v>
      </c>
      <c r="P1289">
        <v>1</v>
      </c>
      <c r="R1289">
        <v>1578</v>
      </c>
      <c r="S1289" s="17">
        <v>42130</v>
      </c>
      <c r="T1289" s="17">
        <v>42130</v>
      </c>
      <c r="W1289">
        <v>2015</v>
      </c>
      <c r="X1289">
        <v>7</v>
      </c>
      <c r="AC1289" t="s">
        <v>106</v>
      </c>
      <c r="AD1289" t="s">
        <v>302</v>
      </c>
      <c r="AE1289" t="s">
        <v>46</v>
      </c>
      <c r="AG1289">
        <v>12</v>
      </c>
      <c r="AH1289">
        <v>10</v>
      </c>
      <c r="AI1289" t="s">
        <v>95</v>
      </c>
      <c r="AK1289">
        <v>0</v>
      </c>
      <c r="AM1289">
        <v>0</v>
      </c>
      <c r="AP1289" t="s">
        <v>392</v>
      </c>
    </row>
    <row r="1290" spans="1:42" customFormat="1">
      <c r="A1290">
        <v>268225</v>
      </c>
      <c r="B1290" t="s">
        <v>763</v>
      </c>
      <c r="C1290" t="s">
        <v>764</v>
      </c>
      <c r="D1290" s="22">
        <v>0</v>
      </c>
      <c r="E1290" s="17">
        <v>42128</v>
      </c>
      <c r="F1290" s="18">
        <v>0.64787037037037043</v>
      </c>
      <c r="G1290" s="22">
        <v>1473</v>
      </c>
      <c r="H1290">
        <v>0</v>
      </c>
      <c r="I1290" s="19" t="e">
        <f>I1289 + (D1290-G1290)</f>
        <v>#VALUE!</v>
      </c>
      <c r="M1290">
        <v>122525</v>
      </c>
      <c r="N1290">
        <v>7</v>
      </c>
      <c r="O1290" t="s">
        <v>44</v>
      </c>
      <c r="P1290">
        <v>1</v>
      </c>
      <c r="R1290">
        <v>1578</v>
      </c>
      <c r="S1290" s="17">
        <v>42130</v>
      </c>
      <c r="T1290" s="17">
        <v>42130</v>
      </c>
      <c r="W1290">
        <v>2015</v>
      </c>
      <c r="X1290">
        <v>7</v>
      </c>
      <c r="AC1290" t="s">
        <v>106</v>
      </c>
      <c r="AD1290" t="s">
        <v>302</v>
      </c>
      <c r="AE1290" t="s">
        <v>46</v>
      </c>
      <c r="AG1290">
        <v>12</v>
      </c>
      <c r="AH1290">
        <v>10</v>
      </c>
      <c r="AI1290" t="s">
        <v>95</v>
      </c>
      <c r="AK1290">
        <v>0</v>
      </c>
      <c r="AM1290">
        <v>0</v>
      </c>
      <c r="AP1290" t="s">
        <v>392</v>
      </c>
    </row>
    <row r="1291" spans="1:42" customFormat="1">
      <c r="A1291">
        <v>268226</v>
      </c>
      <c r="B1291" t="s">
        <v>765</v>
      </c>
      <c r="C1291" t="s">
        <v>766</v>
      </c>
      <c r="D1291" s="22">
        <v>0</v>
      </c>
      <c r="E1291" s="17">
        <v>42128</v>
      </c>
      <c r="F1291" s="18">
        <v>0.64787037037037043</v>
      </c>
      <c r="G1291" s="22">
        <v>73.650000000000006</v>
      </c>
      <c r="H1291">
        <v>0</v>
      </c>
      <c r="I1291" s="19" t="e">
        <f>I1290 + (D1291-G1291)</f>
        <v>#VALUE!</v>
      </c>
      <c r="M1291">
        <v>122545</v>
      </c>
      <c r="N1291">
        <v>7</v>
      </c>
      <c r="O1291" t="s">
        <v>44</v>
      </c>
      <c r="P1291">
        <v>1</v>
      </c>
      <c r="R1291">
        <v>1578</v>
      </c>
      <c r="S1291" s="17">
        <v>42130</v>
      </c>
      <c r="T1291" s="17">
        <v>42130</v>
      </c>
      <c r="W1291">
        <v>2015</v>
      </c>
      <c r="X1291">
        <v>7</v>
      </c>
      <c r="AC1291" t="s">
        <v>106</v>
      </c>
      <c r="AD1291" t="s">
        <v>302</v>
      </c>
      <c r="AE1291" t="s">
        <v>46</v>
      </c>
      <c r="AG1291">
        <v>12</v>
      </c>
      <c r="AH1291">
        <v>10</v>
      </c>
      <c r="AI1291" t="s">
        <v>95</v>
      </c>
      <c r="AK1291">
        <v>0</v>
      </c>
      <c r="AM1291">
        <v>0</v>
      </c>
      <c r="AP1291" t="s">
        <v>392</v>
      </c>
    </row>
    <row r="1292" spans="1:42" customFormat="1">
      <c r="A1292">
        <v>268227</v>
      </c>
      <c r="B1292" t="s">
        <v>767</v>
      </c>
      <c r="C1292" t="s">
        <v>768</v>
      </c>
      <c r="D1292" s="22">
        <v>0</v>
      </c>
      <c r="E1292" s="17">
        <v>42128</v>
      </c>
      <c r="F1292" s="18">
        <v>0.64787037037037043</v>
      </c>
      <c r="G1292" s="22">
        <v>73.650000000000006</v>
      </c>
      <c r="H1292">
        <v>0</v>
      </c>
      <c r="I1292" s="19" t="e">
        <f>I1291 + (D1292-G1292)</f>
        <v>#VALUE!</v>
      </c>
      <c r="M1292">
        <v>122555</v>
      </c>
      <c r="N1292">
        <v>7</v>
      </c>
      <c r="O1292" t="s">
        <v>44</v>
      </c>
      <c r="P1292">
        <v>1</v>
      </c>
      <c r="R1292">
        <v>1578</v>
      </c>
      <c r="S1292" s="17">
        <v>42130</v>
      </c>
      <c r="T1292" s="17">
        <v>42130</v>
      </c>
      <c r="W1292">
        <v>2015</v>
      </c>
      <c r="X1292">
        <v>7</v>
      </c>
      <c r="AC1292" t="s">
        <v>106</v>
      </c>
      <c r="AD1292" t="s">
        <v>302</v>
      </c>
      <c r="AE1292" t="s">
        <v>46</v>
      </c>
      <c r="AG1292">
        <v>12</v>
      </c>
      <c r="AH1292">
        <v>10</v>
      </c>
      <c r="AI1292" t="s">
        <v>95</v>
      </c>
      <c r="AK1292">
        <v>0</v>
      </c>
      <c r="AM1292">
        <v>0</v>
      </c>
      <c r="AP1292" t="s">
        <v>392</v>
      </c>
    </row>
    <row r="1293" spans="1:42" customFormat="1">
      <c r="A1293">
        <v>268228</v>
      </c>
      <c r="B1293" t="s">
        <v>769</v>
      </c>
      <c r="C1293" t="s">
        <v>770</v>
      </c>
      <c r="D1293" s="22">
        <v>0</v>
      </c>
      <c r="E1293" s="17">
        <v>42128</v>
      </c>
      <c r="F1293" s="18">
        <v>0.64787037037037043</v>
      </c>
      <c r="G1293" s="22">
        <v>1051</v>
      </c>
      <c r="H1293">
        <v>0</v>
      </c>
      <c r="I1293" s="19" t="e">
        <f>I1292 + (D1293-G1293)</f>
        <v>#VALUE!</v>
      </c>
      <c r="M1293">
        <v>122565</v>
      </c>
      <c r="N1293">
        <v>7</v>
      </c>
      <c r="O1293" t="s">
        <v>44</v>
      </c>
      <c r="P1293">
        <v>1</v>
      </c>
      <c r="R1293">
        <v>1578</v>
      </c>
      <c r="S1293" s="17">
        <v>42130</v>
      </c>
      <c r="T1293" s="17">
        <v>42130</v>
      </c>
      <c r="W1293">
        <v>2015</v>
      </c>
      <c r="X1293">
        <v>7</v>
      </c>
      <c r="AC1293" t="s">
        <v>106</v>
      </c>
      <c r="AD1293" t="s">
        <v>302</v>
      </c>
      <c r="AE1293" t="s">
        <v>46</v>
      </c>
      <c r="AG1293">
        <v>12</v>
      </c>
      <c r="AH1293">
        <v>10</v>
      </c>
      <c r="AI1293" t="s">
        <v>95</v>
      </c>
      <c r="AK1293">
        <v>0</v>
      </c>
      <c r="AM1293">
        <v>0</v>
      </c>
      <c r="AP1293" t="s">
        <v>392</v>
      </c>
    </row>
    <row r="1294" spans="1:42" customFormat="1">
      <c r="A1294">
        <v>268233</v>
      </c>
      <c r="B1294" t="s">
        <v>771</v>
      </c>
      <c r="C1294" t="s">
        <v>772</v>
      </c>
      <c r="D1294" s="22">
        <v>0</v>
      </c>
      <c r="E1294" s="17">
        <v>42128</v>
      </c>
      <c r="F1294" s="18">
        <v>0.64788194444444447</v>
      </c>
      <c r="G1294" s="22">
        <v>1473</v>
      </c>
      <c r="H1294">
        <v>0</v>
      </c>
      <c r="I1294" s="19" t="e">
        <f>I1293 + (D1294-G1294)</f>
        <v>#VALUE!</v>
      </c>
      <c r="M1294">
        <v>122506</v>
      </c>
      <c r="N1294">
        <v>7</v>
      </c>
      <c r="O1294" t="s">
        <v>44</v>
      </c>
      <c r="P1294">
        <v>1</v>
      </c>
      <c r="R1294">
        <v>1578</v>
      </c>
      <c r="S1294" s="17">
        <v>42130</v>
      </c>
      <c r="T1294" s="17">
        <v>42130</v>
      </c>
      <c r="W1294">
        <v>2015</v>
      </c>
      <c r="X1294">
        <v>7</v>
      </c>
      <c r="AC1294" t="s">
        <v>106</v>
      </c>
      <c r="AD1294" t="s">
        <v>302</v>
      </c>
      <c r="AE1294" t="s">
        <v>46</v>
      </c>
      <c r="AG1294">
        <v>12</v>
      </c>
      <c r="AH1294">
        <v>10</v>
      </c>
      <c r="AI1294" t="s">
        <v>95</v>
      </c>
      <c r="AK1294">
        <v>0</v>
      </c>
      <c r="AM1294">
        <v>0</v>
      </c>
      <c r="AP1294" t="s">
        <v>392</v>
      </c>
    </row>
    <row r="1295" spans="1:42" customFormat="1">
      <c r="A1295">
        <v>268234</v>
      </c>
      <c r="B1295" t="s">
        <v>773</v>
      </c>
      <c r="C1295" t="s">
        <v>774</v>
      </c>
      <c r="D1295" s="22">
        <v>0</v>
      </c>
      <c r="E1295" s="17">
        <v>42128</v>
      </c>
      <c r="F1295" s="18">
        <v>0.64788194444444447</v>
      </c>
      <c r="G1295" s="22">
        <v>1473</v>
      </c>
      <c r="H1295">
        <v>0</v>
      </c>
      <c r="I1295" s="19" t="e">
        <f>I1294 + (D1295-G1295)</f>
        <v>#VALUE!</v>
      </c>
      <c r="M1295">
        <v>122516</v>
      </c>
      <c r="N1295">
        <v>7</v>
      </c>
      <c r="O1295" t="s">
        <v>44</v>
      </c>
      <c r="P1295">
        <v>1</v>
      </c>
      <c r="R1295">
        <v>1578</v>
      </c>
      <c r="S1295" s="17">
        <v>42130</v>
      </c>
      <c r="T1295" s="17">
        <v>42130</v>
      </c>
      <c r="W1295">
        <v>2015</v>
      </c>
      <c r="X1295">
        <v>7</v>
      </c>
      <c r="AC1295" t="s">
        <v>106</v>
      </c>
      <c r="AD1295" t="s">
        <v>302</v>
      </c>
      <c r="AE1295" t="s">
        <v>46</v>
      </c>
      <c r="AG1295">
        <v>12</v>
      </c>
      <c r="AH1295">
        <v>10</v>
      </c>
      <c r="AI1295" t="s">
        <v>95</v>
      </c>
      <c r="AK1295">
        <v>0</v>
      </c>
      <c r="AM1295">
        <v>0</v>
      </c>
      <c r="AP1295" t="s">
        <v>392</v>
      </c>
    </row>
    <row r="1296" spans="1:42" customFormat="1">
      <c r="A1296">
        <v>268235</v>
      </c>
      <c r="B1296" t="s">
        <v>775</v>
      </c>
      <c r="C1296" t="s">
        <v>776</v>
      </c>
      <c r="D1296" s="22">
        <v>0</v>
      </c>
      <c r="E1296" s="17">
        <v>42128</v>
      </c>
      <c r="F1296" s="18">
        <v>0.64788194444444447</v>
      </c>
      <c r="G1296" s="22">
        <v>1473</v>
      </c>
      <c r="H1296">
        <v>0</v>
      </c>
      <c r="I1296" s="19" t="e">
        <f>I1295 + (D1296-G1296)</f>
        <v>#VALUE!</v>
      </c>
      <c r="M1296">
        <v>122526</v>
      </c>
      <c r="N1296">
        <v>7</v>
      </c>
      <c r="O1296" t="s">
        <v>44</v>
      </c>
      <c r="P1296">
        <v>1</v>
      </c>
      <c r="R1296">
        <v>1578</v>
      </c>
      <c r="S1296" s="17">
        <v>42130</v>
      </c>
      <c r="T1296" s="17">
        <v>42130</v>
      </c>
      <c r="W1296">
        <v>2015</v>
      </c>
      <c r="X1296">
        <v>7</v>
      </c>
      <c r="AC1296" t="s">
        <v>106</v>
      </c>
      <c r="AD1296" t="s">
        <v>302</v>
      </c>
      <c r="AE1296" t="s">
        <v>46</v>
      </c>
      <c r="AG1296">
        <v>12</v>
      </c>
      <c r="AH1296">
        <v>10</v>
      </c>
      <c r="AI1296" t="s">
        <v>95</v>
      </c>
      <c r="AK1296">
        <v>0</v>
      </c>
      <c r="AM1296">
        <v>0</v>
      </c>
      <c r="AP1296" t="s">
        <v>392</v>
      </c>
    </row>
    <row r="1297" spans="1:42" customFormat="1">
      <c r="A1297">
        <v>268229</v>
      </c>
      <c r="B1297" t="s">
        <v>777</v>
      </c>
      <c r="C1297" t="s">
        <v>778</v>
      </c>
      <c r="D1297" s="22">
        <v>0</v>
      </c>
      <c r="E1297" s="17">
        <v>42128</v>
      </c>
      <c r="F1297" s="18">
        <v>0.64788194444444447</v>
      </c>
      <c r="G1297" s="22">
        <v>1473</v>
      </c>
      <c r="H1297">
        <v>0</v>
      </c>
      <c r="I1297" s="19" t="e">
        <f>I1296 + (D1297-G1297)</f>
        <v>#VALUE!</v>
      </c>
      <c r="M1297">
        <v>122476</v>
      </c>
      <c r="N1297">
        <v>7</v>
      </c>
      <c r="O1297" t="s">
        <v>44</v>
      </c>
      <c r="P1297">
        <v>1</v>
      </c>
      <c r="R1297">
        <v>1578</v>
      </c>
      <c r="S1297" s="17">
        <v>42130</v>
      </c>
      <c r="T1297" s="17">
        <v>42130</v>
      </c>
      <c r="W1297">
        <v>2015</v>
      </c>
      <c r="X1297">
        <v>7</v>
      </c>
      <c r="AC1297" t="s">
        <v>106</v>
      </c>
      <c r="AD1297" t="s">
        <v>302</v>
      </c>
      <c r="AE1297" t="s">
        <v>46</v>
      </c>
      <c r="AG1297">
        <v>12</v>
      </c>
      <c r="AH1297">
        <v>10</v>
      </c>
      <c r="AI1297" t="s">
        <v>95</v>
      </c>
      <c r="AK1297">
        <v>0</v>
      </c>
      <c r="AM1297">
        <v>0</v>
      </c>
      <c r="AP1297" t="s">
        <v>392</v>
      </c>
    </row>
    <row r="1298" spans="1:42" customFormat="1">
      <c r="A1298">
        <v>268231</v>
      </c>
      <c r="B1298" t="s">
        <v>779</v>
      </c>
      <c r="C1298" t="s">
        <v>780</v>
      </c>
      <c r="D1298" s="22">
        <v>0</v>
      </c>
      <c r="E1298" s="17">
        <v>42128</v>
      </c>
      <c r="F1298" s="18">
        <v>0.64788194444444447</v>
      </c>
      <c r="G1298" s="22">
        <v>1473</v>
      </c>
      <c r="H1298">
        <v>0</v>
      </c>
      <c r="I1298" s="19" t="e">
        <f>I1297 + (D1298-G1298)</f>
        <v>#VALUE!</v>
      </c>
      <c r="M1298">
        <v>122486</v>
      </c>
      <c r="N1298">
        <v>7</v>
      </c>
      <c r="O1298" t="s">
        <v>44</v>
      </c>
      <c r="P1298">
        <v>1</v>
      </c>
      <c r="R1298">
        <v>1578</v>
      </c>
      <c r="S1298" s="17">
        <v>42130</v>
      </c>
      <c r="T1298" s="17">
        <v>42130</v>
      </c>
      <c r="W1298">
        <v>2015</v>
      </c>
      <c r="X1298">
        <v>7</v>
      </c>
      <c r="AC1298" t="s">
        <v>106</v>
      </c>
      <c r="AD1298" t="s">
        <v>302</v>
      </c>
      <c r="AE1298" t="s">
        <v>46</v>
      </c>
      <c r="AG1298">
        <v>12</v>
      </c>
      <c r="AH1298">
        <v>10</v>
      </c>
      <c r="AI1298" t="s">
        <v>95</v>
      </c>
      <c r="AK1298">
        <v>0</v>
      </c>
      <c r="AM1298">
        <v>0</v>
      </c>
      <c r="AP1298" t="s">
        <v>392</v>
      </c>
    </row>
    <row r="1299" spans="1:42" customFormat="1">
      <c r="A1299">
        <v>268232</v>
      </c>
      <c r="B1299" t="s">
        <v>781</v>
      </c>
      <c r="C1299" t="s">
        <v>782</v>
      </c>
      <c r="D1299" s="22">
        <v>0</v>
      </c>
      <c r="E1299" s="17">
        <v>42128</v>
      </c>
      <c r="F1299" s="18">
        <v>0.64788194444444447</v>
      </c>
      <c r="G1299" s="22">
        <v>1473</v>
      </c>
      <c r="H1299">
        <v>0</v>
      </c>
      <c r="I1299" s="19" t="e">
        <f>I1298 + (D1299-G1299)</f>
        <v>#VALUE!</v>
      </c>
      <c r="M1299">
        <v>122496</v>
      </c>
      <c r="N1299">
        <v>7</v>
      </c>
      <c r="O1299" t="s">
        <v>44</v>
      </c>
      <c r="P1299">
        <v>1</v>
      </c>
      <c r="R1299">
        <v>1578</v>
      </c>
      <c r="S1299" s="17">
        <v>42130</v>
      </c>
      <c r="T1299" s="17">
        <v>42130</v>
      </c>
      <c r="W1299">
        <v>2015</v>
      </c>
      <c r="X1299">
        <v>7</v>
      </c>
      <c r="AC1299" t="s">
        <v>106</v>
      </c>
      <c r="AD1299" t="s">
        <v>302</v>
      </c>
      <c r="AE1299" t="s">
        <v>46</v>
      </c>
      <c r="AG1299">
        <v>12</v>
      </c>
      <c r="AH1299">
        <v>10</v>
      </c>
      <c r="AI1299" t="s">
        <v>95</v>
      </c>
      <c r="AK1299">
        <v>0</v>
      </c>
      <c r="AM1299">
        <v>0</v>
      </c>
      <c r="AP1299" t="s">
        <v>392</v>
      </c>
    </row>
    <row r="1300" spans="1:42" customFormat="1">
      <c r="A1300">
        <v>268236</v>
      </c>
      <c r="B1300" t="s">
        <v>783</v>
      </c>
      <c r="C1300" t="s">
        <v>784</v>
      </c>
      <c r="D1300" s="22">
        <v>0</v>
      </c>
      <c r="E1300" s="17">
        <v>42128</v>
      </c>
      <c r="F1300" s="18">
        <v>0.64789351851851851</v>
      </c>
      <c r="G1300" s="22">
        <v>1051</v>
      </c>
      <c r="H1300">
        <v>0</v>
      </c>
      <c r="I1300" s="19" t="e">
        <f>I1299 + (D1300-G1300)</f>
        <v>#VALUE!</v>
      </c>
      <c r="M1300">
        <v>122546</v>
      </c>
      <c r="N1300">
        <v>7</v>
      </c>
      <c r="O1300" t="s">
        <v>44</v>
      </c>
      <c r="P1300">
        <v>1</v>
      </c>
      <c r="R1300">
        <v>1578</v>
      </c>
      <c r="S1300" s="17">
        <v>42130</v>
      </c>
      <c r="T1300" s="17">
        <v>42130</v>
      </c>
      <c r="W1300">
        <v>2015</v>
      </c>
      <c r="X1300">
        <v>7</v>
      </c>
      <c r="AC1300" t="s">
        <v>106</v>
      </c>
      <c r="AD1300" t="s">
        <v>302</v>
      </c>
      <c r="AE1300" t="s">
        <v>46</v>
      </c>
      <c r="AG1300">
        <v>12</v>
      </c>
      <c r="AH1300">
        <v>10</v>
      </c>
      <c r="AI1300" t="s">
        <v>95</v>
      </c>
      <c r="AK1300">
        <v>0</v>
      </c>
      <c r="AM1300">
        <v>0</v>
      </c>
      <c r="AP1300" t="s">
        <v>392</v>
      </c>
    </row>
    <row r="1301" spans="1:42" customFormat="1">
      <c r="A1301">
        <v>268237</v>
      </c>
      <c r="B1301" t="s">
        <v>785</v>
      </c>
      <c r="C1301" t="s">
        <v>786</v>
      </c>
      <c r="D1301" s="22">
        <v>0</v>
      </c>
      <c r="E1301" s="17">
        <v>42128</v>
      </c>
      <c r="F1301" s="18">
        <v>0.64789351851851851</v>
      </c>
      <c r="G1301" s="22">
        <v>1399.35</v>
      </c>
      <c r="H1301">
        <v>0</v>
      </c>
      <c r="I1301" s="19" t="e">
        <f>I1300 + (D1301-G1301)</f>
        <v>#VALUE!</v>
      </c>
      <c r="M1301">
        <v>122556</v>
      </c>
      <c r="N1301">
        <v>7</v>
      </c>
      <c r="O1301" t="s">
        <v>44</v>
      </c>
      <c r="P1301">
        <v>1</v>
      </c>
      <c r="R1301">
        <v>1578</v>
      </c>
      <c r="S1301" s="17">
        <v>42130</v>
      </c>
      <c r="T1301" s="17">
        <v>42130</v>
      </c>
      <c r="W1301">
        <v>2015</v>
      </c>
      <c r="X1301">
        <v>7</v>
      </c>
      <c r="AC1301" t="s">
        <v>106</v>
      </c>
      <c r="AD1301" t="s">
        <v>302</v>
      </c>
      <c r="AE1301" t="s">
        <v>46</v>
      </c>
      <c r="AG1301">
        <v>12</v>
      </c>
      <c r="AH1301">
        <v>10</v>
      </c>
      <c r="AI1301" t="s">
        <v>95</v>
      </c>
      <c r="AK1301">
        <v>0</v>
      </c>
      <c r="AM1301">
        <v>0</v>
      </c>
      <c r="AP1301" t="s">
        <v>392</v>
      </c>
    </row>
    <row r="1302" spans="1:42" customFormat="1">
      <c r="A1302">
        <v>268238</v>
      </c>
      <c r="B1302" t="s">
        <v>787</v>
      </c>
      <c r="C1302" t="s">
        <v>788</v>
      </c>
      <c r="D1302" s="22">
        <v>0</v>
      </c>
      <c r="E1302" s="17">
        <v>42128</v>
      </c>
      <c r="F1302" s="18">
        <v>0.64789351851851851</v>
      </c>
      <c r="G1302" s="22">
        <v>1399.35</v>
      </c>
      <c r="H1302">
        <v>0</v>
      </c>
      <c r="I1302" s="19" t="e">
        <f>I1301 + (D1302-G1302)</f>
        <v>#VALUE!</v>
      </c>
      <c r="M1302">
        <v>122566</v>
      </c>
      <c r="N1302">
        <v>7</v>
      </c>
      <c r="O1302" t="s">
        <v>44</v>
      </c>
      <c r="P1302">
        <v>1</v>
      </c>
      <c r="R1302">
        <v>1578</v>
      </c>
      <c r="S1302" s="17">
        <v>42130</v>
      </c>
      <c r="T1302" s="17">
        <v>42130</v>
      </c>
      <c r="W1302">
        <v>2015</v>
      </c>
      <c r="X1302">
        <v>7</v>
      </c>
      <c r="AC1302" t="s">
        <v>106</v>
      </c>
      <c r="AD1302" t="s">
        <v>302</v>
      </c>
      <c r="AE1302" t="s">
        <v>46</v>
      </c>
      <c r="AG1302">
        <v>12</v>
      </c>
      <c r="AH1302">
        <v>10</v>
      </c>
      <c r="AI1302" t="s">
        <v>95</v>
      </c>
      <c r="AK1302">
        <v>0</v>
      </c>
      <c r="AM1302">
        <v>0</v>
      </c>
      <c r="AP1302" t="s">
        <v>392</v>
      </c>
    </row>
    <row r="1303" spans="1:42" customFormat="1">
      <c r="A1303">
        <v>268243</v>
      </c>
      <c r="B1303" t="s">
        <v>789</v>
      </c>
      <c r="C1303" t="s">
        <v>790</v>
      </c>
      <c r="D1303" s="22">
        <v>0</v>
      </c>
      <c r="E1303" s="17">
        <v>42128</v>
      </c>
      <c r="F1303" s="18">
        <v>0.64789351851851851</v>
      </c>
      <c r="G1303" s="22">
        <v>1473</v>
      </c>
      <c r="H1303">
        <v>0</v>
      </c>
      <c r="I1303" s="19" t="e">
        <f>I1302 + (D1303-G1303)</f>
        <v>#VALUE!</v>
      </c>
      <c r="M1303">
        <v>122507</v>
      </c>
      <c r="N1303">
        <v>7</v>
      </c>
      <c r="O1303" t="s">
        <v>44</v>
      </c>
      <c r="P1303">
        <v>1</v>
      </c>
      <c r="R1303">
        <v>1578</v>
      </c>
      <c r="S1303" s="17">
        <v>42130</v>
      </c>
      <c r="T1303" s="17">
        <v>42130</v>
      </c>
      <c r="W1303">
        <v>2015</v>
      </c>
      <c r="X1303">
        <v>7</v>
      </c>
      <c r="AC1303" t="s">
        <v>106</v>
      </c>
      <c r="AD1303" t="s">
        <v>302</v>
      </c>
      <c r="AE1303" t="s">
        <v>46</v>
      </c>
      <c r="AG1303">
        <v>12</v>
      </c>
      <c r="AH1303">
        <v>10</v>
      </c>
      <c r="AI1303" t="s">
        <v>95</v>
      </c>
      <c r="AK1303">
        <v>0</v>
      </c>
      <c r="AM1303">
        <v>0</v>
      </c>
      <c r="AP1303" t="s">
        <v>392</v>
      </c>
    </row>
    <row r="1304" spans="1:42" customFormat="1">
      <c r="A1304">
        <v>268244</v>
      </c>
      <c r="B1304" t="s">
        <v>791</v>
      </c>
      <c r="C1304" t="s">
        <v>792</v>
      </c>
      <c r="D1304" s="22">
        <v>0</v>
      </c>
      <c r="E1304" s="17">
        <v>42128</v>
      </c>
      <c r="F1304" s="18">
        <v>0.64789351851851851</v>
      </c>
      <c r="G1304" s="22">
        <v>1473</v>
      </c>
      <c r="H1304">
        <v>0</v>
      </c>
      <c r="I1304" s="19" t="e">
        <f>I1303 + (D1304-G1304)</f>
        <v>#VALUE!</v>
      </c>
      <c r="M1304">
        <v>122517</v>
      </c>
      <c r="N1304">
        <v>7</v>
      </c>
      <c r="O1304" t="s">
        <v>44</v>
      </c>
      <c r="P1304">
        <v>1</v>
      </c>
      <c r="R1304">
        <v>1578</v>
      </c>
      <c r="S1304" s="17">
        <v>42130</v>
      </c>
      <c r="T1304" s="17">
        <v>42130</v>
      </c>
      <c r="W1304">
        <v>2015</v>
      </c>
      <c r="X1304">
        <v>7</v>
      </c>
      <c r="AC1304" t="s">
        <v>106</v>
      </c>
      <c r="AD1304" t="s">
        <v>302</v>
      </c>
      <c r="AE1304" t="s">
        <v>46</v>
      </c>
      <c r="AG1304">
        <v>12</v>
      </c>
      <c r="AH1304">
        <v>10</v>
      </c>
      <c r="AI1304" t="s">
        <v>95</v>
      </c>
      <c r="AK1304">
        <v>0</v>
      </c>
      <c r="AM1304">
        <v>0</v>
      </c>
      <c r="AP1304" t="s">
        <v>392</v>
      </c>
    </row>
    <row r="1305" spans="1:42" customFormat="1">
      <c r="A1305">
        <v>268245</v>
      </c>
      <c r="B1305" t="s">
        <v>793</v>
      </c>
      <c r="C1305" t="s">
        <v>794</v>
      </c>
      <c r="D1305" s="22">
        <v>0</v>
      </c>
      <c r="E1305" s="17">
        <v>42128</v>
      </c>
      <c r="F1305" s="18">
        <v>0.64789351851851851</v>
      </c>
      <c r="G1305" s="22">
        <v>1473</v>
      </c>
      <c r="H1305">
        <v>0</v>
      </c>
      <c r="I1305" s="19" t="e">
        <f>I1304 + (D1305-G1305)</f>
        <v>#VALUE!</v>
      </c>
      <c r="M1305">
        <v>122527</v>
      </c>
      <c r="N1305">
        <v>7</v>
      </c>
      <c r="O1305" t="s">
        <v>44</v>
      </c>
      <c r="P1305">
        <v>1</v>
      </c>
      <c r="R1305">
        <v>1578</v>
      </c>
      <c r="S1305" s="17">
        <v>42130</v>
      </c>
      <c r="T1305" s="17">
        <v>42130</v>
      </c>
      <c r="W1305">
        <v>2015</v>
      </c>
      <c r="X1305">
        <v>7</v>
      </c>
      <c r="AC1305" t="s">
        <v>106</v>
      </c>
      <c r="AD1305" t="s">
        <v>302</v>
      </c>
      <c r="AE1305" t="s">
        <v>46</v>
      </c>
      <c r="AG1305">
        <v>12</v>
      </c>
      <c r="AH1305">
        <v>10</v>
      </c>
      <c r="AI1305" t="s">
        <v>95</v>
      </c>
      <c r="AK1305">
        <v>0</v>
      </c>
      <c r="AM1305">
        <v>0</v>
      </c>
      <c r="AP1305" t="s">
        <v>392</v>
      </c>
    </row>
    <row r="1306" spans="1:42" customFormat="1">
      <c r="A1306">
        <v>268239</v>
      </c>
      <c r="B1306" t="s">
        <v>795</v>
      </c>
      <c r="C1306" t="s">
        <v>796</v>
      </c>
      <c r="D1306" s="22">
        <v>0</v>
      </c>
      <c r="E1306" s="17">
        <v>42128</v>
      </c>
      <c r="F1306" s="18">
        <v>0.64789351851851851</v>
      </c>
      <c r="G1306" s="22">
        <v>1473</v>
      </c>
      <c r="H1306">
        <v>0</v>
      </c>
      <c r="I1306" s="19" t="e">
        <f>I1305 + (D1306-G1306)</f>
        <v>#VALUE!</v>
      </c>
      <c r="M1306">
        <v>122477</v>
      </c>
      <c r="N1306">
        <v>7</v>
      </c>
      <c r="O1306" t="s">
        <v>44</v>
      </c>
      <c r="P1306">
        <v>1</v>
      </c>
      <c r="R1306">
        <v>1578</v>
      </c>
      <c r="S1306" s="17">
        <v>42130</v>
      </c>
      <c r="T1306" s="17">
        <v>42130</v>
      </c>
      <c r="W1306">
        <v>2015</v>
      </c>
      <c r="X1306">
        <v>7</v>
      </c>
      <c r="AC1306" t="s">
        <v>106</v>
      </c>
      <c r="AD1306" t="s">
        <v>302</v>
      </c>
      <c r="AE1306" t="s">
        <v>46</v>
      </c>
      <c r="AG1306">
        <v>12</v>
      </c>
      <c r="AH1306">
        <v>10</v>
      </c>
      <c r="AI1306" t="s">
        <v>95</v>
      </c>
      <c r="AK1306">
        <v>0</v>
      </c>
      <c r="AM1306">
        <v>0</v>
      </c>
      <c r="AP1306" t="s">
        <v>392</v>
      </c>
    </row>
    <row r="1307" spans="1:42" customFormat="1">
      <c r="A1307">
        <v>268241</v>
      </c>
      <c r="B1307" t="s">
        <v>797</v>
      </c>
      <c r="C1307" t="s">
        <v>798</v>
      </c>
      <c r="D1307" s="22">
        <v>0</v>
      </c>
      <c r="E1307" s="17">
        <v>42128</v>
      </c>
      <c r="F1307" s="18">
        <v>0.64789351851851851</v>
      </c>
      <c r="G1307" s="22">
        <v>1473</v>
      </c>
      <c r="H1307">
        <v>0</v>
      </c>
      <c r="I1307" s="19" t="e">
        <f>I1306 + (D1307-G1307)</f>
        <v>#VALUE!</v>
      </c>
      <c r="M1307">
        <v>122487</v>
      </c>
      <c r="N1307">
        <v>7</v>
      </c>
      <c r="O1307" t="s">
        <v>44</v>
      </c>
      <c r="P1307">
        <v>1</v>
      </c>
      <c r="R1307">
        <v>1578</v>
      </c>
      <c r="S1307" s="17">
        <v>42130</v>
      </c>
      <c r="T1307" s="17">
        <v>42130</v>
      </c>
      <c r="W1307">
        <v>2015</v>
      </c>
      <c r="X1307">
        <v>7</v>
      </c>
      <c r="AC1307" t="s">
        <v>106</v>
      </c>
      <c r="AD1307" t="s">
        <v>302</v>
      </c>
      <c r="AE1307" t="s">
        <v>46</v>
      </c>
      <c r="AG1307">
        <v>12</v>
      </c>
      <c r="AH1307">
        <v>10</v>
      </c>
      <c r="AI1307" t="s">
        <v>95</v>
      </c>
      <c r="AK1307">
        <v>0</v>
      </c>
      <c r="AM1307">
        <v>0</v>
      </c>
      <c r="AP1307" t="s">
        <v>392</v>
      </c>
    </row>
    <row r="1308" spans="1:42" customFormat="1">
      <c r="A1308">
        <v>268242</v>
      </c>
      <c r="B1308" t="s">
        <v>799</v>
      </c>
      <c r="C1308" t="s">
        <v>800</v>
      </c>
      <c r="D1308" s="22">
        <v>0</v>
      </c>
      <c r="E1308" s="17">
        <v>42128</v>
      </c>
      <c r="F1308" s="18">
        <v>0.64789351851851851</v>
      </c>
      <c r="G1308" s="22">
        <v>1473</v>
      </c>
      <c r="H1308">
        <v>0</v>
      </c>
      <c r="I1308" s="19" t="e">
        <f>I1307 + (D1308-G1308)</f>
        <v>#VALUE!</v>
      </c>
      <c r="M1308">
        <v>122497</v>
      </c>
      <c r="N1308">
        <v>7</v>
      </c>
      <c r="O1308" t="s">
        <v>44</v>
      </c>
      <c r="P1308">
        <v>1</v>
      </c>
      <c r="R1308">
        <v>1578</v>
      </c>
      <c r="S1308" s="17">
        <v>42130</v>
      </c>
      <c r="T1308" s="17">
        <v>42130</v>
      </c>
      <c r="W1308">
        <v>2015</v>
      </c>
      <c r="X1308">
        <v>7</v>
      </c>
      <c r="AC1308" t="s">
        <v>106</v>
      </c>
      <c r="AD1308" t="s">
        <v>302</v>
      </c>
      <c r="AE1308" t="s">
        <v>46</v>
      </c>
      <c r="AG1308">
        <v>12</v>
      </c>
      <c r="AH1308">
        <v>10</v>
      </c>
      <c r="AI1308" t="s">
        <v>95</v>
      </c>
      <c r="AK1308">
        <v>0</v>
      </c>
      <c r="AM1308">
        <v>0</v>
      </c>
      <c r="AP1308" t="s">
        <v>392</v>
      </c>
    </row>
    <row r="1309" spans="1:42" customFormat="1">
      <c r="A1309">
        <v>268246</v>
      </c>
      <c r="B1309" t="s">
        <v>801</v>
      </c>
      <c r="C1309" t="s">
        <v>802</v>
      </c>
      <c r="D1309" s="22">
        <v>0</v>
      </c>
      <c r="E1309" s="17">
        <v>42128</v>
      </c>
      <c r="F1309" s="18">
        <v>0.64790509259259255</v>
      </c>
      <c r="G1309" s="22">
        <v>52.55</v>
      </c>
      <c r="H1309">
        <v>0</v>
      </c>
      <c r="I1309" s="19" t="e">
        <f>I1308 + (D1309-G1309)</f>
        <v>#VALUE!</v>
      </c>
      <c r="M1309">
        <v>122547</v>
      </c>
      <c r="N1309">
        <v>7</v>
      </c>
      <c r="O1309" t="s">
        <v>44</v>
      </c>
      <c r="P1309">
        <v>1</v>
      </c>
      <c r="R1309">
        <v>1578</v>
      </c>
      <c r="S1309" s="17">
        <v>42130</v>
      </c>
      <c r="T1309" s="17">
        <v>42130</v>
      </c>
      <c r="W1309">
        <v>2015</v>
      </c>
      <c r="X1309">
        <v>7</v>
      </c>
      <c r="AC1309" t="s">
        <v>106</v>
      </c>
      <c r="AD1309" t="s">
        <v>302</v>
      </c>
      <c r="AE1309" t="s">
        <v>46</v>
      </c>
      <c r="AG1309">
        <v>12</v>
      </c>
      <c r="AH1309">
        <v>10</v>
      </c>
      <c r="AI1309" t="s">
        <v>95</v>
      </c>
      <c r="AK1309">
        <v>0</v>
      </c>
      <c r="AM1309">
        <v>0</v>
      </c>
      <c r="AP1309" t="s">
        <v>392</v>
      </c>
    </row>
    <row r="1310" spans="1:42" customFormat="1">
      <c r="A1310">
        <v>268247</v>
      </c>
      <c r="B1310" t="s">
        <v>803</v>
      </c>
      <c r="C1310" t="s">
        <v>804</v>
      </c>
      <c r="D1310" s="22">
        <v>0</v>
      </c>
      <c r="E1310" s="17">
        <v>42128</v>
      </c>
      <c r="F1310" s="18">
        <v>0.64790509259259255</v>
      </c>
      <c r="G1310" s="22">
        <v>1111</v>
      </c>
      <c r="H1310">
        <v>0</v>
      </c>
      <c r="I1310" s="19" t="e">
        <f>I1309 + (D1310-G1310)</f>
        <v>#VALUE!</v>
      </c>
      <c r="M1310">
        <v>122557</v>
      </c>
      <c r="N1310">
        <v>7</v>
      </c>
      <c r="O1310" t="s">
        <v>44</v>
      </c>
      <c r="P1310">
        <v>1</v>
      </c>
      <c r="R1310">
        <v>1578</v>
      </c>
      <c r="S1310" s="17">
        <v>42130</v>
      </c>
      <c r="T1310" s="17">
        <v>42130</v>
      </c>
      <c r="W1310">
        <v>2015</v>
      </c>
      <c r="X1310">
        <v>7</v>
      </c>
      <c r="AC1310" t="s">
        <v>106</v>
      </c>
      <c r="AD1310" t="s">
        <v>302</v>
      </c>
      <c r="AE1310" t="s">
        <v>46</v>
      </c>
      <c r="AG1310">
        <v>12</v>
      </c>
      <c r="AH1310">
        <v>10</v>
      </c>
      <c r="AI1310" t="s">
        <v>95</v>
      </c>
      <c r="AK1310">
        <v>0</v>
      </c>
      <c r="AM1310">
        <v>0</v>
      </c>
      <c r="AP1310" t="s">
        <v>392</v>
      </c>
    </row>
    <row r="1311" spans="1:42" customFormat="1">
      <c r="A1311">
        <v>268248</v>
      </c>
      <c r="B1311" t="s">
        <v>805</v>
      </c>
      <c r="C1311" t="s">
        <v>806</v>
      </c>
      <c r="D1311" s="22">
        <v>0</v>
      </c>
      <c r="E1311" s="17">
        <v>42128</v>
      </c>
      <c r="F1311" s="18">
        <v>0.64790509259259255</v>
      </c>
      <c r="G1311" s="22">
        <v>1252.05</v>
      </c>
      <c r="H1311">
        <v>0</v>
      </c>
      <c r="I1311" s="19" t="e">
        <f>I1310 + (D1311-G1311)</f>
        <v>#VALUE!</v>
      </c>
      <c r="M1311">
        <v>122567</v>
      </c>
      <c r="N1311">
        <v>7</v>
      </c>
      <c r="O1311" t="s">
        <v>44</v>
      </c>
      <c r="P1311">
        <v>1</v>
      </c>
      <c r="R1311">
        <v>1578</v>
      </c>
      <c r="S1311" s="17">
        <v>42130</v>
      </c>
      <c r="T1311" s="17">
        <v>42130</v>
      </c>
      <c r="W1311">
        <v>2015</v>
      </c>
      <c r="X1311">
        <v>7</v>
      </c>
      <c r="AC1311" t="s">
        <v>106</v>
      </c>
      <c r="AD1311" t="s">
        <v>302</v>
      </c>
      <c r="AE1311" t="s">
        <v>46</v>
      </c>
      <c r="AG1311">
        <v>12</v>
      </c>
      <c r="AH1311">
        <v>10</v>
      </c>
      <c r="AI1311" t="s">
        <v>95</v>
      </c>
      <c r="AK1311">
        <v>0</v>
      </c>
      <c r="AM1311">
        <v>0</v>
      </c>
      <c r="AP1311" t="s">
        <v>392</v>
      </c>
    </row>
    <row r="1312" spans="1:42" customFormat="1">
      <c r="A1312">
        <v>268253</v>
      </c>
      <c r="B1312" t="s">
        <v>807</v>
      </c>
      <c r="C1312" t="s">
        <v>808</v>
      </c>
      <c r="D1312" s="22">
        <v>0</v>
      </c>
      <c r="E1312" s="17">
        <v>42128</v>
      </c>
      <c r="F1312" s="18">
        <v>0.64790509259259255</v>
      </c>
      <c r="G1312" s="22">
        <v>1473</v>
      </c>
      <c r="H1312">
        <v>0</v>
      </c>
      <c r="I1312" s="19" t="e">
        <f>I1311 + (D1312-G1312)</f>
        <v>#VALUE!</v>
      </c>
      <c r="M1312">
        <v>122508</v>
      </c>
      <c r="N1312">
        <v>7</v>
      </c>
      <c r="O1312" t="s">
        <v>44</v>
      </c>
      <c r="P1312">
        <v>1</v>
      </c>
      <c r="R1312">
        <v>1578</v>
      </c>
      <c r="S1312" s="17">
        <v>42130</v>
      </c>
      <c r="T1312" s="17">
        <v>42130</v>
      </c>
      <c r="W1312">
        <v>2015</v>
      </c>
      <c r="X1312">
        <v>7</v>
      </c>
      <c r="AC1312" t="s">
        <v>106</v>
      </c>
      <c r="AD1312" t="s">
        <v>302</v>
      </c>
      <c r="AE1312" t="s">
        <v>46</v>
      </c>
      <c r="AG1312">
        <v>12</v>
      </c>
      <c r="AH1312">
        <v>10</v>
      </c>
      <c r="AI1312" t="s">
        <v>95</v>
      </c>
      <c r="AK1312">
        <v>0</v>
      </c>
      <c r="AM1312">
        <v>0</v>
      </c>
      <c r="AP1312" t="s">
        <v>392</v>
      </c>
    </row>
    <row r="1313" spans="1:42" customFormat="1">
      <c r="A1313">
        <v>268254</v>
      </c>
      <c r="B1313" t="s">
        <v>809</v>
      </c>
      <c r="C1313" t="s">
        <v>810</v>
      </c>
      <c r="D1313" s="22">
        <v>0</v>
      </c>
      <c r="E1313" s="17">
        <v>42128</v>
      </c>
      <c r="F1313" s="18">
        <v>0.64790509259259255</v>
      </c>
      <c r="G1313" s="22">
        <v>1473</v>
      </c>
      <c r="H1313">
        <v>0</v>
      </c>
      <c r="I1313" s="19" t="e">
        <f>I1312 + (D1313-G1313)</f>
        <v>#VALUE!</v>
      </c>
      <c r="M1313">
        <v>122518</v>
      </c>
      <c r="N1313">
        <v>7</v>
      </c>
      <c r="O1313" t="s">
        <v>44</v>
      </c>
      <c r="P1313">
        <v>1</v>
      </c>
      <c r="R1313">
        <v>1578</v>
      </c>
      <c r="S1313" s="17">
        <v>42130</v>
      </c>
      <c r="T1313" s="17">
        <v>42130</v>
      </c>
      <c r="W1313">
        <v>2015</v>
      </c>
      <c r="X1313">
        <v>7</v>
      </c>
      <c r="AC1313" t="s">
        <v>106</v>
      </c>
      <c r="AD1313" t="s">
        <v>302</v>
      </c>
      <c r="AE1313" t="s">
        <v>46</v>
      </c>
      <c r="AG1313">
        <v>12</v>
      </c>
      <c r="AH1313">
        <v>10</v>
      </c>
      <c r="AI1313" t="s">
        <v>95</v>
      </c>
      <c r="AK1313">
        <v>0</v>
      </c>
      <c r="AM1313">
        <v>0</v>
      </c>
      <c r="AP1313" t="s">
        <v>392</v>
      </c>
    </row>
    <row r="1314" spans="1:42" customFormat="1">
      <c r="A1314">
        <v>268255</v>
      </c>
      <c r="B1314" t="s">
        <v>811</v>
      </c>
      <c r="C1314" t="s">
        <v>812</v>
      </c>
      <c r="D1314" s="22">
        <v>0</v>
      </c>
      <c r="E1314" s="17">
        <v>42128</v>
      </c>
      <c r="F1314" s="18">
        <v>0.64790509259259255</v>
      </c>
      <c r="G1314" s="22">
        <v>1051</v>
      </c>
      <c r="H1314">
        <v>0</v>
      </c>
      <c r="I1314" s="19" t="e">
        <f>I1313 + (D1314-G1314)</f>
        <v>#VALUE!</v>
      </c>
      <c r="M1314">
        <v>122548</v>
      </c>
      <c r="N1314">
        <v>7</v>
      </c>
      <c r="O1314" t="s">
        <v>44</v>
      </c>
      <c r="P1314">
        <v>1</v>
      </c>
      <c r="R1314">
        <v>1578</v>
      </c>
      <c r="S1314" s="17">
        <v>42130</v>
      </c>
      <c r="T1314" s="17">
        <v>42130</v>
      </c>
      <c r="W1314">
        <v>2015</v>
      </c>
      <c r="X1314">
        <v>7</v>
      </c>
      <c r="AC1314" t="s">
        <v>106</v>
      </c>
      <c r="AD1314" t="s">
        <v>302</v>
      </c>
      <c r="AE1314" t="s">
        <v>46</v>
      </c>
      <c r="AG1314">
        <v>12</v>
      </c>
      <c r="AH1314">
        <v>10</v>
      </c>
      <c r="AI1314" t="s">
        <v>95</v>
      </c>
      <c r="AK1314">
        <v>0</v>
      </c>
      <c r="AM1314">
        <v>0</v>
      </c>
      <c r="AP1314" t="s">
        <v>392</v>
      </c>
    </row>
    <row r="1315" spans="1:42" customFormat="1">
      <c r="A1315">
        <v>268256</v>
      </c>
      <c r="B1315" t="s">
        <v>813</v>
      </c>
      <c r="C1315" t="s">
        <v>814</v>
      </c>
      <c r="D1315" s="22">
        <v>0</v>
      </c>
      <c r="E1315" s="17">
        <v>42128</v>
      </c>
      <c r="F1315" s="18">
        <v>0.64790509259259255</v>
      </c>
      <c r="G1315" s="22">
        <v>55.55</v>
      </c>
      <c r="H1315">
        <v>0</v>
      </c>
      <c r="I1315" s="19" t="e">
        <f>I1314 + (D1315-G1315)</f>
        <v>#VALUE!</v>
      </c>
      <c r="M1315">
        <v>122558</v>
      </c>
      <c r="N1315">
        <v>7</v>
      </c>
      <c r="O1315" t="s">
        <v>44</v>
      </c>
      <c r="P1315">
        <v>1</v>
      </c>
      <c r="R1315">
        <v>1578</v>
      </c>
      <c r="S1315" s="17">
        <v>42130</v>
      </c>
      <c r="T1315" s="17">
        <v>42130</v>
      </c>
      <c r="W1315">
        <v>2015</v>
      </c>
      <c r="X1315">
        <v>7</v>
      </c>
      <c r="AC1315" t="s">
        <v>106</v>
      </c>
      <c r="AD1315" t="s">
        <v>302</v>
      </c>
      <c r="AE1315" t="s">
        <v>46</v>
      </c>
      <c r="AG1315">
        <v>12</v>
      </c>
      <c r="AH1315">
        <v>10</v>
      </c>
      <c r="AI1315" t="s">
        <v>95</v>
      </c>
      <c r="AK1315">
        <v>0</v>
      </c>
      <c r="AM1315">
        <v>0</v>
      </c>
      <c r="AP1315" t="s">
        <v>392</v>
      </c>
    </row>
    <row r="1316" spans="1:42" customFormat="1">
      <c r="A1316">
        <v>268257</v>
      </c>
      <c r="B1316" t="s">
        <v>815</v>
      </c>
      <c r="C1316" t="s">
        <v>816</v>
      </c>
      <c r="D1316" s="22">
        <v>0</v>
      </c>
      <c r="E1316" s="17">
        <v>42128</v>
      </c>
      <c r="F1316" s="18">
        <v>0.64790509259259255</v>
      </c>
      <c r="G1316" s="22">
        <v>1399</v>
      </c>
      <c r="H1316">
        <v>0</v>
      </c>
      <c r="I1316" s="19" t="e">
        <f>I1315 + (D1316-G1316)</f>
        <v>#VALUE!</v>
      </c>
      <c r="M1316">
        <v>122568</v>
      </c>
      <c r="N1316">
        <v>7</v>
      </c>
      <c r="O1316" t="s">
        <v>44</v>
      </c>
      <c r="P1316">
        <v>1</v>
      </c>
      <c r="R1316">
        <v>1578</v>
      </c>
      <c r="S1316" s="17">
        <v>42130</v>
      </c>
      <c r="T1316" s="17">
        <v>42130</v>
      </c>
      <c r="W1316">
        <v>2015</v>
      </c>
      <c r="X1316">
        <v>7</v>
      </c>
      <c r="AC1316" t="s">
        <v>106</v>
      </c>
      <c r="AD1316" t="s">
        <v>302</v>
      </c>
      <c r="AE1316" t="s">
        <v>46</v>
      </c>
      <c r="AG1316">
        <v>12</v>
      </c>
      <c r="AH1316">
        <v>10</v>
      </c>
      <c r="AI1316" t="s">
        <v>95</v>
      </c>
      <c r="AK1316">
        <v>0</v>
      </c>
      <c r="AM1316">
        <v>0</v>
      </c>
      <c r="AP1316" t="s">
        <v>392</v>
      </c>
    </row>
    <row r="1317" spans="1:42" customFormat="1">
      <c r="A1317">
        <v>268249</v>
      </c>
      <c r="B1317" t="s">
        <v>817</v>
      </c>
      <c r="C1317" t="s">
        <v>818</v>
      </c>
      <c r="D1317" s="22">
        <v>0</v>
      </c>
      <c r="E1317" s="17">
        <v>42128</v>
      </c>
      <c r="F1317" s="18">
        <v>0.64790509259259255</v>
      </c>
      <c r="G1317" s="22">
        <v>1473</v>
      </c>
      <c r="H1317">
        <v>0</v>
      </c>
      <c r="I1317" s="19" t="e">
        <f>I1316 + (D1317-G1317)</f>
        <v>#VALUE!</v>
      </c>
      <c r="M1317">
        <v>122478</v>
      </c>
      <c r="N1317">
        <v>7</v>
      </c>
      <c r="O1317" t="s">
        <v>44</v>
      </c>
      <c r="P1317">
        <v>1</v>
      </c>
      <c r="R1317">
        <v>1578</v>
      </c>
      <c r="S1317" s="17">
        <v>42130</v>
      </c>
      <c r="T1317" s="17">
        <v>42130</v>
      </c>
      <c r="W1317">
        <v>2015</v>
      </c>
      <c r="X1317">
        <v>7</v>
      </c>
      <c r="AC1317" t="s">
        <v>106</v>
      </c>
      <c r="AD1317" t="s">
        <v>302</v>
      </c>
      <c r="AE1317" t="s">
        <v>46</v>
      </c>
      <c r="AG1317">
        <v>12</v>
      </c>
      <c r="AH1317">
        <v>10</v>
      </c>
      <c r="AI1317" t="s">
        <v>95</v>
      </c>
      <c r="AK1317">
        <v>0</v>
      </c>
      <c r="AM1317">
        <v>0</v>
      </c>
      <c r="AP1317" t="s">
        <v>392</v>
      </c>
    </row>
    <row r="1318" spans="1:42" customFormat="1">
      <c r="A1318">
        <v>268251</v>
      </c>
      <c r="B1318" t="s">
        <v>819</v>
      </c>
      <c r="C1318" t="s">
        <v>820</v>
      </c>
      <c r="D1318" s="22">
        <v>0</v>
      </c>
      <c r="E1318" s="17">
        <v>42128</v>
      </c>
      <c r="F1318" s="18">
        <v>0.64790509259259255</v>
      </c>
      <c r="G1318" s="22">
        <v>1473</v>
      </c>
      <c r="H1318">
        <v>0</v>
      </c>
      <c r="I1318" s="19" t="e">
        <f>I1317 + (D1318-G1318)</f>
        <v>#VALUE!</v>
      </c>
      <c r="M1318">
        <v>122488</v>
      </c>
      <c r="N1318">
        <v>7</v>
      </c>
      <c r="O1318" t="s">
        <v>44</v>
      </c>
      <c r="P1318">
        <v>1</v>
      </c>
      <c r="R1318">
        <v>1578</v>
      </c>
      <c r="S1318" s="17">
        <v>42130</v>
      </c>
      <c r="T1318" s="17">
        <v>42130</v>
      </c>
      <c r="W1318">
        <v>2015</v>
      </c>
      <c r="X1318">
        <v>7</v>
      </c>
      <c r="AC1318" t="s">
        <v>106</v>
      </c>
      <c r="AD1318" t="s">
        <v>302</v>
      </c>
      <c r="AE1318" t="s">
        <v>46</v>
      </c>
      <c r="AG1318">
        <v>12</v>
      </c>
      <c r="AH1318">
        <v>10</v>
      </c>
      <c r="AI1318" t="s">
        <v>95</v>
      </c>
      <c r="AK1318">
        <v>0</v>
      </c>
      <c r="AM1318">
        <v>0</v>
      </c>
      <c r="AP1318" t="s">
        <v>392</v>
      </c>
    </row>
    <row r="1319" spans="1:42" customFormat="1">
      <c r="A1319">
        <v>268252</v>
      </c>
      <c r="B1319" t="s">
        <v>821</v>
      </c>
      <c r="C1319" t="s">
        <v>822</v>
      </c>
      <c r="D1319" s="22">
        <v>0</v>
      </c>
      <c r="E1319" s="17">
        <v>42128</v>
      </c>
      <c r="F1319" s="18">
        <v>0.64790509259259255</v>
      </c>
      <c r="G1319" s="22">
        <v>1473</v>
      </c>
      <c r="H1319">
        <v>0</v>
      </c>
      <c r="I1319" s="19" t="e">
        <f>I1318 + (D1319-G1319)</f>
        <v>#VALUE!</v>
      </c>
      <c r="M1319">
        <v>122498</v>
      </c>
      <c r="N1319">
        <v>7</v>
      </c>
      <c r="O1319" t="s">
        <v>44</v>
      </c>
      <c r="P1319">
        <v>1</v>
      </c>
      <c r="R1319">
        <v>1578</v>
      </c>
      <c r="S1319" s="17">
        <v>42130</v>
      </c>
      <c r="T1319" s="17">
        <v>42130</v>
      </c>
      <c r="W1319">
        <v>2015</v>
      </c>
      <c r="X1319">
        <v>7</v>
      </c>
      <c r="AC1319" t="s">
        <v>106</v>
      </c>
      <c r="AD1319" t="s">
        <v>302</v>
      </c>
      <c r="AE1319" t="s">
        <v>46</v>
      </c>
      <c r="AG1319">
        <v>12</v>
      </c>
      <c r="AH1319">
        <v>10</v>
      </c>
      <c r="AI1319" t="s">
        <v>95</v>
      </c>
      <c r="AK1319">
        <v>0</v>
      </c>
      <c r="AM1319">
        <v>0</v>
      </c>
      <c r="AP1319" t="s">
        <v>392</v>
      </c>
    </row>
    <row r="1320" spans="1:42" customFormat="1">
      <c r="A1320">
        <v>268267</v>
      </c>
      <c r="B1320" t="s">
        <v>823</v>
      </c>
      <c r="C1320" t="s">
        <v>824</v>
      </c>
      <c r="D1320" s="22">
        <v>0</v>
      </c>
      <c r="E1320" s="17">
        <v>42128</v>
      </c>
      <c r="F1320" s="18">
        <v>0.6479166666666667</v>
      </c>
      <c r="G1320" s="22">
        <v>1473</v>
      </c>
      <c r="H1320">
        <v>0</v>
      </c>
      <c r="I1320" s="19" t="e">
        <f>I1319 + (D1320-G1320)</f>
        <v>#VALUE!</v>
      </c>
      <c r="M1320">
        <v>122480</v>
      </c>
      <c r="N1320">
        <v>7</v>
      </c>
      <c r="O1320" t="s">
        <v>44</v>
      </c>
      <c r="P1320">
        <v>1</v>
      </c>
      <c r="R1320">
        <v>1578</v>
      </c>
      <c r="S1320" s="17">
        <v>42130</v>
      </c>
      <c r="T1320" s="17">
        <v>42130</v>
      </c>
      <c r="W1320">
        <v>2015</v>
      </c>
      <c r="X1320">
        <v>7</v>
      </c>
      <c r="AC1320" t="s">
        <v>106</v>
      </c>
      <c r="AD1320" t="s">
        <v>302</v>
      </c>
      <c r="AE1320" t="s">
        <v>46</v>
      </c>
      <c r="AG1320">
        <v>12</v>
      </c>
      <c r="AH1320">
        <v>10</v>
      </c>
      <c r="AI1320" t="s">
        <v>95</v>
      </c>
      <c r="AK1320">
        <v>0</v>
      </c>
      <c r="AM1320">
        <v>0</v>
      </c>
      <c r="AP1320" t="s">
        <v>392</v>
      </c>
    </row>
    <row r="1321" spans="1:42" customFormat="1">
      <c r="A1321">
        <v>268262</v>
      </c>
      <c r="B1321" t="s">
        <v>825</v>
      </c>
      <c r="C1321" t="s">
        <v>826</v>
      </c>
      <c r="D1321" s="22">
        <v>0</v>
      </c>
      <c r="E1321" s="17">
        <v>42128</v>
      </c>
      <c r="F1321" s="18">
        <v>0.6479166666666667</v>
      </c>
      <c r="G1321" s="22">
        <v>1473</v>
      </c>
      <c r="H1321">
        <v>0</v>
      </c>
      <c r="I1321" s="19" t="e">
        <f>I1320 + (D1321-G1321)</f>
        <v>#VALUE!</v>
      </c>
      <c r="M1321">
        <v>122509</v>
      </c>
      <c r="N1321">
        <v>7</v>
      </c>
      <c r="O1321" t="s">
        <v>44</v>
      </c>
      <c r="P1321">
        <v>1</v>
      </c>
      <c r="R1321">
        <v>1578</v>
      </c>
      <c r="S1321" s="17">
        <v>42130</v>
      </c>
      <c r="T1321" s="17">
        <v>42130</v>
      </c>
      <c r="W1321">
        <v>2015</v>
      </c>
      <c r="X1321">
        <v>7</v>
      </c>
      <c r="AC1321" t="s">
        <v>106</v>
      </c>
      <c r="AD1321" t="s">
        <v>302</v>
      </c>
      <c r="AE1321" t="s">
        <v>46</v>
      </c>
      <c r="AG1321">
        <v>12</v>
      </c>
      <c r="AH1321">
        <v>10</v>
      </c>
      <c r="AI1321" t="s">
        <v>95</v>
      </c>
      <c r="AK1321">
        <v>0</v>
      </c>
      <c r="AM1321">
        <v>0</v>
      </c>
      <c r="AP1321" t="s">
        <v>392</v>
      </c>
    </row>
    <row r="1322" spans="1:42" customFormat="1">
      <c r="A1322">
        <v>268263</v>
      </c>
      <c r="B1322" t="s">
        <v>827</v>
      </c>
      <c r="C1322" t="s">
        <v>828</v>
      </c>
      <c r="D1322" s="22">
        <v>0</v>
      </c>
      <c r="E1322" s="17">
        <v>42128</v>
      </c>
      <c r="F1322" s="18">
        <v>0.6479166666666667</v>
      </c>
      <c r="G1322" s="22">
        <v>1473</v>
      </c>
      <c r="H1322">
        <v>0</v>
      </c>
      <c r="I1322" s="19" t="e">
        <f>I1321 + (D1322-G1322)</f>
        <v>#VALUE!</v>
      </c>
      <c r="M1322">
        <v>122519</v>
      </c>
      <c r="N1322">
        <v>7</v>
      </c>
      <c r="O1322" t="s">
        <v>44</v>
      </c>
      <c r="P1322">
        <v>1</v>
      </c>
      <c r="R1322">
        <v>1578</v>
      </c>
      <c r="S1322" s="17">
        <v>42130</v>
      </c>
      <c r="T1322" s="17">
        <v>42130</v>
      </c>
      <c r="W1322">
        <v>2015</v>
      </c>
      <c r="X1322">
        <v>7</v>
      </c>
      <c r="AC1322" t="s">
        <v>106</v>
      </c>
      <c r="AD1322" t="s">
        <v>302</v>
      </c>
      <c r="AE1322" t="s">
        <v>46</v>
      </c>
      <c r="AG1322">
        <v>12</v>
      </c>
      <c r="AH1322">
        <v>10</v>
      </c>
      <c r="AI1322" t="s">
        <v>95</v>
      </c>
      <c r="AK1322">
        <v>0</v>
      </c>
      <c r="AM1322">
        <v>0</v>
      </c>
      <c r="AP1322" t="s">
        <v>392</v>
      </c>
    </row>
    <row r="1323" spans="1:42" customFormat="1">
      <c r="A1323">
        <v>268264</v>
      </c>
      <c r="B1323" t="s">
        <v>829</v>
      </c>
      <c r="C1323" t="s">
        <v>830</v>
      </c>
      <c r="D1323" s="22">
        <v>0</v>
      </c>
      <c r="E1323" s="17">
        <v>42128</v>
      </c>
      <c r="F1323" s="18">
        <v>0.6479166666666667</v>
      </c>
      <c r="G1323" s="22">
        <v>1051</v>
      </c>
      <c r="H1323">
        <v>0</v>
      </c>
      <c r="I1323" s="19" t="e">
        <f>I1322 + (D1323-G1323)</f>
        <v>#VALUE!</v>
      </c>
      <c r="M1323">
        <v>122549</v>
      </c>
      <c r="N1323">
        <v>7</v>
      </c>
      <c r="O1323" t="s">
        <v>44</v>
      </c>
      <c r="P1323">
        <v>1</v>
      </c>
      <c r="R1323">
        <v>1578</v>
      </c>
      <c r="S1323" s="17">
        <v>42130</v>
      </c>
      <c r="T1323" s="17">
        <v>42130</v>
      </c>
      <c r="W1323">
        <v>2015</v>
      </c>
      <c r="X1323">
        <v>7</v>
      </c>
      <c r="AC1323" t="s">
        <v>106</v>
      </c>
      <c r="AD1323" t="s">
        <v>302</v>
      </c>
      <c r="AE1323" t="s">
        <v>46</v>
      </c>
      <c r="AG1323">
        <v>12</v>
      </c>
      <c r="AH1323">
        <v>10</v>
      </c>
      <c r="AI1323" t="s">
        <v>95</v>
      </c>
      <c r="AK1323">
        <v>0</v>
      </c>
      <c r="AM1323">
        <v>0</v>
      </c>
      <c r="AP1323" t="s">
        <v>392</v>
      </c>
    </row>
    <row r="1324" spans="1:42" customFormat="1">
      <c r="A1324">
        <v>268265</v>
      </c>
      <c r="B1324" t="s">
        <v>831</v>
      </c>
      <c r="C1324" t="s">
        <v>832</v>
      </c>
      <c r="D1324" s="22">
        <v>0</v>
      </c>
      <c r="E1324" s="17">
        <v>42128</v>
      </c>
      <c r="F1324" s="18">
        <v>0.6479166666666667</v>
      </c>
      <c r="G1324" s="22">
        <v>1111</v>
      </c>
      <c r="H1324">
        <v>0</v>
      </c>
      <c r="I1324" s="19" t="e">
        <f>I1323 + (D1324-G1324)</f>
        <v>#VALUE!</v>
      </c>
      <c r="M1324">
        <v>122559</v>
      </c>
      <c r="N1324">
        <v>7</v>
      </c>
      <c r="O1324" t="s">
        <v>44</v>
      </c>
      <c r="P1324">
        <v>1</v>
      </c>
      <c r="R1324">
        <v>1578</v>
      </c>
      <c r="S1324" s="17">
        <v>42130</v>
      </c>
      <c r="T1324" s="17">
        <v>42130</v>
      </c>
      <c r="W1324">
        <v>2015</v>
      </c>
      <c r="X1324">
        <v>7</v>
      </c>
      <c r="AC1324" t="s">
        <v>106</v>
      </c>
      <c r="AD1324" t="s">
        <v>302</v>
      </c>
      <c r="AE1324" t="s">
        <v>46</v>
      </c>
      <c r="AG1324">
        <v>12</v>
      </c>
      <c r="AH1324">
        <v>10</v>
      </c>
      <c r="AI1324" t="s">
        <v>95</v>
      </c>
      <c r="AK1324">
        <v>0</v>
      </c>
      <c r="AM1324">
        <v>0</v>
      </c>
      <c r="AP1324" t="s">
        <v>392</v>
      </c>
    </row>
    <row r="1325" spans="1:42" customFormat="1">
      <c r="A1325">
        <v>268266</v>
      </c>
      <c r="B1325" t="s">
        <v>833</v>
      </c>
      <c r="C1325" t="s">
        <v>834</v>
      </c>
      <c r="D1325" s="22">
        <v>0</v>
      </c>
      <c r="E1325" s="17">
        <v>42128</v>
      </c>
      <c r="F1325" s="18">
        <v>0.6479166666666667</v>
      </c>
      <c r="G1325" s="22">
        <v>73.650000000000006</v>
      </c>
      <c r="H1325">
        <v>0</v>
      </c>
      <c r="I1325" s="19" t="e">
        <f>I1324 + (D1325-G1325)</f>
        <v>#VALUE!</v>
      </c>
      <c r="M1325">
        <v>122569</v>
      </c>
      <c r="N1325">
        <v>7</v>
      </c>
      <c r="O1325" t="s">
        <v>44</v>
      </c>
      <c r="P1325">
        <v>1</v>
      </c>
      <c r="R1325">
        <v>1578</v>
      </c>
      <c r="S1325" s="17">
        <v>42130</v>
      </c>
      <c r="T1325" s="17">
        <v>42130</v>
      </c>
      <c r="W1325">
        <v>2015</v>
      </c>
      <c r="X1325">
        <v>7</v>
      </c>
      <c r="AC1325" t="s">
        <v>106</v>
      </c>
      <c r="AD1325" t="s">
        <v>302</v>
      </c>
      <c r="AE1325" t="s">
        <v>46</v>
      </c>
      <c r="AG1325">
        <v>12</v>
      </c>
      <c r="AH1325">
        <v>10</v>
      </c>
      <c r="AI1325" t="s">
        <v>95</v>
      </c>
      <c r="AK1325">
        <v>0</v>
      </c>
      <c r="AM1325">
        <v>0</v>
      </c>
      <c r="AP1325" t="s">
        <v>392</v>
      </c>
    </row>
    <row r="1326" spans="1:42" customFormat="1">
      <c r="A1326">
        <v>268258</v>
      </c>
      <c r="B1326" t="s">
        <v>835</v>
      </c>
      <c r="C1326" t="s">
        <v>836</v>
      </c>
      <c r="D1326" s="22">
        <v>0</v>
      </c>
      <c r="E1326" s="17">
        <v>42128</v>
      </c>
      <c r="F1326" s="18">
        <v>0.6479166666666667</v>
      </c>
      <c r="G1326" s="22">
        <v>1473</v>
      </c>
      <c r="H1326">
        <v>0</v>
      </c>
      <c r="I1326" s="19" t="e">
        <f>I1325 + (D1326-G1326)</f>
        <v>#VALUE!</v>
      </c>
      <c r="M1326">
        <v>122479</v>
      </c>
      <c r="N1326">
        <v>7</v>
      </c>
      <c r="O1326" t="s">
        <v>44</v>
      </c>
      <c r="P1326">
        <v>1</v>
      </c>
      <c r="R1326">
        <v>1578</v>
      </c>
      <c r="S1326" s="17">
        <v>42130</v>
      </c>
      <c r="T1326" s="17">
        <v>42130</v>
      </c>
      <c r="W1326">
        <v>2015</v>
      </c>
      <c r="X1326">
        <v>7</v>
      </c>
      <c r="AC1326" t="s">
        <v>106</v>
      </c>
      <c r="AD1326" t="s">
        <v>302</v>
      </c>
      <c r="AE1326" t="s">
        <v>46</v>
      </c>
      <c r="AG1326">
        <v>12</v>
      </c>
      <c r="AH1326">
        <v>10</v>
      </c>
      <c r="AI1326" t="s">
        <v>95</v>
      </c>
      <c r="AK1326">
        <v>0</v>
      </c>
      <c r="AM1326">
        <v>0</v>
      </c>
      <c r="AP1326" t="s">
        <v>392</v>
      </c>
    </row>
    <row r="1327" spans="1:42" customFormat="1">
      <c r="A1327">
        <v>268260</v>
      </c>
      <c r="B1327" t="s">
        <v>837</v>
      </c>
      <c r="C1327" t="s">
        <v>838</v>
      </c>
      <c r="D1327" s="22">
        <v>0</v>
      </c>
      <c r="E1327" s="17">
        <v>42128</v>
      </c>
      <c r="F1327" s="18">
        <v>0.6479166666666667</v>
      </c>
      <c r="G1327" s="22">
        <v>1473</v>
      </c>
      <c r="H1327">
        <v>0</v>
      </c>
      <c r="I1327" s="19" t="e">
        <f>I1326 + (D1327-G1327)</f>
        <v>#VALUE!</v>
      </c>
      <c r="M1327">
        <v>122489</v>
      </c>
      <c r="N1327">
        <v>7</v>
      </c>
      <c r="O1327" t="s">
        <v>44</v>
      </c>
      <c r="P1327">
        <v>1</v>
      </c>
      <c r="R1327">
        <v>1578</v>
      </c>
      <c r="S1327" s="17">
        <v>42130</v>
      </c>
      <c r="T1327" s="17">
        <v>42130</v>
      </c>
      <c r="W1327">
        <v>2015</v>
      </c>
      <c r="X1327">
        <v>7</v>
      </c>
      <c r="AC1327" t="s">
        <v>106</v>
      </c>
      <c r="AD1327" t="s">
        <v>302</v>
      </c>
      <c r="AE1327" t="s">
        <v>46</v>
      </c>
      <c r="AG1327">
        <v>12</v>
      </c>
      <c r="AH1327">
        <v>10</v>
      </c>
      <c r="AI1327" t="s">
        <v>95</v>
      </c>
      <c r="AK1327">
        <v>0</v>
      </c>
      <c r="AM1327">
        <v>0</v>
      </c>
      <c r="AP1327" t="s">
        <v>392</v>
      </c>
    </row>
    <row r="1328" spans="1:42" customFormat="1">
      <c r="A1328">
        <v>268261</v>
      </c>
      <c r="B1328" t="s">
        <v>839</v>
      </c>
      <c r="C1328" t="s">
        <v>840</v>
      </c>
      <c r="D1328" s="22">
        <v>0</v>
      </c>
      <c r="E1328" s="17">
        <v>42128</v>
      </c>
      <c r="F1328" s="18">
        <v>0.6479166666666667</v>
      </c>
      <c r="G1328" s="22">
        <v>1473</v>
      </c>
      <c r="H1328">
        <v>0</v>
      </c>
      <c r="I1328" s="19" t="e">
        <f>I1327 + (D1328-G1328)</f>
        <v>#VALUE!</v>
      </c>
      <c r="M1328">
        <v>122499</v>
      </c>
      <c r="N1328">
        <v>7</v>
      </c>
      <c r="O1328" t="s">
        <v>44</v>
      </c>
      <c r="P1328">
        <v>1</v>
      </c>
      <c r="R1328">
        <v>1578</v>
      </c>
      <c r="S1328" s="17">
        <v>42130</v>
      </c>
      <c r="T1328" s="17">
        <v>42130</v>
      </c>
      <c r="W1328">
        <v>2015</v>
      </c>
      <c r="X1328">
        <v>7</v>
      </c>
      <c r="AC1328" t="s">
        <v>106</v>
      </c>
      <c r="AD1328" t="s">
        <v>302</v>
      </c>
      <c r="AE1328" t="s">
        <v>46</v>
      </c>
      <c r="AG1328">
        <v>12</v>
      </c>
      <c r="AH1328">
        <v>10</v>
      </c>
      <c r="AI1328" t="s">
        <v>95</v>
      </c>
      <c r="AK1328">
        <v>0</v>
      </c>
      <c r="AM1328">
        <v>0</v>
      </c>
      <c r="AP1328" t="s">
        <v>392</v>
      </c>
    </row>
    <row r="1329" spans="1:42" customFormat="1">
      <c r="A1329">
        <v>268270</v>
      </c>
      <c r="B1329" t="s">
        <v>841</v>
      </c>
      <c r="C1329" t="s">
        <v>842</v>
      </c>
      <c r="D1329" s="22">
        <v>0</v>
      </c>
      <c r="E1329" s="17">
        <v>42128</v>
      </c>
      <c r="F1329" s="18">
        <v>0.64792824074074074</v>
      </c>
      <c r="G1329" s="22">
        <v>1473</v>
      </c>
      <c r="H1329">
        <v>0</v>
      </c>
      <c r="I1329" s="19" t="e">
        <f>I1328 + (D1329-G1329)</f>
        <v>#VALUE!</v>
      </c>
      <c r="M1329">
        <v>122500</v>
      </c>
      <c r="N1329">
        <v>7</v>
      </c>
      <c r="O1329" t="s">
        <v>44</v>
      </c>
      <c r="P1329">
        <v>1</v>
      </c>
      <c r="R1329">
        <v>1578</v>
      </c>
      <c r="S1329" s="17">
        <v>42130</v>
      </c>
      <c r="T1329" s="17">
        <v>42130</v>
      </c>
      <c r="W1329">
        <v>2015</v>
      </c>
      <c r="X1329">
        <v>7</v>
      </c>
      <c r="AC1329" t="s">
        <v>106</v>
      </c>
      <c r="AD1329" t="s">
        <v>302</v>
      </c>
      <c r="AE1329" t="s">
        <v>46</v>
      </c>
      <c r="AG1329">
        <v>12</v>
      </c>
      <c r="AH1329">
        <v>10</v>
      </c>
      <c r="AI1329" t="s">
        <v>95</v>
      </c>
      <c r="AK1329">
        <v>0</v>
      </c>
      <c r="AM1329">
        <v>0</v>
      </c>
      <c r="AP1329" t="s">
        <v>392</v>
      </c>
    </row>
    <row r="1330" spans="1:42" customFormat="1">
      <c r="A1330">
        <v>268271</v>
      </c>
      <c r="B1330" t="s">
        <v>843</v>
      </c>
      <c r="C1330" t="s">
        <v>844</v>
      </c>
      <c r="D1330" s="22">
        <v>0</v>
      </c>
      <c r="E1330" s="17">
        <v>42128</v>
      </c>
      <c r="F1330" s="18">
        <v>0.64792824074074074</v>
      </c>
      <c r="G1330" s="22">
        <v>1473</v>
      </c>
      <c r="H1330">
        <v>0</v>
      </c>
      <c r="I1330" s="19" t="e">
        <f>I1329 + (D1330-G1330)</f>
        <v>#VALUE!</v>
      </c>
      <c r="M1330">
        <v>122510</v>
      </c>
      <c r="N1330">
        <v>7</v>
      </c>
      <c r="O1330" t="s">
        <v>44</v>
      </c>
      <c r="P1330">
        <v>1</v>
      </c>
      <c r="R1330">
        <v>1578</v>
      </c>
      <c r="S1330" s="17">
        <v>42130</v>
      </c>
      <c r="T1330" s="17">
        <v>42130</v>
      </c>
      <c r="W1330">
        <v>2015</v>
      </c>
      <c r="X1330">
        <v>7</v>
      </c>
      <c r="AC1330" t="s">
        <v>106</v>
      </c>
      <c r="AD1330" t="s">
        <v>302</v>
      </c>
      <c r="AE1330" t="s">
        <v>46</v>
      </c>
      <c r="AG1330">
        <v>12</v>
      </c>
      <c r="AH1330">
        <v>10</v>
      </c>
      <c r="AI1330" t="s">
        <v>95</v>
      </c>
      <c r="AK1330">
        <v>0</v>
      </c>
      <c r="AM1330">
        <v>0</v>
      </c>
      <c r="AP1330" t="s">
        <v>392</v>
      </c>
    </row>
    <row r="1331" spans="1:42" customFormat="1">
      <c r="A1331">
        <v>268272</v>
      </c>
      <c r="B1331" t="s">
        <v>845</v>
      </c>
      <c r="C1331" t="s">
        <v>846</v>
      </c>
      <c r="D1331" s="22">
        <v>0</v>
      </c>
      <c r="E1331" s="17">
        <v>42128</v>
      </c>
      <c r="F1331" s="18">
        <v>0.64792824074074074</v>
      </c>
      <c r="G1331" s="22">
        <v>1473</v>
      </c>
      <c r="H1331">
        <v>0</v>
      </c>
      <c r="I1331" s="19" t="e">
        <f>I1330 + (D1331-G1331)</f>
        <v>#VALUE!</v>
      </c>
      <c r="M1331">
        <v>122520</v>
      </c>
      <c r="N1331">
        <v>7</v>
      </c>
      <c r="O1331" t="s">
        <v>44</v>
      </c>
      <c r="P1331">
        <v>1</v>
      </c>
      <c r="R1331">
        <v>1578</v>
      </c>
      <c r="S1331" s="17">
        <v>42130</v>
      </c>
      <c r="T1331" s="17">
        <v>42130</v>
      </c>
      <c r="W1331">
        <v>2015</v>
      </c>
      <c r="X1331">
        <v>7</v>
      </c>
      <c r="AC1331" t="s">
        <v>106</v>
      </c>
      <c r="AD1331" t="s">
        <v>302</v>
      </c>
      <c r="AE1331" t="s">
        <v>46</v>
      </c>
      <c r="AG1331">
        <v>12</v>
      </c>
      <c r="AH1331">
        <v>10</v>
      </c>
      <c r="AI1331" t="s">
        <v>95</v>
      </c>
      <c r="AK1331">
        <v>0</v>
      </c>
      <c r="AM1331">
        <v>0</v>
      </c>
      <c r="AP1331" t="s">
        <v>392</v>
      </c>
    </row>
    <row r="1332" spans="1:42" customFormat="1">
      <c r="A1332">
        <v>268273</v>
      </c>
      <c r="B1332" t="s">
        <v>847</v>
      </c>
      <c r="C1332" t="s">
        <v>848</v>
      </c>
      <c r="D1332" s="22">
        <v>0</v>
      </c>
      <c r="E1332" s="17">
        <v>42128</v>
      </c>
      <c r="F1332" s="18">
        <v>0.64792824074074074</v>
      </c>
      <c r="G1332" s="22">
        <v>1051</v>
      </c>
      <c r="H1332">
        <v>0</v>
      </c>
      <c r="I1332" s="19" t="e">
        <f>I1331 + (D1332-G1332)</f>
        <v>#VALUE!</v>
      </c>
      <c r="M1332">
        <v>122550</v>
      </c>
      <c r="N1332">
        <v>7</v>
      </c>
      <c r="O1332" t="s">
        <v>44</v>
      </c>
      <c r="P1332">
        <v>1</v>
      </c>
      <c r="R1332">
        <v>1578</v>
      </c>
      <c r="S1332" s="17">
        <v>42130</v>
      </c>
      <c r="T1332" s="17">
        <v>42130</v>
      </c>
      <c r="W1332">
        <v>2015</v>
      </c>
      <c r="X1332">
        <v>7</v>
      </c>
      <c r="AC1332" t="s">
        <v>106</v>
      </c>
      <c r="AD1332" t="s">
        <v>302</v>
      </c>
      <c r="AE1332" t="s">
        <v>46</v>
      </c>
      <c r="AG1332">
        <v>12</v>
      </c>
      <c r="AH1332">
        <v>10</v>
      </c>
      <c r="AI1332" t="s">
        <v>95</v>
      </c>
      <c r="AK1332">
        <v>0</v>
      </c>
      <c r="AM1332">
        <v>0</v>
      </c>
      <c r="AP1332" t="s">
        <v>392</v>
      </c>
    </row>
    <row r="1333" spans="1:42" customFormat="1">
      <c r="A1333">
        <v>268274</v>
      </c>
      <c r="B1333" t="s">
        <v>849</v>
      </c>
      <c r="C1333" t="s">
        <v>850</v>
      </c>
      <c r="D1333" s="22">
        <v>0</v>
      </c>
      <c r="E1333" s="17">
        <v>42128</v>
      </c>
      <c r="F1333" s="18">
        <v>0.64792824074074074</v>
      </c>
      <c r="G1333" s="22">
        <v>1111</v>
      </c>
      <c r="H1333">
        <v>0</v>
      </c>
      <c r="I1333" s="19" t="e">
        <f>I1332 + (D1333-G1333)</f>
        <v>#VALUE!</v>
      </c>
      <c r="M1333">
        <v>122560</v>
      </c>
      <c r="N1333">
        <v>7</v>
      </c>
      <c r="O1333" t="s">
        <v>44</v>
      </c>
      <c r="P1333">
        <v>1</v>
      </c>
      <c r="R1333">
        <v>1578</v>
      </c>
      <c r="S1333" s="17">
        <v>42130</v>
      </c>
      <c r="T1333" s="17">
        <v>42130</v>
      </c>
      <c r="W1333">
        <v>2015</v>
      </c>
      <c r="X1333">
        <v>7</v>
      </c>
      <c r="AC1333" t="s">
        <v>106</v>
      </c>
      <c r="AD1333" t="s">
        <v>302</v>
      </c>
      <c r="AE1333" t="s">
        <v>46</v>
      </c>
      <c r="AG1333">
        <v>12</v>
      </c>
      <c r="AH1333">
        <v>10</v>
      </c>
      <c r="AI1333" t="s">
        <v>95</v>
      </c>
      <c r="AK1333">
        <v>0</v>
      </c>
      <c r="AM1333">
        <v>0</v>
      </c>
      <c r="AP1333" t="s">
        <v>392</v>
      </c>
    </row>
    <row r="1334" spans="1:42" customFormat="1">
      <c r="A1334">
        <v>268275</v>
      </c>
      <c r="B1334" t="s">
        <v>851</v>
      </c>
      <c r="C1334" t="s">
        <v>852</v>
      </c>
      <c r="D1334" s="22">
        <v>0</v>
      </c>
      <c r="E1334" s="17">
        <v>42128</v>
      </c>
      <c r="F1334" s="18">
        <v>0.64792824074074074</v>
      </c>
      <c r="G1334" s="22">
        <v>1375.05</v>
      </c>
      <c r="H1334">
        <v>0</v>
      </c>
      <c r="I1334" s="19" t="e">
        <f>I1333 + (D1334-G1334)</f>
        <v>#VALUE!</v>
      </c>
      <c r="M1334">
        <v>122570</v>
      </c>
      <c r="N1334">
        <v>7</v>
      </c>
      <c r="O1334" t="s">
        <v>44</v>
      </c>
      <c r="P1334">
        <v>1</v>
      </c>
      <c r="R1334">
        <v>1578</v>
      </c>
      <c r="S1334" s="17">
        <v>42130</v>
      </c>
      <c r="T1334" s="17">
        <v>42130</v>
      </c>
      <c r="W1334">
        <v>2015</v>
      </c>
      <c r="X1334">
        <v>7</v>
      </c>
      <c r="AC1334" t="s">
        <v>106</v>
      </c>
      <c r="AD1334" t="s">
        <v>302</v>
      </c>
      <c r="AE1334" t="s">
        <v>46</v>
      </c>
      <c r="AG1334">
        <v>12</v>
      </c>
      <c r="AH1334">
        <v>10</v>
      </c>
      <c r="AI1334" t="s">
        <v>95</v>
      </c>
      <c r="AK1334">
        <v>0</v>
      </c>
      <c r="AM1334">
        <v>0</v>
      </c>
      <c r="AP1334" t="s">
        <v>392</v>
      </c>
    </row>
    <row r="1335" spans="1:42" customFormat="1">
      <c r="A1335">
        <v>268269</v>
      </c>
      <c r="B1335" t="s">
        <v>853</v>
      </c>
      <c r="C1335" t="s">
        <v>854</v>
      </c>
      <c r="D1335" s="22">
        <v>0</v>
      </c>
      <c r="E1335" s="17">
        <v>42128</v>
      </c>
      <c r="F1335" s="18">
        <v>0.64792824074074074</v>
      </c>
      <c r="G1335" s="22">
        <v>1473</v>
      </c>
      <c r="H1335">
        <v>0</v>
      </c>
      <c r="I1335" s="19" t="e">
        <f>I1334 + (D1335-G1335)</f>
        <v>#VALUE!</v>
      </c>
      <c r="M1335">
        <v>122490</v>
      </c>
      <c r="N1335">
        <v>7</v>
      </c>
      <c r="O1335" t="s">
        <v>44</v>
      </c>
      <c r="P1335">
        <v>1</v>
      </c>
      <c r="R1335">
        <v>1578</v>
      </c>
      <c r="S1335" s="17">
        <v>42130</v>
      </c>
      <c r="T1335" s="17">
        <v>42130</v>
      </c>
      <c r="W1335">
        <v>2015</v>
      </c>
      <c r="X1335">
        <v>7</v>
      </c>
      <c r="AC1335" t="s">
        <v>106</v>
      </c>
      <c r="AD1335" t="s">
        <v>302</v>
      </c>
      <c r="AE1335" t="s">
        <v>46</v>
      </c>
      <c r="AG1335">
        <v>12</v>
      </c>
      <c r="AH1335">
        <v>10</v>
      </c>
      <c r="AI1335" t="s">
        <v>95</v>
      </c>
      <c r="AK1335">
        <v>0</v>
      </c>
      <c r="AM1335">
        <v>0</v>
      </c>
      <c r="AP1335" t="s">
        <v>392</v>
      </c>
    </row>
    <row r="1336" spans="1:42" customFormat="1">
      <c r="A1336">
        <v>268276</v>
      </c>
      <c r="B1336" t="s">
        <v>859</v>
      </c>
      <c r="C1336" t="s">
        <v>860</v>
      </c>
      <c r="D1336" s="22">
        <v>0</v>
      </c>
      <c r="E1336" s="17">
        <v>42128</v>
      </c>
      <c r="F1336" s="18">
        <v>0.64855324074074072</v>
      </c>
      <c r="G1336" s="22">
        <v>1473</v>
      </c>
      <c r="H1336">
        <v>0</v>
      </c>
      <c r="I1336" s="19" t="e">
        <f>I1335 + (D1336-G1336)</f>
        <v>#VALUE!</v>
      </c>
      <c r="M1336">
        <v>122531</v>
      </c>
      <c r="N1336">
        <v>7</v>
      </c>
      <c r="O1336" t="s">
        <v>44</v>
      </c>
      <c r="P1336">
        <v>1</v>
      </c>
      <c r="R1336">
        <v>1578</v>
      </c>
      <c r="S1336" s="17">
        <v>42130</v>
      </c>
      <c r="T1336" s="17">
        <v>42130</v>
      </c>
      <c r="W1336">
        <v>2015</v>
      </c>
      <c r="X1336">
        <v>7</v>
      </c>
      <c r="AC1336" t="s">
        <v>106</v>
      </c>
      <c r="AD1336" t="s">
        <v>302</v>
      </c>
      <c r="AE1336" t="s">
        <v>46</v>
      </c>
      <c r="AG1336">
        <v>12</v>
      </c>
      <c r="AH1336">
        <v>10</v>
      </c>
      <c r="AI1336" t="s">
        <v>95</v>
      </c>
      <c r="AK1336">
        <v>0</v>
      </c>
      <c r="AM1336">
        <v>0</v>
      </c>
      <c r="AP1336" t="s">
        <v>392</v>
      </c>
    </row>
    <row r="1337" spans="1:42" customFormat="1">
      <c r="A1337">
        <v>268277</v>
      </c>
      <c r="B1337" t="s">
        <v>861</v>
      </c>
      <c r="C1337" t="s">
        <v>862</v>
      </c>
      <c r="D1337" s="22">
        <v>0</v>
      </c>
      <c r="E1337" s="17">
        <v>42128</v>
      </c>
      <c r="F1337" s="18">
        <v>0.64855324074074072</v>
      </c>
      <c r="G1337" s="22">
        <v>1473</v>
      </c>
      <c r="H1337">
        <v>0</v>
      </c>
      <c r="I1337" s="19" t="e">
        <f>I1336 + (D1337-G1337)</f>
        <v>#VALUE!</v>
      </c>
      <c r="M1337">
        <v>122541</v>
      </c>
      <c r="N1337">
        <v>7</v>
      </c>
      <c r="O1337" t="s">
        <v>44</v>
      </c>
      <c r="P1337">
        <v>1</v>
      </c>
      <c r="R1337">
        <v>1578</v>
      </c>
      <c r="S1337" s="17">
        <v>42130</v>
      </c>
      <c r="T1337" s="17">
        <v>42130</v>
      </c>
      <c r="W1337">
        <v>2015</v>
      </c>
      <c r="X1337">
        <v>7</v>
      </c>
      <c r="AC1337" t="s">
        <v>106</v>
      </c>
      <c r="AD1337" t="s">
        <v>302</v>
      </c>
      <c r="AE1337" t="s">
        <v>46</v>
      </c>
      <c r="AG1337">
        <v>12</v>
      </c>
      <c r="AH1337">
        <v>10</v>
      </c>
      <c r="AI1337" t="s">
        <v>95</v>
      </c>
      <c r="AK1337">
        <v>0</v>
      </c>
      <c r="AM1337">
        <v>0</v>
      </c>
      <c r="AP1337" t="s">
        <v>392</v>
      </c>
    </row>
    <row r="1338" spans="1:42" customFormat="1">
      <c r="A1338">
        <v>268280</v>
      </c>
      <c r="B1338" t="s">
        <v>863</v>
      </c>
      <c r="C1338" t="s">
        <v>864</v>
      </c>
      <c r="D1338" s="22">
        <v>0</v>
      </c>
      <c r="E1338" s="17">
        <v>42128</v>
      </c>
      <c r="F1338" s="18">
        <v>0.64855324074074072</v>
      </c>
      <c r="G1338" s="22">
        <v>1473</v>
      </c>
      <c r="H1338">
        <v>0</v>
      </c>
      <c r="I1338" s="19" t="e">
        <f>I1337 + (D1338-G1338)</f>
        <v>#VALUE!</v>
      </c>
      <c r="M1338">
        <v>122532</v>
      </c>
      <c r="N1338">
        <v>7</v>
      </c>
      <c r="O1338" t="s">
        <v>44</v>
      </c>
      <c r="P1338">
        <v>1</v>
      </c>
      <c r="R1338">
        <v>1578</v>
      </c>
      <c r="S1338" s="17">
        <v>42130</v>
      </c>
      <c r="T1338" s="17">
        <v>42130</v>
      </c>
      <c r="W1338">
        <v>2015</v>
      </c>
      <c r="X1338">
        <v>7</v>
      </c>
      <c r="AC1338" t="s">
        <v>106</v>
      </c>
      <c r="AD1338" t="s">
        <v>302</v>
      </c>
      <c r="AE1338" t="s">
        <v>46</v>
      </c>
      <c r="AG1338">
        <v>12</v>
      </c>
      <c r="AH1338">
        <v>10</v>
      </c>
      <c r="AI1338" t="s">
        <v>95</v>
      </c>
      <c r="AK1338">
        <v>0</v>
      </c>
      <c r="AM1338">
        <v>0</v>
      </c>
      <c r="AP1338" t="s">
        <v>392</v>
      </c>
    </row>
    <row r="1339" spans="1:42" customFormat="1">
      <c r="A1339">
        <v>268281</v>
      </c>
      <c r="B1339" t="s">
        <v>873</v>
      </c>
      <c r="C1339" t="s">
        <v>874</v>
      </c>
      <c r="D1339" s="22">
        <v>0</v>
      </c>
      <c r="E1339" s="17">
        <v>42128</v>
      </c>
      <c r="F1339" s="18">
        <v>0.64856481481481476</v>
      </c>
      <c r="G1339" s="22">
        <v>1473</v>
      </c>
      <c r="H1339">
        <v>0</v>
      </c>
      <c r="I1339" s="19" t="e">
        <f>I1338 + (D1339-G1339)</f>
        <v>#VALUE!</v>
      </c>
      <c r="M1339">
        <v>122542</v>
      </c>
      <c r="N1339">
        <v>7</v>
      </c>
      <c r="O1339" t="s">
        <v>44</v>
      </c>
      <c r="P1339">
        <v>1</v>
      </c>
      <c r="R1339">
        <v>1578</v>
      </c>
      <c r="S1339" s="17">
        <v>42130</v>
      </c>
      <c r="T1339" s="17">
        <v>42130</v>
      </c>
      <c r="W1339">
        <v>2015</v>
      </c>
      <c r="X1339">
        <v>7</v>
      </c>
      <c r="AC1339" t="s">
        <v>106</v>
      </c>
      <c r="AD1339" t="s">
        <v>302</v>
      </c>
      <c r="AE1339" t="s">
        <v>46</v>
      </c>
      <c r="AG1339">
        <v>12</v>
      </c>
      <c r="AH1339">
        <v>10</v>
      </c>
      <c r="AI1339" t="s">
        <v>95</v>
      </c>
      <c r="AK1339">
        <v>0</v>
      </c>
      <c r="AM1339">
        <v>0</v>
      </c>
      <c r="AP1339" t="s">
        <v>392</v>
      </c>
    </row>
    <row r="1340" spans="1:42" customFormat="1">
      <c r="A1340">
        <v>268284</v>
      </c>
      <c r="B1340" t="s">
        <v>875</v>
      </c>
      <c r="C1340" t="s">
        <v>876</v>
      </c>
      <c r="D1340" s="22">
        <v>0</v>
      </c>
      <c r="E1340" s="17">
        <v>42128</v>
      </c>
      <c r="F1340" s="18">
        <v>0.64856481481481476</v>
      </c>
      <c r="G1340" s="22">
        <v>1473</v>
      </c>
      <c r="H1340">
        <v>0</v>
      </c>
      <c r="I1340" s="19" t="e">
        <f>I1339 + (D1340-G1340)</f>
        <v>#VALUE!</v>
      </c>
      <c r="M1340">
        <v>122533</v>
      </c>
      <c r="N1340">
        <v>7</v>
      </c>
      <c r="O1340" t="s">
        <v>44</v>
      </c>
      <c r="P1340">
        <v>1</v>
      </c>
      <c r="R1340">
        <v>1578</v>
      </c>
      <c r="S1340" s="17">
        <v>42130</v>
      </c>
      <c r="T1340" s="17">
        <v>42130</v>
      </c>
      <c r="W1340">
        <v>2015</v>
      </c>
      <c r="X1340">
        <v>7</v>
      </c>
      <c r="AC1340" t="s">
        <v>106</v>
      </c>
      <c r="AD1340" t="s">
        <v>302</v>
      </c>
      <c r="AE1340" t="s">
        <v>46</v>
      </c>
      <c r="AG1340">
        <v>12</v>
      </c>
      <c r="AH1340">
        <v>10</v>
      </c>
      <c r="AI1340" t="s">
        <v>95</v>
      </c>
      <c r="AK1340">
        <v>0</v>
      </c>
      <c r="AM1340">
        <v>0</v>
      </c>
      <c r="AP1340" t="s">
        <v>392</v>
      </c>
    </row>
    <row r="1341" spans="1:42" customFormat="1">
      <c r="A1341">
        <v>268287</v>
      </c>
      <c r="B1341" t="s">
        <v>877</v>
      </c>
      <c r="C1341" t="s">
        <v>878</v>
      </c>
      <c r="D1341" s="22">
        <v>0</v>
      </c>
      <c r="E1341" s="17">
        <v>42128</v>
      </c>
      <c r="F1341" s="18">
        <v>0.64856481481481476</v>
      </c>
      <c r="G1341" s="22">
        <v>1473</v>
      </c>
      <c r="H1341">
        <v>0</v>
      </c>
      <c r="I1341" s="19" t="e">
        <f>I1340 + (D1341-G1341)</f>
        <v>#VALUE!</v>
      </c>
      <c r="M1341">
        <v>122534</v>
      </c>
      <c r="N1341">
        <v>7</v>
      </c>
      <c r="O1341" t="s">
        <v>44</v>
      </c>
      <c r="P1341">
        <v>1</v>
      </c>
      <c r="R1341">
        <v>1578</v>
      </c>
      <c r="S1341" s="17">
        <v>42130</v>
      </c>
      <c r="T1341" s="17">
        <v>42130</v>
      </c>
      <c r="W1341">
        <v>2015</v>
      </c>
      <c r="X1341">
        <v>7</v>
      </c>
      <c r="AC1341" t="s">
        <v>106</v>
      </c>
      <c r="AD1341" t="s">
        <v>302</v>
      </c>
      <c r="AE1341" t="s">
        <v>46</v>
      </c>
      <c r="AG1341">
        <v>12</v>
      </c>
      <c r="AH1341">
        <v>10</v>
      </c>
      <c r="AI1341" t="s">
        <v>95</v>
      </c>
      <c r="AK1341">
        <v>0</v>
      </c>
      <c r="AM1341">
        <v>0</v>
      </c>
      <c r="AP1341" t="s">
        <v>392</v>
      </c>
    </row>
    <row r="1342" spans="1:42" customFormat="1">
      <c r="A1342">
        <v>268288</v>
      </c>
      <c r="B1342" t="s">
        <v>879</v>
      </c>
      <c r="C1342" t="s">
        <v>880</v>
      </c>
      <c r="D1342" s="22">
        <v>0</v>
      </c>
      <c r="E1342" s="17">
        <v>42128</v>
      </c>
      <c r="F1342" s="18">
        <v>0.64856481481481476</v>
      </c>
      <c r="G1342" s="22">
        <v>1473</v>
      </c>
      <c r="H1342">
        <v>0</v>
      </c>
      <c r="I1342" s="19" t="e">
        <f>I1341 + (D1342-G1342)</f>
        <v>#VALUE!</v>
      </c>
      <c r="M1342">
        <v>122535</v>
      </c>
      <c r="N1342">
        <v>7</v>
      </c>
      <c r="O1342" t="s">
        <v>44</v>
      </c>
      <c r="P1342">
        <v>1</v>
      </c>
      <c r="R1342">
        <v>1578</v>
      </c>
      <c r="S1342" s="17">
        <v>42130</v>
      </c>
      <c r="T1342" s="17">
        <v>42130</v>
      </c>
      <c r="W1342">
        <v>2015</v>
      </c>
      <c r="X1342">
        <v>7</v>
      </c>
      <c r="AC1342" t="s">
        <v>106</v>
      </c>
      <c r="AD1342" t="s">
        <v>302</v>
      </c>
      <c r="AE1342" t="s">
        <v>46</v>
      </c>
      <c r="AG1342">
        <v>12</v>
      </c>
      <c r="AH1342">
        <v>10</v>
      </c>
      <c r="AI1342" t="s">
        <v>95</v>
      </c>
      <c r="AK1342">
        <v>0</v>
      </c>
      <c r="AM1342">
        <v>0</v>
      </c>
      <c r="AP1342" t="s">
        <v>392</v>
      </c>
    </row>
    <row r="1343" spans="1:42" customFormat="1">
      <c r="A1343">
        <v>268289</v>
      </c>
      <c r="B1343" t="s">
        <v>881</v>
      </c>
      <c r="C1343" t="s">
        <v>882</v>
      </c>
      <c r="D1343" s="22">
        <v>0</v>
      </c>
      <c r="E1343" s="17">
        <v>42128</v>
      </c>
      <c r="F1343" s="18">
        <v>0.64856481481481476</v>
      </c>
      <c r="G1343" s="22">
        <v>1473</v>
      </c>
      <c r="H1343">
        <v>0</v>
      </c>
      <c r="I1343" s="19" t="e">
        <f>I1342 + (D1343-G1343)</f>
        <v>#VALUE!</v>
      </c>
      <c r="M1343">
        <v>122536</v>
      </c>
      <c r="N1343">
        <v>7</v>
      </c>
      <c r="O1343" t="s">
        <v>44</v>
      </c>
      <c r="P1343">
        <v>1</v>
      </c>
      <c r="R1343">
        <v>1578</v>
      </c>
      <c r="S1343" s="17">
        <v>42130</v>
      </c>
      <c r="T1343" s="17">
        <v>42130</v>
      </c>
      <c r="W1343">
        <v>2015</v>
      </c>
      <c r="X1343">
        <v>7</v>
      </c>
      <c r="AC1343" t="s">
        <v>106</v>
      </c>
      <c r="AD1343" t="s">
        <v>302</v>
      </c>
      <c r="AE1343" t="s">
        <v>46</v>
      </c>
      <c r="AG1343">
        <v>12</v>
      </c>
      <c r="AH1343">
        <v>10</v>
      </c>
      <c r="AI1343" t="s">
        <v>95</v>
      </c>
      <c r="AK1343">
        <v>0</v>
      </c>
      <c r="AM1343">
        <v>0</v>
      </c>
      <c r="AP1343" t="s">
        <v>392</v>
      </c>
    </row>
    <row r="1344" spans="1:42" customFormat="1">
      <c r="A1344">
        <v>268290</v>
      </c>
      <c r="B1344" t="s">
        <v>883</v>
      </c>
      <c r="C1344" t="s">
        <v>884</v>
      </c>
      <c r="D1344" s="22">
        <v>0</v>
      </c>
      <c r="E1344" s="17">
        <v>42128</v>
      </c>
      <c r="F1344" s="18">
        <v>0.64856481481481476</v>
      </c>
      <c r="G1344" s="22">
        <v>1473</v>
      </c>
      <c r="H1344">
        <v>0</v>
      </c>
      <c r="I1344" s="19" t="e">
        <f>I1343 + (D1344-G1344)</f>
        <v>#VALUE!</v>
      </c>
      <c r="M1344">
        <v>122537</v>
      </c>
      <c r="N1344">
        <v>7</v>
      </c>
      <c r="O1344" t="s">
        <v>44</v>
      </c>
      <c r="P1344">
        <v>1</v>
      </c>
      <c r="R1344">
        <v>1578</v>
      </c>
      <c r="S1344" s="17">
        <v>42130</v>
      </c>
      <c r="T1344" s="17">
        <v>42130</v>
      </c>
      <c r="W1344">
        <v>2015</v>
      </c>
      <c r="X1344">
        <v>7</v>
      </c>
      <c r="AC1344" t="s">
        <v>106</v>
      </c>
      <c r="AD1344" t="s">
        <v>302</v>
      </c>
      <c r="AE1344" t="s">
        <v>46</v>
      </c>
      <c r="AG1344">
        <v>12</v>
      </c>
      <c r="AH1344">
        <v>10</v>
      </c>
      <c r="AI1344" t="s">
        <v>95</v>
      </c>
      <c r="AK1344">
        <v>0</v>
      </c>
      <c r="AM1344">
        <v>0</v>
      </c>
      <c r="AP1344" t="s">
        <v>392</v>
      </c>
    </row>
    <row r="1345" spans="1:42" customFormat="1">
      <c r="A1345">
        <v>268295</v>
      </c>
      <c r="B1345" t="s">
        <v>885</v>
      </c>
      <c r="C1345" t="s">
        <v>886</v>
      </c>
      <c r="D1345" s="22">
        <v>0</v>
      </c>
      <c r="E1345" s="17">
        <v>42128</v>
      </c>
      <c r="F1345" s="18">
        <v>0.64857638888888891</v>
      </c>
      <c r="G1345" s="22">
        <v>1473</v>
      </c>
      <c r="H1345">
        <v>0</v>
      </c>
      <c r="I1345" s="19" t="e">
        <f>I1344 + (D1345-G1345)</f>
        <v>#VALUE!</v>
      </c>
      <c r="M1345">
        <v>122530</v>
      </c>
      <c r="N1345">
        <v>7</v>
      </c>
      <c r="O1345" t="s">
        <v>44</v>
      </c>
      <c r="P1345">
        <v>1</v>
      </c>
      <c r="R1345">
        <v>1578</v>
      </c>
      <c r="S1345" s="17">
        <v>42130</v>
      </c>
      <c r="T1345" s="17">
        <v>42130</v>
      </c>
      <c r="W1345">
        <v>2015</v>
      </c>
      <c r="X1345">
        <v>7</v>
      </c>
      <c r="AC1345" t="s">
        <v>106</v>
      </c>
      <c r="AD1345" t="s">
        <v>302</v>
      </c>
      <c r="AE1345" t="s">
        <v>46</v>
      </c>
      <c r="AG1345">
        <v>12</v>
      </c>
      <c r="AH1345">
        <v>10</v>
      </c>
      <c r="AI1345" t="s">
        <v>95</v>
      </c>
      <c r="AK1345">
        <v>0</v>
      </c>
      <c r="AM1345">
        <v>0</v>
      </c>
      <c r="AP1345" t="s">
        <v>392</v>
      </c>
    </row>
    <row r="1346" spans="1:42" customFormat="1">
      <c r="A1346">
        <v>268296</v>
      </c>
      <c r="B1346" t="s">
        <v>887</v>
      </c>
      <c r="C1346" t="s">
        <v>888</v>
      </c>
      <c r="D1346" s="22">
        <v>0</v>
      </c>
      <c r="E1346" s="17">
        <v>42128</v>
      </c>
      <c r="F1346" s="18">
        <v>0.64857638888888891</v>
      </c>
      <c r="G1346" s="22">
        <v>1473</v>
      </c>
      <c r="H1346">
        <v>0</v>
      </c>
      <c r="I1346" s="19" t="e">
        <f>I1345 + (D1346-G1346)</f>
        <v>#VALUE!</v>
      </c>
      <c r="M1346">
        <v>122540</v>
      </c>
      <c r="N1346">
        <v>7</v>
      </c>
      <c r="O1346" t="s">
        <v>44</v>
      </c>
      <c r="P1346">
        <v>1</v>
      </c>
      <c r="R1346">
        <v>1578</v>
      </c>
      <c r="S1346" s="17">
        <v>42130</v>
      </c>
      <c r="T1346" s="17">
        <v>42130</v>
      </c>
      <c r="W1346">
        <v>2015</v>
      </c>
      <c r="X1346">
        <v>7</v>
      </c>
      <c r="AC1346" t="s">
        <v>106</v>
      </c>
      <c r="AD1346" t="s">
        <v>302</v>
      </c>
      <c r="AE1346" t="s">
        <v>46</v>
      </c>
      <c r="AG1346">
        <v>12</v>
      </c>
      <c r="AH1346">
        <v>10</v>
      </c>
      <c r="AI1346" t="s">
        <v>95</v>
      </c>
      <c r="AK1346">
        <v>0</v>
      </c>
      <c r="AM1346">
        <v>0</v>
      </c>
      <c r="AP1346" t="s">
        <v>392</v>
      </c>
    </row>
    <row r="1347" spans="1:42" customFormat="1">
      <c r="A1347">
        <v>268291</v>
      </c>
      <c r="B1347" t="s">
        <v>889</v>
      </c>
      <c r="C1347" t="s">
        <v>890</v>
      </c>
      <c r="D1347" s="22">
        <v>0</v>
      </c>
      <c r="E1347" s="17">
        <v>42128</v>
      </c>
      <c r="F1347" s="18">
        <v>0.64857638888888891</v>
      </c>
      <c r="G1347" s="22">
        <v>1473</v>
      </c>
      <c r="H1347">
        <v>0</v>
      </c>
      <c r="I1347" s="19" t="e">
        <f>I1346 + (D1347-G1347)</f>
        <v>#VALUE!</v>
      </c>
      <c r="M1347">
        <v>122528</v>
      </c>
      <c r="N1347">
        <v>7</v>
      </c>
      <c r="O1347" t="s">
        <v>44</v>
      </c>
      <c r="P1347">
        <v>1</v>
      </c>
      <c r="R1347">
        <v>1578</v>
      </c>
      <c r="S1347" s="17">
        <v>42130</v>
      </c>
      <c r="T1347" s="17">
        <v>42130</v>
      </c>
      <c r="W1347">
        <v>2015</v>
      </c>
      <c r="X1347">
        <v>7</v>
      </c>
      <c r="AC1347" t="s">
        <v>106</v>
      </c>
      <c r="AD1347" t="s">
        <v>302</v>
      </c>
      <c r="AE1347" t="s">
        <v>46</v>
      </c>
      <c r="AG1347">
        <v>12</v>
      </c>
      <c r="AH1347">
        <v>10</v>
      </c>
      <c r="AI1347" t="s">
        <v>95</v>
      </c>
      <c r="AK1347">
        <v>0</v>
      </c>
      <c r="AM1347">
        <v>0</v>
      </c>
      <c r="AP1347" t="s">
        <v>392</v>
      </c>
    </row>
    <row r="1348" spans="1:42" customFormat="1">
      <c r="A1348">
        <v>268292</v>
      </c>
      <c r="B1348" t="s">
        <v>891</v>
      </c>
      <c r="C1348" t="s">
        <v>892</v>
      </c>
      <c r="D1348" s="22">
        <v>0</v>
      </c>
      <c r="E1348" s="17">
        <v>42128</v>
      </c>
      <c r="F1348" s="18">
        <v>0.64857638888888891</v>
      </c>
      <c r="G1348" s="22">
        <v>1473</v>
      </c>
      <c r="H1348">
        <v>0</v>
      </c>
      <c r="I1348" s="19" t="e">
        <f>I1347 + (D1348-G1348)</f>
        <v>#VALUE!</v>
      </c>
      <c r="M1348">
        <v>122538</v>
      </c>
      <c r="N1348">
        <v>7</v>
      </c>
      <c r="O1348" t="s">
        <v>44</v>
      </c>
      <c r="P1348">
        <v>1</v>
      </c>
      <c r="R1348">
        <v>1578</v>
      </c>
      <c r="S1348" s="17">
        <v>42130</v>
      </c>
      <c r="T1348" s="17">
        <v>42130</v>
      </c>
      <c r="W1348">
        <v>2015</v>
      </c>
      <c r="X1348">
        <v>7</v>
      </c>
      <c r="AC1348" t="s">
        <v>106</v>
      </c>
      <c r="AD1348" t="s">
        <v>302</v>
      </c>
      <c r="AE1348" t="s">
        <v>46</v>
      </c>
      <c r="AG1348">
        <v>12</v>
      </c>
      <c r="AH1348">
        <v>10</v>
      </c>
      <c r="AI1348" t="s">
        <v>95</v>
      </c>
      <c r="AK1348">
        <v>0</v>
      </c>
      <c r="AM1348">
        <v>0</v>
      </c>
      <c r="AP1348" t="s">
        <v>392</v>
      </c>
    </row>
    <row r="1349" spans="1:42" customFormat="1">
      <c r="A1349">
        <v>268293</v>
      </c>
      <c r="B1349" t="s">
        <v>893</v>
      </c>
      <c r="C1349" t="s">
        <v>894</v>
      </c>
      <c r="D1349" s="22">
        <v>0</v>
      </c>
      <c r="E1349" s="17">
        <v>42128</v>
      </c>
      <c r="F1349" s="18">
        <v>0.64857638888888891</v>
      </c>
      <c r="G1349" s="22">
        <v>1473</v>
      </c>
      <c r="H1349">
        <v>0</v>
      </c>
      <c r="I1349" s="19" t="e">
        <f>I1348 + (D1349-G1349)</f>
        <v>#VALUE!</v>
      </c>
      <c r="M1349">
        <v>122529</v>
      </c>
      <c r="N1349">
        <v>7</v>
      </c>
      <c r="O1349" t="s">
        <v>44</v>
      </c>
      <c r="P1349">
        <v>1</v>
      </c>
      <c r="R1349">
        <v>1578</v>
      </c>
      <c r="S1349" s="17">
        <v>42130</v>
      </c>
      <c r="T1349" s="17">
        <v>42130</v>
      </c>
      <c r="W1349">
        <v>2015</v>
      </c>
      <c r="X1349">
        <v>7</v>
      </c>
      <c r="AC1349" t="s">
        <v>106</v>
      </c>
      <c r="AD1349" t="s">
        <v>302</v>
      </c>
      <c r="AE1349" t="s">
        <v>46</v>
      </c>
      <c r="AG1349">
        <v>12</v>
      </c>
      <c r="AH1349">
        <v>10</v>
      </c>
      <c r="AI1349" t="s">
        <v>95</v>
      </c>
      <c r="AK1349">
        <v>0</v>
      </c>
      <c r="AM1349">
        <v>0</v>
      </c>
      <c r="AP1349" t="s">
        <v>392</v>
      </c>
    </row>
    <row r="1350" spans="1:42" customFormat="1">
      <c r="A1350">
        <v>268294</v>
      </c>
      <c r="B1350" t="s">
        <v>895</v>
      </c>
      <c r="C1350" t="s">
        <v>896</v>
      </c>
      <c r="D1350" s="22">
        <v>0</v>
      </c>
      <c r="E1350" s="17">
        <v>42128</v>
      </c>
      <c r="F1350" s="18">
        <v>0.64857638888888891</v>
      </c>
      <c r="G1350" s="22">
        <v>1473</v>
      </c>
      <c r="H1350">
        <v>0</v>
      </c>
      <c r="I1350" s="19" t="e">
        <f>I1349 + (D1350-G1350)</f>
        <v>#VALUE!</v>
      </c>
      <c r="M1350">
        <v>122539</v>
      </c>
      <c r="N1350">
        <v>7</v>
      </c>
      <c r="O1350" t="s">
        <v>44</v>
      </c>
      <c r="P1350">
        <v>1</v>
      </c>
      <c r="R1350">
        <v>1578</v>
      </c>
      <c r="S1350" s="17">
        <v>42130</v>
      </c>
      <c r="T1350" s="17">
        <v>42130</v>
      </c>
      <c r="W1350">
        <v>2015</v>
      </c>
      <c r="X1350">
        <v>7</v>
      </c>
      <c r="AC1350" t="s">
        <v>106</v>
      </c>
      <c r="AD1350" t="s">
        <v>302</v>
      </c>
      <c r="AE1350" t="s">
        <v>46</v>
      </c>
      <c r="AG1350">
        <v>12</v>
      </c>
      <c r="AH1350">
        <v>10</v>
      </c>
      <c r="AI1350" t="s">
        <v>95</v>
      </c>
      <c r="AK1350">
        <v>0</v>
      </c>
      <c r="AM1350">
        <v>0</v>
      </c>
      <c r="AP1350" t="s">
        <v>392</v>
      </c>
    </row>
    <row r="1351" spans="1:42" customFormat="1">
      <c r="A1351">
        <v>268312</v>
      </c>
      <c r="B1351" t="s">
        <v>1378</v>
      </c>
      <c r="C1351" t="s">
        <v>1379</v>
      </c>
      <c r="D1351" s="22">
        <v>0</v>
      </c>
      <c r="E1351" s="17">
        <v>42129</v>
      </c>
      <c r="F1351" s="18">
        <v>0.64924768518518516</v>
      </c>
      <c r="G1351" s="22">
        <v>1474.96</v>
      </c>
      <c r="H1351">
        <v>0</v>
      </c>
      <c r="I1351" s="19" t="e">
        <f>I1350 + (D1351-G1351)</f>
        <v>#VALUE!</v>
      </c>
      <c r="M1351">
        <v>122670</v>
      </c>
      <c r="N1351">
        <v>7</v>
      </c>
      <c r="O1351" t="s">
        <v>44</v>
      </c>
      <c r="P1351">
        <v>1</v>
      </c>
      <c r="R1351">
        <v>1578</v>
      </c>
      <c r="S1351" s="17">
        <v>42130</v>
      </c>
      <c r="T1351" s="17">
        <v>42130</v>
      </c>
      <c r="W1351">
        <v>2015</v>
      </c>
      <c r="X1351">
        <v>7</v>
      </c>
      <c r="AC1351" t="s">
        <v>106</v>
      </c>
      <c r="AD1351" t="s">
        <v>302</v>
      </c>
      <c r="AE1351" t="s">
        <v>46</v>
      </c>
      <c r="AG1351">
        <v>12</v>
      </c>
      <c r="AH1351">
        <v>10</v>
      </c>
      <c r="AI1351" t="s">
        <v>95</v>
      </c>
      <c r="AK1351">
        <v>0</v>
      </c>
      <c r="AM1351">
        <v>0</v>
      </c>
      <c r="AP1351" t="s">
        <v>392</v>
      </c>
    </row>
    <row r="1352" spans="1:42" customFormat="1">
      <c r="A1352">
        <v>268308</v>
      </c>
      <c r="B1352" t="s">
        <v>1380</v>
      </c>
      <c r="C1352" t="s">
        <v>1381</v>
      </c>
      <c r="D1352" s="22">
        <v>0</v>
      </c>
      <c r="E1352" s="17">
        <v>42129</v>
      </c>
      <c r="F1352" s="18">
        <v>0.64924768518518516</v>
      </c>
      <c r="G1352" s="22">
        <v>1474.96</v>
      </c>
      <c r="H1352">
        <v>0</v>
      </c>
      <c r="I1352" s="19" t="e">
        <f>I1351 + (D1352-G1352)</f>
        <v>#VALUE!</v>
      </c>
      <c r="M1352">
        <v>122630</v>
      </c>
      <c r="N1352">
        <v>7</v>
      </c>
      <c r="O1352" t="s">
        <v>44</v>
      </c>
      <c r="P1352">
        <v>1</v>
      </c>
      <c r="R1352">
        <v>1578</v>
      </c>
      <c r="S1352" s="17">
        <v>42130</v>
      </c>
      <c r="T1352" s="17">
        <v>42130</v>
      </c>
      <c r="W1352">
        <v>2015</v>
      </c>
      <c r="X1352">
        <v>7</v>
      </c>
      <c r="AC1352" t="s">
        <v>106</v>
      </c>
      <c r="AD1352" t="s">
        <v>302</v>
      </c>
      <c r="AE1352" t="s">
        <v>46</v>
      </c>
      <c r="AG1352">
        <v>12</v>
      </c>
      <c r="AH1352">
        <v>10</v>
      </c>
      <c r="AI1352" t="s">
        <v>95</v>
      </c>
      <c r="AK1352">
        <v>0</v>
      </c>
      <c r="AM1352">
        <v>0</v>
      </c>
      <c r="AP1352" t="s">
        <v>392</v>
      </c>
    </row>
    <row r="1353" spans="1:42" customFormat="1">
      <c r="A1353">
        <v>268309</v>
      </c>
      <c r="B1353" t="s">
        <v>1382</v>
      </c>
      <c r="C1353" t="s">
        <v>1383</v>
      </c>
      <c r="D1353" s="22">
        <v>0</v>
      </c>
      <c r="E1353" s="17">
        <v>42129</v>
      </c>
      <c r="F1353" s="18">
        <v>0.64924768518518516</v>
      </c>
      <c r="G1353" s="22">
        <v>1474.96</v>
      </c>
      <c r="H1353">
        <v>0</v>
      </c>
      <c r="I1353" s="19" t="e">
        <f>I1352 + (D1353-G1353)</f>
        <v>#VALUE!</v>
      </c>
      <c r="M1353">
        <v>122640</v>
      </c>
      <c r="N1353">
        <v>7</v>
      </c>
      <c r="O1353" t="s">
        <v>44</v>
      </c>
      <c r="P1353">
        <v>1</v>
      </c>
      <c r="R1353">
        <v>1578</v>
      </c>
      <c r="S1353" s="17">
        <v>42130</v>
      </c>
      <c r="T1353" s="17">
        <v>42130</v>
      </c>
      <c r="W1353">
        <v>2015</v>
      </c>
      <c r="X1353">
        <v>7</v>
      </c>
      <c r="AC1353" t="s">
        <v>106</v>
      </c>
      <c r="AD1353" t="s">
        <v>302</v>
      </c>
      <c r="AE1353" t="s">
        <v>46</v>
      </c>
      <c r="AG1353">
        <v>12</v>
      </c>
      <c r="AH1353">
        <v>10</v>
      </c>
      <c r="AI1353" t="s">
        <v>95</v>
      </c>
      <c r="AK1353">
        <v>0</v>
      </c>
      <c r="AM1353">
        <v>0</v>
      </c>
      <c r="AP1353" t="s">
        <v>392</v>
      </c>
    </row>
    <row r="1354" spans="1:42" customFormat="1">
      <c r="A1354">
        <v>268310</v>
      </c>
      <c r="B1354" t="s">
        <v>1384</v>
      </c>
      <c r="C1354" t="s">
        <v>1385</v>
      </c>
      <c r="D1354" s="22">
        <v>0</v>
      </c>
      <c r="E1354" s="17">
        <v>42129</v>
      </c>
      <c r="F1354" s="18">
        <v>0.64924768518518516</v>
      </c>
      <c r="G1354" s="22">
        <v>1474.96</v>
      </c>
      <c r="H1354">
        <v>0</v>
      </c>
      <c r="I1354" s="19" t="e">
        <f>I1353 + (D1354-G1354)</f>
        <v>#VALUE!</v>
      </c>
      <c r="M1354">
        <v>122650</v>
      </c>
      <c r="N1354">
        <v>7</v>
      </c>
      <c r="O1354" t="s">
        <v>44</v>
      </c>
      <c r="P1354">
        <v>1</v>
      </c>
      <c r="R1354">
        <v>1578</v>
      </c>
      <c r="S1354" s="17">
        <v>42130</v>
      </c>
      <c r="T1354" s="17">
        <v>42130</v>
      </c>
      <c r="W1354">
        <v>2015</v>
      </c>
      <c r="X1354">
        <v>7</v>
      </c>
      <c r="AC1354" t="s">
        <v>106</v>
      </c>
      <c r="AD1354" t="s">
        <v>302</v>
      </c>
      <c r="AE1354" t="s">
        <v>46</v>
      </c>
      <c r="AG1354">
        <v>12</v>
      </c>
      <c r="AH1354">
        <v>10</v>
      </c>
      <c r="AI1354" t="s">
        <v>95</v>
      </c>
      <c r="AK1354">
        <v>0</v>
      </c>
      <c r="AM1354">
        <v>0</v>
      </c>
      <c r="AP1354" t="s">
        <v>392</v>
      </c>
    </row>
    <row r="1355" spans="1:42" customFormat="1">
      <c r="A1355">
        <v>268311</v>
      </c>
      <c r="B1355" t="s">
        <v>1386</v>
      </c>
      <c r="C1355" t="s">
        <v>1387</v>
      </c>
      <c r="D1355" s="22">
        <v>0</v>
      </c>
      <c r="E1355" s="17">
        <v>42129</v>
      </c>
      <c r="F1355" s="18">
        <v>0.64924768518518516</v>
      </c>
      <c r="G1355" s="22">
        <v>1474.96</v>
      </c>
      <c r="H1355">
        <v>0</v>
      </c>
      <c r="I1355" s="19" t="e">
        <f>I1354 + (D1355-G1355)</f>
        <v>#VALUE!</v>
      </c>
      <c r="M1355">
        <v>122660</v>
      </c>
      <c r="N1355">
        <v>7</v>
      </c>
      <c r="O1355" t="s">
        <v>44</v>
      </c>
      <c r="P1355">
        <v>1</v>
      </c>
      <c r="R1355">
        <v>1578</v>
      </c>
      <c r="S1355" s="17">
        <v>42130</v>
      </c>
      <c r="T1355" s="17">
        <v>42130</v>
      </c>
      <c r="W1355">
        <v>2015</v>
      </c>
      <c r="X1355">
        <v>7</v>
      </c>
      <c r="AC1355" t="s">
        <v>106</v>
      </c>
      <c r="AD1355" t="s">
        <v>302</v>
      </c>
      <c r="AE1355" t="s">
        <v>46</v>
      </c>
      <c r="AG1355">
        <v>12</v>
      </c>
      <c r="AH1355">
        <v>10</v>
      </c>
      <c r="AI1355" t="s">
        <v>95</v>
      </c>
      <c r="AK1355">
        <v>0</v>
      </c>
      <c r="AM1355">
        <v>0</v>
      </c>
      <c r="AP1355" t="s">
        <v>392</v>
      </c>
    </row>
    <row r="1356" spans="1:42" customFormat="1">
      <c r="A1356">
        <v>268306</v>
      </c>
      <c r="B1356" t="s">
        <v>1388</v>
      </c>
      <c r="C1356" t="s">
        <v>1389</v>
      </c>
      <c r="D1356" s="22">
        <v>0</v>
      </c>
      <c r="E1356" s="17">
        <v>42129</v>
      </c>
      <c r="F1356" s="18">
        <v>0.64924768518518516</v>
      </c>
      <c r="G1356" s="22">
        <v>1474.96</v>
      </c>
      <c r="H1356">
        <v>0</v>
      </c>
      <c r="I1356" s="19" t="e">
        <f>I1355 + (D1356-G1356)</f>
        <v>#VALUE!</v>
      </c>
      <c r="M1356">
        <v>122621</v>
      </c>
      <c r="N1356">
        <v>7</v>
      </c>
      <c r="O1356" t="s">
        <v>44</v>
      </c>
      <c r="P1356">
        <v>1</v>
      </c>
      <c r="R1356">
        <v>1578</v>
      </c>
      <c r="S1356" s="17">
        <v>42130</v>
      </c>
      <c r="T1356" s="17">
        <v>42130</v>
      </c>
      <c r="W1356">
        <v>2015</v>
      </c>
      <c r="X1356">
        <v>7</v>
      </c>
      <c r="AC1356" t="s">
        <v>106</v>
      </c>
      <c r="AD1356" t="s">
        <v>302</v>
      </c>
      <c r="AE1356" t="s">
        <v>46</v>
      </c>
      <c r="AG1356">
        <v>12</v>
      </c>
      <c r="AH1356">
        <v>10</v>
      </c>
      <c r="AI1356" t="s">
        <v>95</v>
      </c>
      <c r="AK1356">
        <v>0</v>
      </c>
      <c r="AM1356">
        <v>0</v>
      </c>
      <c r="AP1356" t="s">
        <v>392</v>
      </c>
    </row>
    <row r="1357" spans="1:42" customFormat="1">
      <c r="A1357">
        <v>268307</v>
      </c>
      <c r="B1357" t="s">
        <v>1390</v>
      </c>
      <c r="C1357" t="s">
        <v>1391</v>
      </c>
      <c r="D1357" s="22">
        <v>0</v>
      </c>
      <c r="E1357" s="17">
        <v>42129</v>
      </c>
      <c r="F1357" s="18">
        <v>0.64924768518518516</v>
      </c>
      <c r="G1357" s="22">
        <v>1474.96</v>
      </c>
      <c r="H1357">
        <v>0</v>
      </c>
      <c r="I1357" s="19" t="e">
        <f>I1356 + (D1357-G1357)</f>
        <v>#VALUE!</v>
      </c>
      <c r="M1357">
        <v>122622</v>
      </c>
      <c r="N1357">
        <v>7</v>
      </c>
      <c r="O1357" t="s">
        <v>44</v>
      </c>
      <c r="P1357">
        <v>1</v>
      </c>
      <c r="R1357">
        <v>1578</v>
      </c>
      <c r="S1357" s="17">
        <v>42130</v>
      </c>
      <c r="T1357" s="17">
        <v>42130</v>
      </c>
      <c r="W1357">
        <v>2015</v>
      </c>
      <c r="X1357">
        <v>7</v>
      </c>
      <c r="AC1357" t="s">
        <v>106</v>
      </c>
      <c r="AD1357" t="s">
        <v>302</v>
      </c>
      <c r="AE1357" t="s">
        <v>46</v>
      </c>
      <c r="AG1357">
        <v>12</v>
      </c>
      <c r="AH1357">
        <v>10</v>
      </c>
      <c r="AI1357" t="s">
        <v>95</v>
      </c>
      <c r="AK1357">
        <v>0</v>
      </c>
      <c r="AM1357">
        <v>0</v>
      </c>
      <c r="AP1357" t="s">
        <v>392</v>
      </c>
    </row>
    <row r="1358" spans="1:42" customFormat="1">
      <c r="A1358">
        <v>268315</v>
      </c>
      <c r="B1358" t="s">
        <v>1394</v>
      </c>
      <c r="C1358" t="s">
        <v>1395</v>
      </c>
      <c r="D1358" s="22">
        <v>0</v>
      </c>
      <c r="E1358" s="17">
        <v>42129</v>
      </c>
      <c r="F1358" s="18">
        <v>0.64925925925925931</v>
      </c>
      <c r="G1358" s="22">
        <v>1474.96</v>
      </c>
      <c r="H1358">
        <v>0</v>
      </c>
      <c r="I1358" s="19" t="e">
        <f>I1357 + (D1358-G1358)</f>
        <v>#VALUE!</v>
      </c>
      <c r="M1358">
        <v>122700</v>
      </c>
      <c r="N1358">
        <v>7</v>
      </c>
      <c r="O1358" t="s">
        <v>44</v>
      </c>
      <c r="P1358">
        <v>1</v>
      </c>
      <c r="R1358">
        <v>1578</v>
      </c>
      <c r="S1358" s="17">
        <v>42130</v>
      </c>
      <c r="T1358" s="17">
        <v>42130</v>
      </c>
      <c r="W1358">
        <v>2015</v>
      </c>
      <c r="X1358">
        <v>7</v>
      </c>
      <c r="AC1358" t="s">
        <v>106</v>
      </c>
      <c r="AD1358" t="s">
        <v>302</v>
      </c>
      <c r="AE1358" t="s">
        <v>46</v>
      </c>
      <c r="AG1358">
        <v>12</v>
      </c>
      <c r="AH1358">
        <v>10</v>
      </c>
      <c r="AI1358" t="s">
        <v>95</v>
      </c>
      <c r="AK1358">
        <v>0</v>
      </c>
      <c r="AM1358">
        <v>0</v>
      </c>
      <c r="AP1358" t="s">
        <v>392</v>
      </c>
    </row>
    <row r="1359" spans="1:42" customFormat="1">
      <c r="A1359">
        <v>268313</v>
      </c>
      <c r="B1359" t="s">
        <v>1396</v>
      </c>
      <c r="C1359" t="s">
        <v>1397</v>
      </c>
      <c r="D1359" s="22">
        <v>0</v>
      </c>
      <c r="E1359" s="17">
        <v>42129</v>
      </c>
      <c r="F1359" s="18">
        <v>0.64925925925925931</v>
      </c>
      <c r="G1359" s="22">
        <v>1474.96</v>
      </c>
      <c r="H1359">
        <v>0</v>
      </c>
      <c r="I1359" s="19" t="e">
        <f>I1358 + (D1359-G1359)</f>
        <v>#VALUE!</v>
      </c>
      <c r="M1359">
        <v>122680</v>
      </c>
      <c r="N1359">
        <v>7</v>
      </c>
      <c r="O1359" t="s">
        <v>44</v>
      </c>
      <c r="P1359">
        <v>1</v>
      </c>
      <c r="R1359">
        <v>1578</v>
      </c>
      <c r="S1359" s="17">
        <v>42130</v>
      </c>
      <c r="T1359" s="17">
        <v>42130</v>
      </c>
      <c r="W1359">
        <v>2015</v>
      </c>
      <c r="X1359">
        <v>7</v>
      </c>
      <c r="AC1359" t="s">
        <v>106</v>
      </c>
      <c r="AD1359" t="s">
        <v>302</v>
      </c>
      <c r="AE1359" t="s">
        <v>46</v>
      </c>
      <c r="AG1359">
        <v>12</v>
      </c>
      <c r="AH1359">
        <v>10</v>
      </c>
      <c r="AI1359" t="s">
        <v>95</v>
      </c>
      <c r="AK1359">
        <v>0</v>
      </c>
      <c r="AM1359">
        <v>0</v>
      </c>
      <c r="AP1359" t="s">
        <v>392</v>
      </c>
    </row>
    <row r="1360" spans="1:42" customFormat="1">
      <c r="A1360">
        <v>268314</v>
      </c>
      <c r="B1360" t="s">
        <v>1398</v>
      </c>
      <c r="C1360" t="s">
        <v>1399</v>
      </c>
      <c r="D1360" s="22">
        <v>0</v>
      </c>
      <c r="E1360" s="17">
        <v>42129</v>
      </c>
      <c r="F1360" s="18">
        <v>0.64925925925925931</v>
      </c>
      <c r="G1360" s="22">
        <v>1474.96</v>
      </c>
      <c r="H1360">
        <v>0</v>
      </c>
      <c r="I1360" s="19" t="e">
        <f>I1359 + (D1360-G1360)</f>
        <v>#VALUE!</v>
      </c>
      <c r="M1360">
        <v>122690</v>
      </c>
      <c r="N1360">
        <v>7</v>
      </c>
      <c r="O1360" t="s">
        <v>44</v>
      </c>
      <c r="P1360">
        <v>1</v>
      </c>
      <c r="R1360">
        <v>1578</v>
      </c>
      <c r="S1360" s="17">
        <v>42130</v>
      </c>
      <c r="T1360" s="17">
        <v>42130</v>
      </c>
      <c r="W1360">
        <v>2015</v>
      </c>
      <c r="X1360">
        <v>7</v>
      </c>
      <c r="AC1360" t="s">
        <v>106</v>
      </c>
      <c r="AD1360" t="s">
        <v>302</v>
      </c>
      <c r="AE1360" t="s">
        <v>46</v>
      </c>
      <c r="AG1360">
        <v>12</v>
      </c>
      <c r="AH1360">
        <v>10</v>
      </c>
      <c r="AI1360" t="s">
        <v>95</v>
      </c>
      <c r="AK1360">
        <v>0</v>
      </c>
      <c r="AM1360">
        <v>0</v>
      </c>
      <c r="AP1360" t="s">
        <v>392</v>
      </c>
    </row>
    <row r="1361" spans="1:42" customFormat="1">
      <c r="A1361">
        <v>268317</v>
      </c>
      <c r="B1361" t="s">
        <v>1400</v>
      </c>
      <c r="C1361" t="s">
        <v>1401</v>
      </c>
      <c r="D1361" s="22">
        <v>0</v>
      </c>
      <c r="E1361" s="17">
        <v>42129</v>
      </c>
      <c r="F1361" s="18">
        <v>0.64925925925925931</v>
      </c>
      <c r="G1361" s="22">
        <v>1474.96</v>
      </c>
      <c r="H1361">
        <v>0</v>
      </c>
      <c r="I1361" s="19" t="e">
        <f>I1360 + (D1361-G1361)</f>
        <v>#VALUE!</v>
      </c>
      <c r="M1361">
        <v>122631</v>
      </c>
      <c r="N1361">
        <v>7</v>
      </c>
      <c r="O1361" t="s">
        <v>44</v>
      </c>
      <c r="P1361">
        <v>1</v>
      </c>
      <c r="R1361">
        <v>1578</v>
      </c>
      <c r="S1361" s="17">
        <v>42130</v>
      </c>
      <c r="T1361" s="17">
        <v>42130</v>
      </c>
      <c r="W1361">
        <v>2015</v>
      </c>
      <c r="X1361">
        <v>7</v>
      </c>
      <c r="AC1361" t="s">
        <v>106</v>
      </c>
      <c r="AD1361" t="s">
        <v>302</v>
      </c>
      <c r="AE1361" t="s">
        <v>46</v>
      </c>
      <c r="AG1361">
        <v>12</v>
      </c>
      <c r="AH1361">
        <v>10</v>
      </c>
      <c r="AI1361" t="s">
        <v>95</v>
      </c>
      <c r="AK1361">
        <v>0</v>
      </c>
      <c r="AM1361">
        <v>0</v>
      </c>
      <c r="AP1361" t="s">
        <v>392</v>
      </c>
    </row>
    <row r="1362" spans="1:42" customFormat="1">
      <c r="A1362">
        <v>268318</v>
      </c>
      <c r="B1362" t="s">
        <v>1402</v>
      </c>
      <c r="C1362" t="s">
        <v>1403</v>
      </c>
      <c r="D1362" s="22">
        <v>0</v>
      </c>
      <c r="E1362" s="17">
        <v>42129</v>
      </c>
      <c r="F1362" s="18">
        <v>0.64925925925925931</v>
      </c>
      <c r="G1362" s="22">
        <v>1474.96</v>
      </c>
      <c r="H1362">
        <v>0</v>
      </c>
      <c r="I1362" s="19" t="e">
        <f>I1361 + (D1362-G1362)</f>
        <v>#VALUE!</v>
      </c>
      <c r="M1362">
        <v>122641</v>
      </c>
      <c r="N1362">
        <v>7</v>
      </c>
      <c r="O1362" t="s">
        <v>44</v>
      </c>
      <c r="P1362">
        <v>1</v>
      </c>
      <c r="R1362">
        <v>1578</v>
      </c>
      <c r="S1362" s="17">
        <v>42130</v>
      </c>
      <c r="T1362" s="17">
        <v>42130</v>
      </c>
      <c r="W1362">
        <v>2015</v>
      </c>
      <c r="X1362">
        <v>7</v>
      </c>
      <c r="AC1362" t="s">
        <v>106</v>
      </c>
      <c r="AD1362" t="s">
        <v>302</v>
      </c>
      <c r="AE1362" t="s">
        <v>46</v>
      </c>
      <c r="AG1362">
        <v>12</v>
      </c>
      <c r="AH1362">
        <v>10</v>
      </c>
      <c r="AI1362" t="s">
        <v>95</v>
      </c>
      <c r="AK1362">
        <v>0</v>
      </c>
      <c r="AM1362">
        <v>0</v>
      </c>
      <c r="AP1362" t="s">
        <v>392</v>
      </c>
    </row>
    <row r="1363" spans="1:42" customFormat="1">
      <c r="A1363">
        <v>268319</v>
      </c>
      <c r="B1363" t="s">
        <v>1404</v>
      </c>
      <c r="C1363" t="s">
        <v>1405</v>
      </c>
      <c r="D1363" s="22">
        <v>0</v>
      </c>
      <c r="E1363" s="17">
        <v>42129</v>
      </c>
      <c r="F1363" s="18">
        <v>0.64925925925925931</v>
      </c>
      <c r="G1363" s="22">
        <v>1474.96</v>
      </c>
      <c r="H1363">
        <v>0</v>
      </c>
      <c r="I1363" s="19" t="e">
        <f>I1362 + (D1363-G1363)</f>
        <v>#VALUE!</v>
      </c>
      <c r="M1363">
        <v>122651</v>
      </c>
      <c r="N1363">
        <v>7</v>
      </c>
      <c r="O1363" t="s">
        <v>44</v>
      </c>
      <c r="P1363">
        <v>1</v>
      </c>
      <c r="R1363">
        <v>1578</v>
      </c>
      <c r="S1363" s="17">
        <v>42130</v>
      </c>
      <c r="T1363" s="17">
        <v>42130</v>
      </c>
      <c r="W1363">
        <v>2015</v>
      </c>
      <c r="X1363">
        <v>7</v>
      </c>
      <c r="AC1363" t="s">
        <v>106</v>
      </c>
      <c r="AD1363" t="s">
        <v>302</v>
      </c>
      <c r="AE1363" t="s">
        <v>46</v>
      </c>
      <c r="AG1363">
        <v>12</v>
      </c>
      <c r="AH1363">
        <v>10</v>
      </c>
      <c r="AI1363" t="s">
        <v>95</v>
      </c>
      <c r="AK1363">
        <v>0</v>
      </c>
      <c r="AM1363">
        <v>0</v>
      </c>
      <c r="AP1363" t="s">
        <v>392</v>
      </c>
    </row>
    <row r="1364" spans="1:42" customFormat="1">
      <c r="A1364">
        <v>268320</v>
      </c>
      <c r="B1364" t="s">
        <v>1406</v>
      </c>
      <c r="C1364" t="s">
        <v>1407</v>
      </c>
      <c r="D1364" s="22">
        <v>0</v>
      </c>
      <c r="E1364" s="17">
        <v>42129</v>
      </c>
      <c r="F1364" s="18">
        <v>0.64925925925925931</v>
      </c>
      <c r="G1364" s="22">
        <v>1474.96</v>
      </c>
      <c r="H1364">
        <v>0</v>
      </c>
      <c r="I1364" s="19" t="e">
        <f>I1363 + (D1364-G1364)</f>
        <v>#VALUE!</v>
      </c>
      <c r="M1364">
        <v>122661</v>
      </c>
      <c r="N1364">
        <v>7</v>
      </c>
      <c r="O1364" t="s">
        <v>44</v>
      </c>
      <c r="P1364">
        <v>1</v>
      </c>
      <c r="R1364">
        <v>1578</v>
      </c>
      <c r="S1364" s="17">
        <v>42130</v>
      </c>
      <c r="T1364" s="17">
        <v>42130</v>
      </c>
      <c r="W1364">
        <v>2015</v>
      </c>
      <c r="X1364">
        <v>7</v>
      </c>
      <c r="AC1364" t="s">
        <v>106</v>
      </c>
      <c r="AD1364" t="s">
        <v>302</v>
      </c>
      <c r="AE1364" t="s">
        <v>46</v>
      </c>
      <c r="AG1364">
        <v>12</v>
      </c>
      <c r="AH1364">
        <v>10</v>
      </c>
      <c r="AI1364" t="s">
        <v>95</v>
      </c>
      <c r="AK1364">
        <v>0</v>
      </c>
      <c r="AM1364">
        <v>0</v>
      </c>
      <c r="AP1364" t="s">
        <v>392</v>
      </c>
    </row>
    <row r="1365" spans="1:42" customFormat="1">
      <c r="A1365">
        <v>268321</v>
      </c>
      <c r="B1365" t="s">
        <v>1408</v>
      </c>
      <c r="C1365" t="s">
        <v>1409</v>
      </c>
      <c r="D1365" s="22">
        <v>0</v>
      </c>
      <c r="E1365" s="17">
        <v>42129</v>
      </c>
      <c r="F1365" s="18">
        <v>0.64925925925925931</v>
      </c>
      <c r="G1365" s="22">
        <v>1474.96</v>
      </c>
      <c r="H1365">
        <v>0</v>
      </c>
      <c r="I1365" s="19" t="e">
        <f>I1364 + (D1365-G1365)</f>
        <v>#VALUE!</v>
      </c>
      <c r="M1365">
        <v>122671</v>
      </c>
      <c r="N1365">
        <v>7</v>
      </c>
      <c r="O1365" t="s">
        <v>44</v>
      </c>
      <c r="P1365">
        <v>1</v>
      </c>
      <c r="R1365">
        <v>1578</v>
      </c>
      <c r="S1365" s="17">
        <v>42130</v>
      </c>
      <c r="T1365" s="17">
        <v>42130</v>
      </c>
      <c r="W1365">
        <v>2015</v>
      </c>
      <c r="X1365">
        <v>7</v>
      </c>
      <c r="AC1365" t="s">
        <v>106</v>
      </c>
      <c r="AD1365" t="s">
        <v>302</v>
      </c>
      <c r="AE1365" t="s">
        <v>46</v>
      </c>
      <c r="AG1365">
        <v>12</v>
      </c>
      <c r="AH1365">
        <v>10</v>
      </c>
      <c r="AI1365" t="s">
        <v>95</v>
      </c>
      <c r="AK1365">
        <v>0</v>
      </c>
      <c r="AM1365">
        <v>0</v>
      </c>
      <c r="AP1365" t="s">
        <v>392</v>
      </c>
    </row>
    <row r="1366" spans="1:42" customFormat="1">
      <c r="A1366">
        <v>268322</v>
      </c>
      <c r="B1366" t="s">
        <v>1410</v>
      </c>
      <c r="C1366" t="s">
        <v>1411</v>
      </c>
      <c r="D1366" s="22">
        <v>0</v>
      </c>
      <c r="E1366" s="17">
        <v>42129</v>
      </c>
      <c r="F1366" s="18">
        <v>0.64925925925925931</v>
      </c>
      <c r="G1366" s="22">
        <v>1474.96</v>
      </c>
      <c r="H1366">
        <v>0</v>
      </c>
      <c r="I1366" s="19" t="e">
        <f>I1365 + (D1366-G1366)</f>
        <v>#VALUE!</v>
      </c>
      <c r="M1366">
        <v>122681</v>
      </c>
      <c r="N1366">
        <v>7</v>
      </c>
      <c r="O1366" t="s">
        <v>44</v>
      </c>
      <c r="P1366">
        <v>1</v>
      </c>
      <c r="R1366">
        <v>1578</v>
      </c>
      <c r="S1366" s="17">
        <v>42130</v>
      </c>
      <c r="T1366" s="17">
        <v>42130</v>
      </c>
      <c r="W1366">
        <v>2015</v>
      </c>
      <c r="X1366">
        <v>7</v>
      </c>
      <c r="AC1366" t="s">
        <v>106</v>
      </c>
      <c r="AD1366" t="s">
        <v>302</v>
      </c>
      <c r="AE1366" t="s">
        <v>46</v>
      </c>
      <c r="AG1366">
        <v>12</v>
      </c>
      <c r="AH1366">
        <v>10</v>
      </c>
      <c r="AI1366" t="s">
        <v>95</v>
      </c>
      <c r="AK1366">
        <v>0</v>
      </c>
      <c r="AM1366">
        <v>0</v>
      </c>
      <c r="AP1366" t="s">
        <v>392</v>
      </c>
    </row>
    <row r="1367" spans="1:42" customFormat="1">
      <c r="A1367">
        <v>268323</v>
      </c>
      <c r="B1367" t="s">
        <v>1412</v>
      </c>
      <c r="C1367" t="s">
        <v>1413</v>
      </c>
      <c r="D1367" s="22">
        <v>0</v>
      </c>
      <c r="E1367" s="17">
        <v>42129</v>
      </c>
      <c r="F1367" s="18">
        <v>0.64925925925925931</v>
      </c>
      <c r="G1367" s="22">
        <v>1474.96</v>
      </c>
      <c r="H1367">
        <v>0</v>
      </c>
      <c r="I1367" s="19" t="e">
        <f>I1366 + (D1367-G1367)</f>
        <v>#VALUE!</v>
      </c>
      <c r="M1367">
        <v>122691</v>
      </c>
      <c r="N1367">
        <v>7</v>
      </c>
      <c r="O1367" t="s">
        <v>44</v>
      </c>
      <c r="P1367">
        <v>1</v>
      </c>
      <c r="R1367">
        <v>1578</v>
      </c>
      <c r="S1367" s="17">
        <v>42130</v>
      </c>
      <c r="T1367" s="17">
        <v>42130</v>
      </c>
      <c r="W1367">
        <v>2015</v>
      </c>
      <c r="X1367">
        <v>7</v>
      </c>
      <c r="AC1367" t="s">
        <v>106</v>
      </c>
      <c r="AD1367" t="s">
        <v>302</v>
      </c>
      <c r="AE1367" t="s">
        <v>46</v>
      </c>
      <c r="AG1367">
        <v>12</v>
      </c>
      <c r="AH1367">
        <v>10</v>
      </c>
      <c r="AI1367" t="s">
        <v>95</v>
      </c>
      <c r="AK1367">
        <v>0</v>
      </c>
      <c r="AM1367">
        <v>0</v>
      </c>
      <c r="AP1367" t="s">
        <v>392</v>
      </c>
    </row>
    <row r="1368" spans="1:42" customFormat="1">
      <c r="A1368">
        <v>268324</v>
      </c>
      <c r="B1368" t="s">
        <v>1416</v>
      </c>
      <c r="C1368" t="s">
        <v>1417</v>
      </c>
      <c r="D1368" s="22">
        <v>0</v>
      </c>
      <c r="E1368" s="17">
        <v>42129</v>
      </c>
      <c r="F1368" s="18">
        <v>0.64927083333333335</v>
      </c>
      <c r="G1368" s="22">
        <v>1474.96</v>
      </c>
      <c r="H1368">
        <v>0</v>
      </c>
      <c r="I1368" s="19" t="e">
        <f>I1367 + (D1368-G1368)</f>
        <v>#VALUE!</v>
      </c>
      <c r="M1368">
        <v>122701</v>
      </c>
      <c r="N1368">
        <v>7</v>
      </c>
      <c r="O1368" t="s">
        <v>44</v>
      </c>
      <c r="P1368">
        <v>1</v>
      </c>
      <c r="R1368">
        <v>1578</v>
      </c>
      <c r="S1368" s="17">
        <v>42130</v>
      </c>
      <c r="T1368" s="17">
        <v>42130</v>
      </c>
      <c r="W1368">
        <v>2015</v>
      </c>
      <c r="X1368">
        <v>7</v>
      </c>
      <c r="AC1368" t="s">
        <v>106</v>
      </c>
      <c r="AD1368" t="s">
        <v>302</v>
      </c>
      <c r="AE1368" t="s">
        <v>46</v>
      </c>
      <c r="AG1368">
        <v>12</v>
      </c>
      <c r="AH1368">
        <v>10</v>
      </c>
      <c r="AI1368" t="s">
        <v>95</v>
      </c>
      <c r="AK1368">
        <v>0</v>
      </c>
      <c r="AM1368">
        <v>0</v>
      </c>
      <c r="AP1368" t="s">
        <v>392</v>
      </c>
    </row>
    <row r="1369" spans="1:42" customFormat="1">
      <c r="A1369">
        <v>268326</v>
      </c>
      <c r="B1369" t="s">
        <v>1418</v>
      </c>
      <c r="C1369" t="s">
        <v>1419</v>
      </c>
      <c r="D1369" s="22">
        <v>0</v>
      </c>
      <c r="E1369" s="17">
        <v>42129</v>
      </c>
      <c r="F1369" s="18">
        <v>0.64927083333333335</v>
      </c>
      <c r="G1369" s="22">
        <v>1474.96</v>
      </c>
      <c r="H1369">
        <v>0</v>
      </c>
      <c r="I1369" s="19" t="e">
        <f>I1368 + (D1369-G1369)</f>
        <v>#VALUE!</v>
      </c>
      <c r="M1369">
        <v>122632</v>
      </c>
      <c r="N1369">
        <v>7</v>
      </c>
      <c r="O1369" t="s">
        <v>44</v>
      </c>
      <c r="P1369">
        <v>1</v>
      </c>
      <c r="R1369">
        <v>1578</v>
      </c>
      <c r="S1369" s="17">
        <v>42130</v>
      </c>
      <c r="T1369" s="17">
        <v>42130</v>
      </c>
      <c r="W1369">
        <v>2015</v>
      </c>
      <c r="X1369">
        <v>7</v>
      </c>
      <c r="AC1369" t="s">
        <v>106</v>
      </c>
      <c r="AD1369" t="s">
        <v>302</v>
      </c>
      <c r="AE1369" t="s">
        <v>46</v>
      </c>
      <c r="AG1369">
        <v>12</v>
      </c>
      <c r="AH1369">
        <v>10</v>
      </c>
      <c r="AI1369" t="s">
        <v>95</v>
      </c>
      <c r="AK1369">
        <v>0</v>
      </c>
      <c r="AM1369">
        <v>0</v>
      </c>
      <c r="AP1369" t="s">
        <v>392</v>
      </c>
    </row>
    <row r="1370" spans="1:42" customFormat="1">
      <c r="A1370">
        <v>268327</v>
      </c>
      <c r="B1370" t="s">
        <v>1420</v>
      </c>
      <c r="C1370" t="s">
        <v>1421</v>
      </c>
      <c r="D1370" s="22">
        <v>0</v>
      </c>
      <c r="E1370" s="17">
        <v>42129</v>
      </c>
      <c r="F1370" s="18">
        <v>0.64927083333333335</v>
      </c>
      <c r="G1370" s="22">
        <v>1474.96</v>
      </c>
      <c r="H1370">
        <v>0</v>
      </c>
      <c r="I1370" s="19" t="e">
        <f>I1369 + (D1370-G1370)</f>
        <v>#VALUE!</v>
      </c>
      <c r="M1370">
        <v>122642</v>
      </c>
      <c r="N1370">
        <v>7</v>
      </c>
      <c r="O1370" t="s">
        <v>44</v>
      </c>
      <c r="P1370">
        <v>1</v>
      </c>
      <c r="R1370">
        <v>1578</v>
      </c>
      <c r="S1370" s="17">
        <v>42130</v>
      </c>
      <c r="T1370" s="17">
        <v>42130</v>
      </c>
      <c r="W1370">
        <v>2015</v>
      </c>
      <c r="X1370">
        <v>7</v>
      </c>
      <c r="AC1370" t="s">
        <v>106</v>
      </c>
      <c r="AD1370" t="s">
        <v>302</v>
      </c>
      <c r="AE1370" t="s">
        <v>46</v>
      </c>
      <c r="AG1370">
        <v>12</v>
      </c>
      <c r="AH1370">
        <v>10</v>
      </c>
      <c r="AI1370" t="s">
        <v>95</v>
      </c>
      <c r="AK1370">
        <v>0</v>
      </c>
      <c r="AM1370">
        <v>0</v>
      </c>
      <c r="AP1370" t="s">
        <v>392</v>
      </c>
    </row>
    <row r="1371" spans="1:42" customFormat="1">
      <c r="A1371">
        <v>268328</v>
      </c>
      <c r="B1371" t="s">
        <v>1422</v>
      </c>
      <c r="C1371" t="s">
        <v>1423</v>
      </c>
      <c r="D1371" s="22">
        <v>0</v>
      </c>
      <c r="E1371" s="17">
        <v>42129</v>
      </c>
      <c r="F1371" s="18">
        <v>0.64927083333333335</v>
      </c>
      <c r="G1371" s="22">
        <v>1474.96</v>
      </c>
      <c r="H1371">
        <v>0</v>
      </c>
      <c r="I1371" s="19" t="e">
        <f>I1370 + (D1371-G1371)</f>
        <v>#VALUE!</v>
      </c>
      <c r="M1371">
        <v>122652</v>
      </c>
      <c r="N1371">
        <v>7</v>
      </c>
      <c r="O1371" t="s">
        <v>44</v>
      </c>
      <c r="P1371">
        <v>1</v>
      </c>
      <c r="R1371">
        <v>1578</v>
      </c>
      <c r="S1371" s="17">
        <v>42130</v>
      </c>
      <c r="T1371" s="17">
        <v>42130</v>
      </c>
      <c r="W1371">
        <v>2015</v>
      </c>
      <c r="X1371">
        <v>7</v>
      </c>
      <c r="AC1371" t="s">
        <v>106</v>
      </c>
      <c r="AD1371" t="s">
        <v>302</v>
      </c>
      <c r="AE1371" t="s">
        <v>46</v>
      </c>
      <c r="AG1371">
        <v>12</v>
      </c>
      <c r="AH1371">
        <v>10</v>
      </c>
      <c r="AI1371" t="s">
        <v>95</v>
      </c>
      <c r="AK1371">
        <v>0</v>
      </c>
      <c r="AM1371">
        <v>0</v>
      </c>
      <c r="AP1371" t="s">
        <v>392</v>
      </c>
    </row>
    <row r="1372" spans="1:42" customFormat="1">
      <c r="A1372">
        <v>268329</v>
      </c>
      <c r="B1372" t="s">
        <v>1424</v>
      </c>
      <c r="C1372" t="s">
        <v>1425</v>
      </c>
      <c r="D1372" s="22">
        <v>0</v>
      </c>
      <c r="E1372" s="17">
        <v>42129</v>
      </c>
      <c r="F1372" s="18">
        <v>0.64927083333333335</v>
      </c>
      <c r="G1372" s="22">
        <v>1474.96</v>
      </c>
      <c r="H1372">
        <v>0</v>
      </c>
      <c r="I1372" s="19" t="e">
        <f>I1371 + (D1372-G1372)</f>
        <v>#VALUE!</v>
      </c>
      <c r="M1372">
        <v>122662</v>
      </c>
      <c r="N1372">
        <v>7</v>
      </c>
      <c r="O1372" t="s">
        <v>44</v>
      </c>
      <c r="P1372">
        <v>1</v>
      </c>
      <c r="R1372">
        <v>1578</v>
      </c>
      <c r="S1372" s="17">
        <v>42130</v>
      </c>
      <c r="T1372" s="17">
        <v>42130</v>
      </c>
      <c r="W1372">
        <v>2015</v>
      </c>
      <c r="X1372">
        <v>7</v>
      </c>
      <c r="AC1372" t="s">
        <v>106</v>
      </c>
      <c r="AD1372" t="s">
        <v>302</v>
      </c>
      <c r="AE1372" t="s">
        <v>46</v>
      </c>
      <c r="AG1372">
        <v>12</v>
      </c>
      <c r="AH1372">
        <v>10</v>
      </c>
      <c r="AI1372" t="s">
        <v>95</v>
      </c>
      <c r="AK1372">
        <v>0</v>
      </c>
      <c r="AM1372">
        <v>0</v>
      </c>
      <c r="AP1372" t="s">
        <v>392</v>
      </c>
    </row>
    <row r="1373" spans="1:42" customFormat="1">
      <c r="A1373">
        <v>268330</v>
      </c>
      <c r="B1373" t="s">
        <v>1426</v>
      </c>
      <c r="C1373" t="s">
        <v>1427</v>
      </c>
      <c r="D1373" s="22">
        <v>0</v>
      </c>
      <c r="E1373" s="17">
        <v>42129</v>
      </c>
      <c r="F1373" s="18">
        <v>0.64927083333333335</v>
      </c>
      <c r="G1373" s="22">
        <v>1474.96</v>
      </c>
      <c r="H1373">
        <v>0</v>
      </c>
      <c r="I1373" s="19" t="e">
        <f>I1372 + (D1373-G1373)</f>
        <v>#VALUE!</v>
      </c>
      <c r="M1373">
        <v>122672</v>
      </c>
      <c r="N1373">
        <v>7</v>
      </c>
      <c r="O1373" t="s">
        <v>44</v>
      </c>
      <c r="P1373">
        <v>1</v>
      </c>
      <c r="R1373">
        <v>1578</v>
      </c>
      <c r="S1373" s="17">
        <v>42130</v>
      </c>
      <c r="T1373" s="17">
        <v>42130</v>
      </c>
      <c r="W1373">
        <v>2015</v>
      </c>
      <c r="X1373">
        <v>7</v>
      </c>
      <c r="AC1373" t="s">
        <v>106</v>
      </c>
      <c r="AD1373" t="s">
        <v>302</v>
      </c>
      <c r="AE1373" t="s">
        <v>46</v>
      </c>
      <c r="AG1373">
        <v>12</v>
      </c>
      <c r="AH1373">
        <v>10</v>
      </c>
      <c r="AI1373" t="s">
        <v>95</v>
      </c>
      <c r="AK1373">
        <v>0</v>
      </c>
      <c r="AM1373">
        <v>0</v>
      </c>
      <c r="AP1373" t="s">
        <v>392</v>
      </c>
    </row>
    <row r="1374" spans="1:42" customFormat="1">
      <c r="A1374">
        <v>268333</v>
      </c>
      <c r="B1374" t="s">
        <v>1430</v>
      </c>
      <c r="C1374" t="s">
        <v>1431</v>
      </c>
      <c r="D1374" s="22">
        <v>0</v>
      </c>
      <c r="E1374" s="17">
        <v>42129</v>
      </c>
      <c r="F1374" s="18">
        <v>0.64928240740740739</v>
      </c>
      <c r="G1374" s="22">
        <v>1474.96</v>
      </c>
      <c r="H1374">
        <v>0</v>
      </c>
      <c r="I1374" s="19" t="e">
        <f>I1373 + (D1374-G1374)</f>
        <v>#VALUE!</v>
      </c>
      <c r="M1374">
        <v>122702</v>
      </c>
      <c r="N1374">
        <v>7</v>
      </c>
      <c r="O1374" t="s">
        <v>44</v>
      </c>
      <c r="P1374">
        <v>1</v>
      </c>
      <c r="R1374">
        <v>1578</v>
      </c>
      <c r="S1374" s="17">
        <v>42130</v>
      </c>
      <c r="T1374" s="17">
        <v>42130</v>
      </c>
      <c r="W1374">
        <v>2015</v>
      </c>
      <c r="X1374">
        <v>7</v>
      </c>
      <c r="AC1374" t="s">
        <v>106</v>
      </c>
      <c r="AD1374" t="s">
        <v>302</v>
      </c>
      <c r="AE1374" t="s">
        <v>46</v>
      </c>
      <c r="AG1374">
        <v>12</v>
      </c>
      <c r="AH1374">
        <v>10</v>
      </c>
      <c r="AI1374" t="s">
        <v>95</v>
      </c>
      <c r="AK1374">
        <v>0</v>
      </c>
      <c r="AM1374">
        <v>0</v>
      </c>
      <c r="AP1374" t="s">
        <v>392</v>
      </c>
    </row>
    <row r="1375" spans="1:42" customFormat="1">
      <c r="A1375">
        <v>268331</v>
      </c>
      <c r="B1375" t="s">
        <v>1432</v>
      </c>
      <c r="C1375" t="s">
        <v>1433</v>
      </c>
      <c r="D1375" s="22">
        <v>0</v>
      </c>
      <c r="E1375" s="17">
        <v>42129</v>
      </c>
      <c r="F1375" s="18">
        <v>0.64928240740740739</v>
      </c>
      <c r="G1375" s="22">
        <v>1474.96</v>
      </c>
      <c r="H1375">
        <v>0</v>
      </c>
      <c r="I1375" s="19" t="e">
        <f>I1374 + (D1375-G1375)</f>
        <v>#VALUE!</v>
      </c>
      <c r="M1375">
        <v>122682</v>
      </c>
      <c r="N1375">
        <v>7</v>
      </c>
      <c r="O1375" t="s">
        <v>44</v>
      </c>
      <c r="P1375">
        <v>1</v>
      </c>
      <c r="R1375">
        <v>1578</v>
      </c>
      <c r="S1375" s="17">
        <v>42130</v>
      </c>
      <c r="T1375" s="17">
        <v>42130</v>
      </c>
      <c r="W1375">
        <v>2015</v>
      </c>
      <c r="X1375">
        <v>7</v>
      </c>
      <c r="AC1375" t="s">
        <v>106</v>
      </c>
      <c r="AD1375" t="s">
        <v>302</v>
      </c>
      <c r="AE1375" t="s">
        <v>46</v>
      </c>
      <c r="AG1375">
        <v>12</v>
      </c>
      <c r="AH1375">
        <v>10</v>
      </c>
      <c r="AI1375" t="s">
        <v>95</v>
      </c>
      <c r="AK1375">
        <v>0</v>
      </c>
      <c r="AM1375">
        <v>0</v>
      </c>
      <c r="AP1375" t="s">
        <v>392</v>
      </c>
    </row>
    <row r="1376" spans="1:42" customFormat="1">
      <c r="A1376">
        <v>268332</v>
      </c>
      <c r="B1376" t="s">
        <v>1434</v>
      </c>
      <c r="C1376" t="s">
        <v>1435</v>
      </c>
      <c r="D1376" s="22">
        <v>0</v>
      </c>
      <c r="E1376" s="17">
        <v>42129</v>
      </c>
      <c r="F1376" s="18">
        <v>0.64928240740740739</v>
      </c>
      <c r="G1376" s="22">
        <v>1474.96</v>
      </c>
      <c r="H1376">
        <v>0</v>
      </c>
      <c r="I1376" s="19" t="e">
        <f>I1375 + (D1376-G1376)</f>
        <v>#VALUE!</v>
      </c>
      <c r="M1376">
        <v>122692</v>
      </c>
      <c r="N1376">
        <v>7</v>
      </c>
      <c r="O1376" t="s">
        <v>44</v>
      </c>
      <c r="P1376">
        <v>1</v>
      </c>
      <c r="R1376">
        <v>1578</v>
      </c>
      <c r="S1376" s="17">
        <v>42130</v>
      </c>
      <c r="T1376" s="17">
        <v>42130</v>
      </c>
      <c r="W1376">
        <v>2015</v>
      </c>
      <c r="X1376">
        <v>7</v>
      </c>
      <c r="AC1376" t="s">
        <v>106</v>
      </c>
      <c r="AD1376" t="s">
        <v>302</v>
      </c>
      <c r="AE1376" t="s">
        <v>46</v>
      </c>
      <c r="AG1376">
        <v>12</v>
      </c>
      <c r="AH1376">
        <v>10</v>
      </c>
      <c r="AI1376" t="s">
        <v>95</v>
      </c>
      <c r="AK1376">
        <v>0</v>
      </c>
      <c r="AM1376">
        <v>0</v>
      </c>
      <c r="AP1376" t="s">
        <v>392</v>
      </c>
    </row>
    <row r="1377" spans="1:42" customFormat="1">
      <c r="A1377">
        <v>268335</v>
      </c>
      <c r="B1377" t="s">
        <v>1436</v>
      </c>
      <c r="C1377" t="s">
        <v>1437</v>
      </c>
      <c r="D1377" s="22">
        <v>0</v>
      </c>
      <c r="E1377" s="17">
        <v>42129</v>
      </c>
      <c r="F1377" s="18">
        <v>0.64928240740740739</v>
      </c>
      <c r="G1377" s="22">
        <v>1474.96</v>
      </c>
      <c r="H1377">
        <v>0</v>
      </c>
      <c r="I1377" s="19" t="e">
        <f>I1376 + (D1377-G1377)</f>
        <v>#VALUE!</v>
      </c>
      <c r="M1377">
        <v>122623</v>
      </c>
      <c r="N1377">
        <v>7</v>
      </c>
      <c r="O1377" t="s">
        <v>44</v>
      </c>
      <c r="P1377">
        <v>1</v>
      </c>
      <c r="R1377">
        <v>1578</v>
      </c>
      <c r="S1377" s="17">
        <v>42130</v>
      </c>
      <c r="T1377" s="17">
        <v>42130</v>
      </c>
      <c r="W1377">
        <v>2015</v>
      </c>
      <c r="X1377">
        <v>7</v>
      </c>
      <c r="AC1377" t="s">
        <v>106</v>
      </c>
      <c r="AD1377" t="s">
        <v>302</v>
      </c>
      <c r="AE1377" t="s">
        <v>46</v>
      </c>
      <c r="AG1377">
        <v>12</v>
      </c>
      <c r="AH1377">
        <v>10</v>
      </c>
      <c r="AI1377" t="s">
        <v>95</v>
      </c>
      <c r="AK1377">
        <v>0</v>
      </c>
      <c r="AM1377">
        <v>0</v>
      </c>
      <c r="AP1377" t="s">
        <v>392</v>
      </c>
    </row>
    <row r="1378" spans="1:42" customFormat="1">
      <c r="A1378">
        <v>268336</v>
      </c>
      <c r="B1378" t="s">
        <v>1438</v>
      </c>
      <c r="C1378" t="s">
        <v>1439</v>
      </c>
      <c r="D1378" s="22">
        <v>0</v>
      </c>
      <c r="E1378" s="17">
        <v>42129</v>
      </c>
      <c r="F1378" s="18">
        <v>0.64928240740740739</v>
      </c>
      <c r="G1378" s="22">
        <v>1474.96</v>
      </c>
      <c r="H1378">
        <v>0</v>
      </c>
      <c r="I1378" s="19" t="e">
        <f>I1377 + (D1378-G1378)</f>
        <v>#VALUE!</v>
      </c>
      <c r="M1378">
        <v>122633</v>
      </c>
      <c r="N1378">
        <v>7</v>
      </c>
      <c r="O1378" t="s">
        <v>44</v>
      </c>
      <c r="P1378">
        <v>1</v>
      </c>
      <c r="R1378">
        <v>1578</v>
      </c>
      <c r="S1378" s="17">
        <v>42130</v>
      </c>
      <c r="T1378" s="17">
        <v>42130</v>
      </c>
      <c r="W1378">
        <v>2015</v>
      </c>
      <c r="X1378">
        <v>7</v>
      </c>
      <c r="AC1378" t="s">
        <v>106</v>
      </c>
      <c r="AD1378" t="s">
        <v>302</v>
      </c>
      <c r="AE1378" t="s">
        <v>46</v>
      </c>
      <c r="AG1378">
        <v>12</v>
      </c>
      <c r="AH1378">
        <v>10</v>
      </c>
      <c r="AI1378" t="s">
        <v>95</v>
      </c>
      <c r="AK1378">
        <v>0</v>
      </c>
      <c r="AM1378">
        <v>0</v>
      </c>
      <c r="AP1378" t="s">
        <v>392</v>
      </c>
    </row>
    <row r="1379" spans="1:42" customFormat="1">
      <c r="A1379">
        <v>268337</v>
      </c>
      <c r="B1379" t="s">
        <v>1440</v>
      </c>
      <c r="C1379" t="s">
        <v>1441</v>
      </c>
      <c r="D1379" s="22">
        <v>0</v>
      </c>
      <c r="E1379" s="17">
        <v>42129</v>
      </c>
      <c r="F1379" s="18">
        <v>0.64928240740740739</v>
      </c>
      <c r="G1379" s="22">
        <v>1474.96</v>
      </c>
      <c r="H1379">
        <v>0</v>
      </c>
      <c r="I1379" s="19" t="e">
        <f>I1378 + (D1379-G1379)</f>
        <v>#VALUE!</v>
      </c>
      <c r="M1379">
        <v>122643</v>
      </c>
      <c r="N1379">
        <v>7</v>
      </c>
      <c r="O1379" t="s">
        <v>44</v>
      </c>
      <c r="P1379">
        <v>1</v>
      </c>
      <c r="R1379">
        <v>1578</v>
      </c>
      <c r="S1379" s="17">
        <v>42130</v>
      </c>
      <c r="T1379" s="17">
        <v>42130</v>
      </c>
      <c r="W1379">
        <v>2015</v>
      </c>
      <c r="X1379">
        <v>7</v>
      </c>
      <c r="AC1379" t="s">
        <v>106</v>
      </c>
      <c r="AD1379" t="s">
        <v>302</v>
      </c>
      <c r="AE1379" t="s">
        <v>46</v>
      </c>
      <c r="AG1379">
        <v>12</v>
      </c>
      <c r="AH1379">
        <v>10</v>
      </c>
      <c r="AI1379" t="s">
        <v>95</v>
      </c>
      <c r="AK1379">
        <v>0</v>
      </c>
      <c r="AM1379">
        <v>0</v>
      </c>
      <c r="AP1379" t="s">
        <v>392</v>
      </c>
    </row>
    <row r="1380" spans="1:42" customFormat="1">
      <c r="A1380">
        <v>268338</v>
      </c>
      <c r="B1380" t="s">
        <v>1442</v>
      </c>
      <c r="C1380" t="s">
        <v>1443</v>
      </c>
      <c r="D1380" s="22">
        <v>0</v>
      </c>
      <c r="E1380" s="17">
        <v>42129</v>
      </c>
      <c r="F1380" s="18">
        <v>0.64928240740740739</v>
      </c>
      <c r="G1380" s="22">
        <v>1474.96</v>
      </c>
      <c r="H1380">
        <v>0</v>
      </c>
      <c r="I1380" s="19" t="e">
        <f>I1379 + (D1380-G1380)</f>
        <v>#VALUE!</v>
      </c>
      <c r="M1380">
        <v>122653</v>
      </c>
      <c r="N1380">
        <v>7</v>
      </c>
      <c r="O1380" t="s">
        <v>44</v>
      </c>
      <c r="P1380">
        <v>1</v>
      </c>
      <c r="R1380">
        <v>1578</v>
      </c>
      <c r="S1380" s="17">
        <v>42130</v>
      </c>
      <c r="T1380" s="17">
        <v>42130</v>
      </c>
      <c r="W1380">
        <v>2015</v>
      </c>
      <c r="X1380">
        <v>7</v>
      </c>
      <c r="AC1380" t="s">
        <v>106</v>
      </c>
      <c r="AD1380" t="s">
        <v>302</v>
      </c>
      <c r="AE1380" t="s">
        <v>46</v>
      </c>
      <c r="AG1380">
        <v>12</v>
      </c>
      <c r="AH1380">
        <v>10</v>
      </c>
      <c r="AI1380" t="s">
        <v>95</v>
      </c>
      <c r="AK1380">
        <v>0</v>
      </c>
      <c r="AM1380">
        <v>0</v>
      </c>
      <c r="AP1380" t="s">
        <v>392</v>
      </c>
    </row>
    <row r="1381" spans="1:42" customFormat="1">
      <c r="A1381">
        <v>268339</v>
      </c>
      <c r="B1381" t="s">
        <v>1444</v>
      </c>
      <c r="C1381" t="s">
        <v>1445</v>
      </c>
      <c r="D1381" s="22">
        <v>0</v>
      </c>
      <c r="E1381" s="17">
        <v>42129</v>
      </c>
      <c r="F1381" s="18">
        <v>0.64928240740740739</v>
      </c>
      <c r="G1381" s="22">
        <v>1474.96</v>
      </c>
      <c r="H1381">
        <v>0</v>
      </c>
      <c r="I1381" s="19" t="e">
        <f>I1380 + (D1381-G1381)</f>
        <v>#VALUE!</v>
      </c>
      <c r="M1381">
        <v>122663</v>
      </c>
      <c r="N1381">
        <v>7</v>
      </c>
      <c r="O1381" t="s">
        <v>44</v>
      </c>
      <c r="P1381">
        <v>1</v>
      </c>
      <c r="R1381">
        <v>1578</v>
      </c>
      <c r="S1381" s="17">
        <v>42130</v>
      </c>
      <c r="T1381" s="17">
        <v>42130</v>
      </c>
      <c r="W1381">
        <v>2015</v>
      </c>
      <c r="X1381">
        <v>7</v>
      </c>
      <c r="AC1381" t="s">
        <v>106</v>
      </c>
      <c r="AD1381" t="s">
        <v>302</v>
      </c>
      <c r="AE1381" t="s">
        <v>46</v>
      </c>
      <c r="AG1381">
        <v>12</v>
      </c>
      <c r="AH1381">
        <v>10</v>
      </c>
      <c r="AI1381" t="s">
        <v>95</v>
      </c>
      <c r="AK1381">
        <v>0</v>
      </c>
      <c r="AM1381">
        <v>0</v>
      </c>
      <c r="AP1381" t="s">
        <v>392</v>
      </c>
    </row>
    <row r="1382" spans="1:42" customFormat="1">
      <c r="A1382">
        <v>268340</v>
      </c>
      <c r="B1382" t="s">
        <v>1446</v>
      </c>
      <c r="C1382" t="s">
        <v>1447</v>
      </c>
      <c r="D1382" s="22">
        <v>0</v>
      </c>
      <c r="E1382" s="17">
        <v>42129</v>
      </c>
      <c r="F1382" s="18">
        <v>0.64928240740740739</v>
      </c>
      <c r="G1382" s="22">
        <v>1474.96</v>
      </c>
      <c r="H1382">
        <v>0</v>
      </c>
      <c r="I1382" s="19" t="e">
        <f>I1381 + (D1382-G1382)</f>
        <v>#VALUE!</v>
      </c>
      <c r="M1382">
        <v>122673</v>
      </c>
      <c r="N1382">
        <v>7</v>
      </c>
      <c r="O1382" t="s">
        <v>44</v>
      </c>
      <c r="P1382">
        <v>1</v>
      </c>
      <c r="R1382">
        <v>1578</v>
      </c>
      <c r="S1382" s="17">
        <v>42130</v>
      </c>
      <c r="T1382" s="17">
        <v>42130</v>
      </c>
      <c r="W1382">
        <v>2015</v>
      </c>
      <c r="X1382">
        <v>7</v>
      </c>
      <c r="AC1382" t="s">
        <v>106</v>
      </c>
      <c r="AD1382" t="s">
        <v>302</v>
      </c>
      <c r="AE1382" t="s">
        <v>46</v>
      </c>
      <c r="AG1382">
        <v>12</v>
      </c>
      <c r="AH1382">
        <v>10</v>
      </c>
      <c r="AI1382" t="s">
        <v>95</v>
      </c>
      <c r="AK1382">
        <v>0</v>
      </c>
      <c r="AM1382">
        <v>0</v>
      </c>
      <c r="AP1382" t="s">
        <v>392</v>
      </c>
    </row>
    <row r="1383" spans="1:42" customFormat="1">
      <c r="A1383">
        <v>268341</v>
      </c>
      <c r="B1383" t="s">
        <v>1448</v>
      </c>
      <c r="C1383" t="s">
        <v>1449</v>
      </c>
      <c r="D1383" s="22">
        <v>0</v>
      </c>
      <c r="E1383" s="17">
        <v>42129</v>
      </c>
      <c r="F1383" s="18">
        <v>0.64928240740740739</v>
      </c>
      <c r="G1383" s="22">
        <v>1474.96</v>
      </c>
      <c r="H1383">
        <v>0</v>
      </c>
      <c r="I1383" s="19" t="e">
        <f>I1382 + (D1383-G1383)</f>
        <v>#VALUE!</v>
      </c>
      <c r="M1383">
        <v>122683</v>
      </c>
      <c r="N1383">
        <v>7</v>
      </c>
      <c r="O1383" t="s">
        <v>44</v>
      </c>
      <c r="P1383">
        <v>1</v>
      </c>
      <c r="R1383">
        <v>1578</v>
      </c>
      <c r="S1383" s="17">
        <v>42130</v>
      </c>
      <c r="T1383" s="17">
        <v>42130</v>
      </c>
      <c r="W1383">
        <v>2015</v>
      </c>
      <c r="X1383">
        <v>7</v>
      </c>
      <c r="AC1383" t="s">
        <v>106</v>
      </c>
      <c r="AD1383" t="s">
        <v>302</v>
      </c>
      <c r="AE1383" t="s">
        <v>46</v>
      </c>
      <c r="AG1383">
        <v>12</v>
      </c>
      <c r="AH1383">
        <v>10</v>
      </c>
      <c r="AI1383" t="s">
        <v>95</v>
      </c>
      <c r="AK1383">
        <v>0</v>
      </c>
      <c r="AM1383">
        <v>0</v>
      </c>
      <c r="AP1383" t="s">
        <v>392</v>
      </c>
    </row>
    <row r="1384" spans="1:42" customFormat="1">
      <c r="A1384">
        <v>268343</v>
      </c>
      <c r="B1384" t="s">
        <v>1452</v>
      </c>
      <c r="C1384" t="s">
        <v>1453</v>
      </c>
      <c r="D1384" s="22">
        <v>0</v>
      </c>
      <c r="E1384" s="17">
        <v>42129</v>
      </c>
      <c r="F1384" s="18">
        <v>0.64929398148148143</v>
      </c>
      <c r="G1384" s="22">
        <v>1474.96</v>
      </c>
      <c r="H1384">
        <v>0</v>
      </c>
      <c r="I1384" s="19" t="e">
        <f>I1383 + (D1384-G1384)</f>
        <v>#VALUE!</v>
      </c>
      <c r="M1384">
        <v>122703</v>
      </c>
      <c r="N1384">
        <v>7</v>
      </c>
      <c r="O1384" t="s">
        <v>44</v>
      </c>
      <c r="P1384">
        <v>1</v>
      </c>
      <c r="R1384">
        <v>1578</v>
      </c>
      <c r="S1384" s="17">
        <v>42130</v>
      </c>
      <c r="T1384" s="17">
        <v>42130</v>
      </c>
      <c r="W1384">
        <v>2015</v>
      </c>
      <c r="X1384">
        <v>7</v>
      </c>
      <c r="AC1384" t="s">
        <v>106</v>
      </c>
      <c r="AD1384" t="s">
        <v>302</v>
      </c>
      <c r="AE1384" t="s">
        <v>46</v>
      </c>
      <c r="AG1384">
        <v>12</v>
      </c>
      <c r="AH1384">
        <v>10</v>
      </c>
      <c r="AI1384" t="s">
        <v>95</v>
      </c>
      <c r="AK1384">
        <v>0</v>
      </c>
      <c r="AM1384">
        <v>0</v>
      </c>
      <c r="AP1384" t="s">
        <v>392</v>
      </c>
    </row>
    <row r="1385" spans="1:42" customFormat="1">
      <c r="A1385">
        <v>268342</v>
      </c>
      <c r="B1385" t="s">
        <v>1454</v>
      </c>
      <c r="C1385" t="s">
        <v>1455</v>
      </c>
      <c r="D1385" s="22">
        <v>0</v>
      </c>
      <c r="E1385" s="17">
        <v>42129</v>
      </c>
      <c r="F1385" s="18">
        <v>0.64929398148148143</v>
      </c>
      <c r="G1385" s="22">
        <v>1474.96</v>
      </c>
      <c r="H1385">
        <v>0</v>
      </c>
      <c r="I1385" s="19" t="e">
        <f>I1384 + (D1385-G1385)</f>
        <v>#VALUE!</v>
      </c>
      <c r="M1385">
        <v>122693</v>
      </c>
      <c r="N1385">
        <v>7</v>
      </c>
      <c r="O1385" t="s">
        <v>44</v>
      </c>
      <c r="P1385">
        <v>1</v>
      </c>
      <c r="R1385">
        <v>1578</v>
      </c>
      <c r="S1385" s="17">
        <v>42130</v>
      </c>
      <c r="T1385" s="17">
        <v>42130</v>
      </c>
      <c r="W1385">
        <v>2015</v>
      </c>
      <c r="X1385">
        <v>7</v>
      </c>
      <c r="AC1385" t="s">
        <v>106</v>
      </c>
      <c r="AD1385" t="s">
        <v>302</v>
      </c>
      <c r="AE1385" t="s">
        <v>46</v>
      </c>
      <c r="AG1385">
        <v>12</v>
      </c>
      <c r="AH1385">
        <v>10</v>
      </c>
      <c r="AI1385" t="s">
        <v>95</v>
      </c>
      <c r="AK1385">
        <v>0</v>
      </c>
      <c r="AM1385">
        <v>0</v>
      </c>
      <c r="AP1385" t="s">
        <v>392</v>
      </c>
    </row>
    <row r="1386" spans="1:42" customFormat="1">
      <c r="A1386">
        <v>268345</v>
      </c>
      <c r="B1386" t="s">
        <v>1456</v>
      </c>
      <c r="C1386" t="s">
        <v>1457</v>
      </c>
      <c r="D1386" s="22">
        <v>0</v>
      </c>
      <c r="E1386" s="17">
        <v>42129</v>
      </c>
      <c r="F1386" s="18">
        <v>0.64929398148148143</v>
      </c>
      <c r="G1386" s="22">
        <v>1474.96</v>
      </c>
      <c r="H1386">
        <v>0</v>
      </c>
      <c r="I1386" s="19" t="e">
        <f>I1385 + (D1386-G1386)</f>
        <v>#VALUE!</v>
      </c>
      <c r="M1386">
        <v>122624</v>
      </c>
      <c r="N1386">
        <v>7</v>
      </c>
      <c r="O1386" t="s">
        <v>44</v>
      </c>
      <c r="P1386">
        <v>1</v>
      </c>
      <c r="R1386">
        <v>1578</v>
      </c>
      <c r="S1386" s="17">
        <v>42130</v>
      </c>
      <c r="T1386" s="17">
        <v>42130</v>
      </c>
      <c r="W1386">
        <v>2015</v>
      </c>
      <c r="X1386">
        <v>7</v>
      </c>
      <c r="AC1386" t="s">
        <v>106</v>
      </c>
      <c r="AD1386" t="s">
        <v>302</v>
      </c>
      <c r="AE1386" t="s">
        <v>46</v>
      </c>
      <c r="AG1386">
        <v>12</v>
      </c>
      <c r="AH1386">
        <v>10</v>
      </c>
      <c r="AI1386" t="s">
        <v>95</v>
      </c>
      <c r="AK1386">
        <v>0</v>
      </c>
      <c r="AM1386">
        <v>0</v>
      </c>
      <c r="AP1386" t="s">
        <v>392</v>
      </c>
    </row>
    <row r="1387" spans="1:42" customFormat="1">
      <c r="A1387">
        <v>268346</v>
      </c>
      <c r="B1387" t="s">
        <v>1458</v>
      </c>
      <c r="C1387" t="s">
        <v>1459</v>
      </c>
      <c r="D1387" s="22">
        <v>0</v>
      </c>
      <c r="E1387" s="17">
        <v>42129</v>
      </c>
      <c r="F1387" s="18">
        <v>0.64929398148148143</v>
      </c>
      <c r="G1387" s="22">
        <v>1474.96</v>
      </c>
      <c r="H1387">
        <v>0</v>
      </c>
      <c r="I1387" s="19" t="e">
        <f>I1386 + (D1387-G1387)</f>
        <v>#VALUE!</v>
      </c>
      <c r="M1387">
        <v>122634</v>
      </c>
      <c r="N1387">
        <v>7</v>
      </c>
      <c r="O1387" t="s">
        <v>44</v>
      </c>
      <c r="P1387">
        <v>1</v>
      </c>
      <c r="R1387">
        <v>1578</v>
      </c>
      <c r="S1387" s="17">
        <v>42130</v>
      </c>
      <c r="T1387" s="17">
        <v>42130</v>
      </c>
      <c r="W1387">
        <v>2015</v>
      </c>
      <c r="X1387">
        <v>7</v>
      </c>
      <c r="AC1387" t="s">
        <v>106</v>
      </c>
      <c r="AD1387" t="s">
        <v>302</v>
      </c>
      <c r="AE1387" t="s">
        <v>46</v>
      </c>
      <c r="AG1387">
        <v>12</v>
      </c>
      <c r="AH1387">
        <v>10</v>
      </c>
      <c r="AI1387" t="s">
        <v>95</v>
      </c>
      <c r="AK1387">
        <v>0</v>
      </c>
      <c r="AM1387">
        <v>0</v>
      </c>
      <c r="AP1387" t="s">
        <v>392</v>
      </c>
    </row>
    <row r="1388" spans="1:42" customFormat="1">
      <c r="A1388">
        <v>268347</v>
      </c>
      <c r="B1388" t="s">
        <v>1460</v>
      </c>
      <c r="C1388" t="s">
        <v>1461</v>
      </c>
      <c r="D1388" s="22">
        <v>0</v>
      </c>
      <c r="E1388" s="17">
        <v>42129</v>
      </c>
      <c r="F1388" s="18">
        <v>0.64929398148148143</v>
      </c>
      <c r="G1388" s="22">
        <v>1474.96</v>
      </c>
      <c r="H1388">
        <v>0</v>
      </c>
      <c r="I1388" s="19" t="e">
        <f>I1387 + (D1388-G1388)</f>
        <v>#VALUE!</v>
      </c>
      <c r="M1388">
        <v>122644</v>
      </c>
      <c r="N1388">
        <v>7</v>
      </c>
      <c r="O1388" t="s">
        <v>44</v>
      </c>
      <c r="P1388">
        <v>1</v>
      </c>
      <c r="R1388">
        <v>1578</v>
      </c>
      <c r="S1388" s="17">
        <v>42130</v>
      </c>
      <c r="T1388" s="17">
        <v>42130</v>
      </c>
      <c r="W1388">
        <v>2015</v>
      </c>
      <c r="X1388">
        <v>7</v>
      </c>
      <c r="AC1388" t="s">
        <v>106</v>
      </c>
      <c r="AD1388" t="s">
        <v>302</v>
      </c>
      <c r="AE1388" t="s">
        <v>46</v>
      </c>
      <c r="AG1388">
        <v>12</v>
      </c>
      <c r="AH1388">
        <v>10</v>
      </c>
      <c r="AI1388" t="s">
        <v>95</v>
      </c>
      <c r="AK1388">
        <v>0</v>
      </c>
      <c r="AM1388">
        <v>0</v>
      </c>
      <c r="AP1388" t="s">
        <v>392</v>
      </c>
    </row>
    <row r="1389" spans="1:42" customFormat="1">
      <c r="A1389">
        <v>268348</v>
      </c>
      <c r="B1389" t="s">
        <v>1462</v>
      </c>
      <c r="C1389" t="s">
        <v>1463</v>
      </c>
      <c r="D1389" s="22">
        <v>0</v>
      </c>
      <c r="E1389" s="17">
        <v>42129</v>
      </c>
      <c r="F1389" s="18">
        <v>0.64929398148148143</v>
      </c>
      <c r="G1389" s="22">
        <v>1474.96</v>
      </c>
      <c r="H1389">
        <v>0</v>
      </c>
      <c r="I1389" s="19" t="e">
        <f>I1388 + (D1389-G1389)</f>
        <v>#VALUE!</v>
      </c>
      <c r="M1389">
        <v>122654</v>
      </c>
      <c r="N1389">
        <v>7</v>
      </c>
      <c r="O1389" t="s">
        <v>44</v>
      </c>
      <c r="P1389">
        <v>1</v>
      </c>
      <c r="R1389">
        <v>1578</v>
      </c>
      <c r="S1389" s="17">
        <v>42130</v>
      </c>
      <c r="T1389" s="17">
        <v>42130</v>
      </c>
      <c r="W1389">
        <v>2015</v>
      </c>
      <c r="X1389">
        <v>7</v>
      </c>
      <c r="AC1389" t="s">
        <v>106</v>
      </c>
      <c r="AD1389" t="s">
        <v>302</v>
      </c>
      <c r="AE1389" t="s">
        <v>46</v>
      </c>
      <c r="AG1389">
        <v>12</v>
      </c>
      <c r="AH1389">
        <v>10</v>
      </c>
      <c r="AI1389" t="s">
        <v>95</v>
      </c>
      <c r="AK1389">
        <v>0</v>
      </c>
      <c r="AM1389">
        <v>0</v>
      </c>
      <c r="AP1389" t="s">
        <v>392</v>
      </c>
    </row>
    <row r="1390" spans="1:42" customFormat="1">
      <c r="A1390">
        <v>268349</v>
      </c>
      <c r="B1390" t="s">
        <v>1464</v>
      </c>
      <c r="C1390" t="s">
        <v>1465</v>
      </c>
      <c r="D1390" s="22">
        <v>0</v>
      </c>
      <c r="E1390" s="17">
        <v>42129</v>
      </c>
      <c r="F1390" s="18">
        <v>0.64929398148148143</v>
      </c>
      <c r="G1390" s="22">
        <v>1474.96</v>
      </c>
      <c r="H1390">
        <v>0</v>
      </c>
      <c r="I1390" s="19" t="e">
        <f>I1389 + (D1390-G1390)</f>
        <v>#VALUE!</v>
      </c>
      <c r="M1390">
        <v>122664</v>
      </c>
      <c r="N1390">
        <v>7</v>
      </c>
      <c r="O1390" t="s">
        <v>44</v>
      </c>
      <c r="P1390">
        <v>1</v>
      </c>
      <c r="R1390">
        <v>1578</v>
      </c>
      <c r="S1390" s="17">
        <v>42130</v>
      </c>
      <c r="T1390" s="17">
        <v>42130</v>
      </c>
      <c r="W1390">
        <v>2015</v>
      </c>
      <c r="X1390">
        <v>7</v>
      </c>
      <c r="AC1390" t="s">
        <v>106</v>
      </c>
      <c r="AD1390" t="s">
        <v>302</v>
      </c>
      <c r="AE1390" t="s">
        <v>46</v>
      </c>
      <c r="AG1390">
        <v>12</v>
      </c>
      <c r="AH1390">
        <v>10</v>
      </c>
      <c r="AI1390" t="s">
        <v>95</v>
      </c>
      <c r="AK1390">
        <v>0</v>
      </c>
      <c r="AM1390">
        <v>0</v>
      </c>
      <c r="AP1390" t="s">
        <v>392</v>
      </c>
    </row>
    <row r="1391" spans="1:42" customFormat="1">
      <c r="A1391">
        <v>268350</v>
      </c>
      <c r="B1391" t="s">
        <v>1466</v>
      </c>
      <c r="C1391" t="s">
        <v>1467</v>
      </c>
      <c r="D1391" s="22">
        <v>0</v>
      </c>
      <c r="E1391" s="17">
        <v>42129</v>
      </c>
      <c r="F1391" s="18">
        <v>0.64929398148148143</v>
      </c>
      <c r="G1391" s="22">
        <v>1474.96</v>
      </c>
      <c r="H1391">
        <v>0</v>
      </c>
      <c r="I1391" s="19" t="e">
        <f>I1390 + (D1391-G1391)</f>
        <v>#VALUE!</v>
      </c>
      <c r="M1391">
        <v>122674</v>
      </c>
      <c r="N1391">
        <v>7</v>
      </c>
      <c r="O1391" t="s">
        <v>44</v>
      </c>
      <c r="P1391">
        <v>1</v>
      </c>
      <c r="R1391">
        <v>1578</v>
      </c>
      <c r="S1391" s="17">
        <v>42130</v>
      </c>
      <c r="T1391" s="17">
        <v>42130</v>
      </c>
      <c r="W1391">
        <v>2015</v>
      </c>
      <c r="X1391">
        <v>7</v>
      </c>
      <c r="AC1391" t="s">
        <v>106</v>
      </c>
      <c r="AD1391" t="s">
        <v>302</v>
      </c>
      <c r="AE1391" t="s">
        <v>46</v>
      </c>
      <c r="AG1391">
        <v>12</v>
      </c>
      <c r="AH1391">
        <v>10</v>
      </c>
      <c r="AI1391" t="s">
        <v>95</v>
      </c>
      <c r="AK1391">
        <v>0</v>
      </c>
      <c r="AM1391">
        <v>0</v>
      </c>
      <c r="AP1391" t="s">
        <v>392</v>
      </c>
    </row>
    <row r="1392" spans="1:42" customFormat="1">
      <c r="A1392">
        <v>268351</v>
      </c>
      <c r="B1392" t="s">
        <v>1468</v>
      </c>
      <c r="C1392" t="s">
        <v>1469</v>
      </c>
      <c r="D1392" s="22">
        <v>0</v>
      </c>
      <c r="E1392" s="17">
        <v>42129</v>
      </c>
      <c r="F1392" s="18">
        <v>0.64929398148148143</v>
      </c>
      <c r="G1392" s="22">
        <v>1474.96</v>
      </c>
      <c r="H1392">
        <v>0</v>
      </c>
      <c r="I1392" s="19" t="e">
        <f>I1391 + (D1392-G1392)</f>
        <v>#VALUE!</v>
      </c>
      <c r="M1392">
        <v>122684</v>
      </c>
      <c r="N1392">
        <v>7</v>
      </c>
      <c r="O1392" t="s">
        <v>44</v>
      </c>
      <c r="P1392">
        <v>1</v>
      </c>
      <c r="R1392">
        <v>1578</v>
      </c>
      <c r="S1392" s="17">
        <v>42130</v>
      </c>
      <c r="T1392" s="17">
        <v>42130</v>
      </c>
      <c r="W1392">
        <v>2015</v>
      </c>
      <c r="X1392">
        <v>7</v>
      </c>
      <c r="AC1392" t="s">
        <v>106</v>
      </c>
      <c r="AD1392" t="s">
        <v>302</v>
      </c>
      <c r="AE1392" t="s">
        <v>46</v>
      </c>
      <c r="AG1392">
        <v>12</v>
      </c>
      <c r="AH1392">
        <v>10</v>
      </c>
      <c r="AI1392" t="s">
        <v>95</v>
      </c>
      <c r="AK1392">
        <v>0</v>
      </c>
      <c r="AM1392">
        <v>0</v>
      </c>
      <c r="AP1392" t="s">
        <v>392</v>
      </c>
    </row>
    <row r="1393" spans="1:42" customFormat="1">
      <c r="A1393">
        <v>268352</v>
      </c>
      <c r="B1393" t="s">
        <v>1470</v>
      </c>
      <c r="C1393" t="s">
        <v>1471</v>
      </c>
      <c r="D1393" s="22">
        <v>0</v>
      </c>
      <c r="E1393" s="17">
        <v>42129</v>
      </c>
      <c r="F1393" s="18">
        <v>0.64929398148148143</v>
      </c>
      <c r="G1393" s="22">
        <v>1474.96</v>
      </c>
      <c r="H1393">
        <v>0</v>
      </c>
      <c r="I1393" s="19" t="e">
        <f>I1392 + (D1393-G1393)</f>
        <v>#VALUE!</v>
      </c>
      <c r="M1393">
        <v>122694</v>
      </c>
      <c r="N1393">
        <v>7</v>
      </c>
      <c r="O1393" t="s">
        <v>44</v>
      </c>
      <c r="P1393">
        <v>1</v>
      </c>
      <c r="R1393">
        <v>1578</v>
      </c>
      <c r="S1393" s="17">
        <v>42130</v>
      </c>
      <c r="T1393" s="17">
        <v>42130</v>
      </c>
      <c r="W1393">
        <v>2015</v>
      </c>
      <c r="X1393">
        <v>7</v>
      </c>
      <c r="AC1393" t="s">
        <v>106</v>
      </c>
      <c r="AD1393" t="s">
        <v>302</v>
      </c>
      <c r="AE1393" t="s">
        <v>46</v>
      </c>
      <c r="AG1393">
        <v>12</v>
      </c>
      <c r="AH1393">
        <v>10</v>
      </c>
      <c r="AI1393" t="s">
        <v>95</v>
      </c>
      <c r="AK1393">
        <v>0</v>
      </c>
      <c r="AM1393">
        <v>0</v>
      </c>
      <c r="AP1393" t="s">
        <v>392</v>
      </c>
    </row>
    <row r="1394" spans="1:42" customFormat="1">
      <c r="A1394">
        <v>268353</v>
      </c>
      <c r="B1394" t="s">
        <v>1472</v>
      </c>
      <c r="C1394" t="s">
        <v>1473</v>
      </c>
      <c r="D1394" s="22">
        <v>0</v>
      </c>
      <c r="E1394" s="17">
        <v>42129</v>
      </c>
      <c r="F1394" s="18">
        <v>0.64930555555555558</v>
      </c>
      <c r="G1394" s="22">
        <v>1724</v>
      </c>
      <c r="H1394">
        <v>0</v>
      </c>
      <c r="I1394" s="19" t="e">
        <f>I1393 + (D1394-G1394)</f>
        <v>#VALUE!</v>
      </c>
      <c r="M1394">
        <v>122704</v>
      </c>
      <c r="N1394">
        <v>7</v>
      </c>
      <c r="O1394" t="s">
        <v>44</v>
      </c>
      <c r="P1394">
        <v>1</v>
      </c>
      <c r="R1394">
        <v>1578</v>
      </c>
      <c r="S1394" s="17">
        <v>42130</v>
      </c>
      <c r="T1394" s="17">
        <v>42130</v>
      </c>
      <c r="W1394">
        <v>2015</v>
      </c>
      <c r="X1394">
        <v>7</v>
      </c>
      <c r="AC1394" t="s">
        <v>106</v>
      </c>
      <c r="AD1394" t="s">
        <v>302</v>
      </c>
      <c r="AE1394" t="s">
        <v>46</v>
      </c>
      <c r="AG1394">
        <v>12</v>
      </c>
      <c r="AH1394">
        <v>10</v>
      </c>
      <c r="AI1394" t="s">
        <v>95</v>
      </c>
      <c r="AK1394">
        <v>0</v>
      </c>
      <c r="AM1394">
        <v>0</v>
      </c>
      <c r="AP1394" t="s">
        <v>392</v>
      </c>
    </row>
    <row r="1395" spans="1:42" customFormat="1">
      <c r="A1395">
        <v>268362</v>
      </c>
      <c r="B1395" t="s">
        <v>1474</v>
      </c>
      <c r="C1395" t="s">
        <v>1475</v>
      </c>
      <c r="D1395" s="22">
        <v>0</v>
      </c>
      <c r="E1395" s="17">
        <v>42129</v>
      </c>
      <c r="F1395" s="18">
        <v>0.64930555555555558</v>
      </c>
      <c r="G1395" s="22">
        <v>1473</v>
      </c>
      <c r="H1395">
        <v>0</v>
      </c>
      <c r="I1395" s="19" t="e">
        <f>I1394 + (D1395-G1395)</f>
        <v>#VALUE!</v>
      </c>
      <c r="M1395">
        <v>122705</v>
      </c>
      <c r="N1395">
        <v>7</v>
      </c>
      <c r="O1395" t="s">
        <v>44</v>
      </c>
      <c r="P1395">
        <v>1</v>
      </c>
      <c r="R1395">
        <v>1578</v>
      </c>
      <c r="S1395" s="17">
        <v>42130</v>
      </c>
      <c r="T1395" s="17">
        <v>42130</v>
      </c>
      <c r="W1395">
        <v>2015</v>
      </c>
      <c r="X1395">
        <v>7</v>
      </c>
      <c r="AC1395" t="s">
        <v>106</v>
      </c>
      <c r="AD1395" t="s">
        <v>302</v>
      </c>
      <c r="AE1395" t="s">
        <v>46</v>
      </c>
      <c r="AG1395">
        <v>12</v>
      </c>
      <c r="AH1395">
        <v>10</v>
      </c>
      <c r="AI1395" t="s">
        <v>95</v>
      </c>
      <c r="AK1395">
        <v>0</v>
      </c>
      <c r="AM1395">
        <v>0</v>
      </c>
      <c r="AP1395" t="s">
        <v>392</v>
      </c>
    </row>
    <row r="1396" spans="1:42" customFormat="1">
      <c r="A1396">
        <v>268354</v>
      </c>
      <c r="B1396" t="s">
        <v>1476</v>
      </c>
      <c r="C1396" t="s">
        <v>1477</v>
      </c>
      <c r="D1396" s="22">
        <v>0</v>
      </c>
      <c r="E1396" s="17">
        <v>42129</v>
      </c>
      <c r="F1396" s="18">
        <v>0.64930555555555558</v>
      </c>
      <c r="G1396" s="22">
        <v>1474.96</v>
      </c>
      <c r="H1396">
        <v>0</v>
      </c>
      <c r="I1396" s="19" t="e">
        <f>I1395 + (D1396-G1396)</f>
        <v>#VALUE!</v>
      </c>
      <c r="M1396">
        <v>122625</v>
      </c>
      <c r="N1396">
        <v>7</v>
      </c>
      <c r="O1396" t="s">
        <v>44</v>
      </c>
      <c r="P1396">
        <v>1</v>
      </c>
      <c r="R1396">
        <v>1578</v>
      </c>
      <c r="S1396" s="17">
        <v>42130</v>
      </c>
      <c r="T1396" s="17">
        <v>42130</v>
      </c>
      <c r="W1396">
        <v>2015</v>
      </c>
      <c r="X1396">
        <v>7</v>
      </c>
      <c r="AC1396" t="s">
        <v>106</v>
      </c>
      <c r="AD1396" t="s">
        <v>302</v>
      </c>
      <c r="AE1396" t="s">
        <v>46</v>
      </c>
      <c r="AG1396">
        <v>12</v>
      </c>
      <c r="AH1396">
        <v>10</v>
      </c>
      <c r="AI1396" t="s">
        <v>95</v>
      </c>
      <c r="AK1396">
        <v>0</v>
      </c>
      <c r="AM1396">
        <v>0</v>
      </c>
      <c r="AP1396" t="s">
        <v>392</v>
      </c>
    </row>
    <row r="1397" spans="1:42" customFormat="1">
      <c r="A1397">
        <v>268355</v>
      </c>
      <c r="B1397" t="s">
        <v>1478</v>
      </c>
      <c r="C1397" t="s">
        <v>1479</v>
      </c>
      <c r="D1397" s="22">
        <v>0</v>
      </c>
      <c r="E1397" s="17">
        <v>42129</v>
      </c>
      <c r="F1397" s="18">
        <v>0.64930555555555558</v>
      </c>
      <c r="G1397" s="22">
        <v>1474.96</v>
      </c>
      <c r="H1397">
        <v>0</v>
      </c>
      <c r="I1397" s="19" t="e">
        <f>I1396 + (D1397-G1397)</f>
        <v>#VALUE!</v>
      </c>
      <c r="M1397">
        <v>122635</v>
      </c>
      <c r="N1397">
        <v>7</v>
      </c>
      <c r="O1397" t="s">
        <v>44</v>
      </c>
      <c r="P1397">
        <v>1</v>
      </c>
      <c r="R1397">
        <v>1578</v>
      </c>
      <c r="S1397" s="17">
        <v>42130</v>
      </c>
      <c r="T1397" s="17">
        <v>42130</v>
      </c>
      <c r="W1397">
        <v>2015</v>
      </c>
      <c r="X1397">
        <v>7</v>
      </c>
      <c r="AC1397" t="s">
        <v>106</v>
      </c>
      <c r="AD1397" t="s">
        <v>302</v>
      </c>
      <c r="AE1397" t="s">
        <v>46</v>
      </c>
      <c r="AG1397">
        <v>12</v>
      </c>
      <c r="AH1397">
        <v>10</v>
      </c>
      <c r="AI1397" t="s">
        <v>95</v>
      </c>
      <c r="AK1397">
        <v>0</v>
      </c>
      <c r="AM1397">
        <v>0</v>
      </c>
      <c r="AP1397" t="s">
        <v>392</v>
      </c>
    </row>
    <row r="1398" spans="1:42" customFormat="1">
      <c r="A1398">
        <v>268356</v>
      </c>
      <c r="B1398" t="s">
        <v>1480</v>
      </c>
      <c r="C1398" t="s">
        <v>1481</v>
      </c>
      <c r="D1398" s="22">
        <v>0</v>
      </c>
      <c r="E1398" s="17">
        <v>42129</v>
      </c>
      <c r="F1398" s="18">
        <v>0.64930555555555558</v>
      </c>
      <c r="G1398" s="22">
        <v>1474.96</v>
      </c>
      <c r="H1398">
        <v>0</v>
      </c>
      <c r="I1398" s="19" t="e">
        <f>I1397 + (D1398-G1398)</f>
        <v>#VALUE!</v>
      </c>
      <c r="M1398">
        <v>122645</v>
      </c>
      <c r="N1398">
        <v>7</v>
      </c>
      <c r="O1398" t="s">
        <v>44</v>
      </c>
      <c r="P1398">
        <v>1</v>
      </c>
      <c r="R1398">
        <v>1578</v>
      </c>
      <c r="S1398" s="17">
        <v>42130</v>
      </c>
      <c r="T1398" s="17">
        <v>42130</v>
      </c>
      <c r="W1398">
        <v>2015</v>
      </c>
      <c r="X1398">
        <v>7</v>
      </c>
      <c r="AC1398" t="s">
        <v>106</v>
      </c>
      <c r="AD1398" t="s">
        <v>302</v>
      </c>
      <c r="AE1398" t="s">
        <v>46</v>
      </c>
      <c r="AG1398">
        <v>12</v>
      </c>
      <c r="AH1398">
        <v>10</v>
      </c>
      <c r="AI1398" t="s">
        <v>95</v>
      </c>
      <c r="AK1398">
        <v>0</v>
      </c>
      <c r="AM1398">
        <v>0</v>
      </c>
      <c r="AP1398" t="s">
        <v>392</v>
      </c>
    </row>
    <row r="1399" spans="1:42" customFormat="1">
      <c r="A1399">
        <v>268357</v>
      </c>
      <c r="B1399" t="s">
        <v>1482</v>
      </c>
      <c r="C1399" t="s">
        <v>1483</v>
      </c>
      <c r="D1399" s="22">
        <v>0</v>
      </c>
      <c r="E1399" s="17">
        <v>42129</v>
      </c>
      <c r="F1399" s="18">
        <v>0.64930555555555558</v>
      </c>
      <c r="G1399" s="22">
        <v>1474.96</v>
      </c>
      <c r="H1399">
        <v>0</v>
      </c>
      <c r="I1399" s="19" t="e">
        <f>I1398 + (D1399-G1399)</f>
        <v>#VALUE!</v>
      </c>
      <c r="M1399">
        <v>122655</v>
      </c>
      <c r="N1399">
        <v>7</v>
      </c>
      <c r="O1399" t="s">
        <v>44</v>
      </c>
      <c r="P1399">
        <v>1</v>
      </c>
      <c r="R1399">
        <v>1578</v>
      </c>
      <c r="S1399" s="17">
        <v>42130</v>
      </c>
      <c r="T1399" s="17">
        <v>42130</v>
      </c>
      <c r="W1399">
        <v>2015</v>
      </c>
      <c r="X1399">
        <v>7</v>
      </c>
      <c r="AC1399" t="s">
        <v>106</v>
      </c>
      <c r="AD1399" t="s">
        <v>302</v>
      </c>
      <c r="AE1399" t="s">
        <v>46</v>
      </c>
      <c r="AG1399">
        <v>12</v>
      </c>
      <c r="AH1399">
        <v>10</v>
      </c>
      <c r="AI1399" t="s">
        <v>95</v>
      </c>
      <c r="AK1399">
        <v>0</v>
      </c>
      <c r="AM1399">
        <v>0</v>
      </c>
      <c r="AP1399" t="s">
        <v>392</v>
      </c>
    </row>
    <row r="1400" spans="1:42" customFormat="1">
      <c r="A1400">
        <v>268358</v>
      </c>
      <c r="B1400" t="s">
        <v>1484</v>
      </c>
      <c r="C1400" t="s">
        <v>1485</v>
      </c>
      <c r="D1400" s="22">
        <v>0</v>
      </c>
      <c r="E1400" s="17">
        <v>42129</v>
      </c>
      <c r="F1400" s="18">
        <v>0.64930555555555558</v>
      </c>
      <c r="G1400" s="22">
        <v>1474.96</v>
      </c>
      <c r="H1400">
        <v>0</v>
      </c>
      <c r="I1400" s="19" t="e">
        <f>I1399 + (D1400-G1400)</f>
        <v>#VALUE!</v>
      </c>
      <c r="M1400">
        <v>122665</v>
      </c>
      <c r="N1400">
        <v>7</v>
      </c>
      <c r="O1400" t="s">
        <v>44</v>
      </c>
      <c r="P1400">
        <v>1</v>
      </c>
      <c r="R1400">
        <v>1578</v>
      </c>
      <c r="S1400" s="17">
        <v>42130</v>
      </c>
      <c r="T1400" s="17">
        <v>42130</v>
      </c>
      <c r="W1400">
        <v>2015</v>
      </c>
      <c r="X1400">
        <v>7</v>
      </c>
      <c r="AC1400" t="s">
        <v>106</v>
      </c>
      <c r="AD1400" t="s">
        <v>302</v>
      </c>
      <c r="AE1400" t="s">
        <v>46</v>
      </c>
      <c r="AG1400">
        <v>12</v>
      </c>
      <c r="AH1400">
        <v>10</v>
      </c>
      <c r="AI1400" t="s">
        <v>95</v>
      </c>
      <c r="AK1400">
        <v>0</v>
      </c>
      <c r="AM1400">
        <v>0</v>
      </c>
      <c r="AP1400" t="s">
        <v>392</v>
      </c>
    </row>
    <row r="1401" spans="1:42" customFormat="1">
      <c r="A1401">
        <v>268359</v>
      </c>
      <c r="B1401" t="s">
        <v>1486</v>
      </c>
      <c r="C1401" t="s">
        <v>1487</v>
      </c>
      <c r="D1401" s="22">
        <v>0</v>
      </c>
      <c r="E1401" s="17">
        <v>42129</v>
      </c>
      <c r="F1401" s="18">
        <v>0.64930555555555558</v>
      </c>
      <c r="G1401" s="22">
        <v>1474.96</v>
      </c>
      <c r="H1401">
        <v>0</v>
      </c>
      <c r="I1401" s="19" t="e">
        <f>I1400 + (D1401-G1401)</f>
        <v>#VALUE!</v>
      </c>
      <c r="M1401">
        <v>122675</v>
      </c>
      <c r="N1401">
        <v>7</v>
      </c>
      <c r="O1401" t="s">
        <v>44</v>
      </c>
      <c r="P1401">
        <v>1</v>
      </c>
      <c r="R1401">
        <v>1578</v>
      </c>
      <c r="S1401" s="17">
        <v>42130</v>
      </c>
      <c r="T1401" s="17">
        <v>42130</v>
      </c>
      <c r="W1401">
        <v>2015</v>
      </c>
      <c r="X1401">
        <v>7</v>
      </c>
      <c r="AC1401" t="s">
        <v>106</v>
      </c>
      <c r="AD1401" t="s">
        <v>302</v>
      </c>
      <c r="AE1401" t="s">
        <v>46</v>
      </c>
      <c r="AG1401">
        <v>12</v>
      </c>
      <c r="AH1401">
        <v>10</v>
      </c>
      <c r="AI1401" t="s">
        <v>95</v>
      </c>
      <c r="AK1401">
        <v>0</v>
      </c>
      <c r="AM1401">
        <v>0</v>
      </c>
      <c r="AP1401" t="s">
        <v>392</v>
      </c>
    </row>
    <row r="1402" spans="1:42" customFormat="1">
      <c r="A1402">
        <v>268360</v>
      </c>
      <c r="B1402" t="s">
        <v>1488</v>
      </c>
      <c r="C1402" t="s">
        <v>1489</v>
      </c>
      <c r="D1402" s="22">
        <v>0</v>
      </c>
      <c r="E1402" s="17">
        <v>42129</v>
      </c>
      <c r="F1402" s="18">
        <v>0.64930555555555558</v>
      </c>
      <c r="G1402" s="22">
        <v>1474.96</v>
      </c>
      <c r="H1402">
        <v>0</v>
      </c>
      <c r="I1402" s="19" t="e">
        <f>I1401 + (D1402-G1402)</f>
        <v>#VALUE!</v>
      </c>
      <c r="M1402">
        <v>122685</v>
      </c>
      <c r="N1402">
        <v>7</v>
      </c>
      <c r="O1402" t="s">
        <v>44</v>
      </c>
      <c r="P1402">
        <v>1</v>
      </c>
      <c r="R1402">
        <v>1578</v>
      </c>
      <c r="S1402" s="17">
        <v>42130</v>
      </c>
      <c r="T1402" s="17">
        <v>42130</v>
      </c>
      <c r="W1402">
        <v>2015</v>
      </c>
      <c r="X1402">
        <v>7</v>
      </c>
      <c r="AC1402" t="s">
        <v>106</v>
      </c>
      <c r="AD1402" t="s">
        <v>302</v>
      </c>
      <c r="AE1402" t="s">
        <v>46</v>
      </c>
      <c r="AG1402">
        <v>12</v>
      </c>
      <c r="AH1402">
        <v>10</v>
      </c>
      <c r="AI1402" t="s">
        <v>95</v>
      </c>
      <c r="AK1402">
        <v>0</v>
      </c>
      <c r="AM1402">
        <v>0</v>
      </c>
      <c r="AP1402" t="s">
        <v>392</v>
      </c>
    </row>
    <row r="1403" spans="1:42" customFormat="1">
      <c r="A1403">
        <v>268361</v>
      </c>
      <c r="B1403" t="s">
        <v>1490</v>
      </c>
      <c r="C1403" t="s">
        <v>1491</v>
      </c>
      <c r="D1403" s="22">
        <v>0</v>
      </c>
      <c r="E1403" s="17">
        <v>42129</v>
      </c>
      <c r="F1403" s="18">
        <v>0.64930555555555558</v>
      </c>
      <c r="G1403" s="22">
        <v>1474.96</v>
      </c>
      <c r="H1403">
        <v>0</v>
      </c>
      <c r="I1403" s="19" t="e">
        <f>I1402 + (D1403-G1403)</f>
        <v>#VALUE!</v>
      </c>
      <c r="M1403">
        <v>122695</v>
      </c>
      <c r="N1403">
        <v>7</v>
      </c>
      <c r="O1403" t="s">
        <v>44</v>
      </c>
      <c r="P1403">
        <v>1</v>
      </c>
      <c r="R1403">
        <v>1578</v>
      </c>
      <c r="S1403" s="17">
        <v>42130</v>
      </c>
      <c r="T1403" s="17">
        <v>42130</v>
      </c>
      <c r="W1403">
        <v>2015</v>
      </c>
      <c r="X1403">
        <v>7</v>
      </c>
      <c r="AC1403" t="s">
        <v>106</v>
      </c>
      <c r="AD1403" t="s">
        <v>302</v>
      </c>
      <c r="AE1403" t="s">
        <v>46</v>
      </c>
      <c r="AG1403">
        <v>12</v>
      </c>
      <c r="AH1403">
        <v>10</v>
      </c>
      <c r="AI1403" t="s">
        <v>95</v>
      </c>
      <c r="AK1403">
        <v>0</v>
      </c>
      <c r="AM1403">
        <v>0</v>
      </c>
      <c r="AP1403" t="s">
        <v>392</v>
      </c>
    </row>
    <row r="1404" spans="1:42" customFormat="1">
      <c r="A1404">
        <v>268363</v>
      </c>
      <c r="B1404" t="s">
        <v>1492</v>
      </c>
      <c r="C1404" t="s">
        <v>1493</v>
      </c>
      <c r="D1404" s="22">
        <v>0</v>
      </c>
      <c r="E1404" s="17">
        <v>42129</v>
      </c>
      <c r="F1404" s="18">
        <v>0.64930555555555558</v>
      </c>
      <c r="G1404" s="22">
        <v>1474.96</v>
      </c>
      <c r="H1404">
        <v>0</v>
      </c>
      <c r="I1404" s="19" t="e">
        <f>I1403 + (D1404-G1404)</f>
        <v>#VALUE!</v>
      </c>
      <c r="M1404">
        <v>122626</v>
      </c>
      <c r="N1404">
        <v>7</v>
      </c>
      <c r="O1404" t="s">
        <v>44</v>
      </c>
      <c r="P1404">
        <v>1</v>
      </c>
      <c r="R1404">
        <v>1578</v>
      </c>
      <c r="S1404" s="17">
        <v>42130</v>
      </c>
      <c r="T1404" s="17">
        <v>42130</v>
      </c>
      <c r="W1404">
        <v>2015</v>
      </c>
      <c r="X1404">
        <v>7</v>
      </c>
      <c r="AC1404" t="s">
        <v>106</v>
      </c>
      <c r="AD1404" t="s">
        <v>302</v>
      </c>
      <c r="AE1404" t="s">
        <v>46</v>
      </c>
      <c r="AG1404">
        <v>12</v>
      </c>
      <c r="AH1404">
        <v>10</v>
      </c>
      <c r="AI1404" t="s">
        <v>95</v>
      </c>
      <c r="AK1404">
        <v>0</v>
      </c>
      <c r="AM1404">
        <v>0</v>
      </c>
      <c r="AP1404" t="s">
        <v>392</v>
      </c>
    </row>
    <row r="1405" spans="1:42" customFormat="1">
      <c r="A1405">
        <v>268371</v>
      </c>
      <c r="B1405" t="s">
        <v>1494</v>
      </c>
      <c r="C1405" t="s">
        <v>1495</v>
      </c>
      <c r="D1405" s="22">
        <v>0</v>
      </c>
      <c r="E1405" s="17">
        <v>42129</v>
      </c>
      <c r="F1405" s="18">
        <v>0.64931712962962962</v>
      </c>
      <c r="G1405" s="22">
        <v>73.739999999999995</v>
      </c>
      <c r="H1405">
        <v>0</v>
      </c>
      <c r="I1405" s="19" t="e">
        <f>I1404 + (D1405-G1405)</f>
        <v>#VALUE!</v>
      </c>
      <c r="M1405">
        <v>122706</v>
      </c>
      <c r="N1405">
        <v>7</v>
      </c>
      <c r="O1405" t="s">
        <v>44</v>
      </c>
      <c r="P1405">
        <v>1</v>
      </c>
      <c r="R1405">
        <v>1578</v>
      </c>
      <c r="S1405" s="17">
        <v>42130</v>
      </c>
      <c r="T1405" s="17">
        <v>42130</v>
      </c>
      <c r="W1405">
        <v>2015</v>
      </c>
      <c r="X1405">
        <v>7</v>
      </c>
      <c r="AC1405" t="s">
        <v>106</v>
      </c>
      <c r="AD1405" t="s">
        <v>302</v>
      </c>
      <c r="AE1405" t="s">
        <v>46</v>
      </c>
      <c r="AG1405">
        <v>12</v>
      </c>
      <c r="AH1405">
        <v>10</v>
      </c>
      <c r="AI1405" t="s">
        <v>95</v>
      </c>
      <c r="AK1405">
        <v>0</v>
      </c>
      <c r="AM1405">
        <v>0</v>
      </c>
      <c r="AP1405" t="s">
        <v>392</v>
      </c>
    </row>
    <row r="1406" spans="1:42" customFormat="1">
      <c r="A1406">
        <v>268364</v>
      </c>
      <c r="B1406" t="s">
        <v>1496</v>
      </c>
      <c r="C1406" t="s">
        <v>1497</v>
      </c>
      <c r="D1406" s="22">
        <v>0</v>
      </c>
      <c r="E1406" s="17">
        <v>42129</v>
      </c>
      <c r="F1406" s="18">
        <v>0.64931712962962962</v>
      </c>
      <c r="G1406" s="22">
        <v>1474.96</v>
      </c>
      <c r="H1406">
        <v>0</v>
      </c>
      <c r="I1406" s="19" t="e">
        <f>I1405 + (D1406-G1406)</f>
        <v>#VALUE!</v>
      </c>
      <c r="M1406">
        <v>122636</v>
      </c>
      <c r="N1406">
        <v>7</v>
      </c>
      <c r="O1406" t="s">
        <v>44</v>
      </c>
      <c r="P1406">
        <v>1</v>
      </c>
      <c r="R1406">
        <v>1578</v>
      </c>
      <c r="S1406" s="17">
        <v>42130</v>
      </c>
      <c r="T1406" s="17">
        <v>42130</v>
      </c>
      <c r="W1406">
        <v>2015</v>
      </c>
      <c r="X1406">
        <v>7</v>
      </c>
      <c r="AC1406" t="s">
        <v>106</v>
      </c>
      <c r="AD1406" t="s">
        <v>302</v>
      </c>
      <c r="AE1406" t="s">
        <v>46</v>
      </c>
      <c r="AG1406">
        <v>12</v>
      </c>
      <c r="AH1406">
        <v>10</v>
      </c>
      <c r="AI1406" t="s">
        <v>95</v>
      </c>
      <c r="AK1406">
        <v>0</v>
      </c>
      <c r="AM1406">
        <v>0</v>
      </c>
      <c r="AP1406" t="s">
        <v>392</v>
      </c>
    </row>
    <row r="1407" spans="1:42" customFormat="1">
      <c r="A1407">
        <v>268365</v>
      </c>
      <c r="B1407" t="s">
        <v>1498</v>
      </c>
      <c r="C1407" t="s">
        <v>1499</v>
      </c>
      <c r="D1407" s="22">
        <v>0</v>
      </c>
      <c r="E1407" s="17">
        <v>42129</v>
      </c>
      <c r="F1407" s="18">
        <v>0.64931712962962962</v>
      </c>
      <c r="G1407" s="22">
        <v>1474.96</v>
      </c>
      <c r="H1407">
        <v>0</v>
      </c>
      <c r="I1407" s="19" t="e">
        <f>I1406 + (D1407-G1407)</f>
        <v>#VALUE!</v>
      </c>
      <c r="M1407">
        <v>122646</v>
      </c>
      <c r="N1407">
        <v>7</v>
      </c>
      <c r="O1407" t="s">
        <v>44</v>
      </c>
      <c r="P1407">
        <v>1</v>
      </c>
      <c r="R1407">
        <v>1578</v>
      </c>
      <c r="S1407" s="17">
        <v>42130</v>
      </c>
      <c r="T1407" s="17">
        <v>42130</v>
      </c>
      <c r="W1407">
        <v>2015</v>
      </c>
      <c r="X1407">
        <v>7</v>
      </c>
      <c r="AC1407" t="s">
        <v>106</v>
      </c>
      <c r="AD1407" t="s">
        <v>302</v>
      </c>
      <c r="AE1407" t="s">
        <v>46</v>
      </c>
      <c r="AG1407">
        <v>12</v>
      </c>
      <c r="AH1407">
        <v>10</v>
      </c>
      <c r="AI1407" t="s">
        <v>95</v>
      </c>
      <c r="AK1407">
        <v>0</v>
      </c>
      <c r="AM1407">
        <v>0</v>
      </c>
      <c r="AP1407" t="s">
        <v>392</v>
      </c>
    </row>
    <row r="1408" spans="1:42" customFormat="1">
      <c r="A1408">
        <v>268366</v>
      </c>
      <c r="B1408" t="s">
        <v>1500</v>
      </c>
      <c r="C1408" t="s">
        <v>1501</v>
      </c>
      <c r="D1408" s="22">
        <v>0</v>
      </c>
      <c r="E1408" s="17">
        <v>42129</v>
      </c>
      <c r="F1408" s="18">
        <v>0.64931712962962962</v>
      </c>
      <c r="G1408" s="22">
        <v>1474.96</v>
      </c>
      <c r="H1408">
        <v>0</v>
      </c>
      <c r="I1408" s="19" t="e">
        <f>I1407 + (D1408-G1408)</f>
        <v>#VALUE!</v>
      </c>
      <c r="M1408">
        <v>122656</v>
      </c>
      <c r="N1408">
        <v>7</v>
      </c>
      <c r="O1408" t="s">
        <v>44</v>
      </c>
      <c r="P1408">
        <v>1</v>
      </c>
      <c r="R1408">
        <v>1578</v>
      </c>
      <c r="S1408" s="17">
        <v>42130</v>
      </c>
      <c r="T1408" s="17">
        <v>42130</v>
      </c>
      <c r="W1408">
        <v>2015</v>
      </c>
      <c r="X1408">
        <v>7</v>
      </c>
      <c r="AC1408" t="s">
        <v>106</v>
      </c>
      <c r="AD1408" t="s">
        <v>302</v>
      </c>
      <c r="AE1408" t="s">
        <v>46</v>
      </c>
      <c r="AG1408">
        <v>12</v>
      </c>
      <c r="AH1408">
        <v>10</v>
      </c>
      <c r="AI1408" t="s">
        <v>95</v>
      </c>
      <c r="AK1408">
        <v>0</v>
      </c>
      <c r="AM1408">
        <v>0</v>
      </c>
      <c r="AP1408" t="s">
        <v>392</v>
      </c>
    </row>
    <row r="1409" spans="1:42" customFormat="1">
      <c r="A1409">
        <v>268367</v>
      </c>
      <c r="B1409" t="s">
        <v>1502</v>
      </c>
      <c r="C1409" t="s">
        <v>1503</v>
      </c>
      <c r="D1409" s="22">
        <v>0</v>
      </c>
      <c r="E1409" s="17">
        <v>42129</v>
      </c>
      <c r="F1409" s="18">
        <v>0.64931712962962962</v>
      </c>
      <c r="G1409" s="22">
        <v>1474.96</v>
      </c>
      <c r="H1409">
        <v>0</v>
      </c>
      <c r="I1409" s="19" t="e">
        <f>I1408 + (D1409-G1409)</f>
        <v>#VALUE!</v>
      </c>
      <c r="M1409">
        <v>122666</v>
      </c>
      <c r="N1409">
        <v>7</v>
      </c>
      <c r="O1409" t="s">
        <v>44</v>
      </c>
      <c r="P1409">
        <v>1</v>
      </c>
      <c r="R1409">
        <v>1578</v>
      </c>
      <c r="S1409" s="17">
        <v>42130</v>
      </c>
      <c r="T1409" s="17">
        <v>42130</v>
      </c>
      <c r="W1409">
        <v>2015</v>
      </c>
      <c r="X1409">
        <v>7</v>
      </c>
      <c r="AC1409" t="s">
        <v>106</v>
      </c>
      <c r="AD1409" t="s">
        <v>302</v>
      </c>
      <c r="AE1409" t="s">
        <v>46</v>
      </c>
      <c r="AG1409">
        <v>12</v>
      </c>
      <c r="AH1409">
        <v>10</v>
      </c>
      <c r="AI1409" t="s">
        <v>95</v>
      </c>
      <c r="AK1409">
        <v>0</v>
      </c>
      <c r="AM1409">
        <v>0</v>
      </c>
      <c r="AP1409" t="s">
        <v>392</v>
      </c>
    </row>
    <row r="1410" spans="1:42" customFormat="1">
      <c r="A1410">
        <v>268368</v>
      </c>
      <c r="B1410" t="s">
        <v>1504</v>
      </c>
      <c r="C1410" t="s">
        <v>1505</v>
      </c>
      <c r="D1410" s="22">
        <v>0</v>
      </c>
      <c r="E1410" s="17">
        <v>42129</v>
      </c>
      <c r="F1410" s="18">
        <v>0.64931712962962962</v>
      </c>
      <c r="G1410" s="22">
        <v>1474.96</v>
      </c>
      <c r="H1410">
        <v>0</v>
      </c>
      <c r="I1410" s="19" t="e">
        <f>I1409 + (D1410-G1410)</f>
        <v>#VALUE!</v>
      </c>
      <c r="M1410">
        <v>122676</v>
      </c>
      <c r="N1410">
        <v>7</v>
      </c>
      <c r="O1410" t="s">
        <v>44</v>
      </c>
      <c r="P1410">
        <v>1</v>
      </c>
      <c r="R1410">
        <v>1578</v>
      </c>
      <c r="S1410" s="17">
        <v>42130</v>
      </c>
      <c r="T1410" s="17">
        <v>42130</v>
      </c>
      <c r="W1410">
        <v>2015</v>
      </c>
      <c r="X1410">
        <v>7</v>
      </c>
      <c r="AC1410" t="s">
        <v>106</v>
      </c>
      <c r="AD1410" t="s">
        <v>302</v>
      </c>
      <c r="AE1410" t="s">
        <v>46</v>
      </c>
      <c r="AG1410">
        <v>12</v>
      </c>
      <c r="AH1410">
        <v>10</v>
      </c>
      <c r="AI1410" t="s">
        <v>95</v>
      </c>
      <c r="AK1410">
        <v>0</v>
      </c>
      <c r="AM1410">
        <v>0</v>
      </c>
      <c r="AP1410" t="s">
        <v>392</v>
      </c>
    </row>
    <row r="1411" spans="1:42" customFormat="1">
      <c r="A1411">
        <v>268369</v>
      </c>
      <c r="B1411" t="s">
        <v>1506</v>
      </c>
      <c r="C1411" t="s">
        <v>1507</v>
      </c>
      <c r="D1411" s="22">
        <v>0</v>
      </c>
      <c r="E1411" s="17">
        <v>42129</v>
      </c>
      <c r="F1411" s="18">
        <v>0.64931712962962962</v>
      </c>
      <c r="G1411" s="22">
        <v>1474.96</v>
      </c>
      <c r="H1411">
        <v>0</v>
      </c>
      <c r="I1411" s="19" t="e">
        <f>I1410 + (D1411-G1411)</f>
        <v>#VALUE!</v>
      </c>
      <c r="M1411">
        <v>122686</v>
      </c>
      <c r="N1411">
        <v>7</v>
      </c>
      <c r="O1411" t="s">
        <v>44</v>
      </c>
      <c r="P1411">
        <v>1</v>
      </c>
      <c r="R1411">
        <v>1578</v>
      </c>
      <c r="S1411" s="17">
        <v>42130</v>
      </c>
      <c r="T1411" s="17">
        <v>42130</v>
      </c>
      <c r="W1411">
        <v>2015</v>
      </c>
      <c r="X1411">
        <v>7</v>
      </c>
      <c r="AC1411" t="s">
        <v>106</v>
      </c>
      <c r="AD1411" t="s">
        <v>302</v>
      </c>
      <c r="AE1411" t="s">
        <v>46</v>
      </c>
      <c r="AG1411">
        <v>12</v>
      </c>
      <c r="AH1411">
        <v>10</v>
      </c>
      <c r="AI1411" t="s">
        <v>95</v>
      </c>
      <c r="AK1411">
        <v>0</v>
      </c>
      <c r="AM1411">
        <v>0</v>
      </c>
      <c r="AP1411" t="s">
        <v>392</v>
      </c>
    </row>
    <row r="1412" spans="1:42" customFormat="1">
      <c r="A1412">
        <v>268370</v>
      </c>
      <c r="B1412" t="s">
        <v>1508</v>
      </c>
      <c r="C1412" t="s">
        <v>1509</v>
      </c>
      <c r="D1412" s="22">
        <v>0</v>
      </c>
      <c r="E1412" s="17">
        <v>42129</v>
      </c>
      <c r="F1412" s="18">
        <v>0.64931712962962962</v>
      </c>
      <c r="G1412" s="22">
        <v>1474.96</v>
      </c>
      <c r="H1412">
        <v>0</v>
      </c>
      <c r="I1412" s="19" t="e">
        <f>I1411 + (D1412-G1412)</f>
        <v>#VALUE!</v>
      </c>
      <c r="M1412">
        <v>122696</v>
      </c>
      <c r="N1412">
        <v>7</v>
      </c>
      <c r="O1412" t="s">
        <v>44</v>
      </c>
      <c r="P1412">
        <v>1</v>
      </c>
      <c r="R1412">
        <v>1578</v>
      </c>
      <c r="S1412" s="17">
        <v>42130</v>
      </c>
      <c r="T1412" s="17">
        <v>42130</v>
      </c>
      <c r="W1412">
        <v>2015</v>
      </c>
      <c r="X1412">
        <v>7</v>
      </c>
      <c r="AC1412" t="s">
        <v>106</v>
      </c>
      <c r="AD1412" t="s">
        <v>302</v>
      </c>
      <c r="AE1412" t="s">
        <v>46</v>
      </c>
      <c r="AG1412">
        <v>12</v>
      </c>
      <c r="AH1412">
        <v>10</v>
      </c>
      <c r="AI1412" t="s">
        <v>95</v>
      </c>
      <c r="AK1412">
        <v>0</v>
      </c>
      <c r="AM1412">
        <v>0</v>
      </c>
      <c r="AP1412" t="s">
        <v>392</v>
      </c>
    </row>
    <row r="1413" spans="1:42" customFormat="1">
      <c r="A1413">
        <v>268372</v>
      </c>
      <c r="B1413" t="s">
        <v>1510</v>
      </c>
      <c r="C1413" t="s">
        <v>1511</v>
      </c>
      <c r="D1413" s="22">
        <v>0</v>
      </c>
      <c r="E1413" s="17">
        <v>42129</v>
      </c>
      <c r="F1413" s="18">
        <v>0.64931712962962962</v>
      </c>
      <c r="G1413" s="22">
        <v>1474.96</v>
      </c>
      <c r="H1413">
        <v>0</v>
      </c>
      <c r="I1413" s="19" t="e">
        <f>I1412 + (D1413-G1413)</f>
        <v>#VALUE!</v>
      </c>
      <c r="M1413">
        <v>122627</v>
      </c>
      <c r="N1413">
        <v>7</v>
      </c>
      <c r="O1413" t="s">
        <v>44</v>
      </c>
      <c r="P1413">
        <v>1</v>
      </c>
      <c r="R1413">
        <v>1578</v>
      </c>
      <c r="S1413" s="17">
        <v>42130</v>
      </c>
      <c r="T1413" s="17">
        <v>42130</v>
      </c>
      <c r="W1413">
        <v>2015</v>
      </c>
      <c r="X1413">
        <v>7</v>
      </c>
      <c r="AC1413" t="s">
        <v>106</v>
      </c>
      <c r="AD1413" t="s">
        <v>302</v>
      </c>
      <c r="AE1413" t="s">
        <v>46</v>
      </c>
      <c r="AG1413">
        <v>12</v>
      </c>
      <c r="AH1413">
        <v>10</v>
      </c>
      <c r="AI1413" t="s">
        <v>95</v>
      </c>
      <c r="AK1413">
        <v>0</v>
      </c>
      <c r="AM1413">
        <v>0</v>
      </c>
      <c r="AP1413" t="s">
        <v>392</v>
      </c>
    </row>
    <row r="1414" spans="1:42" customFormat="1">
      <c r="A1414">
        <v>268373</v>
      </c>
      <c r="B1414" t="s">
        <v>1512</v>
      </c>
      <c r="C1414" t="s">
        <v>1513</v>
      </c>
      <c r="D1414" s="22">
        <v>0</v>
      </c>
      <c r="E1414" s="17">
        <v>42129</v>
      </c>
      <c r="F1414" s="18">
        <v>0.64931712962962962</v>
      </c>
      <c r="G1414" s="22">
        <v>1474.96</v>
      </c>
      <c r="H1414">
        <v>0</v>
      </c>
      <c r="I1414" s="19" t="e">
        <f>I1413 + (D1414-G1414)</f>
        <v>#VALUE!</v>
      </c>
      <c r="M1414">
        <v>122637</v>
      </c>
      <c r="N1414">
        <v>7</v>
      </c>
      <c r="O1414" t="s">
        <v>44</v>
      </c>
      <c r="P1414">
        <v>1</v>
      </c>
      <c r="R1414">
        <v>1578</v>
      </c>
      <c r="S1414" s="17">
        <v>42130</v>
      </c>
      <c r="T1414" s="17">
        <v>42130</v>
      </c>
      <c r="W1414">
        <v>2015</v>
      </c>
      <c r="X1414">
        <v>7</v>
      </c>
      <c r="AC1414" t="s">
        <v>106</v>
      </c>
      <c r="AD1414" t="s">
        <v>302</v>
      </c>
      <c r="AE1414" t="s">
        <v>46</v>
      </c>
      <c r="AG1414">
        <v>12</v>
      </c>
      <c r="AH1414">
        <v>10</v>
      </c>
      <c r="AI1414" t="s">
        <v>95</v>
      </c>
      <c r="AK1414">
        <v>0</v>
      </c>
      <c r="AM1414">
        <v>0</v>
      </c>
      <c r="AP1414" t="s">
        <v>392</v>
      </c>
    </row>
    <row r="1415" spans="1:42" customFormat="1">
      <c r="A1415">
        <v>268374</v>
      </c>
      <c r="B1415" t="s">
        <v>1514</v>
      </c>
      <c r="C1415" t="s">
        <v>1515</v>
      </c>
      <c r="D1415" s="22">
        <v>0</v>
      </c>
      <c r="E1415" s="17">
        <v>42129</v>
      </c>
      <c r="F1415" s="18">
        <v>0.64931712962962962</v>
      </c>
      <c r="G1415" s="22">
        <v>1474.96</v>
      </c>
      <c r="H1415">
        <v>0</v>
      </c>
      <c r="I1415" s="19" t="e">
        <f>I1414 + (D1415-G1415)</f>
        <v>#VALUE!</v>
      </c>
      <c r="M1415">
        <v>122647</v>
      </c>
      <c r="N1415">
        <v>7</v>
      </c>
      <c r="O1415" t="s">
        <v>44</v>
      </c>
      <c r="P1415">
        <v>1</v>
      </c>
      <c r="R1415">
        <v>1578</v>
      </c>
      <c r="S1415" s="17">
        <v>42130</v>
      </c>
      <c r="T1415" s="17">
        <v>42130</v>
      </c>
      <c r="W1415">
        <v>2015</v>
      </c>
      <c r="X1415">
        <v>7</v>
      </c>
      <c r="AC1415" t="s">
        <v>106</v>
      </c>
      <c r="AD1415" t="s">
        <v>302</v>
      </c>
      <c r="AE1415" t="s">
        <v>46</v>
      </c>
      <c r="AG1415">
        <v>12</v>
      </c>
      <c r="AH1415">
        <v>10</v>
      </c>
      <c r="AI1415" t="s">
        <v>95</v>
      </c>
      <c r="AK1415">
        <v>0</v>
      </c>
      <c r="AM1415">
        <v>0</v>
      </c>
      <c r="AP1415" t="s">
        <v>392</v>
      </c>
    </row>
    <row r="1416" spans="1:42" customFormat="1">
      <c r="A1416">
        <v>268380</v>
      </c>
      <c r="B1416" t="s">
        <v>1516</v>
      </c>
      <c r="C1416" t="s">
        <v>1517</v>
      </c>
      <c r="D1416" s="22">
        <v>0</v>
      </c>
      <c r="E1416" s="17">
        <v>42129</v>
      </c>
      <c r="F1416" s="18">
        <v>0.64932870370370377</v>
      </c>
      <c r="G1416" s="22">
        <v>1151.5999999999999</v>
      </c>
      <c r="H1416">
        <v>0</v>
      </c>
      <c r="I1416" s="19" t="e">
        <f>I1415 + (D1416-G1416)</f>
        <v>#VALUE!</v>
      </c>
      <c r="M1416">
        <v>122707</v>
      </c>
      <c r="N1416">
        <v>7</v>
      </c>
      <c r="O1416" t="s">
        <v>44</v>
      </c>
      <c r="P1416">
        <v>1</v>
      </c>
      <c r="R1416">
        <v>1578</v>
      </c>
      <c r="S1416" s="17">
        <v>42130</v>
      </c>
      <c r="T1416" s="17">
        <v>42130</v>
      </c>
      <c r="W1416">
        <v>2015</v>
      </c>
      <c r="X1416">
        <v>7</v>
      </c>
      <c r="AC1416" t="s">
        <v>106</v>
      </c>
      <c r="AD1416" t="s">
        <v>302</v>
      </c>
      <c r="AE1416" t="s">
        <v>46</v>
      </c>
      <c r="AG1416">
        <v>12</v>
      </c>
      <c r="AH1416">
        <v>10</v>
      </c>
      <c r="AI1416" t="s">
        <v>95</v>
      </c>
      <c r="AK1416">
        <v>0</v>
      </c>
      <c r="AM1416">
        <v>0</v>
      </c>
      <c r="AP1416" t="s">
        <v>392</v>
      </c>
    </row>
    <row r="1417" spans="1:42" customFormat="1">
      <c r="A1417">
        <v>268375</v>
      </c>
      <c r="B1417" t="s">
        <v>1518</v>
      </c>
      <c r="C1417" t="s">
        <v>1519</v>
      </c>
      <c r="D1417" s="22">
        <v>0</v>
      </c>
      <c r="E1417" s="17">
        <v>42129</v>
      </c>
      <c r="F1417" s="18">
        <v>0.64932870370370377</v>
      </c>
      <c r="G1417" s="22">
        <v>1474.96</v>
      </c>
      <c r="H1417">
        <v>0</v>
      </c>
      <c r="I1417" s="19" t="e">
        <f>I1416 + (D1417-G1417)</f>
        <v>#VALUE!</v>
      </c>
      <c r="M1417">
        <v>122657</v>
      </c>
      <c r="N1417">
        <v>7</v>
      </c>
      <c r="O1417" t="s">
        <v>44</v>
      </c>
      <c r="P1417">
        <v>1</v>
      </c>
      <c r="R1417">
        <v>1578</v>
      </c>
      <c r="S1417" s="17">
        <v>42130</v>
      </c>
      <c r="T1417" s="17">
        <v>42130</v>
      </c>
      <c r="W1417">
        <v>2015</v>
      </c>
      <c r="X1417">
        <v>7</v>
      </c>
      <c r="AC1417" t="s">
        <v>106</v>
      </c>
      <c r="AD1417" t="s">
        <v>302</v>
      </c>
      <c r="AE1417" t="s">
        <v>46</v>
      </c>
      <c r="AG1417">
        <v>12</v>
      </c>
      <c r="AH1417">
        <v>10</v>
      </c>
      <c r="AI1417" t="s">
        <v>95</v>
      </c>
      <c r="AK1417">
        <v>0</v>
      </c>
      <c r="AM1417">
        <v>0</v>
      </c>
      <c r="AP1417" t="s">
        <v>392</v>
      </c>
    </row>
    <row r="1418" spans="1:42" customFormat="1">
      <c r="A1418">
        <v>268376</v>
      </c>
      <c r="B1418" t="s">
        <v>1520</v>
      </c>
      <c r="C1418" t="s">
        <v>1521</v>
      </c>
      <c r="D1418" s="22">
        <v>0</v>
      </c>
      <c r="E1418" s="17">
        <v>42129</v>
      </c>
      <c r="F1418" s="18">
        <v>0.64932870370370377</v>
      </c>
      <c r="G1418" s="22">
        <v>1474.96</v>
      </c>
      <c r="H1418">
        <v>0</v>
      </c>
      <c r="I1418" s="19" t="e">
        <f>I1417 + (D1418-G1418)</f>
        <v>#VALUE!</v>
      </c>
      <c r="M1418">
        <v>122667</v>
      </c>
      <c r="N1418">
        <v>7</v>
      </c>
      <c r="O1418" t="s">
        <v>44</v>
      </c>
      <c r="P1418">
        <v>1</v>
      </c>
      <c r="R1418">
        <v>1578</v>
      </c>
      <c r="S1418" s="17">
        <v>42130</v>
      </c>
      <c r="T1418" s="17">
        <v>42130</v>
      </c>
      <c r="W1418">
        <v>2015</v>
      </c>
      <c r="X1418">
        <v>7</v>
      </c>
      <c r="AC1418" t="s">
        <v>106</v>
      </c>
      <c r="AD1418" t="s">
        <v>302</v>
      </c>
      <c r="AE1418" t="s">
        <v>46</v>
      </c>
      <c r="AG1418">
        <v>12</v>
      </c>
      <c r="AH1418">
        <v>10</v>
      </c>
      <c r="AI1418" t="s">
        <v>95</v>
      </c>
      <c r="AK1418">
        <v>0</v>
      </c>
      <c r="AM1418">
        <v>0</v>
      </c>
      <c r="AP1418" t="s">
        <v>392</v>
      </c>
    </row>
    <row r="1419" spans="1:42" customFormat="1">
      <c r="A1419">
        <v>268377</v>
      </c>
      <c r="B1419" t="s">
        <v>1522</v>
      </c>
      <c r="C1419" t="s">
        <v>1523</v>
      </c>
      <c r="D1419" s="22">
        <v>0</v>
      </c>
      <c r="E1419" s="17">
        <v>42129</v>
      </c>
      <c r="F1419" s="18">
        <v>0.64932870370370377</v>
      </c>
      <c r="G1419" s="22">
        <v>1474.96</v>
      </c>
      <c r="H1419">
        <v>0</v>
      </c>
      <c r="I1419" s="19" t="e">
        <f>I1418 + (D1419-G1419)</f>
        <v>#VALUE!</v>
      </c>
      <c r="M1419">
        <v>122677</v>
      </c>
      <c r="N1419">
        <v>7</v>
      </c>
      <c r="O1419" t="s">
        <v>44</v>
      </c>
      <c r="P1419">
        <v>1</v>
      </c>
      <c r="R1419">
        <v>1578</v>
      </c>
      <c r="S1419" s="17">
        <v>42130</v>
      </c>
      <c r="T1419" s="17">
        <v>42130</v>
      </c>
      <c r="W1419">
        <v>2015</v>
      </c>
      <c r="X1419">
        <v>7</v>
      </c>
      <c r="AC1419" t="s">
        <v>106</v>
      </c>
      <c r="AD1419" t="s">
        <v>302</v>
      </c>
      <c r="AE1419" t="s">
        <v>46</v>
      </c>
      <c r="AG1419">
        <v>12</v>
      </c>
      <c r="AH1419">
        <v>10</v>
      </c>
      <c r="AI1419" t="s">
        <v>95</v>
      </c>
      <c r="AK1419">
        <v>0</v>
      </c>
      <c r="AM1419">
        <v>0</v>
      </c>
      <c r="AP1419" t="s">
        <v>392</v>
      </c>
    </row>
    <row r="1420" spans="1:42" customFormat="1">
      <c r="A1420">
        <v>268378</v>
      </c>
      <c r="B1420" t="s">
        <v>1524</v>
      </c>
      <c r="C1420" t="s">
        <v>1525</v>
      </c>
      <c r="D1420" s="22">
        <v>0</v>
      </c>
      <c r="E1420" s="17">
        <v>42129</v>
      </c>
      <c r="F1420" s="18">
        <v>0.64932870370370377</v>
      </c>
      <c r="G1420" s="22">
        <v>1474.96</v>
      </c>
      <c r="H1420">
        <v>0</v>
      </c>
      <c r="I1420" s="19" t="e">
        <f>I1419 + (D1420-G1420)</f>
        <v>#VALUE!</v>
      </c>
      <c r="M1420">
        <v>122687</v>
      </c>
      <c r="N1420">
        <v>7</v>
      </c>
      <c r="O1420" t="s">
        <v>44</v>
      </c>
      <c r="P1420">
        <v>1</v>
      </c>
      <c r="R1420">
        <v>1578</v>
      </c>
      <c r="S1420" s="17">
        <v>42130</v>
      </c>
      <c r="T1420" s="17">
        <v>42130</v>
      </c>
      <c r="W1420">
        <v>2015</v>
      </c>
      <c r="X1420">
        <v>7</v>
      </c>
      <c r="AC1420" t="s">
        <v>106</v>
      </c>
      <c r="AD1420" t="s">
        <v>302</v>
      </c>
      <c r="AE1420" t="s">
        <v>46</v>
      </c>
      <c r="AG1420">
        <v>12</v>
      </c>
      <c r="AH1420">
        <v>10</v>
      </c>
      <c r="AI1420" t="s">
        <v>95</v>
      </c>
      <c r="AK1420">
        <v>0</v>
      </c>
      <c r="AM1420">
        <v>0</v>
      </c>
      <c r="AP1420" t="s">
        <v>392</v>
      </c>
    </row>
    <row r="1421" spans="1:42" customFormat="1">
      <c r="A1421">
        <v>268379</v>
      </c>
      <c r="B1421" t="s">
        <v>1526</v>
      </c>
      <c r="C1421" t="s">
        <v>1527</v>
      </c>
      <c r="D1421" s="22">
        <v>0</v>
      </c>
      <c r="E1421" s="17">
        <v>42129</v>
      </c>
      <c r="F1421" s="18">
        <v>0.64932870370370377</v>
      </c>
      <c r="G1421" s="22">
        <v>1474.96</v>
      </c>
      <c r="H1421">
        <v>0</v>
      </c>
      <c r="I1421" s="19" t="e">
        <f>I1420 + (D1421-G1421)</f>
        <v>#VALUE!</v>
      </c>
      <c r="M1421">
        <v>122697</v>
      </c>
      <c r="N1421">
        <v>7</v>
      </c>
      <c r="O1421" t="s">
        <v>44</v>
      </c>
      <c r="P1421">
        <v>1</v>
      </c>
      <c r="R1421">
        <v>1578</v>
      </c>
      <c r="S1421" s="17">
        <v>42130</v>
      </c>
      <c r="T1421" s="17">
        <v>42130</v>
      </c>
      <c r="W1421">
        <v>2015</v>
      </c>
      <c r="X1421">
        <v>7</v>
      </c>
      <c r="AC1421" t="s">
        <v>106</v>
      </c>
      <c r="AD1421" t="s">
        <v>302</v>
      </c>
      <c r="AE1421" t="s">
        <v>46</v>
      </c>
      <c r="AG1421">
        <v>12</v>
      </c>
      <c r="AH1421">
        <v>10</v>
      </c>
      <c r="AI1421" t="s">
        <v>95</v>
      </c>
      <c r="AK1421">
        <v>0</v>
      </c>
      <c r="AM1421">
        <v>0</v>
      </c>
      <c r="AP1421" t="s">
        <v>392</v>
      </c>
    </row>
    <row r="1422" spans="1:42" customFormat="1">
      <c r="A1422">
        <v>268381</v>
      </c>
      <c r="B1422" t="s">
        <v>1528</v>
      </c>
      <c r="C1422" t="s">
        <v>1529</v>
      </c>
      <c r="D1422" s="22">
        <v>0</v>
      </c>
      <c r="E1422" s="17">
        <v>42129</v>
      </c>
      <c r="F1422" s="18">
        <v>0.64932870370370377</v>
      </c>
      <c r="G1422" s="22">
        <v>1474.96</v>
      </c>
      <c r="H1422">
        <v>0</v>
      </c>
      <c r="I1422" s="19" t="e">
        <f>I1421 + (D1422-G1422)</f>
        <v>#VALUE!</v>
      </c>
      <c r="M1422">
        <v>122628</v>
      </c>
      <c r="N1422">
        <v>7</v>
      </c>
      <c r="O1422" t="s">
        <v>44</v>
      </c>
      <c r="P1422">
        <v>1</v>
      </c>
      <c r="R1422">
        <v>1578</v>
      </c>
      <c r="S1422" s="17">
        <v>42130</v>
      </c>
      <c r="T1422" s="17">
        <v>42130</v>
      </c>
      <c r="W1422">
        <v>2015</v>
      </c>
      <c r="X1422">
        <v>7</v>
      </c>
      <c r="AC1422" t="s">
        <v>106</v>
      </c>
      <c r="AD1422" t="s">
        <v>302</v>
      </c>
      <c r="AE1422" t="s">
        <v>46</v>
      </c>
      <c r="AG1422">
        <v>12</v>
      </c>
      <c r="AH1422">
        <v>10</v>
      </c>
      <c r="AI1422" t="s">
        <v>95</v>
      </c>
      <c r="AK1422">
        <v>0</v>
      </c>
      <c r="AM1422">
        <v>0</v>
      </c>
      <c r="AP1422" t="s">
        <v>392</v>
      </c>
    </row>
    <row r="1423" spans="1:42" customFormat="1">
      <c r="A1423">
        <v>268382</v>
      </c>
      <c r="B1423" t="s">
        <v>1530</v>
      </c>
      <c r="C1423" t="s">
        <v>1531</v>
      </c>
      <c r="D1423" s="22">
        <v>0</v>
      </c>
      <c r="E1423" s="17">
        <v>42129</v>
      </c>
      <c r="F1423" s="18">
        <v>0.64932870370370377</v>
      </c>
      <c r="G1423" s="22">
        <v>1474.96</v>
      </c>
      <c r="H1423">
        <v>0</v>
      </c>
      <c r="I1423" s="19" t="e">
        <f>I1422 + (D1423-G1423)</f>
        <v>#VALUE!</v>
      </c>
      <c r="M1423">
        <v>122638</v>
      </c>
      <c r="N1423">
        <v>7</v>
      </c>
      <c r="O1423" t="s">
        <v>44</v>
      </c>
      <c r="P1423">
        <v>1</v>
      </c>
      <c r="R1423">
        <v>1578</v>
      </c>
      <c r="S1423" s="17">
        <v>42130</v>
      </c>
      <c r="T1423" s="17">
        <v>42130</v>
      </c>
      <c r="W1423">
        <v>2015</v>
      </c>
      <c r="X1423">
        <v>7</v>
      </c>
      <c r="AC1423" t="s">
        <v>106</v>
      </c>
      <c r="AD1423" t="s">
        <v>302</v>
      </c>
      <c r="AE1423" t="s">
        <v>46</v>
      </c>
      <c r="AG1423">
        <v>12</v>
      </c>
      <c r="AH1423">
        <v>10</v>
      </c>
      <c r="AI1423" t="s">
        <v>95</v>
      </c>
      <c r="AK1423">
        <v>0</v>
      </c>
      <c r="AM1423">
        <v>0</v>
      </c>
      <c r="AP1423" t="s">
        <v>392</v>
      </c>
    </row>
    <row r="1424" spans="1:42" customFormat="1">
      <c r="A1424">
        <v>268383</v>
      </c>
      <c r="B1424" t="s">
        <v>1532</v>
      </c>
      <c r="C1424" t="s">
        <v>1533</v>
      </c>
      <c r="D1424" s="22">
        <v>0</v>
      </c>
      <c r="E1424" s="17">
        <v>42129</v>
      </c>
      <c r="F1424" s="18">
        <v>0.64932870370370377</v>
      </c>
      <c r="G1424" s="22">
        <v>1474.96</v>
      </c>
      <c r="H1424">
        <v>0</v>
      </c>
      <c r="I1424" s="19" t="e">
        <f>I1423 + (D1424-G1424)</f>
        <v>#VALUE!</v>
      </c>
      <c r="M1424">
        <v>122648</v>
      </c>
      <c r="N1424">
        <v>7</v>
      </c>
      <c r="O1424" t="s">
        <v>44</v>
      </c>
      <c r="P1424">
        <v>1</v>
      </c>
      <c r="R1424">
        <v>1578</v>
      </c>
      <c r="S1424" s="17">
        <v>42130</v>
      </c>
      <c r="T1424" s="17">
        <v>42130</v>
      </c>
      <c r="W1424">
        <v>2015</v>
      </c>
      <c r="X1424">
        <v>7</v>
      </c>
      <c r="AC1424" t="s">
        <v>106</v>
      </c>
      <c r="AD1424" t="s">
        <v>302</v>
      </c>
      <c r="AE1424" t="s">
        <v>46</v>
      </c>
      <c r="AG1424">
        <v>12</v>
      </c>
      <c r="AH1424">
        <v>10</v>
      </c>
      <c r="AI1424" t="s">
        <v>95</v>
      </c>
      <c r="AK1424">
        <v>0</v>
      </c>
      <c r="AM1424">
        <v>0</v>
      </c>
      <c r="AP1424" t="s">
        <v>392</v>
      </c>
    </row>
    <row r="1425" spans="1:42" customFormat="1">
      <c r="A1425">
        <v>268384</v>
      </c>
      <c r="B1425" t="s">
        <v>1534</v>
      </c>
      <c r="C1425" t="s">
        <v>1535</v>
      </c>
      <c r="D1425" s="22">
        <v>0</v>
      </c>
      <c r="E1425" s="17">
        <v>42129</v>
      </c>
      <c r="F1425" s="18">
        <v>0.64932870370370377</v>
      </c>
      <c r="G1425" s="22">
        <v>1474.96</v>
      </c>
      <c r="H1425">
        <v>0</v>
      </c>
      <c r="I1425" s="19" t="e">
        <f>I1424 + (D1425-G1425)</f>
        <v>#VALUE!</v>
      </c>
      <c r="M1425">
        <v>122658</v>
      </c>
      <c r="N1425">
        <v>7</v>
      </c>
      <c r="O1425" t="s">
        <v>44</v>
      </c>
      <c r="P1425">
        <v>1</v>
      </c>
      <c r="R1425">
        <v>1578</v>
      </c>
      <c r="S1425" s="17">
        <v>42130</v>
      </c>
      <c r="T1425" s="17">
        <v>42130</v>
      </c>
      <c r="W1425">
        <v>2015</v>
      </c>
      <c r="X1425">
        <v>7</v>
      </c>
      <c r="AC1425" t="s">
        <v>106</v>
      </c>
      <c r="AD1425" t="s">
        <v>302</v>
      </c>
      <c r="AE1425" t="s">
        <v>46</v>
      </c>
      <c r="AG1425">
        <v>12</v>
      </c>
      <c r="AH1425">
        <v>10</v>
      </c>
      <c r="AI1425" t="s">
        <v>95</v>
      </c>
      <c r="AK1425">
        <v>0</v>
      </c>
      <c r="AM1425">
        <v>0</v>
      </c>
      <c r="AP1425" t="s">
        <v>392</v>
      </c>
    </row>
    <row r="1426" spans="1:42" customFormat="1">
      <c r="A1426">
        <v>268385</v>
      </c>
      <c r="B1426" t="s">
        <v>1536</v>
      </c>
      <c r="C1426" t="s">
        <v>1537</v>
      </c>
      <c r="D1426" s="22">
        <v>0</v>
      </c>
      <c r="E1426" s="17">
        <v>42129</v>
      </c>
      <c r="F1426" s="18">
        <v>0.64934027777777781</v>
      </c>
      <c r="G1426" s="22">
        <v>1474.96</v>
      </c>
      <c r="H1426">
        <v>0</v>
      </c>
      <c r="I1426" s="19" t="e">
        <f>I1425 + (D1426-G1426)</f>
        <v>#VALUE!</v>
      </c>
      <c r="M1426">
        <v>122668</v>
      </c>
      <c r="N1426">
        <v>7</v>
      </c>
      <c r="O1426" t="s">
        <v>44</v>
      </c>
      <c r="P1426">
        <v>1</v>
      </c>
      <c r="R1426">
        <v>1578</v>
      </c>
      <c r="S1426" s="17">
        <v>42130</v>
      </c>
      <c r="T1426" s="17">
        <v>42130</v>
      </c>
      <c r="W1426">
        <v>2015</v>
      </c>
      <c r="X1426">
        <v>7</v>
      </c>
      <c r="AC1426" t="s">
        <v>106</v>
      </c>
      <c r="AD1426" t="s">
        <v>302</v>
      </c>
      <c r="AE1426" t="s">
        <v>46</v>
      </c>
      <c r="AG1426">
        <v>12</v>
      </c>
      <c r="AH1426">
        <v>10</v>
      </c>
      <c r="AI1426" t="s">
        <v>95</v>
      </c>
      <c r="AK1426">
        <v>0</v>
      </c>
      <c r="AM1426">
        <v>0</v>
      </c>
      <c r="AP1426" t="s">
        <v>392</v>
      </c>
    </row>
    <row r="1427" spans="1:42" customFormat="1">
      <c r="A1427">
        <v>268386</v>
      </c>
      <c r="B1427" t="s">
        <v>1538</v>
      </c>
      <c r="C1427" t="s">
        <v>1539</v>
      </c>
      <c r="D1427" s="22">
        <v>0</v>
      </c>
      <c r="E1427" s="17">
        <v>42129</v>
      </c>
      <c r="F1427" s="18">
        <v>0.64934027777777781</v>
      </c>
      <c r="G1427" s="22">
        <v>1474.96</v>
      </c>
      <c r="H1427">
        <v>0</v>
      </c>
      <c r="I1427" s="19" t="e">
        <f>I1426 + (D1427-G1427)</f>
        <v>#VALUE!</v>
      </c>
      <c r="M1427">
        <v>122678</v>
      </c>
      <c r="N1427">
        <v>7</v>
      </c>
      <c r="O1427" t="s">
        <v>44</v>
      </c>
      <c r="P1427">
        <v>1</v>
      </c>
      <c r="R1427">
        <v>1578</v>
      </c>
      <c r="S1427" s="17">
        <v>42130</v>
      </c>
      <c r="T1427" s="17">
        <v>42130</v>
      </c>
      <c r="W1427">
        <v>2015</v>
      </c>
      <c r="X1427">
        <v>7</v>
      </c>
      <c r="AC1427" t="s">
        <v>106</v>
      </c>
      <c r="AD1427" t="s">
        <v>302</v>
      </c>
      <c r="AE1427" t="s">
        <v>46</v>
      </c>
      <c r="AG1427">
        <v>12</v>
      </c>
      <c r="AH1427">
        <v>10</v>
      </c>
      <c r="AI1427" t="s">
        <v>95</v>
      </c>
      <c r="AK1427">
        <v>0</v>
      </c>
      <c r="AM1427">
        <v>0</v>
      </c>
      <c r="AP1427" t="s">
        <v>392</v>
      </c>
    </row>
    <row r="1428" spans="1:42" customFormat="1">
      <c r="A1428">
        <v>268387</v>
      </c>
      <c r="B1428" t="s">
        <v>1540</v>
      </c>
      <c r="C1428" t="s">
        <v>1541</v>
      </c>
      <c r="D1428" s="22">
        <v>0</v>
      </c>
      <c r="E1428" s="17">
        <v>42129</v>
      </c>
      <c r="F1428" s="18">
        <v>0.64934027777777781</v>
      </c>
      <c r="G1428" s="22">
        <v>1474.96</v>
      </c>
      <c r="H1428">
        <v>0</v>
      </c>
      <c r="I1428" s="19" t="e">
        <f>I1427 + (D1428-G1428)</f>
        <v>#VALUE!</v>
      </c>
      <c r="M1428">
        <v>122688</v>
      </c>
      <c r="N1428">
        <v>7</v>
      </c>
      <c r="O1428" t="s">
        <v>44</v>
      </c>
      <c r="P1428">
        <v>1</v>
      </c>
      <c r="R1428">
        <v>1578</v>
      </c>
      <c r="S1428" s="17">
        <v>42130</v>
      </c>
      <c r="T1428" s="17">
        <v>42130</v>
      </c>
      <c r="W1428">
        <v>2015</v>
      </c>
      <c r="X1428">
        <v>7</v>
      </c>
      <c r="AC1428" t="s">
        <v>106</v>
      </c>
      <c r="AD1428" t="s">
        <v>302</v>
      </c>
      <c r="AE1428" t="s">
        <v>46</v>
      </c>
      <c r="AG1428">
        <v>12</v>
      </c>
      <c r="AH1428">
        <v>10</v>
      </c>
      <c r="AI1428" t="s">
        <v>95</v>
      </c>
      <c r="AK1428">
        <v>0</v>
      </c>
      <c r="AM1428">
        <v>0</v>
      </c>
      <c r="AP1428" t="s">
        <v>392</v>
      </c>
    </row>
    <row r="1429" spans="1:42" customFormat="1">
      <c r="A1429">
        <v>268388</v>
      </c>
      <c r="B1429" t="s">
        <v>1542</v>
      </c>
      <c r="C1429" t="s">
        <v>1543</v>
      </c>
      <c r="D1429" s="22">
        <v>0</v>
      </c>
      <c r="E1429" s="17">
        <v>42129</v>
      </c>
      <c r="F1429" s="18">
        <v>0.64934027777777781</v>
      </c>
      <c r="G1429" s="22">
        <v>1474.96</v>
      </c>
      <c r="H1429">
        <v>0</v>
      </c>
      <c r="I1429" s="19" t="e">
        <f>I1428 + (D1429-G1429)</f>
        <v>#VALUE!</v>
      </c>
      <c r="M1429">
        <v>122698</v>
      </c>
      <c r="N1429">
        <v>7</v>
      </c>
      <c r="O1429" t="s">
        <v>44</v>
      </c>
      <c r="P1429">
        <v>1</v>
      </c>
      <c r="R1429">
        <v>1578</v>
      </c>
      <c r="S1429" s="17">
        <v>42130</v>
      </c>
      <c r="T1429" s="17">
        <v>42130</v>
      </c>
      <c r="W1429">
        <v>2015</v>
      </c>
      <c r="X1429">
        <v>7</v>
      </c>
      <c r="AC1429" t="s">
        <v>106</v>
      </c>
      <c r="AD1429" t="s">
        <v>302</v>
      </c>
      <c r="AE1429" t="s">
        <v>46</v>
      </c>
      <c r="AG1429">
        <v>12</v>
      </c>
      <c r="AH1429">
        <v>10</v>
      </c>
      <c r="AI1429" t="s">
        <v>95</v>
      </c>
      <c r="AK1429">
        <v>0</v>
      </c>
      <c r="AM1429">
        <v>0</v>
      </c>
      <c r="AP1429" t="s">
        <v>392</v>
      </c>
    </row>
    <row r="1430" spans="1:42" customFormat="1">
      <c r="A1430">
        <v>268389</v>
      </c>
      <c r="B1430" t="s">
        <v>1544</v>
      </c>
      <c r="C1430" t="s">
        <v>1545</v>
      </c>
      <c r="D1430" s="22">
        <v>0</v>
      </c>
      <c r="E1430" s="17">
        <v>42129</v>
      </c>
      <c r="F1430" s="18">
        <v>0.64934027777777781</v>
      </c>
      <c r="G1430" s="22">
        <v>1474.96</v>
      </c>
      <c r="H1430">
        <v>0</v>
      </c>
      <c r="I1430" s="19" t="e">
        <f>I1429 + (D1430-G1430)</f>
        <v>#VALUE!</v>
      </c>
      <c r="M1430">
        <v>122629</v>
      </c>
      <c r="N1430">
        <v>7</v>
      </c>
      <c r="O1430" t="s">
        <v>44</v>
      </c>
      <c r="P1430">
        <v>1</v>
      </c>
      <c r="R1430">
        <v>1578</v>
      </c>
      <c r="S1430" s="17">
        <v>42130</v>
      </c>
      <c r="T1430" s="17">
        <v>42130</v>
      </c>
      <c r="W1430">
        <v>2015</v>
      </c>
      <c r="X1430">
        <v>7</v>
      </c>
      <c r="AC1430" t="s">
        <v>106</v>
      </c>
      <c r="AD1430" t="s">
        <v>302</v>
      </c>
      <c r="AE1430" t="s">
        <v>46</v>
      </c>
      <c r="AG1430">
        <v>12</v>
      </c>
      <c r="AH1430">
        <v>10</v>
      </c>
      <c r="AI1430" t="s">
        <v>95</v>
      </c>
      <c r="AK1430">
        <v>0</v>
      </c>
      <c r="AM1430">
        <v>0</v>
      </c>
      <c r="AP1430" t="s">
        <v>392</v>
      </c>
    </row>
    <row r="1431" spans="1:42" customFormat="1">
      <c r="A1431">
        <v>268390</v>
      </c>
      <c r="B1431" t="s">
        <v>1546</v>
      </c>
      <c r="C1431" t="s">
        <v>1547</v>
      </c>
      <c r="D1431" s="22">
        <v>0</v>
      </c>
      <c r="E1431" s="17">
        <v>42129</v>
      </c>
      <c r="F1431" s="18">
        <v>0.64934027777777781</v>
      </c>
      <c r="G1431" s="22">
        <v>1474.96</v>
      </c>
      <c r="H1431">
        <v>0</v>
      </c>
      <c r="I1431" s="19" t="e">
        <f>I1430 + (D1431-G1431)</f>
        <v>#VALUE!</v>
      </c>
      <c r="M1431">
        <v>122639</v>
      </c>
      <c r="N1431">
        <v>7</v>
      </c>
      <c r="O1431" t="s">
        <v>44</v>
      </c>
      <c r="P1431">
        <v>1</v>
      </c>
      <c r="R1431">
        <v>1578</v>
      </c>
      <c r="S1431" s="17">
        <v>42130</v>
      </c>
      <c r="T1431" s="17">
        <v>42130</v>
      </c>
      <c r="W1431">
        <v>2015</v>
      </c>
      <c r="X1431">
        <v>7</v>
      </c>
      <c r="AC1431" t="s">
        <v>106</v>
      </c>
      <c r="AD1431" t="s">
        <v>302</v>
      </c>
      <c r="AE1431" t="s">
        <v>46</v>
      </c>
      <c r="AG1431">
        <v>12</v>
      </c>
      <c r="AH1431">
        <v>10</v>
      </c>
      <c r="AI1431" t="s">
        <v>95</v>
      </c>
      <c r="AK1431">
        <v>0</v>
      </c>
      <c r="AM1431">
        <v>0</v>
      </c>
      <c r="AP1431" t="s">
        <v>392</v>
      </c>
    </row>
    <row r="1432" spans="1:42" customFormat="1">
      <c r="A1432">
        <v>268391</v>
      </c>
      <c r="B1432" t="s">
        <v>1548</v>
      </c>
      <c r="C1432" t="s">
        <v>1549</v>
      </c>
      <c r="D1432" s="22">
        <v>0</v>
      </c>
      <c r="E1432" s="17">
        <v>42129</v>
      </c>
      <c r="F1432" s="18">
        <v>0.64934027777777781</v>
      </c>
      <c r="G1432" s="22">
        <v>1474.96</v>
      </c>
      <c r="H1432">
        <v>0</v>
      </c>
      <c r="I1432" s="19" t="e">
        <f>I1431 + (D1432-G1432)</f>
        <v>#VALUE!</v>
      </c>
      <c r="M1432">
        <v>122649</v>
      </c>
      <c r="N1432">
        <v>7</v>
      </c>
      <c r="O1432" t="s">
        <v>44</v>
      </c>
      <c r="P1432">
        <v>1</v>
      </c>
      <c r="R1432">
        <v>1578</v>
      </c>
      <c r="S1432" s="17">
        <v>42130</v>
      </c>
      <c r="T1432" s="17">
        <v>42130</v>
      </c>
      <c r="W1432">
        <v>2015</v>
      </c>
      <c r="X1432">
        <v>7</v>
      </c>
      <c r="AC1432" t="s">
        <v>106</v>
      </c>
      <c r="AD1432" t="s">
        <v>302</v>
      </c>
      <c r="AE1432" t="s">
        <v>46</v>
      </c>
      <c r="AG1432">
        <v>12</v>
      </c>
      <c r="AH1432">
        <v>10</v>
      </c>
      <c r="AI1432" t="s">
        <v>95</v>
      </c>
      <c r="AK1432">
        <v>0</v>
      </c>
      <c r="AM1432">
        <v>0</v>
      </c>
      <c r="AP1432" t="s">
        <v>392</v>
      </c>
    </row>
    <row r="1433" spans="1:42" customFormat="1">
      <c r="A1433">
        <v>268392</v>
      </c>
      <c r="B1433" t="s">
        <v>1550</v>
      </c>
      <c r="C1433" t="s">
        <v>1551</v>
      </c>
      <c r="D1433" s="22">
        <v>0</v>
      </c>
      <c r="E1433" s="17">
        <v>42129</v>
      </c>
      <c r="F1433" s="18">
        <v>0.64934027777777781</v>
      </c>
      <c r="G1433" s="22">
        <v>1474.96</v>
      </c>
      <c r="H1433">
        <v>0</v>
      </c>
      <c r="I1433" s="19" t="e">
        <f>I1432 + (D1433-G1433)</f>
        <v>#VALUE!</v>
      </c>
      <c r="M1433">
        <v>122659</v>
      </c>
      <c r="N1433">
        <v>7</v>
      </c>
      <c r="O1433" t="s">
        <v>44</v>
      </c>
      <c r="P1433">
        <v>1</v>
      </c>
      <c r="R1433">
        <v>1578</v>
      </c>
      <c r="S1433" s="17">
        <v>42130</v>
      </c>
      <c r="T1433" s="17">
        <v>42130</v>
      </c>
      <c r="W1433">
        <v>2015</v>
      </c>
      <c r="X1433">
        <v>7</v>
      </c>
      <c r="AC1433" t="s">
        <v>106</v>
      </c>
      <c r="AD1433" t="s">
        <v>302</v>
      </c>
      <c r="AE1433" t="s">
        <v>46</v>
      </c>
      <c r="AG1433">
        <v>12</v>
      </c>
      <c r="AH1433">
        <v>10</v>
      </c>
      <c r="AI1433" t="s">
        <v>95</v>
      </c>
      <c r="AK1433">
        <v>0</v>
      </c>
      <c r="AM1433">
        <v>0</v>
      </c>
      <c r="AP1433" t="s">
        <v>392</v>
      </c>
    </row>
    <row r="1434" spans="1:42" customFormat="1">
      <c r="A1434">
        <v>268393</v>
      </c>
      <c r="B1434" t="s">
        <v>1552</v>
      </c>
      <c r="C1434" t="s">
        <v>1553</v>
      </c>
      <c r="D1434" s="22">
        <v>0</v>
      </c>
      <c r="E1434" s="17">
        <v>42129</v>
      </c>
      <c r="F1434" s="18">
        <v>0.64934027777777781</v>
      </c>
      <c r="G1434" s="22">
        <v>1474.96</v>
      </c>
      <c r="H1434">
        <v>0</v>
      </c>
      <c r="I1434" s="19" t="e">
        <f>I1433 + (D1434-G1434)</f>
        <v>#VALUE!</v>
      </c>
      <c r="M1434">
        <v>122669</v>
      </c>
      <c r="N1434">
        <v>7</v>
      </c>
      <c r="O1434" t="s">
        <v>44</v>
      </c>
      <c r="P1434">
        <v>1</v>
      </c>
      <c r="R1434">
        <v>1578</v>
      </c>
      <c r="S1434" s="17">
        <v>42130</v>
      </c>
      <c r="T1434" s="17">
        <v>42130</v>
      </c>
      <c r="W1434">
        <v>2015</v>
      </c>
      <c r="X1434">
        <v>7</v>
      </c>
      <c r="AC1434" t="s">
        <v>106</v>
      </c>
      <c r="AD1434" t="s">
        <v>302</v>
      </c>
      <c r="AE1434" t="s">
        <v>46</v>
      </c>
      <c r="AG1434">
        <v>12</v>
      </c>
      <c r="AH1434">
        <v>10</v>
      </c>
      <c r="AI1434" t="s">
        <v>95</v>
      </c>
      <c r="AK1434">
        <v>0</v>
      </c>
      <c r="AM1434">
        <v>0</v>
      </c>
      <c r="AP1434" t="s">
        <v>392</v>
      </c>
    </row>
    <row r="1435" spans="1:42" customFormat="1">
      <c r="A1435">
        <v>268394</v>
      </c>
      <c r="B1435" t="s">
        <v>1554</v>
      </c>
      <c r="C1435" t="s">
        <v>1555</v>
      </c>
      <c r="D1435" s="22">
        <v>0</v>
      </c>
      <c r="E1435" s="17">
        <v>42129</v>
      </c>
      <c r="F1435" s="18">
        <v>0.64934027777777781</v>
      </c>
      <c r="G1435" s="22">
        <v>1474.96</v>
      </c>
      <c r="H1435">
        <v>0</v>
      </c>
      <c r="I1435" s="19" t="e">
        <f>I1434 + (D1435-G1435)</f>
        <v>#VALUE!</v>
      </c>
      <c r="M1435">
        <v>122679</v>
      </c>
      <c r="N1435">
        <v>7</v>
      </c>
      <c r="O1435" t="s">
        <v>44</v>
      </c>
      <c r="P1435">
        <v>1</v>
      </c>
      <c r="R1435">
        <v>1578</v>
      </c>
      <c r="S1435" s="17">
        <v>42130</v>
      </c>
      <c r="T1435" s="17">
        <v>42130</v>
      </c>
      <c r="W1435">
        <v>2015</v>
      </c>
      <c r="X1435">
        <v>7</v>
      </c>
      <c r="AC1435" t="s">
        <v>106</v>
      </c>
      <c r="AD1435" t="s">
        <v>302</v>
      </c>
      <c r="AE1435" t="s">
        <v>46</v>
      </c>
      <c r="AG1435">
        <v>12</v>
      </c>
      <c r="AH1435">
        <v>10</v>
      </c>
      <c r="AI1435" t="s">
        <v>95</v>
      </c>
      <c r="AK1435">
        <v>0</v>
      </c>
      <c r="AM1435">
        <v>0</v>
      </c>
      <c r="AP1435" t="s">
        <v>392</v>
      </c>
    </row>
    <row r="1436" spans="1:42" customFormat="1">
      <c r="A1436">
        <v>268395</v>
      </c>
      <c r="B1436" t="s">
        <v>1556</v>
      </c>
      <c r="C1436" t="s">
        <v>1557</v>
      </c>
      <c r="D1436" s="22">
        <v>0</v>
      </c>
      <c r="E1436" s="17">
        <v>42129</v>
      </c>
      <c r="F1436" s="18">
        <v>0.64934027777777781</v>
      </c>
      <c r="G1436" s="22">
        <v>1474.96</v>
      </c>
      <c r="H1436">
        <v>0</v>
      </c>
      <c r="I1436" s="19" t="e">
        <f>I1435 + (D1436-G1436)</f>
        <v>#VALUE!</v>
      </c>
      <c r="M1436">
        <v>122689</v>
      </c>
      <c r="N1436">
        <v>7</v>
      </c>
      <c r="O1436" t="s">
        <v>44</v>
      </c>
      <c r="P1436">
        <v>1</v>
      </c>
      <c r="R1436">
        <v>1578</v>
      </c>
      <c r="S1436" s="17">
        <v>42130</v>
      </c>
      <c r="T1436" s="17">
        <v>42130</v>
      </c>
      <c r="W1436">
        <v>2015</v>
      </c>
      <c r="X1436">
        <v>7</v>
      </c>
      <c r="AC1436" t="s">
        <v>106</v>
      </c>
      <c r="AD1436" t="s">
        <v>302</v>
      </c>
      <c r="AE1436" t="s">
        <v>46</v>
      </c>
      <c r="AG1436">
        <v>12</v>
      </c>
      <c r="AH1436">
        <v>10</v>
      </c>
      <c r="AI1436" t="s">
        <v>95</v>
      </c>
      <c r="AK1436">
        <v>0</v>
      </c>
      <c r="AM1436">
        <v>0</v>
      </c>
      <c r="AP1436" t="s">
        <v>392</v>
      </c>
    </row>
    <row r="1437" spans="1:42" customFormat="1">
      <c r="A1437">
        <v>268396</v>
      </c>
      <c r="B1437" t="s">
        <v>1558</v>
      </c>
      <c r="C1437" t="s">
        <v>1559</v>
      </c>
      <c r="D1437" s="22">
        <v>0</v>
      </c>
      <c r="E1437" s="17">
        <v>42129</v>
      </c>
      <c r="F1437" s="18">
        <v>0.64934027777777781</v>
      </c>
      <c r="G1437" s="22">
        <v>1474.96</v>
      </c>
      <c r="H1437">
        <v>0</v>
      </c>
      <c r="I1437" s="19" t="e">
        <f>I1436 + (D1437-G1437)</f>
        <v>#VALUE!</v>
      </c>
      <c r="M1437">
        <v>122699</v>
      </c>
      <c r="N1437">
        <v>7</v>
      </c>
      <c r="O1437" t="s">
        <v>44</v>
      </c>
      <c r="P1437">
        <v>1</v>
      </c>
      <c r="R1437">
        <v>1578</v>
      </c>
      <c r="S1437" s="17">
        <v>42130</v>
      </c>
      <c r="T1437" s="17">
        <v>42130</v>
      </c>
      <c r="W1437">
        <v>2015</v>
      </c>
      <c r="X1437">
        <v>7</v>
      </c>
      <c r="AC1437" t="s">
        <v>106</v>
      </c>
      <c r="AD1437" t="s">
        <v>302</v>
      </c>
      <c r="AE1437" t="s">
        <v>46</v>
      </c>
      <c r="AG1437">
        <v>12</v>
      </c>
      <c r="AH1437">
        <v>10</v>
      </c>
      <c r="AI1437" t="s">
        <v>95</v>
      </c>
      <c r="AK1437">
        <v>0</v>
      </c>
      <c r="AM1437">
        <v>0</v>
      </c>
      <c r="AP1437" t="s">
        <v>392</v>
      </c>
    </row>
    <row r="1438" spans="1:42" customFormat="1">
      <c r="A1438">
        <v>268918</v>
      </c>
      <c r="B1438" t="s">
        <v>1719</v>
      </c>
      <c r="C1438" t="s">
        <v>1720</v>
      </c>
      <c r="D1438" s="22">
        <v>0</v>
      </c>
      <c r="E1438" s="17">
        <v>42130</v>
      </c>
      <c r="F1438" s="18">
        <v>0.61592592592592588</v>
      </c>
      <c r="G1438" s="22">
        <v>1386</v>
      </c>
      <c r="H1438">
        <v>0</v>
      </c>
      <c r="I1438" s="19" t="e">
        <f>I1437 + (D1438-G1438)</f>
        <v>#VALUE!</v>
      </c>
      <c r="M1438">
        <v>122957</v>
      </c>
      <c r="N1438">
        <v>24</v>
      </c>
      <c r="O1438" t="s">
        <v>68</v>
      </c>
      <c r="P1438">
        <v>1</v>
      </c>
      <c r="R1438">
        <v>1578</v>
      </c>
      <c r="S1438" s="17">
        <v>42135</v>
      </c>
      <c r="T1438" s="17">
        <v>42135</v>
      </c>
      <c r="W1438">
        <v>2015</v>
      </c>
      <c r="X1438">
        <v>24</v>
      </c>
      <c r="AC1438" t="s">
        <v>106</v>
      </c>
      <c r="AD1438" t="s">
        <v>302</v>
      </c>
      <c r="AE1438" t="s">
        <v>46</v>
      </c>
      <c r="AG1438">
        <v>12</v>
      </c>
      <c r="AH1438">
        <v>11</v>
      </c>
      <c r="AI1438" t="s">
        <v>47</v>
      </c>
      <c r="AK1438">
        <v>0</v>
      </c>
      <c r="AM1438">
        <v>0</v>
      </c>
      <c r="AP1438" t="s">
        <v>392</v>
      </c>
    </row>
    <row r="1439" spans="1:42" customFormat="1">
      <c r="A1439">
        <v>268919</v>
      </c>
      <c r="B1439" t="s">
        <v>1721</v>
      </c>
      <c r="C1439" t="s">
        <v>1722</v>
      </c>
      <c r="D1439" s="22">
        <v>0</v>
      </c>
      <c r="E1439" s="17">
        <v>42130</v>
      </c>
      <c r="F1439" s="18">
        <v>0.61592592592592588</v>
      </c>
      <c r="G1439" s="22">
        <v>1386</v>
      </c>
      <c r="H1439">
        <v>0</v>
      </c>
      <c r="I1439" s="19" t="e">
        <f>I1438 + (D1439-G1439)</f>
        <v>#VALUE!</v>
      </c>
      <c r="M1439">
        <v>122958</v>
      </c>
      <c r="N1439">
        <v>24</v>
      </c>
      <c r="O1439" t="s">
        <v>68</v>
      </c>
      <c r="P1439">
        <v>1</v>
      </c>
      <c r="R1439">
        <v>1578</v>
      </c>
      <c r="S1439" s="17">
        <v>42135</v>
      </c>
      <c r="T1439" s="17">
        <v>42135</v>
      </c>
      <c r="W1439">
        <v>2015</v>
      </c>
      <c r="X1439">
        <v>24</v>
      </c>
      <c r="AC1439" t="s">
        <v>106</v>
      </c>
      <c r="AD1439" t="s">
        <v>302</v>
      </c>
      <c r="AE1439" t="s">
        <v>46</v>
      </c>
      <c r="AG1439">
        <v>12</v>
      </c>
      <c r="AH1439">
        <v>11</v>
      </c>
      <c r="AI1439" t="s">
        <v>47</v>
      </c>
      <c r="AK1439">
        <v>0</v>
      </c>
      <c r="AM1439">
        <v>0</v>
      </c>
      <c r="AP1439" t="s">
        <v>392</v>
      </c>
    </row>
    <row r="1440" spans="1:42" customFormat="1">
      <c r="A1440">
        <v>268936</v>
      </c>
      <c r="B1440" t="s">
        <v>1727</v>
      </c>
      <c r="C1440" t="s">
        <v>1728</v>
      </c>
      <c r="D1440" s="22">
        <v>0</v>
      </c>
      <c r="E1440" s="17">
        <v>42130</v>
      </c>
      <c r="F1440" s="18">
        <v>0.61835648148148148</v>
      </c>
      <c r="G1440" s="22">
        <v>1476.93</v>
      </c>
      <c r="H1440">
        <v>0</v>
      </c>
      <c r="I1440" s="19" t="e">
        <f>I1439 + (D1440-G1440)</f>
        <v>#VALUE!</v>
      </c>
      <c r="M1440">
        <v>122970</v>
      </c>
      <c r="N1440">
        <v>24</v>
      </c>
      <c r="O1440" t="s">
        <v>68</v>
      </c>
      <c r="P1440">
        <v>1</v>
      </c>
      <c r="R1440">
        <v>1578</v>
      </c>
      <c r="S1440" s="17">
        <v>42135</v>
      </c>
      <c r="T1440" s="17">
        <v>42135</v>
      </c>
      <c r="W1440">
        <v>2015</v>
      </c>
      <c r="X1440">
        <v>24</v>
      </c>
      <c r="AC1440" t="s">
        <v>106</v>
      </c>
      <c r="AD1440" t="s">
        <v>302</v>
      </c>
      <c r="AE1440" t="s">
        <v>46</v>
      </c>
      <c r="AG1440">
        <v>12</v>
      </c>
      <c r="AH1440">
        <v>10</v>
      </c>
      <c r="AI1440" t="s">
        <v>95</v>
      </c>
      <c r="AK1440">
        <v>0</v>
      </c>
      <c r="AM1440">
        <v>0</v>
      </c>
      <c r="AP1440" t="s">
        <v>392</v>
      </c>
    </row>
    <row r="1441" spans="1:42" customFormat="1">
      <c r="A1441">
        <v>268937</v>
      </c>
      <c r="B1441" t="s">
        <v>1729</v>
      </c>
      <c r="C1441" t="s">
        <v>1730</v>
      </c>
      <c r="D1441" s="22">
        <v>0</v>
      </c>
      <c r="E1441" s="17">
        <v>42130</v>
      </c>
      <c r="F1441" s="18">
        <v>0.61835648148148148</v>
      </c>
      <c r="G1441" s="22">
        <v>1473</v>
      </c>
      <c r="H1441">
        <v>0</v>
      </c>
      <c r="I1441" s="19" t="e">
        <f>I1440 + (D1441-G1441)</f>
        <v>#VALUE!</v>
      </c>
      <c r="M1441">
        <v>122961</v>
      </c>
      <c r="N1441">
        <v>24</v>
      </c>
      <c r="O1441" t="s">
        <v>68</v>
      </c>
      <c r="P1441">
        <v>1</v>
      </c>
      <c r="R1441">
        <v>1578</v>
      </c>
      <c r="S1441" s="17">
        <v>42135</v>
      </c>
      <c r="T1441" s="17">
        <v>42135</v>
      </c>
      <c r="W1441">
        <v>2015</v>
      </c>
      <c r="X1441">
        <v>24</v>
      </c>
      <c r="AC1441" t="s">
        <v>106</v>
      </c>
      <c r="AD1441" t="s">
        <v>302</v>
      </c>
      <c r="AE1441" t="s">
        <v>46</v>
      </c>
      <c r="AG1441">
        <v>12</v>
      </c>
      <c r="AH1441">
        <v>10</v>
      </c>
      <c r="AI1441" t="s">
        <v>95</v>
      </c>
      <c r="AK1441">
        <v>0</v>
      </c>
      <c r="AM1441">
        <v>0</v>
      </c>
      <c r="AP1441" t="s">
        <v>392</v>
      </c>
    </row>
    <row r="1442" spans="1:42" customFormat="1">
      <c r="A1442">
        <v>268938</v>
      </c>
      <c r="B1442" t="s">
        <v>1731</v>
      </c>
      <c r="C1442" t="s">
        <v>1732</v>
      </c>
      <c r="D1442" s="22">
        <v>0</v>
      </c>
      <c r="E1442" s="17">
        <v>42130</v>
      </c>
      <c r="F1442" s="18">
        <v>0.61835648148148148</v>
      </c>
      <c r="G1442" s="22">
        <v>1476.93</v>
      </c>
      <c r="H1442">
        <v>0</v>
      </c>
      <c r="I1442" s="19" t="e">
        <f>I1441 + (D1442-G1442)</f>
        <v>#VALUE!</v>
      </c>
      <c r="M1442">
        <v>122971</v>
      </c>
      <c r="N1442">
        <v>24</v>
      </c>
      <c r="O1442" t="s">
        <v>68</v>
      </c>
      <c r="P1442">
        <v>1</v>
      </c>
      <c r="R1442">
        <v>1578</v>
      </c>
      <c r="S1442" s="17">
        <v>42135</v>
      </c>
      <c r="T1442" s="17">
        <v>42135</v>
      </c>
      <c r="W1442">
        <v>2015</v>
      </c>
      <c r="X1442">
        <v>24</v>
      </c>
      <c r="AC1442" t="s">
        <v>106</v>
      </c>
      <c r="AD1442" t="s">
        <v>302</v>
      </c>
      <c r="AE1442" t="s">
        <v>46</v>
      </c>
      <c r="AG1442">
        <v>12</v>
      </c>
      <c r="AH1442">
        <v>10</v>
      </c>
      <c r="AI1442" t="s">
        <v>95</v>
      </c>
      <c r="AK1442">
        <v>0</v>
      </c>
      <c r="AM1442">
        <v>0</v>
      </c>
      <c r="AP1442" t="s">
        <v>392</v>
      </c>
    </row>
    <row r="1443" spans="1:42" customFormat="1">
      <c r="A1443">
        <v>268939</v>
      </c>
      <c r="B1443" t="s">
        <v>1733</v>
      </c>
      <c r="C1443" t="s">
        <v>1734</v>
      </c>
      <c r="D1443" s="22">
        <v>0</v>
      </c>
      <c r="E1443" s="17">
        <v>42130</v>
      </c>
      <c r="F1443" s="18">
        <v>0.61835648148148148</v>
      </c>
      <c r="G1443" s="22">
        <v>1476.93</v>
      </c>
      <c r="H1443">
        <v>0</v>
      </c>
      <c r="I1443" s="19" t="e">
        <f>I1442 + (D1443-G1443)</f>
        <v>#VALUE!</v>
      </c>
      <c r="M1443">
        <v>122962</v>
      </c>
      <c r="N1443">
        <v>24</v>
      </c>
      <c r="O1443" t="s">
        <v>68</v>
      </c>
      <c r="P1443">
        <v>1</v>
      </c>
      <c r="R1443">
        <v>1578</v>
      </c>
      <c r="S1443" s="17">
        <v>42135</v>
      </c>
      <c r="T1443" s="17">
        <v>42135</v>
      </c>
      <c r="W1443">
        <v>2015</v>
      </c>
      <c r="X1443">
        <v>24</v>
      </c>
      <c r="AC1443" t="s">
        <v>106</v>
      </c>
      <c r="AD1443" t="s">
        <v>302</v>
      </c>
      <c r="AE1443" t="s">
        <v>46</v>
      </c>
      <c r="AG1443">
        <v>12</v>
      </c>
      <c r="AH1443">
        <v>10</v>
      </c>
      <c r="AI1443" t="s">
        <v>95</v>
      </c>
      <c r="AK1443">
        <v>0</v>
      </c>
      <c r="AM1443">
        <v>0</v>
      </c>
      <c r="AP1443" t="s">
        <v>392</v>
      </c>
    </row>
    <row r="1444" spans="1:42" customFormat="1">
      <c r="A1444">
        <v>268940</v>
      </c>
      <c r="B1444" t="s">
        <v>1735</v>
      </c>
      <c r="C1444" t="s">
        <v>1736</v>
      </c>
      <c r="D1444" s="22">
        <v>0</v>
      </c>
      <c r="E1444" s="17">
        <v>42130</v>
      </c>
      <c r="F1444" s="18">
        <v>0.61835648148148148</v>
      </c>
      <c r="G1444" s="22">
        <v>1476.93</v>
      </c>
      <c r="H1444">
        <v>0</v>
      </c>
      <c r="I1444" s="19" t="e">
        <f>I1443 + (D1444-G1444)</f>
        <v>#VALUE!</v>
      </c>
      <c r="M1444">
        <v>122972</v>
      </c>
      <c r="N1444">
        <v>24</v>
      </c>
      <c r="O1444" t="s">
        <v>68</v>
      </c>
      <c r="P1444">
        <v>1</v>
      </c>
      <c r="R1444">
        <v>1578</v>
      </c>
      <c r="S1444" s="17">
        <v>42135</v>
      </c>
      <c r="T1444" s="17">
        <v>42135</v>
      </c>
      <c r="W1444">
        <v>2015</v>
      </c>
      <c r="X1444">
        <v>24</v>
      </c>
      <c r="AC1444" t="s">
        <v>106</v>
      </c>
      <c r="AD1444" t="s">
        <v>302</v>
      </c>
      <c r="AE1444" t="s">
        <v>46</v>
      </c>
      <c r="AG1444">
        <v>12</v>
      </c>
      <c r="AH1444">
        <v>10</v>
      </c>
      <c r="AI1444" t="s">
        <v>95</v>
      </c>
      <c r="AK1444">
        <v>0</v>
      </c>
      <c r="AM1444">
        <v>0</v>
      </c>
      <c r="AP1444" t="s">
        <v>392</v>
      </c>
    </row>
    <row r="1445" spans="1:42" customFormat="1">
      <c r="A1445">
        <v>268941</v>
      </c>
      <c r="B1445" t="s">
        <v>1737</v>
      </c>
      <c r="C1445" t="s">
        <v>1738</v>
      </c>
      <c r="D1445" s="22">
        <v>0</v>
      </c>
      <c r="E1445" s="17">
        <v>42130</v>
      </c>
      <c r="F1445" s="18">
        <v>0.61835648148148148</v>
      </c>
      <c r="G1445" s="22">
        <v>1476.93</v>
      </c>
      <c r="H1445">
        <v>0</v>
      </c>
      <c r="I1445" s="19" t="e">
        <f>I1444 + (D1445-G1445)</f>
        <v>#VALUE!</v>
      </c>
      <c r="M1445">
        <v>122963</v>
      </c>
      <c r="N1445">
        <v>24</v>
      </c>
      <c r="O1445" t="s">
        <v>68</v>
      </c>
      <c r="P1445">
        <v>1</v>
      </c>
      <c r="R1445">
        <v>1578</v>
      </c>
      <c r="S1445" s="17">
        <v>42135</v>
      </c>
      <c r="T1445" s="17">
        <v>42135</v>
      </c>
      <c r="W1445">
        <v>2015</v>
      </c>
      <c r="X1445">
        <v>24</v>
      </c>
      <c r="AC1445" t="s">
        <v>106</v>
      </c>
      <c r="AD1445" t="s">
        <v>302</v>
      </c>
      <c r="AE1445" t="s">
        <v>46</v>
      </c>
      <c r="AG1445">
        <v>12</v>
      </c>
      <c r="AH1445">
        <v>10</v>
      </c>
      <c r="AI1445" t="s">
        <v>95</v>
      </c>
      <c r="AK1445">
        <v>0</v>
      </c>
      <c r="AM1445">
        <v>0</v>
      </c>
      <c r="AP1445" t="s">
        <v>392</v>
      </c>
    </row>
    <row r="1446" spans="1:42" customFormat="1">
      <c r="A1446">
        <v>268942</v>
      </c>
      <c r="B1446" t="s">
        <v>1739</v>
      </c>
      <c r="C1446" t="s">
        <v>1740</v>
      </c>
      <c r="D1446" s="22">
        <v>0</v>
      </c>
      <c r="E1446" s="17">
        <v>42130</v>
      </c>
      <c r="F1446" s="18">
        <v>0.61835648148148148</v>
      </c>
      <c r="G1446" s="22">
        <v>1476.93</v>
      </c>
      <c r="H1446">
        <v>0</v>
      </c>
      <c r="I1446" s="19" t="e">
        <f>I1445 + (D1446-G1446)</f>
        <v>#VALUE!</v>
      </c>
      <c r="M1446">
        <v>122973</v>
      </c>
      <c r="N1446">
        <v>24</v>
      </c>
      <c r="O1446" t="s">
        <v>68</v>
      </c>
      <c r="P1446">
        <v>1</v>
      </c>
      <c r="R1446">
        <v>1578</v>
      </c>
      <c r="S1446" s="17">
        <v>42135</v>
      </c>
      <c r="T1446" s="17">
        <v>42135</v>
      </c>
      <c r="W1446">
        <v>2015</v>
      </c>
      <c r="X1446">
        <v>24</v>
      </c>
      <c r="AC1446" t="s">
        <v>106</v>
      </c>
      <c r="AD1446" t="s">
        <v>302</v>
      </c>
      <c r="AE1446" t="s">
        <v>46</v>
      </c>
      <c r="AG1446">
        <v>12</v>
      </c>
      <c r="AH1446">
        <v>10</v>
      </c>
      <c r="AI1446" t="s">
        <v>95</v>
      </c>
      <c r="AK1446">
        <v>0</v>
      </c>
      <c r="AM1446">
        <v>0</v>
      </c>
      <c r="AP1446" t="s">
        <v>392</v>
      </c>
    </row>
    <row r="1447" spans="1:42" customFormat="1">
      <c r="A1447">
        <v>268943</v>
      </c>
      <c r="B1447" t="s">
        <v>1741</v>
      </c>
      <c r="C1447" t="s">
        <v>1742</v>
      </c>
      <c r="D1447" s="22">
        <v>0</v>
      </c>
      <c r="E1447" s="17">
        <v>42130</v>
      </c>
      <c r="F1447" s="18">
        <v>0.61835648148148148</v>
      </c>
      <c r="G1447" s="22">
        <v>1476.93</v>
      </c>
      <c r="H1447">
        <v>0</v>
      </c>
      <c r="I1447" s="19" t="e">
        <f>I1446 + (D1447-G1447)</f>
        <v>#VALUE!</v>
      </c>
      <c r="M1447">
        <v>122964</v>
      </c>
      <c r="N1447">
        <v>24</v>
      </c>
      <c r="O1447" t="s">
        <v>68</v>
      </c>
      <c r="P1447">
        <v>1</v>
      </c>
      <c r="R1447">
        <v>1578</v>
      </c>
      <c r="S1447" s="17">
        <v>42135</v>
      </c>
      <c r="T1447" s="17">
        <v>42135</v>
      </c>
      <c r="W1447">
        <v>2015</v>
      </c>
      <c r="X1447">
        <v>24</v>
      </c>
      <c r="AC1447" t="s">
        <v>106</v>
      </c>
      <c r="AD1447" t="s">
        <v>302</v>
      </c>
      <c r="AE1447" t="s">
        <v>46</v>
      </c>
      <c r="AG1447">
        <v>12</v>
      </c>
      <c r="AH1447">
        <v>10</v>
      </c>
      <c r="AI1447" t="s">
        <v>95</v>
      </c>
      <c r="AK1447">
        <v>0</v>
      </c>
      <c r="AM1447">
        <v>0</v>
      </c>
      <c r="AP1447" t="s">
        <v>392</v>
      </c>
    </row>
    <row r="1448" spans="1:42" customFormat="1">
      <c r="A1448">
        <v>268944</v>
      </c>
      <c r="B1448" t="s">
        <v>1743</v>
      </c>
      <c r="C1448" t="s">
        <v>1744</v>
      </c>
      <c r="D1448" s="22">
        <v>0</v>
      </c>
      <c r="E1448" s="17">
        <v>42130</v>
      </c>
      <c r="F1448" s="18">
        <v>0.61836805555555563</v>
      </c>
      <c r="G1448" s="22">
        <v>73.849999999999994</v>
      </c>
      <c r="H1448">
        <v>0</v>
      </c>
      <c r="I1448" s="19" t="e">
        <f>I1447 + (D1448-G1448)</f>
        <v>#VALUE!</v>
      </c>
      <c r="M1448">
        <v>122974</v>
      </c>
      <c r="N1448">
        <v>24</v>
      </c>
      <c r="O1448" t="s">
        <v>68</v>
      </c>
      <c r="P1448">
        <v>1</v>
      </c>
      <c r="R1448">
        <v>1578</v>
      </c>
      <c r="S1448" s="17">
        <v>42135</v>
      </c>
      <c r="T1448" s="17">
        <v>42135</v>
      </c>
      <c r="W1448">
        <v>2015</v>
      </c>
      <c r="X1448">
        <v>24</v>
      </c>
      <c r="AC1448" t="s">
        <v>106</v>
      </c>
      <c r="AD1448" t="s">
        <v>302</v>
      </c>
      <c r="AE1448" t="s">
        <v>46</v>
      </c>
      <c r="AG1448">
        <v>12</v>
      </c>
      <c r="AH1448">
        <v>10</v>
      </c>
      <c r="AI1448" t="s">
        <v>95</v>
      </c>
      <c r="AK1448">
        <v>0</v>
      </c>
      <c r="AM1448">
        <v>0</v>
      </c>
      <c r="AP1448" t="s">
        <v>392</v>
      </c>
    </row>
    <row r="1449" spans="1:42" customFormat="1">
      <c r="A1449">
        <v>268945</v>
      </c>
      <c r="B1449" t="s">
        <v>1745</v>
      </c>
      <c r="C1449" t="s">
        <v>1746</v>
      </c>
      <c r="D1449" s="22">
        <v>0</v>
      </c>
      <c r="E1449" s="17">
        <v>42130</v>
      </c>
      <c r="F1449" s="18">
        <v>0.61836805555555563</v>
      </c>
      <c r="G1449" s="22">
        <v>1476.93</v>
      </c>
      <c r="H1449">
        <v>0</v>
      </c>
      <c r="I1449" s="19" t="e">
        <f>I1448 + (D1449-G1449)</f>
        <v>#VALUE!</v>
      </c>
      <c r="M1449">
        <v>122965</v>
      </c>
      <c r="N1449">
        <v>24</v>
      </c>
      <c r="O1449" t="s">
        <v>68</v>
      </c>
      <c r="P1449">
        <v>1</v>
      </c>
      <c r="R1449">
        <v>1578</v>
      </c>
      <c r="S1449" s="17">
        <v>42135</v>
      </c>
      <c r="T1449" s="17">
        <v>42135</v>
      </c>
      <c r="W1449">
        <v>2015</v>
      </c>
      <c r="X1449">
        <v>24</v>
      </c>
      <c r="AC1449" t="s">
        <v>106</v>
      </c>
      <c r="AD1449" t="s">
        <v>302</v>
      </c>
      <c r="AE1449" t="s">
        <v>46</v>
      </c>
      <c r="AG1449">
        <v>12</v>
      </c>
      <c r="AH1449">
        <v>10</v>
      </c>
      <c r="AI1449" t="s">
        <v>95</v>
      </c>
      <c r="AK1449">
        <v>0</v>
      </c>
      <c r="AM1449">
        <v>0</v>
      </c>
      <c r="AP1449" t="s">
        <v>392</v>
      </c>
    </row>
    <row r="1450" spans="1:42" customFormat="1">
      <c r="A1450">
        <v>268946</v>
      </c>
      <c r="B1450" t="s">
        <v>1747</v>
      </c>
      <c r="C1450" t="s">
        <v>1748</v>
      </c>
      <c r="D1450" s="22">
        <v>0</v>
      </c>
      <c r="E1450" s="17">
        <v>42130</v>
      </c>
      <c r="F1450" s="18">
        <v>0.61836805555555563</v>
      </c>
      <c r="G1450" s="22">
        <v>1476.93</v>
      </c>
      <c r="H1450">
        <v>0</v>
      </c>
      <c r="I1450" s="19" t="e">
        <f>I1449 + (D1450-G1450)</f>
        <v>#VALUE!</v>
      </c>
      <c r="M1450">
        <v>122975</v>
      </c>
      <c r="N1450">
        <v>24</v>
      </c>
      <c r="O1450" t="s">
        <v>68</v>
      </c>
      <c r="P1450">
        <v>1</v>
      </c>
      <c r="R1450">
        <v>1578</v>
      </c>
      <c r="S1450" s="17">
        <v>42135</v>
      </c>
      <c r="T1450" s="17">
        <v>42135</v>
      </c>
      <c r="W1450">
        <v>2015</v>
      </c>
      <c r="X1450">
        <v>24</v>
      </c>
      <c r="AC1450" t="s">
        <v>106</v>
      </c>
      <c r="AD1450" t="s">
        <v>302</v>
      </c>
      <c r="AE1450" t="s">
        <v>46</v>
      </c>
      <c r="AG1450">
        <v>12</v>
      </c>
      <c r="AH1450">
        <v>10</v>
      </c>
      <c r="AI1450" t="s">
        <v>95</v>
      </c>
      <c r="AK1450">
        <v>0</v>
      </c>
      <c r="AM1450">
        <v>0</v>
      </c>
      <c r="AP1450" t="s">
        <v>392</v>
      </c>
    </row>
    <row r="1451" spans="1:42" customFormat="1">
      <c r="A1451">
        <v>268947</v>
      </c>
      <c r="B1451" t="s">
        <v>1749</v>
      </c>
      <c r="C1451" t="s">
        <v>1750</v>
      </c>
      <c r="D1451" s="22">
        <v>0</v>
      </c>
      <c r="E1451" s="17">
        <v>42130</v>
      </c>
      <c r="F1451" s="18">
        <v>0.61836805555555563</v>
      </c>
      <c r="G1451" s="22">
        <v>1476.93</v>
      </c>
      <c r="H1451">
        <v>0</v>
      </c>
      <c r="I1451" s="19" t="e">
        <f>I1450 + (D1451-G1451)</f>
        <v>#VALUE!</v>
      </c>
      <c r="M1451">
        <v>122966</v>
      </c>
      <c r="N1451">
        <v>24</v>
      </c>
      <c r="O1451" t="s">
        <v>68</v>
      </c>
      <c r="P1451">
        <v>1</v>
      </c>
      <c r="R1451">
        <v>1578</v>
      </c>
      <c r="S1451" s="17">
        <v>42135</v>
      </c>
      <c r="T1451" s="17">
        <v>42135</v>
      </c>
      <c r="W1451">
        <v>2015</v>
      </c>
      <c r="X1451">
        <v>24</v>
      </c>
      <c r="AC1451" t="s">
        <v>106</v>
      </c>
      <c r="AD1451" t="s">
        <v>302</v>
      </c>
      <c r="AE1451" t="s">
        <v>46</v>
      </c>
      <c r="AG1451">
        <v>12</v>
      </c>
      <c r="AH1451">
        <v>10</v>
      </c>
      <c r="AI1451" t="s">
        <v>95</v>
      </c>
      <c r="AK1451">
        <v>0</v>
      </c>
      <c r="AM1451">
        <v>0</v>
      </c>
      <c r="AP1451" t="s">
        <v>392</v>
      </c>
    </row>
    <row r="1452" spans="1:42" customFormat="1">
      <c r="A1452">
        <v>268948</v>
      </c>
      <c r="B1452" t="s">
        <v>1751</v>
      </c>
      <c r="C1452" t="s">
        <v>1752</v>
      </c>
      <c r="D1452" s="22">
        <v>0</v>
      </c>
      <c r="E1452" s="17">
        <v>42130</v>
      </c>
      <c r="F1452" s="18">
        <v>0.61836805555555563</v>
      </c>
      <c r="G1452" s="22">
        <v>1476.93</v>
      </c>
      <c r="H1452">
        <v>0</v>
      </c>
      <c r="I1452" s="19" t="e">
        <f>I1451 + (D1452-G1452)</f>
        <v>#VALUE!</v>
      </c>
      <c r="M1452">
        <v>122976</v>
      </c>
      <c r="N1452">
        <v>24</v>
      </c>
      <c r="O1452" t="s">
        <v>68</v>
      </c>
      <c r="P1452">
        <v>1</v>
      </c>
      <c r="R1452">
        <v>1578</v>
      </c>
      <c r="S1452" s="17">
        <v>42135</v>
      </c>
      <c r="T1452" s="17">
        <v>42135</v>
      </c>
      <c r="W1452">
        <v>2015</v>
      </c>
      <c r="X1452">
        <v>24</v>
      </c>
      <c r="AC1452" t="s">
        <v>106</v>
      </c>
      <c r="AD1452" t="s">
        <v>302</v>
      </c>
      <c r="AE1452" t="s">
        <v>46</v>
      </c>
      <c r="AG1452">
        <v>12</v>
      </c>
      <c r="AH1452">
        <v>10</v>
      </c>
      <c r="AI1452" t="s">
        <v>95</v>
      </c>
      <c r="AK1452">
        <v>0</v>
      </c>
      <c r="AM1452">
        <v>0</v>
      </c>
      <c r="AP1452" t="s">
        <v>392</v>
      </c>
    </row>
    <row r="1453" spans="1:42" customFormat="1">
      <c r="A1453">
        <v>268949</v>
      </c>
      <c r="B1453" t="s">
        <v>1753</v>
      </c>
      <c r="C1453" t="s">
        <v>1754</v>
      </c>
      <c r="D1453" s="22">
        <v>0</v>
      </c>
      <c r="E1453" s="17">
        <v>42130</v>
      </c>
      <c r="F1453" s="18">
        <v>0.61836805555555563</v>
      </c>
      <c r="G1453" s="22">
        <v>1476.93</v>
      </c>
      <c r="H1453">
        <v>0</v>
      </c>
      <c r="I1453" s="19" t="e">
        <f>I1452 + (D1453-G1453)</f>
        <v>#VALUE!</v>
      </c>
      <c r="M1453">
        <v>122967</v>
      </c>
      <c r="N1453">
        <v>24</v>
      </c>
      <c r="O1453" t="s">
        <v>68</v>
      </c>
      <c r="P1453">
        <v>1</v>
      </c>
      <c r="R1453">
        <v>1578</v>
      </c>
      <c r="S1453" s="17">
        <v>42135</v>
      </c>
      <c r="T1453" s="17">
        <v>42135</v>
      </c>
      <c r="W1453">
        <v>2015</v>
      </c>
      <c r="X1453">
        <v>24</v>
      </c>
      <c r="AC1453" t="s">
        <v>106</v>
      </c>
      <c r="AD1453" t="s">
        <v>302</v>
      </c>
      <c r="AE1453" t="s">
        <v>46</v>
      </c>
      <c r="AG1453">
        <v>12</v>
      </c>
      <c r="AH1453">
        <v>10</v>
      </c>
      <c r="AI1453" t="s">
        <v>95</v>
      </c>
      <c r="AK1453">
        <v>0</v>
      </c>
      <c r="AM1453">
        <v>0</v>
      </c>
      <c r="AP1453" t="s">
        <v>392</v>
      </c>
    </row>
    <row r="1454" spans="1:42" customFormat="1">
      <c r="A1454">
        <v>268950</v>
      </c>
      <c r="B1454" t="s">
        <v>1755</v>
      </c>
      <c r="C1454" t="s">
        <v>1756</v>
      </c>
      <c r="D1454" s="22">
        <v>0</v>
      </c>
      <c r="E1454" s="17">
        <v>42130</v>
      </c>
      <c r="F1454" s="18">
        <v>0.61836805555555563</v>
      </c>
      <c r="G1454" s="22">
        <v>1476.93</v>
      </c>
      <c r="H1454">
        <v>0</v>
      </c>
      <c r="I1454" s="19" t="e">
        <f>I1453 + (D1454-G1454)</f>
        <v>#VALUE!</v>
      </c>
      <c r="M1454">
        <v>122977</v>
      </c>
      <c r="N1454">
        <v>24</v>
      </c>
      <c r="O1454" t="s">
        <v>68</v>
      </c>
      <c r="P1454">
        <v>1</v>
      </c>
      <c r="R1454">
        <v>1578</v>
      </c>
      <c r="S1454" s="17">
        <v>42135</v>
      </c>
      <c r="T1454" s="17">
        <v>42135</v>
      </c>
      <c r="W1454">
        <v>2015</v>
      </c>
      <c r="X1454">
        <v>24</v>
      </c>
      <c r="AC1454" t="s">
        <v>106</v>
      </c>
      <c r="AD1454" t="s">
        <v>302</v>
      </c>
      <c r="AE1454" t="s">
        <v>46</v>
      </c>
      <c r="AG1454">
        <v>12</v>
      </c>
      <c r="AH1454">
        <v>10</v>
      </c>
      <c r="AI1454" t="s">
        <v>95</v>
      </c>
      <c r="AK1454">
        <v>0</v>
      </c>
      <c r="AM1454">
        <v>0</v>
      </c>
      <c r="AP1454" t="s">
        <v>392</v>
      </c>
    </row>
    <row r="1455" spans="1:42" customFormat="1">
      <c r="A1455">
        <v>268951</v>
      </c>
      <c r="B1455" t="s">
        <v>1757</v>
      </c>
      <c r="C1455" t="s">
        <v>1758</v>
      </c>
      <c r="D1455" s="22">
        <v>0</v>
      </c>
      <c r="E1455" s="17">
        <v>42130</v>
      </c>
      <c r="F1455" s="18">
        <v>0.61836805555555563</v>
      </c>
      <c r="G1455" s="22">
        <v>1476.93</v>
      </c>
      <c r="H1455">
        <v>0</v>
      </c>
      <c r="I1455" s="19" t="e">
        <f>I1454 + (D1455-G1455)</f>
        <v>#VALUE!</v>
      </c>
      <c r="M1455">
        <v>122968</v>
      </c>
      <c r="N1455">
        <v>24</v>
      </c>
      <c r="O1455" t="s">
        <v>68</v>
      </c>
      <c r="P1455">
        <v>1</v>
      </c>
      <c r="R1455">
        <v>1578</v>
      </c>
      <c r="S1455" s="17">
        <v>42135</v>
      </c>
      <c r="T1455" s="17">
        <v>42135</v>
      </c>
      <c r="W1455">
        <v>2015</v>
      </c>
      <c r="X1455">
        <v>24</v>
      </c>
      <c r="AC1455" t="s">
        <v>106</v>
      </c>
      <c r="AD1455" t="s">
        <v>302</v>
      </c>
      <c r="AE1455" t="s">
        <v>46</v>
      </c>
      <c r="AG1455">
        <v>12</v>
      </c>
      <c r="AH1455">
        <v>10</v>
      </c>
      <c r="AI1455" t="s">
        <v>95</v>
      </c>
      <c r="AK1455">
        <v>0</v>
      </c>
      <c r="AM1455">
        <v>0</v>
      </c>
      <c r="AP1455" t="s">
        <v>392</v>
      </c>
    </row>
    <row r="1456" spans="1:42" customFormat="1">
      <c r="A1456">
        <v>268952</v>
      </c>
      <c r="B1456" t="s">
        <v>1759</v>
      </c>
      <c r="C1456" t="s">
        <v>1760</v>
      </c>
      <c r="D1456" s="22">
        <v>0</v>
      </c>
      <c r="E1456" s="17">
        <v>42130</v>
      </c>
      <c r="F1456" s="18">
        <v>0.61836805555555563</v>
      </c>
      <c r="G1456" s="22">
        <v>1476.93</v>
      </c>
      <c r="H1456">
        <v>0</v>
      </c>
      <c r="I1456" s="19" t="e">
        <f>I1455 + (D1456-G1456)</f>
        <v>#VALUE!</v>
      </c>
      <c r="M1456">
        <v>122978</v>
      </c>
      <c r="N1456">
        <v>24</v>
      </c>
      <c r="O1456" t="s">
        <v>68</v>
      </c>
      <c r="P1456">
        <v>1</v>
      </c>
      <c r="R1456">
        <v>1578</v>
      </c>
      <c r="S1456" s="17">
        <v>42135</v>
      </c>
      <c r="T1456" s="17">
        <v>42135</v>
      </c>
      <c r="W1456">
        <v>2015</v>
      </c>
      <c r="X1456">
        <v>24</v>
      </c>
      <c r="AC1456" t="s">
        <v>106</v>
      </c>
      <c r="AD1456" t="s">
        <v>302</v>
      </c>
      <c r="AE1456" t="s">
        <v>46</v>
      </c>
      <c r="AG1456">
        <v>12</v>
      </c>
      <c r="AH1456">
        <v>10</v>
      </c>
      <c r="AI1456" t="s">
        <v>95</v>
      </c>
      <c r="AK1456">
        <v>0</v>
      </c>
      <c r="AM1456">
        <v>0</v>
      </c>
      <c r="AP1456" t="s">
        <v>392</v>
      </c>
    </row>
    <row r="1457" spans="1:42" customFormat="1">
      <c r="A1457">
        <v>268953</v>
      </c>
      <c r="B1457" t="s">
        <v>1761</v>
      </c>
      <c r="C1457" t="s">
        <v>1762</v>
      </c>
      <c r="D1457" s="22">
        <v>0</v>
      </c>
      <c r="E1457" s="17">
        <v>42130</v>
      </c>
      <c r="F1457" s="18">
        <v>0.61836805555555563</v>
      </c>
      <c r="G1457" s="22">
        <v>1476.93</v>
      </c>
      <c r="H1457">
        <v>0</v>
      </c>
      <c r="I1457" s="19" t="e">
        <f>I1456 + (D1457-G1457)</f>
        <v>#VALUE!</v>
      </c>
      <c r="M1457">
        <v>122969</v>
      </c>
      <c r="N1457">
        <v>24</v>
      </c>
      <c r="O1457" t="s">
        <v>68</v>
      </c>
      <c r="P1457">
        <v>1</v>
      </c>
      <c r="R1457">
        <v>1578</v>
      </c>
      <c r="S1457" s="17">
        <v>42135</v>
      </c>
      <c r="T1457" s="17">
        <v>42135</v>
      </c>
      <c r="W1457">
        <v>2015</v>
      </c>
      <c r="X1457">
        <v>24</v>
      </c>
      <c r="AC1457" t="s">
        <v>106</v>
      </c>
      <c r="AD1457" t="s">
        <v>302</v>
      </c>
      <c r="AE1457" t="s">
        <v>46</v>
      </c>
      <c r="AG1457">
        <v>12</v>
      </c>
      <c r="AH1457">
        <v>10</v>
      </c>
      <c r="AI1457" t="s">
        <v>95</v>
      </c>
      <c r="AK1457">
        <v>0</v>
      </c>
      <c r="AM1457">
        <v>0</v>
      </c>
      <c r="AP1457" t="s">
        <v>392</v>
      </c>
    </row>
    <row r="1458" spans="1:42" customFormat="1">
      <c r="A1458">
        <v>268964</v>
      </c>
      <c r="B1458" t="s">
        <v>1763</v>
      </c>
      <c r="C1458" t="s">
        <v>1764</v>
      </c>
      <c r="D1458" s="22">
        <v>0</v>
      </c>
      <c r="E1458" s="17">
        <v>42130</v>
      </c>
      <c r="F1458" s="18">
        <v>0.61993055555555554</v>
      </c>
      <c r="G1458" s="22">
        <v>1476.93</v>
      </c>
      <c r="H1458">
        <v>0</v>
      </c>
      <c r="I1458" s="19" t="e">
        <f>I1457 + (D1458-G1458)</f>
        <v>#VALUE!</v>
      </c>
      <c r="M1458">
        <v>122988</v>
      </c>
      <c r="N1458">
        <v>24</v>
      </c>
      <c r="O1458" t="s">
        <v>68</v>
      </c>
      <c r="P1458">
        <v>1</v>
      </c>
      <c r="R1458">
        <v>1578</v>
      </c>
      <c r="S1458" s="17">
        <v>42135</v>
      </c>
      <c r="T1458" s="17">
        <v>42135</v>
      </c>
      <c r="W1458">
        <v>2015</v>
      </c>
      <c r="X1458">
        <v>24</v>
      </c>
      <c r="AC1458" t="s">
        <v>106</v>
      </c>
      <c r="AD1458" t="s">
        <v>302</v>
      </c>
      <c r="AE1458" t="s">
        <v>46</v>
      </c>
      <c r="AG1458">
        <v>12</v>
      </c>
      <c r="AH1458">
        <v>10</v>
      </c>
      <c r="AI1458" t="s">
        <v>95</v>
      </c>
      <c r="AK1458">
        <v>0</v>
      </c>
      <c r="AM1458">
        <v>0</v>
      </c>
      <c r="AP1458" t="s">
        <v>392</v>
      </c>
    </row>
    <row r="1459" spans="1:42" customFormat="1">
      <c r="A1459">
        <v>268965</v>
      </c>
      <c r="B1459" t="s">
        <v>1765</v>
      </c>
      <c r="C1459" t="s">
        <v>1766</v>
      </c>
      <c r="D1459" s="22">
        <v>0</v>
      </c>
      <c r="E1459" s="17">
        <v>42130</v>
      </c>
      <c r="F1459" s="18">
        <v>0.61993055555555554</v>
      </c>
      <c r="G1459" s="22">
        <v>1476.93</v>
      </c>
      <c r="H1459">
        <v>0</v>
      </c>
      <c r="I1459" s="19" t="e">
        <f>I1458 + (D1459-G1459)</f>
        <v>#VALUE!</v>
      </c>
      <c r="M1459">
        <v>122998</v>
      </c>
      <c r="N1459">
        <v>24</v>
      </c>
      <c r="O1459" t="s">
        <v>68</v>
      </c>
      <c r="P1459">
        <v>1</v>
      </c>
      <c r="R1459">
        <v>1578</v>
      </c>
      <c r="S1459" s="17">
        <v>42135</v>
      </c>
      <c r="T1459" s="17">
        <v>42135</v>
      </c>
      <c r="W1459">
        <v>2015</v>
      </c>
      <c r="X1459">
        <v>24</v>
      </c>
      <c r="AC1459" t="s">
        <v>106</v>
      </c>
      <c r="AD1459" t="s">
        <v>302</v>
      </c>
      <c r="AE1459" t="s">
        <v>46</v>
      </c>
      <c r="AG1459">
        <v>12</v>
      </c>
      <c r="AH1459">
        <v>10</v>
      </c>
      <c r="AI1459" t="s">
        <v>95</v>
      </c>
      <c r="AK1459">
        <v>0</v>
      </c>
      <c r="AM1459">
        <v>0</v>
      </c>
      <c r="AP1459" t="s">
        <v>392</v>
      </c>
    </row>
    <row r="1460" spans="1:42" customFormat="1">
      <c r="A1460">
        <v>268970</v>
      </c>
      <c r="B1460" t="s">
        <v>1767</v>
      </c>
      <c r="C1460" t="s">
        <v>1768</v>
      </c>
      <c r="D1460" s="22">
        <v>0</v>
      </c>
      <c r="E1460" s="17">
        <v>42130</v>
      </c>
      <c r="F1460" s="18">
        <v>0.61994212962962958</v>
      </c>
      <c r="G1460" s="22">
        <v>1476.93</v>
      </c>
      <c r="H1460">
        <v>0</v>
      </c>
      <c r="I1460" s="19" t="e">
        <f>I1459 + (D1460-G1460)</f>
        <v>#VALUE!</v>
      </c>
      <c r="M1460">
        <v>122980</v>
      </c>
      <c r="N1460">
        <v>24</v>
      </c>
      <c r="O1460" t="s">
        <v>68</v>
      </c>
      <c r="P1460">
        <v>1</v>
      </c>
      <c r="R1460">
        <v>1578</v>
      </c>
      <c r="S1460" s="17">
        <v>42135</v>
      </c>
      <c r="T1460" s="17">
        <v>42135</v>
      </c>
      <c r="W1460">
        <v>2015</v>
      </c>
      <c r="X1460">
        <v>24</v>
      </c>
      <c r="AC1460" t="s">
        <v>106</v>
      </c>
      <c r="AD1460" t="s">
        <v>302</v>
      </c>
      <c r="AE1460" t="s">
        <v>46</v>
      </c>
      <c r="AG1460">
        <v>12</v>
      </c>
      <c r="AH1460">
        <v>10</v>
      </c>
      <c r="AI1460" t="s">
        <v>95</v>
      </c>
      <c r="AK1460">
        <v>0</v>
      </c>
      <c r="AM1460">
        <v>0</v>
      </c>
      <c r="AP1460" t="s">
        <v>392</v>
      </c>
    </row>
    <row r="1461" spans="1:42" customFormat="1">
      <c r="A1461">
        <v>268971</v>
      </c>
      <c r="B1461" t="s">
        <v>1769</v>
      </c>
      <c r="C1461" t="s">
        <v>1770</v>
      </c>
      <c r="D1461" s="22">
        <v>0</v>
      </c>
      <c r="E1461" s="17">
        <v>42130</v>
      </c>
      <c r="F1461" s="18">
        <v>0.61994212962962958</v>
      </c>
      <c r="G1461" s="22">
        <v>1476.93</v>
      </c>
      <c r="H1461">
        <v>0</v>
      </c>
      <c r="I1461" s="19" t="e">
        <f>I1460 + (D1461-G1461)</f>
        <v>#VALUE!</v>
      </c>
      <c r="M1461">
        <v>122990</v>
      </c>
      <c r="N1461">
        <v>24</v>
      </c>
      <c r="O1461" t="s">
        <v>68</v>
      </c>
      <c r="P1461">
        <v>1</v>
      </c>
      <c r="R1461">
        <v>1578</v>
      </c>
      <c r="S1461" s="17">
        <v>42135</v>
      </c>
      <c r="T1461" s="17">
        <v>42135</v>
      </c>
      <c r="W1461">
        <v>2015</v>
      </c>
      <c r="X1461">
        <v>24</v>
      </c>
      <c r="AC1461" t="s">
        <v>106</v>
      </c>
      <c r="AD1461" t="s">
        <v>302</v>
      </c>
      <c r="AE1461" t="s">
        <v>46</v>
      </c>
      <c r="AG1461">
        <v>12</v>
      </c>
      <c r="AH1461">
        <v>10</v>
      </c>
      <c r="AI1461" t="s">
        <v>95</v>
      </c>
      <c r="AK1461">
        <v>0</v>
      </c>
      <c r="AM1461">
        <v>0</v>
      </c>
      <c r="AP1461" t="s">
        <v>392</v>
      </c>
    </row>
    <row r="1462" spans="1:42" customFormat="1">
      <c r="A1462">
        <v>268973</v>
      </c>
      <c r="B1462" t="s">
        <v>1771</v>
      </c>
      <c r="C1462" t="s">
        <v>1772</v>
      </c>
      <c r="D1462" s="22">
        <v>0</v>
      </c>
      <c r="E1462" s="17">
        <v>42130</v>
      </c>
      <c r="F1462" s="18">
        <v>0.61994212962962958</v>
      </c>
      <c r="G1462" s="22">
        <v>1476.93</v>
      </c>
      <c r="H1462">
        <v>0</v>
      </c>
      <c r="I1462" s="19" t="e">
        <f>I1461 + (D1462-G1462)</f>
        <v>#VALUE!</v>
      </c>
      <c r="M1462">
        <v>122981</v>
      </c>
      <c r="N1462">
        <v>24</v>
      </c>
      <c r="O1462" t="s">
        <v>68</v>
      </c>
      <c r="P1462">
        <v>1</v>
      </c>
      <c r="R1462">
        <v>1578</v>
      </c>
      <c r="S1462" s="17">
        <v>42135</v>
      </c>
      <c r="T1462" s="17">
        <v>42135</v>
      </c>
      <c r="W1462">
        <v>2015</v>
      </c>
      <c r="X1462">
        <v>24</v>
      </c>
      <c r="AC1462" t="s">
        <v>106</v>
      </c>
      <c r="AD1462" t="s">
        <v>302</v>
      </c>
      <c r="AE1462" t="s">
        <v>46</v>
      </c>
      <c r="AG1462">
        <v>12</v>
      </c>
      <c r="AH1462">
        <v>10</v>
      </c>
      <c r="AI1462" t="s">
        <v>95</v>
      </c>
      <c r="AK1462">
        <v>0</v>
      </c>
      <c r="AM1462">
        <v>0</v>
      </c>
      <c r="AP1462" t="s">
        <v>392</v>
      </c>
    </row>
    <row r="1463" spans="1:42" customFormat="1">
      <c r="A1463">
        <v>268974</v>
      </c>
      <c r="B1463" t="s">
        <v>1773</v>
      </c>
      <c r="C1463" t="s">
        <v>1774</v>
      </c>
      <c r="D1463" s="22">
        <v>0</v>
      </c>
      <c r="E1463" s="17">
        <v>42130</v>
      </c>
      <c r="F1463" s="18">
        <v>0.61994212962962958</v>
      </c>
      <c r="G1463" s="22">
        <v>1476.93</v>
      </c>
      <c r="H1463">
        <v>0</v>
      </c>
      <c r="I1463" s="19" t="e">
        <f>I1462 + (D1463-G1463)</f>
        <v>#VALUE!</v>
      </c>
      <c r="M1463">
        <v>122991</v>
      </c>
      <c r="N1463">
        <v>24</v>
      </c>
      <c r="O1463" t="s">
        <v>68</v>
      </c>
      <c r="P1463">
        <v>1</v>
      </c>
      <c r="R1463">
        <v>1578</v>
      </c>
      <c r="S1463" s="17">
        <v>42135</v>
      </c>
      <c r="T1463" s="17">
        <v>42135</v>
      </c>
      <c r="W1463">
        <v>2015</v>
      </c>
      <c r="X1463">
        <v>24</v>
      </c>
      <c r="AC1463" t="s">
        <v>106</v>
      </c>
      <c r="AD1463" t="s">
        <v>302</v>
      </c>
      <c r="AE1463" t="s">
        <v>46</v>
      </c>
      <c r="AG1463">
        <v>12</v>
      </c>
      <c r="AH1463">
        <v>10</v>
      </c>
      <c r="AI1463" t="s">
        <v>95</v>
      </c>
      <c r="AK1463">
        <v>0</v>
      </c>
      <c r="AM1463">
        <v>0</v>
      </c>
      <c r="AP1463" t="s">
        <v>392</v>
      </c>
    </row>
    <row r="1464" spans="1:42" customFormat="1">
      <c r="A1464">
        <v>268976</v>
      </c>
      <c r="B1464" t="s">
        <v>1775</v>
      </c>
      <c r="C1464" t="s">
        <v>1776</v>
      </c>
      <c r="D1464" s="22">
        <v>0</v>
      </c>
      <c r="E1464" s="17">
        <v>42130</v>
      </c>
      <c r="F1464" s="18">
        <v>0.61994212962962958</v>
      </c>
      <c r="G1464" s="22">
        <v>1476.93</v>
      </c>
      <c r="H1464">
        <v>0</v>
      </c>
      <c r="I1464" s="19" t="e">
        <f>I1463 + (D1464-G1464)</f>
        <v>#VALUE!</v>
      </c>
      <c r="M1464">
        <v>122982</v>
      </c>
      <c r="N1464">
        <v>24</v>
      </c>
      <c r="O1464" t="s">
        <v>68</v>
      </c>
      <c r="P1464">
        <v>1</v>
      </c>
      <c r="R1464">
        <v>1578</v>
      </c>
      <c r="S1464" s="17">
        <v>42135</v>
      </c>
      <c r="T1464" s="17">
        <v>42135</v>
      </c>
      <c r="W1464">
        <v>2015</v>
      </c>
      <c r="X1464">
        <v>24</v>
      </c>
      <c r="AC1464" t="s">
        <v>106</v>
      </c>
      <c r="AD1464" t="s">
        <v>302</v>
      </c>
      <c r="AE1464" t="s">
        <v>46</v>
      </c>
      <c r="AG1464">
        <v>12</v>
      </c>
      <c r="AH1464">
        <v>10</v>
      </c>
      <c r="AI1464" t="s">
        <v>95</v>
      </c>
      <c r="AK1464">
        <v>0</v>
      </c>
      <c r="AM1464">
        <v>0</v>
      </c>
      <c r="AP1464" t="s">
        <v>392</v>
      </c>
    </row>
    <row r="1465" spans="1:42" customFormat="1">
      <c r="A1465">
        <v>268977</v>
      </c>
      <c r="B1465" t="s">
        <v>1777</v>
      </c>
      <c r="C1465" t="s">
        <v>1778</v>
      </c>
      <c r="D1465" s="22">
        <v>0</v>
      </c>
      <c r="E1465" s="17">
        <v>42130</v>
      </c>
      <c r="F1465" s="18">
        <v>0.61994212962962958</v>
      </c>
      <c r="G1465" s="22">
        <v>1476.93</v>
      </c>
      <c r="H1465">
        <v>0</v>
      </c>
      <c r="I1465" s="19" t="e">
        <f>I1464 + (D1465-G1465)</f>
        <v>#VALUE!</v>
      </c>
      <c r="M1465">
        <v>122992</v>
      </c>
      <c r="N1465">
        <v>24</v>
      </c>
      <c r="O1465" t="s">
        <v>68</v>
      </c>
      <c r="P1465">
        <v>1</v>
      </c>
      <c r="R1465">
        <v>1578</v>
      </c>
      <c r="S1465" s="17">
        <v>42135</v>
      </c>
      <c r="T1465" s="17">
        <v>42135</v>
      </c>
      <c r="W1465">
        <v>2015</v>
      </c>
      <c r="X1465">
        <v>24</v>
      </c>
      <c r="AC1465" t="s">
        <v>106</v>
      </c>
      <c r="AD1465" t="s">
        <v>302</v>
      </c>
      <c r="AE1465" t="s">
        <v>46</v>
      </c>
      <c r="AG1465">
        <v>12</v>
      </c>
      <c r="AH1465">
        <v>10</v>
      </c>
      <c r="AI1465" t="s">
        <v>95</v>
      </c>
      <c r="AK1465">
        <v>0</v>
      </c>
      <c r="AM1465">
        <v>0</v>
      </c>
      <c r="AP1465" t="s">
        <v>392</v>
      </c>
    </row>
    <row r="1466" spans="1:42" customFormat="1">
      <c r="A1466">
        <v>268979</v>
      </c>
      <c r="B1466" t="s">
        <v>1779</v>
      </c>
      <c r="C1466" t="s">
        <v>1780</v>
      </c>
      <c r="D1466" s="22">
        <v>0</v>
      </c>
      <c r="E1466" s="17">
        <v>42130</v>
      </c>
      <c r="F1466" s="18">
        <v>0.61994212962962958</v>
      </c>
      <c r="G1466" s="22">
        <v>1476.93</v>
      </c>
      <c r="H1466">
        <v>0</v>
      </c>
      <c r="I1466" s="19" t="e">
        <f>I1465 + (D1466-G1466)</f>
        <v>#VALUE!</v>
      </c>
      <c r="M1466">
        <v>122983</v>
      </c>
      <c r="N1466">
        <v>24</v>
      </c>
      <c r="O1466" t="s">
        <v>68</v>
      </c>
      <c r="P1466">
        <v>1</v>
      </c>
      <c r="R1466">
        <v>1578</v>
      </c>
      <c r="S1466" s="17">
        <v>42135</v>
      </c>
      <c r="T1466" s="17">
        <v>42135</v>
      </c>
      <c r="W1466">
        <v>2015</v>
      </c>
      <c r="X1466">
        <v>24</v>
      </c>
      <c r="AC1466" t="s">
        <v>106</v>
      </c>
      <c r="AD1466" t="s">
        <v>302</v>
      </c>
      <c r="AE1466" t="s">
        <v>46</v>
      </c>
      <c r="AG1466">
        <v>12</v>
      </c>
      <c r="AH1466">
        <v>10</v>
      </c>
      <c r="AI1466" t="s">
        <v>95</v>
      </c>
      <c r="AK1466">
        <v>0</v>
      </c>
      <c r="AM1466">
        <v>0</v>
      </c>
      <c r="AP1466" t="s">
        <v>392</v>
      </c>
    </row>
    <row r="1467" spans="1:42" customFormat="1">
      <c r="A1467">
        <v>268967</v>
      </c>
      <c r="B1467" t="s">
        <v>1781</v>
      </c>
      <c r="C1467" t="s">
        <v>1782</v>
      </c>
      <c r="D1467" s="22">
        <v>0</v>
      </c>
      <c r="E1467" s="17">
        <v>42130</v>
      </c>
      <c r="F1467" s="18">
        <v>0.61994212962962958</v>
      </c>
      <c r="G1467" s="22">
        <v>1476.93</v>
      </c>
      <c r="H1467">
        <v>0</v>
      </c>
      <c r="I1467" s="19" t="e">
        <f>I1466 + (D1467-G1467)</f>
        <v>#VALUE!</v>
      </c>
      <c r="M1467">
        <v>122979</v>
      </c>
      <c r="N1467">
        <v>24</v>
      </c>
      <c r="O1467" t="s">
        <v>68</v>
      </c>
      <c r="P1467">
        <v>1</v>
      </c>
      <c r="R1467">
        <v>1578</v>
      </c>
      <c r="S1467" s="17">
        <v>42135</v>
      </c>
      <c r="T1467" s="17">
        <v>42135</v>
      </c>
      <c r="W1467">
        <v>2015</v>
      </c>
      <c r="X1467">
        <v>24</v>
      </c>
      <c r="AC1467" t="s">
        <v>106</v>
      </c>
      <c r="AD1467" t="s">
        <v>302</v>
      </c>
      <c r="AE1467" t="s">
        <v>46</v>
      </c>
      <c r="AG1467">
        <v>12</v>
      </c>
      <c r="AH1467">
        <v>10</v>
      </c>
      <c r="AI1467" t="s">
        <v>95</v>
      </c>
      <c r="AK1467">
        <v>0</v>
      </c>
      <c r="AM1467">
        <v>0</v>
      </c>
      <c r="AP1467" t="s">
        <v>392</v>
      </c>
    </row>
    <row r="1468" spans="1:42" customFormat="1">
      <c r="A1468">
        <v>268969</v>
      </c>
      <c r="B1468" t="s">
        <v>1783</v>
      </c>
      <c r="C1468" t="s">
        <v>1784</v>
      </c>
      <c r="D1468" s="22">
        <v>0</v>
      </c>
      <c r="E1468" s="17">
        <v>42130</v>
      </c>
      <c r="F1468" s="18">
        <v>0.61994212962962958</v>
      </c>
      <c r="G1468" s="22">
        <v>1476.93</v>
      </c>
      <c r="H1468">
        <v>0</v>
      </c>
      <c r="I1468" s="19" t="e">
        <f>I1467 + (D1468-G1468)</f>
        <v>#VALUE!</v>
      </c>
      <c r="M1468">
        <v>122999</v>
      </c>
      <c r="N1468">
        <v>24</v>
      </c>
      <c r="O1468" t="s">
        <v>68</v>
      </c>
      <c r="P1468">
        <v>1</v>
      </c>
      <c r="R1468">
        <v>1578</v>
      </c>
      <c r="S1468" s="17">
        <v>42135</v>
      </c>
      <c r="T1468" s="17">
        <v>42135</v>
      </c>
      <c r="W1468">
        <v>2015</v>
      </c>
      <c r="X1468">
        <v>24</v>
      </c>
      <c r="AC1468" t="s">
        <v>106</v>
      </c>
      <c r="AD1468" t="s">
        <v>302</v>
      </c>
      <c r="AE1468" t="s">
        <v>46</v>
      </c>
      <c r="AG1468">
        <v>12</v>
      </c>
      <c r="AH1468">
        <v>10</v>
      </c>
      <c r="AI1468" t="s">
        <v>95</v>
      </c>
      <c r="AK1468">
        <v>0</v>
      </c>
      <c r="AM1468">
        <v>0</v>
      </c>
      <c r="AP1468" t="s">
        <v>392</v>
      </c>
    </row>
    <row r="1469" spans="1:42" customFormat="1">
      <c r="A1469">
        <v>268972</v>
      </c>
      <c r="B1469" t="s">
        <v>1785</v>
      </c>
      <c r="C1469" t="s">
        <v>1786</v>
      </c>
      <c r="D1469" s="22">
        <v>0</v>
      </c>
      <c r="E1469" s="17">
        <v>42130</v>
      </c>
      <c r="F1469" s="18">
        <v>0.61994212962962958</v>
      </c>
      <c r="G1469" s="22">
        <v>1476.93</v>
      </c>
      <c r="H1469">
        <v>0</v>
      </c>
      <c r="I1469" s="19" t="e">
        <f>I1468 + (D1469-G1469)</f>
        <v>#VALUE!</v>
      </c>
      <c r="M1469">
        <v>123000</v>
      </c>
      <c r="N1469">
        <v>24</v>
      </c>
      <c r="O1469" t="s">
        <v>68</v>
      </c>
      <c r="P1469">
        <v>1</v>
      </c>
      <c r="R1469">
        <v>1578</v>
      </c>
      <c r="S1469" s="17">
        <v>42135</v>
      </c>
      <c r="T1469" s="17">
        <v>42135</v>
      </c>
      <c r="W1469">
        <v>2015</v>
      </c>
      <c r="X1469">
        <v>24</v>
      </c>
      <c r="AC1469" t="s">
        <v>106</v>
      </c>
      <c r="AD1469" t="s">
        <v>302</v>
      </c>
      <c r="AE1469" t="s">
        <v>46</v>
      </c>
      <c r="AG1469">
        <v>12</v>
      </c>
      <c r="AH1469">
        <v>10</v>
      </c>
      <c r="AI1469" t="s">
        <v>95</v>
      </c>
      <c r="AK1469">
        <v>0</v>
      </c>
      <c r="AM1469">
        <v>0</v>
      </c>
      <c r="AP1469" t="s">
        <v>392</v>
      </c>
    </row>
    <row r="1470" spans="1:42" customFormat="1">
      <c r="A1470">
        <v>268975</v>
      </c>
      <c r="B1470" t="s">
        <v>1787</v>
      </c>
      <c r="C1470" t="s">
        <v>1788</v>
      </c>
      <c r="D1470" s="22">
        <v>0</v>
      </c>
      <c r="E1470" s="17">
        <v>42130</v>
      </c>
      <c r="F1470" s="18">
        <v>0.61994212962962958</v>
      </c>
      <c r="G1470" s="22">
        <v>1476.93</v>
      </c>
      <c r="H1470">
        <v>0</v>
      </c>
      <c r="I1470" s="19" t="e">
        <f>I1469 + (D1470-G1470)</f>
        <v>#VALUE!</v>
      </c>
      <c r="M1470">
        <v>123001</v>
      </c>
      <c r="N1470">
        <v>24</v>
      </c>
      <c r="O1470" t="s">
        <v>68</v>
      </c>
      <c r="P1470">
        <v>1</v>
      </c>
      <c r="R1470">
        <v>1578</v>
      </c>
      <c r="S1470" s="17">
        <v>42135</v>
      </c>
      <c r="T1470" s="17">
        <v>42135</v>
      </c>
      <c r="W1470">
        <v>2015</v>
      </c>
      <c r="X1470">
        <v>24</v>
      </c>
      <c r="AC1470" t="s">
        <v>106</v>
      </c>
      <c r="AD1470" t="s">
        <v>302</v>
      </c>
      <c r="AE1470" t="s">
        <v>46</v>
      </c>
      <c r="AG1470">
        <v>12</v>
      </c>
      <c r="AH1470">
        <v>10</v>
      </c>
      <c r="AI1470" t="s">
        <v>95</v>
      </c>
      <c r="AK1470">
        <v>0</v>
      </c>
      <c r="AM1470">
        <v>0</v>
      </c>
      <c r="AP1470" t="s">
        <v>392</v>
      </c>
    </row>
    <row r="1471" spans="1:42" customFormat="1">
      <c r="A1471">
        <v>268978</v>
      </c>
      <c r="B1471" t="s">
        <v>1789</v>
      </c>
      <c r="C1471" t="s">
        <v>1790</v>
      </c>
      <c r="D1471" s="22">
        <v>0</v>
      </c>
      <c r="E1471" s="17">
        <v>42130</v>
      </c>
      <c r="F1471" s="18">
        <v>0.61994212962962958</v>
      </c>
      <c r="G1471" s="22">
        <v>1476.93</v>
      </c>
      <c r="H1471">
        <v>0</v>
      </c>
      <c r="I1471" s="19" t="e">
        <f>I1470 + (D1471-G1471)</f>
        <v>#VALUE!</v>
      </c>
      <c r="M1471">
        <v>123002</v>
      </c>
      <c r="N1471">
        <v>24</v>
      </c>
      <c r="O1471" t="s">
        <v>68</v>
      </c>
      <c r="P1471">
        <v>1</v>
      </c>
      <c r="R1471">
        <v>1578</v>
      </c>
      <c r="S1471" s="17">
        <v>42135</v>
      </c>
      <c r="T1471" s="17">
        <v>42135</v>
      </c>
      <c r="W1471">
        <v>2015</v>
      </c>
      <c r="X1471">
        <v>24</v>
      </c>
      <c r="AC1471" t="s">
        <v>106</v>
      </c>
      <c r="AD1471" t="s">
        <v>302</v>
      </c>
      <c r="AE1471" t="s">
        <v>46</v>
      </c>
      <c r="AG1471">
        <v>12</v>
      </c>
      <c r="AH1471">
        <v>10</v>
      </c>
      <c r="AI1471" t="s">
        <v>95</v>
      </c>
      <c r="AK1471">
        <v>0</v>
      </c>
      <c r="AM1471">
        <v>0</v>
      </c>
      <c r="AP1471" t="s">
        <v>392</v>
      </c>
    </row>
    <row r="1472" spans="1:42" customFormat="1">
      <c r="A1472">
        <v>268966</v>
      </c>
      <c r="B1472" t="s">
        <v>1791</v>
      </c>
      <c r="C1472" t="s">
        <v>1792</v>
      </c>
      <c r="D1472" s="22">
        <v>0</v>
      </c>
      <c r="E1472" s="17">
        <v>42130</v>
      </c>
      <c r="F1472" s="18">
        <v>0.61994212962962958</v>
      </c>
      <c r="G1472" s="22">
        <v>1476.93</v>
      </c>
      <c r="H1472">
        <v>0</v>
      </c>
      <c r="I1472" s="19" t="e">
        <f>I1471 + (D1472-G1472)</f>
        <v>#VALUE!</v>
      </c>
      <c r="M1472">
        <v>123008</v>
      </c>
      <c r="N1472">
        <v>24</v>
      </c>
      <c r="O1472" t="s">
        <v>68</v>
      </c>
      <c r="P1472">
        <v>1</v>
      </c>
      <c r="R1472">
        <v>1578</v>
      </c>
      <c r="S1472" s="17">
        <v>42135</v>
      </c>
      <c r="T1472" s="17">
        <v>42135</v>
      </c>
      <c r="W1472">
        <v>2015</v>
      </c>
      <c r="X1472">
        <v>24</v>
      </c>
      <c r="AC1472" t="s">
        <v>106</v>
      </c>
      <c r="AD1472" t="s">
        <v>302</v>
      </c>
      <c r="AE1472" t="s">
        <v>46</v>
      </c>
      <c r="AG1472">
        <v>12</v>
      </c>
      <c r="AH1472">
        <v>10</v>
      </c>
      <c r="AI1472" t="s">
        <v>95</v>
      </c>
      <c r="AK1472">
        <v>0</v>
      </c>
      <c r="AM1472">
        <v>0</v>
      </c>
      <c r="AP1472" t="s">
        <v>392</v>
      </c>
    </row>
    <row r="1473" spans="1:42" customFormat="1">
      <c r="A1473">
        <v>268980</v>
      </c>
      <c r="B1473" t="s">
        <v>1793</v>
      </c>
      <c r="C1473" t="s">
        <v>1794</v>
      </c>
      <c r="D1473" s="22">
        <v>0</v>
      </c>
      <c r="E1473" s="17">
        <v>42130</v>
      </c>
      <c r="F1473" s="18">
        <v>0.61995370370370373</v>
      </c>
      <c r="G1473" s="22">
        <v>1476.93</v>
      </c>
      <c r="H1473">
        <v>0</v>
      </c>
      <c r="I1473" s="19" t="e">
        <f>I1472 + (D1473-G1473)</f>
        <v>#VALUE!</v>
      </c>
      <c r="M1473">
        <v>122993</v>
      </c>
      <c r="N1473">
        <v>24</v>
      </c>
      <c r="O1473" t="s">
        <v>68</v>
      </c>
      <c r="P1473">
        <v>1</v>
      </c>
      <c r="R1473">
        <v>1578</v>
      </c>
      <c r="S1473" s="17">
        <v>42135</v>
      </c>
      <c r="T1473" s="17">
        <v>42135</v>
      </c>
      <c r="W1473">
        <v>2015</v>
      </c>
      <c r="X1473">
        <v>24</v>
      </c>
      <c r="AC1473" t="s">
        <v>106</v>
      </c>
      <c r="AD1473" t="s">
        <v>302</v>
      </c>
      <c r="AE1473" t="s">
        <v>46</v>
      </c>
      <c r="AG1473">
        <v>12</v>
      </c>
      <c r="AH1473">
        <v>10</v>
      </c>
      <c r="AI1473" t="s">
        <v>95</v>
      </c>
      <c r="AK1473">
        <v>0</v>
      </c>
      <c r="AM1473">
        <v>0</v>
      </c>
      <c r="AP1473" t="s">
        <v>392</v>
      </c>
    </row>
    <row r="1474" spans="1:42" customFormat="1">
      <c r="A1474">
        <v>268982</v>
      </c>
      <c r="B1474" t="s">
        <v>1795</v>
      </c>
      <c r="C1474" t="s">
        <v>1796</v>
      </c>
      <c r="D1474" s="22">
        <v>0</v>
      </c>
      <c r="E1474" s="17">
        <v>42130</v>
      </c>
      <c r="F1474" s="18">
        <v>0.61995370370370373</v>
      </c>
      <c r="G1474" s="22">
        <v>1476.93</v>
      </c>
      <c r="H1474">
        <v>0</v>
      </c>
      <c r="I1474" s="19" t="e">
        <f>I1473 + (D1474-G1474)</f>
        <v>#VALUE!</v>
      </c>
      <c r="M1474">
        <v>122984</v>
      </c>
      <c r="N1474">
        <v>24</v>
      </c>
      <c r="O1474" t="s">
        <v>68</v>
      </c>
      <c r="P1474">
        <v>1</v>
      </c>
      <c r="R1474">
        <v>1578</v>
      </c>
      <c r="S1474" s="17">
        <v>42135</v>
      </c>
      <c r="T1474" s="17">
        <v>42135</v>
      </c>
      <c r="W1474">
        <v>2015</v>
      </c>
      <c r="X1474">
        <v>24</v>
      </c>
      <c r="AC1474" t="s">
        <v>106</v>
      </c>
      <c r="AD1474" t="s">
        <v>302</v>
      </c>
      <c r="AE1474" t="s">
        <v>46</v>
      </c>
      <c r="AG1474">
        <v>12</v>
      </c>
      <c r="AH1474">
        <v>10</v>
      </c>
      <c r="AI1474" t="s">
        <v>95</v>
      </c>
      <c r="AK1474">
        <v>0</v>
      </c>
      <c r="AM1474">
        <v>0</v>
      </c>
      <c r="AP1474" t="s">
        <v>392</v>
      </c>
    </row>
    <row r="1475" spans="1:42" customFormat="1">
      <c r="A1475">
        <v>268983</v>
      </c>
      <c r="B1475" t="s">
        <v>1797</v>
      </c>
      <c r="C1475" t="s">
        <v>1798</v>
      </c>
      <c r="D1475" s="22">
        <v>0</v>
      </c>
      <c r="E1475" s="17">
        <v>42130</v>
      </c>
      <c r="F1475" s="18">
        <v>0.61995370370370373</v>
      </c>
      <c r="G1475" s="22">
        <v>1476.93</v>
      </c>
      <c r="H1475">
        <v>0</v>
      </c>
      <c r="I1475" s="19" t="e">
        <f>I1474 + (D1475-G1475)</f>
        <v>#VALUE!</v>
      </c>
      <c r="M1475">
        <v>122994</v>
      </c>
      <c r="N1475">
        <v>24</v>
      </c>
      <c r="O1475" t="s">
        <v>68</v>
      </c>
      <c r="P1475">
        <v>1</v>
      </c>
      <c r="R1475">
        <v>1578</v>
      </c>
      <c r="S1475" s="17">
        <v>42135</v>
      </c>
      <c r="T1475" s="17">
        <v>42135</v>
      </c>
      <c r="W1475">
        <v>2015</v>
      </c>
      <c r="X1475">
        <v>24</v>
      </c>
      <c r="AC1475" t="s">
        <v>106</v>
      </c>
      <c r="AD1475" t="s">
        <v>302</v>
      </c>
      <c r="AE1475" t="s">
        <v>46</v>
      </c>
      <c r="AG1475">
        <v>12</v>
      </c>
      <c r="AH1475">
        <v>10</v>
      </c>
      <c r="AI1475" t="s">
        <v>95</v>
      </c>
      <c r="AK1475">
        <v>0</v>
      </c>
      <c r="AM1475">
        <v>0</v>
      </c>
      <c r="AP1475" t="s">
        <v>392</v>
      </c>
    </row>
    <row r="1476" spans="1:42" customFormat="1">
      <c r="A1476">
        <v>268985</v>
      </c>
      <c r="B1476" t="s">
        <v>1799</v>
      </c>
      <c r="C1476" t="s">
        <v>1800</v>
      </c>
      <c r="D1476" s="22">
        <v>0</v>
      </c>
      <c r="E1476" s="17">
        <v>42130</v>
      </c>
      <c r="F1476" s="18">
        <v>0.61995370370370373</v>
      </c>
      <c r="G1476" s="22">
        <v>1476.93</v>
      </c>
      <c r="H1476">
        <v>0</v>
      </c>
      <c r="I1476" s="19" t="e">
        <f>I1475 + (D1476-G1476)</f>
        <v>#VALUE!</v>
      </c>
      <c r="M1476">
        <v>122985</v>
      </c>
      <c r="N1476">
        <v>24</v>
      </c>
      <c r="O1476" t="s">
        <v>68</v>
      </c>
      <c r="P1476">
        <v>1</v>
      </c>
      <c r="R1476">
        <v>1578</v>
      </c>
      <c r="S1476" s="17">
        <v>42135</v>
      </c>
      <c r="T1476" s="17">
        <v>42135</v>
      </c>
      <c r="W1476">
        <v>2015</v>
      </c>
      <c r="X1476">
        <v>24</v>
      </c>
      <c r="AC1476" t="s">
        <v>106</v>
      </c>
      <c r="AD1476" t="s">
        <v>302</v>
      </c>
      <c r="AE1476" t="s">
        <v>46</v>
      </c>
      <c r="AG1476">
        <v>12</v>
      </c>
      <c r="AH1476">
        <v>10</v>
      </c>
      <c r="AI1476" t="s">
        <v>95</v>
      </c>
      <c r="AK1476">
        <v>0</v>
      </c>
      <c r="AM1476">
        <v>0</v>
      </c>
      <c r="AP1476" t="s">
        <v>392</v>
      </c>
    </row>
    <row r="1477" spans="1:42" customFormat="1">
      <c r="A1477">
        <v>268986</v>
      </c>
      <c r="B1477" t="s">
        <v>1801</v>
      </c>
      <c r="C1477" t="s">
        <v>1802</v>
      </c>
      <c r="D1477" s="22">
        <v>0</v>
      </c>
      <c r="E1477" s="17">
        <v>42130</v>
      </c>
      <c r="F1477" s="18">
        <v>0.61995370370370373</v>
      </c>
      <c r="G1477" s="22">
        <v>1476.93</v>
      </c>
      <c r="H1477">
        <v>0</v>
      </c>
      <c r="I1477" s="19" t="e">
        <f>I1476 + (D1477-G1477)</f>
        <v>#VALUE!</v>
      </c>
      <c r="M1477">
        <v>122995</v>
      </c>
      <c r="N1477">
        <v>24</v>
      </c>
      <c r="O1477" t="s">
        <v>68</v>
      </c>
      <c r="P1477">
        <v>1</v>
      </c>
      <c r="R1477">
        <v>1578</v>
      </c>
      <c r="S1477" s="17">
        <v>42135</v>
      </c>
      <c r="T1477" s="17">
        <v>42135</v>
      </c>
      <c r="W1477">
        <v>2015</v>
      </c>
      <c r="X1477">
        <v>24</v>
      </c>
      <c r="AC1477" t="s">
        <v>106</v>
      </c>
      <c r="AD1477" t="s">
        <v>302</v>
      </c>
      <c r="AE1477" t="s">
        <v>46</v>
      </c>
      <c r="AG1477">
        <v>12</v>
      </c>
      <c r="AH1477">
        <v>10</v>
      </c>
      <c r="AI1477" t="s">
        <v>95</v>
      </c>
      <c r="AK1477">
        <v>0</v>
      </c>
      <c r="AM1477">
        <v>0</v>
      </c>
      <c r="AP1477" t="s">
        <v>392</v>
      </c>
    </row>
    <row r="1478" spans="1:42" customFormat="1">
      <c r="A1478">
        <v>268988</v>
      </c>
      <c r="B1478" t="s">
        <v>1803</v>
      </c>
      <c r="C1478" t="s">
        <v>1804</v>
      </c>
      <c r="D1478" s="22">
        <v>0</v>
      </c>
      <c r="E1478" s="17">
        <v>42130</v>
      </c>
      <c r="F1478" s="18">
        <v>0.61995370370370373</v>
      </c>
      <c r="G1478" s="22">
        <v>1476.93</v>
      </c>
      <c r="H1478">
        <v>0</v>
      </c>
      <c r="I1478" s="19" t="e">
        <f>I1477 + (D1478-G1478)</f>
        <v>#VALUE!</v>
      </c>
      <c r="M1478">
        <v>122986</v>
      </c>
      <c r="N1478">
        <v>24</v>
      </c>
      <c r="O1478" t="s">
        <v>68</v>
      </c>
      <c r="P1478">
        <v>1</v>
      </c>
      <c r="R1478">
        <v>1578</v>
      </c>
      <c r="S1478" s="17">
        <v>42135</v>
      </c>
      <c r="T1478" s="17">
        <v>42135</v>
      </c>
      <c r="W1478">
        <v>2015</v>
      </c>
      <c r="X1478">
        <v>24</v>
      </c>
      <c r="AC1478" t="s">
        <v>106</v>
      </c>
      <c r="AD1478" t="s">
        <v>302</v>
      </c>
      <c r="AE1478" t="s">
        <v>46</v>
      </c>
      <c r="AG1478">
        <v>12</v>
      </c>
      <c r="AH1478">
        <v>10</v>
      </c>
      <c r="AI1478" t="s">
        <v>95</v>
      </c>
      <c r="AK1478">
        <v>0</v>
      </c>
      <c r="AM1478">
        <v>0</v>
      </c>
      <c r="AP1478" t="s">
        <v>392</v>
      </c>
    </row>
    <row r="1479" spans="1:42" customFormat="1">
      <c r="A1479">
        <v>268989</v>
      </c>
      <c r="B1479" t="s">
        <v>1805</v>
      </c>
      <c r="C1479" t="s">
        <v>1806</v>
      </c>
      <c r="D1479" s="22">
        <v>0</v>
      </c>
      <c r="E1479" s="17">
        <v>42130</v>
      </c>
      <c r="F1479" s="18">
        <v>0.61995370370370373</v>
      </c>
      <c r="G1479" s="22">
        <v>1476.93</v>
      </c>
      <c r="H1479">
        <v>0</v>
      </c>
      <c r="I1479" s="19" t="e">
        <f>I1478 + (D1479-G1479)</f>
        <v>#VALUE!</v>
      </c>
      <c r="M1479">
        <v>122996</v>
      </c>
      <c r="N1479">
        <v>24</v>
      </c>
      <c r="O1479" t="s">
        <v>68</v>
      </c>
      <c r="P1479">
        <v>1</v>
      </c>
      <c r="R1479">
        <v>1578</v>
      </c>
      <c r="S1479" s="17">
        <v>42135</v>
      </c>
      <c r="T1479" s="17">
        <v>42135</v>
      </c>
      <c r="W1479">
        <v>2015</v>
      </c>
      <c r="X1479">
        <v>24</v>
      </c>
      <c r="AC1479" t="s">
        <v>106</v>
      </c>
      <c r="AD1479" t="s">
        <v>302</v>
      </c>
      <c r="AE1479" t="s">
        <v>46</v>
      </c>
      <c r="AG1479">
        <v>12</v>
      </c>
      <c r="AH1479">
        <v>10</v>
      </c>
      <c r="AI1479" t="s">
        <v>95</v>
      </c>
      <c r="AK1479">
        <v>0</v>
      </c>
      <c r="AM1479">
        <v>0</v>
      </c>
      <c r="AP1479" t="s">
        <v>392</v>
      </c>
    </row>
    <row r="1480" spans="1:42" customFormat="1">
      <c r="A1480">
        <v>268991</v>
      </c>
      <c r="B1480" t="s">
        <v>1807</v>
      </c>
      <c r="C1480" t="s">
        <v>1808</v>
      </c>
      <c r="D1480" s="22">
        <v>0</v>
      </c>
      <c r="E1480" s="17">
        <v>42130</v>
      </c>
      <c r="F1480" s="18">
        <v>0.61995370370370373</v>
      </c>
      <c r="G1480" s="22">
        <v>1476.93</v>
      </c>
      <c r="H1480">
        <v>0</v>
      </c>
      <c r="I1480" s="19" t="e">
        <f>I1479 + (D1480-G1480)</f>
        <v>#VALUE!</v>
      </c>
      <c r="M1480">
        <v>122987</v>
      </c>
      <c r="N1480">
        <v>24</v>
      </c>
      <c r="O1480" t="s">
        <v>68</v>
      </c>
      <c r="P1480">
        <v>1</v>
      </c>
      <c r="R1480">
        <v>1578</v>
      </c>
      <c r="S1480" s="17">
        <v>42135</v>
      </c>
      <c r="T1480" s="17">
        <v>42135</v>
      </c>
      <c r="W1480">
        <v>2015</v>
      </c>
      <c r="X1480">
        <v>24</v>
      </c>
      <c r="AC1480" t="s">
        <v>106</v>
      </c>
      <c r="AD1480" t="s">
        <v>302</v>
      </c>
      <c r="AE1480" t="s">
        <v>46</v>
      </c>
      <c r="AG1480">
        <v>12</v>
      </c>
      <c r="AH1480">
        <v>10</v>
      </c>
      <c r="AI1480" t="s">
        <v>95</v>
      </c>
      <c r="AK1480">
        <v>0</v>
      </c>
      <c r="AM1480">
        <v>0</v>
      </c>
      <c r="AP1480" t="s">
        <v>392</v>
      </c>
    </row>
    <row r="1481" spans="1:42" customFormat="1">
      <c r="A1481">
        <v>268981</v>
      </c>
      <c r="B1481" t="s">
        <v>1809</v>
      </c>
      <c r="C1481" t="s">
        <v>1810</v>
      </c>
      <c r="D1481" s="22">
        <v>0</v>
      </c>
      <c r="E1481" s="17">
        <v>42130</v>
      </c>
      <c r="F1481" s="18">
        <v>0.61995370370370373</v>
      </c>
      <c r="G1481" s="22">
        <v>1476.93</v>
      </c>
      <c r="H1481">
        <v>0</v>
      </c>
      <c r="I1481" s="19" t="e">
        <f>I1480 + (D1481-G1481)</f>
        <v>#VALUE!</v>
      </c>
      <c r="M1481">
        <v>123003</v>
      </c>
      <c r="N1481">
        <v>24</v>
      </c>
      <c r="O1481" t="s">
        <v>68</v>
      </c>
      <c r="P1481">
        <v>1</v>
      </c>
      <c r="R1481">
        <v>1578</v>
      </c>
      <c r="S1481" s="17">
        <v>42135</v>
      </c>
      <c r="T1481" s="17">
        <v>42135</v>
      </c>
      <c r="W1481">
        <v>2015</v>
      </c>
      <c r="X1481">
        <v>24</v>
      </c>
      <c r="AC1481" t="s">
        <v>106</v>
      </c>
      <c r="AD1481" t="s">
        <v>302</v>
      </c>
      <c r="AE1481" t="s">
        <v>46</v>
      </c>
      <c r="AG1481">
        <v>12</v>
      </c>
      <c r="AH1481">
        <v>10</v>
      </c>
      <c r="AI1481" t="s">
        <v>95</v>
      </c>
      <c r="AK1481">
        <v>0</v>
      </c>
      <c r="AM1481">
        <v>0</v>
      </c>
      <c r="AP1481" t="s">
        <v>392</v>
      </c>
    </row>
    <row r="1482" spans="1:42" customFormat="1">
      <c r="A1482">
        <v>268984</v>
      </c>
      <c r="B1482" t="s">
        <v>1811</v>
      </c>
      <c r="C1482" t="s">
        <v>1812</v>
      </c>
      <c r="D1482" s="22">
        <v>0</v>
      </c>
      <c r="E1482" s="17">
        <v>42130</v>
      </c>
      <c r="F1482" s="18">
        <v>0.61995370370370373</v>
      </c>
      <c r="G1482" s="22">
        <v>1476.93</v>
      </c>
      <c r="H1482">
        <v>0</v>
      </c>
      <c r="I1482" s="19" t="e">
        <f>I1481 + (D1482-G1482)</f>
        <v>#VALUE!</v>
      </c>
      <c r="M1482">
        <v>123004</v>
      </c>
      <c r="N1482">
        <v>24</v>
      </c>
      <c r="O1482" t="s">
        <v>68</v>
      </c>
      <c r="P1482">
        <v>1</v>
      </c>
      <c r="R1482">
        <v>1578</v>
      </c>
      <c r="S1482" s="17">
        <v>42135</v>
      </c>
      <c r="T1482" s="17">
        <v>42135</v>
      </c>
      <c r="W1482">
        <v>2015</v>
      </c>
      <c r="X1482">
        <v>24</v>
      </c>
      <c r="AC1482" t="s">
        <v>106</v>
      </c>
      <c r="AD1482" t="s">
        <v>302</v>
      </c>
      <c r="AE1482" t="s">
        <v>46</v>
      </c>
      <c r="AG1482">
        <v>12</v>
      </c>
      <c r="AH1482">
        <v>10</v>
      </c>
      <c r="AI1482" t="s">
        <v>95</v>
      </c>
      <c r="AK1482">
        <v>0</v>
      </c>
      <c r="AM1482">
        <v>0</v>
      </c>
      <c r="AP1482" t="s">
        <v>392</v>
      </c>
    </row>
    <row r="1483" spans="1:42" customFormat="1">
      <c r="A1483">
        <v>268987</v>
      </c>
      <c r="B1483" t="s">
        <v>1813</v>
      </c>
      <c r="C1483" t="s">
        <v>1814</v>
      </c>
      <c r="D1483" s="22">
        <v>0</v>
      </c>
      <c r="E1483" s="17">
        <v>42130</v>
      </c>
      <c r="F1483" s="18">
        <v>0.61995370370370373</v>
      </c>
      <c r="G1483" s="22">
        <v>1476.93</v>
      </c>
      <c r="H1483">
        <v>0</v>
      </c>
      <c r="I1483" s="19" t="e">
        <f>I1482 + (D1483-G1483)</f>
        <v>#VALUE!</v>
      </c>
      <c r="M1483">
        <v>123005</v>
      </c>
      <c r="N1483">
        <v>24</v>
      </c>
      <c r="O1483" t="s">
        <v>68</v>
      </c>
      <c r="P1483">
        <v>1</v>
      </c>
      <c r="R1483">
        <v>1578</v>
      </c>
      <c r="S1483" s="17">
        <v>42135</v>
      </c>
      <c r="T1483" s="17">
        <v>42135</v>
      </c>
      <c r="W1483">
        <v>2015</v>
      </c>
      <c r="X1483">
        <v>24</v>
      </c>
      <c r="AC1483" t="s">
        <v>106</v>
      </c>
      <c r="AD1483" t="s">
        <v>302</v>
      </c>
      <c r="AE1483" t="s">
        <v>46</v>
      </c>
      <c r="AG1483">
        <v>12</v>
      </c>
      <c r="AH1483">
        <v>10</v>
      </c>
      <c r="AI1483" t="s">
        <v>95</v>
      </c>
      <c r="AK1483">
        <v>0</v>
      </c>
      <c r="AM1483">
        <v>0</v>
      </c>
      <c r="AP1483" t="s">
        <v>392</v>
      </c>
    </row>
    <row r="1484" spans="1:42" customFormat="1">
      <c r="A1484">
        <v>268990</v>
      </c>
      <c r="B1484" t="s">
        <v>1815</v>
      </c>
      <c r="C1484" t="s">
        <v>1816</v>
      </c>
      <c r="D1484" s="22">
        <v>0</v>
      </c>
      <c r="E1484" s="17">
        <v>42130</v>
      </c>
      <c r="F1484" s="18">
        <v>0.61995370370370373</v>
      </c>
      <c r="G1484" s="22">
        <v>1476.93</v>
      </c>
      <c r="H1484">
        <v>0</v>
      </c>
      <c r="I1484" s="19" t="e">
        <f>I1483 + (D1484-G1484)</f>
        <v>#VALUE!</v>
      </c>
      <c r="M1484">
        <v>123006</v>
      </c>
      <c r="N1484">
        <v>24</v>
      </c>
      <c r="O1484" t="s">
        <v>68</v>
      </c>
      <c r="P1484">
        <v>1</v>
      </c>
      <c r="R1484">
        <v>1578</v>
      </c>
      <c r="S1484" s="17">
        <v>42135</v>
      </c>
      <c r="T1484" s="17">
        <v>42135</v>
      </c>
      <c r="W1484">
        <v>2015</v>
      </c>
      <c r="X1484">
        <v>24</v>
      </c>
      <c r="AC1484" t="s">
        <v>106</v>
      </c>
      <c r="AD1484" t="s">
        <v>302</v>
      </c>
      <c r="AE1484" t="s">
        <v>46</v>
      </c>
      <c r="AG1484">
        <v>12</v>
      </c>
      <c r="AH1484">
        <v>10</v>
      </c>
      <c r="AI1484" t="s">
        <v>95</v>
      </c>
      <c r="AK1484">
        <v>0</v>
      </c>
      <c r="AM1484">
        <v>0</v>
      </c>
      <c r="AP1484" t="s">
        <v>392</v>
      </c>
    </row>
    <row r="1485" spans="1:42" customFormat="1">
      <c r="A1485">
        <v>268992</v>
      </c>
      <c r="B1485" t="s">
        <v>1817</v>
      </c>
      <c r="C1485" t="s">
        <v>1818</v>
      </c>
      <c r="D1485" s="22">
        <v>0</v>
      </c>
      <c r="E1485" s="17">
        <v>42130</v>
      </c>
      <c r="F1485" s="18">
        <v>0.61996527777777777</v>
      </c>
      <c r="G1485" s="22">
        <v>1476.93</v>
      </c>
      <c r="H1485">
        <v>0</v>
      </c>
      <c r="I1485" s="19" t="e">
        <f>I1484 + (D1485-G1485)</f>
        <v>#VALUE!</v>
      </c>
      <c r="M1485">
        <v>122997</v>
      </c>
      <c r="N1485">
        <v>24</v>
      </c>
      <c r="O1485" t="s">
        <v>68</v>
      </c>
      <c r="P1485">
        <v>1</v>
      </c>
      <c r="R1485">
        <v>1578</v>
      </c>
      <c r="S1485" s="17">
        <v>42135</v>
      </c>
      <c r="T1485" s="17">
        <v>42135</v>
      </c>
      <c r="W1485">
        <v>2015</v>
      </c>
      <c r="X1485">
        <v>24</v>
      </c>
      <c r="AC1485" t="s">
        <v>106</v>
      </c>
      <c r="AD1485" t="s">
        <v>302</v>
      </c>
      <c r="AE1485" t="s">
        <v>46</v>
      </c>
      <c r="AG1485">
        <v>12</v>
      </c>
      <c r="AH1485">
        <v>10</v>
      </c>
      <c r="AI1485" t="s">
        <v>95</v>
      </c>
      <c r="AK1485">
        <v>0</v>
      </c>
      <c r="AM1485">
        <v>0</v>
      </c>
      <c r="AP1485" t="s">
        <v>392</v>
      </c>
    </row>
    <row r="1486" spans="1:42" customFormat="1">
      <c r="A1486">
        <v>268993</v>
      </c>
      <c r="B1486" t="s">
        <v>1819</v>
      </c>
      <c r="C1486" t="s">
        <v>1820</v>
      </c>
      <c r="D1486" s="22">
        <v>0</v>
      </c>
      <c r="E1486" s="17">
        <v>42130</v>
      </c>
      <c r="F1486" s="18">
        <v>0.61996527777777777</v>
      </c>
      <c r="G1486" s="22">
        <v>1476.93</v>
      </c>
      <c r="H1486">
        <v>0</v>
      </c>
      <c r="I1486" s="19" t="e">
        <f>I1485 + (D1486-G1486)</f>
        <v>#VALUE!</v>
      </c>
      <c r="M1486">
        <v>123007</v>
      </c>
      <c r="N1486">
        <v>24</v>
      </c>
      <c r="O1486" t="s">
        <v>68</v>
      </c>
      <c r="P1486">
        <v>1</v>
      </c>
      <c r="R1486">
        <v>1578</v>
      </c>
      <c r="S1486" s="17">
        <v>42135</v>
      </c>
      <c r="T1486" s="17">
        <v>42135</v>
      </c>
      <c r="W1486">
        <v>2015</v>
      </c>
      <c r="X1486">
        <v>24</v>
      </c>
      <c r="AC1486" t="s">
        <v>106</v>
      </c>
      <c r="AD1486" t="s">
        <v>302</v>
      </c>
      <c r="AE1486" t="s">
        <v>46</v>
      </c>
      <c r="AG1486">
        <v>12</v>
      </c>
      <c r="AH1486">
        <v>10</v>
      </c>
      <c r="AI1486" t="s">
        <v>95</v>
      </c>
      <c r="AK1486">
        <v>0</v>
      </c>
      <c r="AM1486">
        <v>0</v>
      </c>
      <c r="AP1486" t="s">
        <v>392</v>
      </c>
    </row>
    <row r="1487" spans="1:42" customFormat="1">
      <c r="A1487">
        <v>268999</v>
      </c>
      <c r="B1487" t="s">
        <v>1821</v>
      </c>
      <c r="C1487" t="s">
        <v>1822</v>
      </c>
      <c r="D1487" s="22">
        <v>0</v>
      </c>
      <c r="E1487" s="17">
        <v>42130</v>
      </c>
      <c r="F1487" s="18">
        <v>0.62133101851851846</v>
      </c>
      <c r="G1487" s="22">
        <v>1476.93</v>
      </c>
      <c r="H1487">
        <v>0</v>
      </c>
      <c r="I1487" s="19" t="e">
        <f>I1486 + (D1487-G1487)</f>
        <v>#VALUE!</v>
      </c>
      <c r="M1487">
        <v>123018</v>
      </c>
      <c r="N1487">
        <v>24</v>
      </c>
      <c r="O1487" t="s">
        <v>68</v>
      </c>
      <c r="P1487">
        <v>1</v>
      </c>
      <c r="R1487">
        <v>1578</v>
      </c>
      <c r="S1487" s="17">
        <v>42135</v>
      </c>
      <c r="T1487" s="17">
        <v>42135</v>
      </c>
      <c r="W1487">
        <v>2015</v>
      </c>
      <c r="X1487">
        <v>24</v>
      </c>
      <c r="AC1487" t="s">
        <v>106</v>
      </c>
      <c r="AD1487" t="s">
        <v>302</v>
      </c>
      <c r="AE1487" t="s">
        <v>46</v>
      </c>
      <c r="AG1487">
        <v>12</v>
      </c>
      <c r="AH1487">
        <v>10</v>
      </c>
      <c r="AI1487" t="s">
        <v>95</v>
      </c>
      <c r="AK1487">
        <v>0</v>
      </c>
      <c r="AM1487">
        <v>0</v>
      </c>
      <c r="AP1487" t="s">
        <v>392</v>
      </c>
    </row>
    <row r="1488" spans="1:42" customFormat="1">
      <c r="A1488">
        <v>269004</v>
      </c>
      <c r="B1488" t="s">
        <v>1823</v>
      </c>
      <c r="C1488" t="s">
        <v>1824</v>
      </c>
      <c r="D1488" s="22">
        <v>0</v>
      </c>
      <c r="E1488" s="17">
        <v>42130</v>
      </c>
      <c r="F1488" s="18">
        <v>0.62134259259259261</v>
      </c>
      <c r="G1488" s="22">
        <v>1476.93</v>
      </c>
      <c r="H1488">
        <v>0</v>
      </c>
      <c r="I1488" s="19" t="e">
        <f>I1487 + (D1488-G1488)</f>
        <v>#VALUE!</v>
      </c>
      <c r="M1488">
        <v>123010</v>
      </c>
      <c r="N1488">
        <v>24</v>
      </c>
      <c r="O1488" t="s">
        <v>68</v>
      </c>
      <c r="P1488">
        <v>1</v>
      </c>
      <c r="R1488">
        <v>1578</v>
      </c>
      <c r="S1488" s="17">
        <v>42135</v>
      </c>
      <c r="T1488" s="17">
        <v>42135</v>
      </c>
      <c r="W1488">
        <v>2015</v>
      </c>
      <c r="X1488">
        <v>24</v>
      </c>
      <c r="AC1488" t="s">
        <v>106</v>
      </c>
      <c r="AD1488" t="s">
        <v>302</v>
      </c>
      <c r="AE1488" t="s">
        <v>46</v>
      </c>
      <c r="AG1488">
        <v>12</v>
      </c>
      <c r="AH1488">
        <v>10</v>
      </c>
      <c r="AI1488" t="s">
        <v>95</v>
      </c>
      <c r="AK1488">
        <v>0</v>
      </c>
      <c r="AM1488">
        <v>0</v>
      </c>
      <c r="AP1488" t="s">
        <v>392</v>
      </c>
    </row>
    <row r="1489" spans="1:42" customFormat="1">
      <c r="A1489">
        <v>269005</v>
      </c>
      <c r="B1489" t="s">
        <v>1825</v>
      </c>
      <c r="C1489" t="s">
        <v>1826</v>
      </c>
      <c r="D1489" s="22">
        <v>0</v>
      </c>
      <c r="E1489" s="17">
        <v>42130</v>
      </c>
      <c r="F1489" s="18">
        <v>0.62134259259259261</v>
      </c>
      <c r="G1489" s="22">
        <v>1476.93</v>
      </c>
      <c r="H1489">
        <v>0</v>
      </c>
      <c r="I1489" s="19" t="e">
        <f>I1488 + (D1489-G1489)</f>
        <v>#VALUE!</v>
      </c>
      <c r="M1489">
        <v>123020</v>
      </c>
      <c r="N1489">
        <v>24</v>
      </c>
      <c r="O1489" t="s">
        <v>68</v>
      </c>
      <c r="P1489">
        <v>1</v>
      </c>
      <c r="R1489">
        <v>1578</v>
      </c>
      <c r="S1489" s="17">
        <v>42135</v>
      </c>
      <c r="T1489" s="17">
        <v>42135</v>
      </c>
      <c r="W1489">
        <v>2015</v>
      </c>
      <c r="X1489">
        <v>24</v>
      </c>
      <c r="AC1489" t="s">
        <v>106</v>
      </c>
      <c r="AD1489" t="s">
        <v>302</v>
      </c>
      <c r="AE1489" t="s">
        <v>46</v>
      </c>
      <c r="AG1489">
        <v>12</v>
      </c>
      <c r="AH1489">
        <v>10</v>
      </c>
      <c r="AI1489" t="s">
        <v>95</v>
      </c>
      <c r="AK1489">
        <v>0</v>
      </c>
      <c r="AM1489">
        <v>0</v>
      </c>
      <c r="AP1489" t="s">
        <v>392</v>
      </c>
    </row>
    <row r="1490" spans="1:42" customFormat="1">
      <c r="A1490">
        <v>269006</v>
      </c>
      <c r="B1490" t="s">
        <v>1827</v>
      </c>
      <c r="C1490" t="s">
        <v>1828</v>
      </c>
      <c r="D1490" s="22">
        <v>0</v>
      </c>
      <c r="E1490" s="17">
        <v>42130</v>
      </c>
      <c r="F1490" s="18">
        <v>0.62134259259259261</v>
      </c>
      <c r="G1490" s="22">
        <v>1476.93</v>
      </c>
      <c r="H1490">
        <v>0</v>
      </c>
      <c r="I1490" s="19" t="e">
        <f>I1489 + (D1490-G1490)</f>
        <v>#VALUE!</v>
      </c>
      <c r="M1490">
        <v>123030</v>
      </c>
      <c r="N1490">
        <v>24</v>
      </c>
      <c r="O1490" t="s">
        <v>68</v>
      </c>
      <c r="P1490">
        <v>1</v>
      </c>
      <c r="R1490">
        <v>1578</v>
      </c>
      <c r="S1490" s="17">
        <v>42135</v>
      </c>
      <c r="T1490" s="17">
        <v>42135</v>
      </c>
      <c r="W1490">
        <v>2015</v>
      </c>
      <c r="X1490">
        <v>24</v>
      </c>
      <c r="AC1490" t="s">
        <v>106</v>
      </c>
      <c r="AD1490" t="s">
        <v>302</v>
      </c>
      <c r="AE1490" t="s">
        <v>46</v>
      </c>
      <c r="AG1490">
        <v>12</v>
      </c>
      <c r="AH1490">
        <v>10</v>
      </c>
      <c r="AI1490" t="s">
        <v>95</v>
      </c>
      <c r="AK1490">
        <v>0</v>
      </c>
      <c r="AM1490">
        <v>0</v>
      </c>
      <c r="AP1490" t="s">
        <v>392</v>
      </c>
    </row>
    <row r="1491" spans="1:42" customFormat="1">
      <c r="A1491">
        <v>269007</v>
      </c>
      <c r="B1491" t="s">
        <v>1829</v>
      </c>
      <c r="C1491" t="s">
        <v>1830</v>
      </c>
      <c r="D1491" s="22">
        <v>0</v>
      </c>
      <c r="E1491" s="17">
        <v>42130</v>
      </c>
      <c r="F1491" s="18">
        <v>0.62134259259259261</v>
      </c>
      <c r="G1491" s="22">
        <v>1476.93</v>
      </c>
      <c r="H1491">
        <v>0</v>
      </c>
      <c r="I1491" s="19" t="e">
        <f>I1490 + (D1491-G1491)</f>
        <v>#VALUE!</v>
      </c>
      <c r="M1491">
        <v>123011</v>
      </c>
      <c r="N1491">
        <v>24</v>
      </c>
      <c r="O1491" t="s">
        <v>68</v>
      </c>
      <c r="P1491">
        <v>1</v>
      </c>
      <c r="R1491">
        <v>1578</v>
      </c>
      <c r="S1491" s="17">
        <v>42135</v>
      </c>
      <c r="T1491" s="17">
        <v>42135</v>
      </c>
      <c r="W1491">
        <v>2015</v>
      </c>
      <c r="X1491">
        <v>24</v>
      </c>
      <c r="AC1491" t="s">
        <v>106</v>
      </c>
      <c r="AD1491" t="s">
        <v>302</v>
      </c>
      <c r="AE1491" t="s">
        <v>46</v>
      </c>
      <c r="AG1491">
        <v>12</v>
      </c>
      <c r="AH1491">
        <v>10</v>
      </c>
      <c r="AI1491" t="s">
        <v>95</v>
      </c>
      <c r="AK1491">
        <v>0</v>
      </c>
      <c r="AM1491">
        <v>0</v>
      </c>
      <c r="AP1491" t="s">
        <v>392</v>
      </c>
    </row>
    <row r="1492" spans="1:42" customFormat="1">
      <c r="A1492">
        <v>269000</v>
      </c>
      <c r="B1492" t="s">
        <v>1831</v>
      </c>
      <c r="C1492" t="s">
        <v>1832</v>
      </c>
      <c r="D1492" s="22">
        <v>0</v>
      </c>
      <c r="E1492" s="17">
        <v>42130</v>
      </c>
      <c r="F1492" s="18">
        <v>0.62134259259259261</v>
      </c>
      <c r="G1492" s="22">
        <v>1476.93</v>
      </c>
      <c r="H1492">
        <v>0</v>
      </c>
      <c r="I1492" s="19" t="e">
        <f>I1491 + (D1492-G1492)</f>
        <v>#VALUE!</v>
      </c>
      <c r="M1492">
        <v>123028</v>
      </c>
      <c r="N1492">
        <v>24</v>
      </c>
      <c r="O1492" t="s">
        <v>68</v>
      </c>
      <c r="P1492">
        <v>1</v>
      </c>
      <c r="R1492">
        <v>1578</v>
      </c>
      <c r="S1492" s="17">
        <v>42135</v>
      </c>
      <c r="T1492" s="17">
        <v>42135</v>
      </c>
      <c r="W1492">
        <v>2015</v>
      </c>
      <c r="X1492">
        <v>24</v>
      </c>
      <c r="AC1492" t="s">
        <v>106</v>
      </c>
      <c r="AD1492" t="s">
        <v>302</v>
      </c>
      <c r="AE1492" t="s">
        <v>46</v>
      </c>
      <c r="AG1492">
        <v>12</v>
      </c>
      <c r="AH1492">
        <v>10</v>
      </c>
      <c r="AI1492" t="s">
        <v>95</v>
      </c>
      <c r="AK1492">
        <v>0</v>
      </c>
      <c r="AM1492">
        <v>0</v>
      </c>
      <c r="AP1492" t="s">
        <v>392</v>
      </c>
    </row>
    <row r="1493" spans="1:42" customFormat="1">
      <c r="A1493">
        <v>269001</v>
      </c>
      <c r="B1493" t="s">
        <v>1833</v>
      </c>
      <c r="C1493" t="s">
        <v>1834</v>
      </c>
      <c r="D1493" s="22">
        <v>0</v>
      </c>
      <c r="E1493" s="17">
        <v>42130</v>
      </c>
      <c r="F1493" s="18">
        <v>0.62134259259259261</v>
      </c>
      <c r="G1493" s="22">
        <v>1476.93</v>
      </c>
      <c r="H1493">
        <v>0</v>
      </c>
      <c r="I1493" s="19" t="e">
        <f>I1492 + (D1493-G1493)</f>
        <v>#VALUE!</v>
      </c>
      <c r="M1493">
        <v>123009</v>
      </c>
      <c r="N1493">
        <v>24</v>
      </c>
      <c r="O1493" t="s">
        <v>68</v>
      </c>
      <c r="P1493">
        <v>1</v>
      </c>
      <c r="R1493">
        <v>1578</v>
      </c>
      <c r="S1493" s="17">
        <v>42135</v>
      </c>
      <c r="T1493" s="17">
        <v>42135</v>
      </c>
      <c r="W1493">
        <v>2015</v>
      </c>
      <c r="X1493">
        <v>24</v>
      </c>
      <c r="AC1493" t="s">
        <v>106</v>
      </c>
      <c r="AD1493" t="s">
        <v>302</v>
      </c>
      <c r="AE1493" t="s">
        <v>46</v>
      </c>
      <c r="AG1493">
        <v>12</v>
      </c>
      <c r="AH1493">
        <v>10</v>
      </c>
      <c r="AI1493" t="s">
        <v>95</v>
      </c>
      <c r="AK1493">
        <v>0</v>
      </c>
      <c r="AM1493">
        <v>0</v>
      </c>
      <c r="AP1493" t="s">
        <v>392</v>
      </c>
    </row>
    <row r="1494" spans="1:42" customFormat="1">
      <c r="A1494">
        <v>269002</v>
      </c>
      <c r="B1494" t="s">
        <v>1835</v>
      </c>
      <c r="C1494" t="s">
        <v>1836</v>
      </c>
      <c r="D1494" s="22">
        <v>0</v>
      </c>
      <c r="E1494" s="17">
        <v>42130</v>
      </c>
      <c r="F1494" s="18">
        <v>0.62134259259259261</v>
      </c>
      <c r="G1494" s="22">
        <v>1476.93</v>
      </c>
      <c r="H1494">
        <v>0</v>
      </c>
      <c r="I1494" s="19" t="e">
        <f>I1493 + (D1494-G1494)</f>
        <v>#VALUE!</v>
      </c>
      <c r="M1494">
        <v>123019</v>
      </c>
      <c r="N1494">
        <v>24</v>
      </c>
      <c r="O1494" t="s">
        <v>68</v>
      </c>
      <c r="P1494">
        <v>1</v>
      </c>
      <c r="R1494">
        <v>1578</v>
      </c>
      <c r="S1494" s="17">
        <v>42135</v>
      </c>
      <c r="T1494" s="17">
        <v>42135</v>
      </c>
      <c r="W1494">
        <v>2015</v>
      </c>
      <c r="X1494">
        <v>24</v>
      </c>
      <c r="AC1494" t="s">
        <v>106</v>
      </c>
      <c r="AD1494" t="s">
        <v>302</v>
      </c>
      <c r="AE1494" t="s">
        <v>46</v>
      </c>
      <c r="AG1494">
        <v>12</v>
      </c>
      <c r="AH1494">
        <v>10</v>
      </c>
      <c r="AI1494" t="s">
        <v>95</v>
      </c>
      <c r="AK1494">
        <v>0</v>
      </c>
      <c r="AM1494">
        <v>0</v>
      </c>
      <c r="AP1494" t="s">
        <v>392</v>
      </c>
    </row>
    <row r="1495" spans="1:42" customFormat="1">
      <c r="A1495">
        <v>269003</v>
      </c>
      <c r="B1495" t="s">
        <v>1837</v>
      </c>
      <c r="C1495" t="s">
        <v>1838</v>
      </c>
      <c r="D1495" s="22">
        <v>0</v>
      </c>
      <c r="E1495" s="17">
        <v>42130</v>
      </c>
      <c r="F1495" s="18">
        <v>0.62134259259259261</v>
      </c>
      <c r="G1495" s="22">
        <v>1476.93</v>
      </c>
      <c r="H1495">
        <v>0</v>
      </c>
      <c r="I1495" s="19" t="e">
        <f>I1494 + (D1495-G1495)</f>
        <v>#VALUE!</v>
      </c>
      <c r="M1495">
        <v>123029</v>
      </c>
      <c r="N1495">
        <v>24</v>
      </c>
      <c r="O1495" t="s">
        <v>68</v>
      </c>
      <c r="P1495">
        <v>1</v>
      </c>
      <c r="R1495">
        <v>1578</v>
      </c>
      <c r="S1495" s="17">
        <v>42135</v>
      </c>
      <c r="T1495" s="17">
        <v>42135</v>
      </c>
      <c r="W1495">
        <v>2015</v>
      </c>
      <c r="X1495">
        <v>24</v>
      </c>
      <c r="AC1495" t="s">
        <v>106</v>
      </c>
      <c r="AD1495" t="s">
        <v>302</v>
      </c>
      <c r="AE1495" t="s">
        <v>46</v>
      </c>
      <c r="AG1495">
        <v>12</v>
      </c>
      <c r="AH1495">
        <v>10</v>
      </c>
      <c r="AI1495" t="s">
        <v>95</v>
      </c>
      <c r="AK1495">
        <v>0</v>
      </c>
      <c r="AM1495">
        <v>0</v>
      </c>
      <c r="AP1495" t="s">
        <v>392</v>
      </c>
    </row>
    <row r="1496" spans="1:42" customFormat="1">
      <c r="A1496">
        <v>269008</v>
      </c>
      <c r="B1496" t="s">
        <v>1839</v>
      </c>
      <c r="C1496" t="s">
        <v>1840</v>
      </c>
      <c r="D1496" s="22">
        <v>0</v>
      </c>
      <c r="E1496" s="17">
        <v>42130</v>
      </c>
      <c r="F1496" s="18">
        <v>0.62135416666666665</v>
      </c>
      <c r="G1496" s="22">
        <v>1476.93</v>
      </c>
      <c r="H1496">
        <v>0</v>
      </c>
      <c r="I1496" s="19" t="e">
        <f>I1495 + (D1496-G1496)</f>
        <v>#VALUE!</v>
      </c>
      <c r="M1496">
        <v>123021</v>
      </c>
      <c r="N1496">
        <v>24</v>
      </c>
      <c r="O1496" t="s">
        <v>68</v>
      </c>
      <c r="P1496">
        <v>1</v>
      </c>
      <c r="R1496">
        <v>1578</v>
      </c>
      <c r="S1496" s="17">
        <v>42135</v>
      </c>
      <c r="T1496" s="17">
        <v>42135</v>
      </c>
      <c r="W1496">
        <v>2015</v>
      </c>
      <c r="X1496">
        <v>24</v>
      </c>
      <c r="AC1496" t="s">
        <v>106</v>
      </c>
      <c r="AD1496" t="s">
        <v>302</v>
      </c>
      <c r="AE1496" t="s">
        <v>46</v>
      </c>
      <c r="AG1496">
        <v>12</v>
      </c>
      <c r="AH1496">
        <v>10</v>
      </c>
      <c r="AI1496" t="s">
        <v>95</v>
      </c>
      <c r="AK1496">
        <v>0</v>
      </c>
      <c r="AM1496">
        <v>0</v>
      </c>
      <c r="AP1496" t="s">
        <v>392</v>
      </c>
    </row>
    <row r="1497" spans="1:42" customFormat="1">
      <c r="A1497">
        <v>269009</v>
      </c>
      <c r="B1497" t="s">
        <v>1841</v>
      </c>
      <c r="C1497" t="s">
        <v>1842</v>
      </c>
      <c r="D1497" s="22">
        <v>0</v>
      </c>
      <c r="E1497" s="17">
        <v>42130</v>
      </c>
      <c r="F1497" s="18">
        <v>0.62135416666666665</v>
      </c>
      <c r="G1497" s="22">
        <v>1476.93</v>
      </c>
      <c r="H1497">
        <v>0</v>
      </c>
      <c r="I1497" s="19" t="e">
        <f>I1496 + (D1497-G1497)</f>
        <v>#VALUE!</v>
      </c>
      <c r="M1497">
        <v>123031</v>
      </c>
      <c r="N1497">
        <v>24</v>
      </c>
      <c r="O1497" t="s">
        <v>68</v>
      </c>
      <c r="P1497">
        <v>1</v>
      </c>
      <c r="R1497">
        <v>1578</v>
      </c>
      <c r="S1497" s="17">
        <v>42135</v>
      </c>
      <c r="T1497" s="17">
        <v>42135</v>
      </c>
      <c r="W1497">
        <v>2015</v>
      </c>
      <c r="X1497">
        <v>24</v>
      </c>
      <c r="AC1497" t="s">
        <v>106</v>
      </c>
      <c r="AD1497" t="s">
        <v>302</v>
      </c>
      <c r="AE1497" t="s">
        <v>46</v>
      </c>
      <c r="AG1497">
        <v>12</v>
      </c>
      <c r="AH1497">
        <v>10</v>
      </c>
      <c r="AI1497" t="s">
        <v>95</v>
      </c>
      <c r="AK1497">
        <v>0</v>
      </c>
      <c r="AM1497">
        <v>0</v>
      </c>
      <c r="AP1497" t="s">
        <v>392</v>
      </c>
    </row>
    <row r="1498" spans="1:42" customFormat="1">
      <c r="A1498">
        <v>269010</v>
      </c>
      <c r="B1498" t="s">
        <v>1843</v>
      </c>
      <c r="C1498" t="s">
        <v>1844</v>
      </c>
      <c r="D1498" s="22">
        <v>0</v>
      </c>
      <c r="E1498" s="17">
        <v>42130</v>
      </c>
      <c r="F1498" s="18">
        <v>0.62135416666666665</v>
      </c>
      <c r="G1498" s="22">
        <v>1476.93</v>
      </c>
      <c r="H1498">
        <v>0</v>
      </c>
      <c r="I1498" s="19" t="e">
        <f>I1497 + (D1498-G1498)</f>
        <v>#VALUE!</v>
      </c>
      <c r="M1498">
        <v>123012</v>
      </c>
      <c r="N1498">
        <v>24</v>
      </c>
      <c r="O1498" t="s">
        <v>68</v>
      </c>
      <c r="P1498">
        <v>1</v>
      </c>
      <c r="R1498">
        <v>1578</v>
      </c>
      <c r="S1498" s="17">
        <v>42135</v>
      </c>
      <c r="T1498" s="17">
        <v>42135</v>
      </c>
      <c r="W1498">
        <v>2015</v>
      </c>
      <c r="X1498">
        <v>24</v>
      </c>
      <c r="AC1498" t="s">
        <v>106</v>
      </c>
      <c r="AD1498" t="s">
        <v>302</v>
      </c>
      <c r="AE1498" t="s">
        <v>46</v>
      </c>
      <c r="AG1498">
        <v>12</v>
      </c>
      <c r="AH1498">
        <v>10</v>
      </c>
      <c r="AI1498" t="s">
        <v>95</v>
      </c>
      <c r="AK1498">
        <v>0</v>
      </c>
      <c r="AM1498">
        <v>0</v>
      </c>
      <c r="AP1498" t="s">
        <v>392</v>
      </c>
    </row>
    <row r="1499" spans="1:42" customFormat="1">
      <c r="A1499">
        <v>269011</v>
      </c>
      <c r="B1499" t="s">
        <v>1845</v>
      </c>
      <c r="C1499" t="s">
        <v>1846</v>
      </c>
      <c r="D1499" s="22">
        <v>0</v>
      </c>
      <c r="E1499" s="17">
        <v>42130</v>
      </c>
      <c r="F1499" s="18">
        <v>0.62135416666666665</v>
      </c>
      <c r="G1499" s="22">
        <v>1476.93</v>
      </c>
      <c r="H1499">
        <v>0</v>
      </c>
      <c r="I1499" s="19" t="e">
        <f>I1498 + (D1499-G1499)</f>
        <v>#VALUE!</v>
      </c>
      <c r="M1499">
        <v>123022</v>
      </c>
      <c r="N1499">
        <v>24</v>
      </c>
      <c r="O1499" t="s">
        <v>68</v>
      </c>
      <c r="P1499">
        <v>1</v>
      </c>
      <c r="R1499">
        <v>1578</v>
      </c>
      <c r="S1499" s="17">
        <v>42135</v>
      </c>
      <c r="T1499" s="17">
        <v>42135</v>
      </c>
      <c r="W1499">
        <v>2015</v>
      </c>
      <c r="X1499">
        <v>24</v>
      </c>
      <c r="AC1499" t="s">
        <v>106</v>
      </c>
      <c r="AD1499" t="s">
        <v>302</v>
      </c>
      <c r="AE1499" t="s">
        <v>46</v>
      </c>
      <c r="AG1499">
        <v>12</v>
      </c>
      <c r="AH1499">
        <v>10</v>
      </c>
      <c r="AI1499" t="s">
        <v>95</v>
      </c>
      <c r="AK1499">
        <v>0</v>
      </c>
      <c r="AM1499">
        <v>0</v>
      </c>
      <c r="AP1499" t="s">
        <v>392</v>
      </c>
    </row>
    <row r="1500" spans="1:42" customFormat="1">
      <c r="A1500">
        <v>269012</v>
      </c>
      <c r="B1500" t="s">
        <v>1847</v>
      </c>
      <c r="C1500" t="s">
        <v>1848</v>
      </c>
      <c r="D1500" s="22">
        <v>0</v>
      </c>
      <c r="E1500" s="17">
        <v>42130</v>
      </c>
      <c r="F1500" s="18">
        <v>0.62135416666666665</v>
      </c>
      <c r="G1500" s="22">
        <v>1476.93</v>
      </c>
      <c r="H1500">
        <v>0</v>
      </c>
      <c r="I1500" s="19" t="e">
        <f>I1499 + (D1500-G1500)</f>
        <v>#VALUE!</v>
      </c>
      <c r="M1500">
        <v>123032</v>
      </c>
      <c r="N1500">
        <v>24</v>
      </c>
      <c r="O1500" t="s">
        <v>68</v>
      </c>
      <c r="P1500">
        <v>1</v>
      </c>
      <c r="R1500">
        <v>1578</v>
      </c>
      <c r="S1500" s="17">
        <v>42135</v>
      </c>
      <c r="T1500" s="17">
        <v>42135</v>
      </c>
      <c r="W1500">
        <v>2015</v>
      </c>
      <c r="X1500">
        <v>24</v>
      </c>
      <c r="AC1500" t="s">
        <v>106</v>
      </c>
      <c r="AD1500" t="s">
        <v>302</v>
      </c>
      <c r="AE1500" t="s">
        <v>46</v>
      </c>
      <c r="AG1500">
        <v>12</v>
      </c>
      <c r="AH1500">
        <v>10</v>
      </c>
      <c r="AI1500" t="s">
        <v>95</v>
      </c>
      <c r="AK1500">
        <v>0</v>
      </c>
      <c r="AM1500">
        <v>0</v>
      </c>
      <c r="AP1500" t="s">
        <v>392</v>
      </c>
    </row>
    <row r="1501" spans="1:42" customFormat="1">
      <c r="A1501">
        <v>269013</v>
      </c>
      <c r="B1501" t="s">
        <v>1849</v>
      </c>
      <c r="C1501" t="s">
        <v>1850</v>
      </c>
      <c r="D1501" s="22">
        <v>0</v>
      </c>
      <c r="E1501" s="17">
        <v>42130</v>
      </c>
      <c r="F1501" s="18">
        <v>0.62135416666666665</v>
      </c>
      <c r="G1501" s="22">
        <v>1476.93</v>
      </c>
      <c r="H1501">
        <v>0</v>
      </c>
      <c r="I1501" s="19" t="e">
        <f>I1500 + (D1501-G1501)</f>
        <v>#VALUE!</v>
      </c>
      <c r="M1501">
        <v>123013</v>
      </c>
      <c r="N1501">
        <v>24</v>
      </c>
      <c r="O1501" t="s">
        <v>68</v>
      </c>
      <c r="P1501">
        <v>1</v>
      </c>
      <c r="R1501">
        <v>1578</v>
      </c>
      <c r="S1501" s="17">
        <v>42135</v>
      </c>
      <c r="T1501" s="17">
        <v>42135</v>
      </c>
      <c r="W1501">
        <v>2015</v>
      </c>
      <c r="X1501">
        <v>24</v>
      </c>
      <c r="AC1501" t="s">
        <v>106</v>
      </c>
      <c r="AD1501" t="s">
        <v>302</v>
      </c>
      <c r="AE1501" t="s">
        <v>46</v>
      </c>
      <c r="AG1501">
        <v>12</v>
      </c>
      <c r="AH1501">
        <v>10</v>
      </c>
      <c r="AI1501" t="s">
        <v>95</v>
      </c>
      <c r="AK1501">
        <v>0</v>
      </c>
      <c r="AM1501">
        <v>0</v>
      </c>
      <c r="AP1501" t="s">
        <v>392</v>
      </c>
    </row>
    <row r="1502" spans="1:42" customFormat="1">
      <c r="A1502">
        <v>269014</v>
      </c>
      <c r="B1502" t="s">
        <v>1851</v>
      </c>
      <c r="C1502" t="s">
        <v>1852</v>
      </c>
      <c r="D1502" s="22">
        <v>0</v>
      </c>
      <c r="E1502" s="17">
        <v>42130</v>
      </c>
      <c r="F1502" s="18">
        <v>0.62135416666666665</v>
      </c>
      <c r="G1502" s="22">
        <v>1476.93</v>
      </c>
      <c r="H1502">
        <v>0</v>
      </c>
      <c r="I1502" s="19" t="e">
        <f>I1501 + (D1502-G1502)</f>
        <v>#VALUE!</v>
      </c>
      <c r="M1502">
        <v>123023</v>
      </c>
      <c r="N1502">
        <v>24</v>
      </c>
      <c r="O1502" t="s">
        <v>68</v>
      </c>
      <c r="P1502">
        <v>1</v>
      </c>
      <c r="R1502">
        <v>1578</v>
      </c>
      <c r="S1502" s="17">
        <v>42135</v>
      </c>
      <c r="T1502" s="17">
        <v>42135</v>
      </c>
      <c r="W1502">
        <v>2015</v>
      </c>
      <c r="X1502">
        <v>24</v>
      </c>
      <c r="AC1502" t="s">
        <v>106</v>
      </c>
      <c r="AD1502" t="s">
        <v>302</v>
      </c>
      <c r="AE1502" t="s">
        <v>46</v>
      </c>
      <c r="AG1502">
        <v>12</v>
      </c>
      <c r="AH1502">
        <v>10</v>
      </c>
      <c r="AI1502" t="s">
        <v>95</v>
      </c>
      <c r="AK1502">
        <v>0</v>
      </c>
      <c r="AM1502">
        <v>0</v>
      </c>
      <c r="AP1502" t="s">
        <v>392</v>
      </c>
    </row>
    <row r="1503" spans="1:42" customFormat="1">
      <c r="A1503">
        <v>269015</v>
      </c>
      <c r="B1503" t="s">
        <v>1853</v>
      </c>
      <c r="C1503" t="s">
        <v>1854</v>
      </c>
      <c r="D1503" s="22">
        <v>0</v>
      </c>
      <c r="E1503" s="17">
        <v>42130</v>
      </c>
      <c r="F1503" s="18">
        <v>0.62135416666666665</v>
      </c>
      <c r="G1503" s="22">
        <v>1476.93</v>
      </c>
      <c r="H1503">
        <v>0</v>
      </c>
      <c r="I1503" s="19" t="e">
        <f>I1502 + (D1503-G1503)</f>
        <v>#VALUE!</v>
      </c>
      <c r="M1503">
        <v>123033</v>
      </c>
      <c r="N1503">
        <v>24</v>
      </c>
      <c r="O1503" t="s">
        <v>68</v>
      </c>
      <c r="P1503">
        <v>1</v>
      </c>
      <c r="R1503">
        <v>1578</v>
      </c>
      <c r="S1503" s="17">
        <v>42135</v>
      </c>
      <c r="T1503" s="17">
        <v>42135</v>
      </c>
      <c r="W1503">
        <v>2015</v>
      </c>
      <c r="X1503">
        <v>24</v>
      </c>
      <c r="AC1503" t="s">
        <v>106</v>
      </c>
      <c r="AD1503" t="s">
        <v>302</v>
      </c>
      <c r="AE1503" t="s">
        <v>46</v>
      </c>
      <c r="AG1503">
        <v>12</v>
      </c>
      <c r="AH1503">
        <v>10</v>
      </c>
      <c r="AI1503" t="s">
        <v>95</v>
      </c>
      <c r="AK1503">
        <v>0</v>
      </c>
      <c r="AM1503">
        <v>0</v>
      </c>
      <c r="AP1503" t="s">
        <v>392</v>
      </c>
    </row>
    <row r="1504" spans="1:42" customFormat="1">
      <c r="A1504">
        <v>269016</v>
      </c>
      <c r="B1504" t="s">
        <v>1855</v>
      </c>
      <c r="C1504" t="s">
        <v>1856</v>
      </c>
      <c r="D1504" s="22">
        <v>0</v>
      </c>
      <c r="E1504" s="17">
        <v>42130</v>
      </c>
      <c r="F1504" s="18">
        <v>0.62135416666666665</v>
      </c>
      <c r="G1504" s="22">
        <v>1476.93</v>
      </c>
      <c r="H1504">
        <v>0</v>
      </c>
      <c r="I1504" s="19" t="e">
        <f>I1503 + (D1504-G1504)</f>
        <v>#VALUE!</v>
      </c>
      <c r="M1504">
        <v>123014</v>
      </c>
      <c r="N1504">
        <v>24</v>
      </c>
      <c r="O1504" t="s">
        <v>68</v>
      </c>
      <c r="P1504">
        <v>1</v>
      </c>
      <c r="R1504">
        <v>1578</v>
      </c>
      <c r="S1504" s="17">
        <v>42135</v>
      </c>
      <c r="T1504" s="17">
        <v>42135</v>
      </c>
      <c r="W1504">
        <v>2015</v>
      </c>
      <c r="X1504">
        <v>24</v>
      </c>
      <c r="AC1504" t="s">
        <v>106</v>
      </c>
      <c r="AD1504" t="s">
        <v>302</v>
      </c>
      <c r="AE1504" t="s">
        <v>46</v>
      </c>
      <c r="AG1504">
        <v>12</v>
      </c>
      <c r="AH1504">
        <v>10</v>
      </c>
      <c r="AI1504" t="s">
        <v>95</v>
      </c>
      <c r="AK1504">
        <v>0</v>
      </c>
      <c r="AM1504">
        <v>0</v>
      </c>
      <c r="AP1504" t="s">
        <v>392</v>
      </c>
    </row>
    <row r="1505" spans="1:42" customFormat="1">
      <c r="A1505">
        <v>269017</v>
      </c>
      <c r="B1505" t="s">
        <v>1857</v>
      </c>
      <c r="C1505" t="s">
        <v>1858</v>
      </c>
      <c r="D1505" s="22">
        <v>0</v>
      </c>
      <c r="E1505" s="17">
        <v>42130</v>
      </c>
      <c r="F1505" s="18">
        <v>0.6213657407407408</v>
      </c>
      <c r="G1505" s="22">
        <v>1476.93</v>
      </c>
      <c r="H1505">
        <v>0</v>
      </c>
      <c r="I1505" s="19" t="e">
        <f>I1504 + (D1505-G1505)</f>
        <v>#VALUE!</v>
      </c>
      <c r="M1505">
        <v>123024</v>
      </c>
      <c r="N1505">
        <v>24</v>
      </c>
      <c r="O1505" t="s">
        <v>68</v>
      </c>
      <c r="P1505">
        <v>1</v>
      </c>
      <c r="R1505">
        <v>1578</v>
      </c>
      <c r="S1505" s="17">
        <v>42135</v>
      </c>
      <c r="T1505" s="17">
        <v>42135</v>
      </c>
      <c r="W1505">
        <v>2015</v>
      </c>
      <c r="X1505">
        <v>24</v>
      </c>
      <c r="AC1505" t="s">
        <v>106</v>
      </c>
      <c r="AD1505" t="s">
        <v>302</v>
      </c>
      <c r="AE1505" t="s">
        <v>46</v>
      </c>
      <c r="AG1505">
        <v>12</v>
      </c>
      <c r="AH1505">
        <v>10</v>
      </c>
      <c r="AI1505" t="s">
        <v>95</v>
      </c>
      <c r="AK1505">
        <v>0</v>
      </c>
      <c r="AM1505">
        <v>0</v>
      </c>
      <c r="AP1505" t="s">
        <v>392</v>
      </c>
    </row>
    <row r="1506" spans="1:42" customFormat="1">
      <c r="A1506">
        <v>269018</v>
      </c>
      <c r="B1506" t="s">
        <v>1859</v>
      </c>
      <c r="C1506" t="s">
        <v>1860</v>
      </c>
      <c r="D1506" s="22">
        <v>0</v>
      </c>
      <c r="E1506" s="17">
        <v>42130</v>
      </c>
      <c r="F1506" s="18">
        <v>0.6213657407407408</v>
      </c>
      <c r="G1506" s="22">
        <v>1476.93</v>
      </c>
      <c r="H1506">
        <v>0</v>
      </c>
      <c r="I1506" s="19" t="e">
        <f>I1505 + (D1506-G1506)</f>
        <v>#VALUE!</v>
      </c>
      <c r="M1506">
        <v>123034</v>
      </c>
      <c r="N1506">
        <v>24</v>
      </c>
      <c r="O1506" t="s">
        <v>68</v>
      </c>
      <c r="P1506">
        <v>1</v>
      </c>
      <c r="R1506">
        <v>1578</v>
      </c>
      <c r="S1506" s="17">
        <v>42135</v>
      </c>
      <c r="T1506" s="17">
        <v>42135</v>
      </c>
      <c r="W1506">
        <v>2015</v>
      </c>
      <c r="X1506">
        <v>24</v>
      </c>
      <c r="AC1506" t="s">
        <v>106</v>
      </c>
      <c r="AD1506" t="s">
        <v>302</v>
      </c>
      <c r="AE1506" t="s">
        <v>46</v>
      </c>
      <c r="AG1506">
        <v>12</v>
      </c>
      <c r="AH1506">
        <v>10</v>
      </c>
      <c r="AI1506" t="s">
        <v>95</v>
      </c>
      <c r="AK1506">
        <v>0</v>
      </c>
      <c r="AM1506">
        <v>0</v>
      </c>
      <c r="AP1506" t="s">
        <v>392</v>
      </c>
    </row>
    <row r="1507" spans="1:42" customFormat="1">
      <c r="A1507">
        <v>269019</v>
      </c>
      <c r="B1507" t="s">
        <v>1861</v>
      </c>
      <c r="C1507" t="s">
        <v>1862</v>
      </c>
      <c r="D1507" s="22">
        <v>0</v>
      </c>
      <c r="E1507" s="17">
        <v>42130</v>
      </c>
      <c r="F1507" s="18">
        <v>0.6213657407407408</v>
      </c>
      <c r="G1507" s="22">
        <v>1476.93</v>
      </c>
      <c r="H1507">
        <v>0</v>
      </c>
      <c r="I1507" s="19" t="e">
        <f>I1506 + (D1507-G1507)</f>
        <v>#VALUE!</v>
      </c>
      <c r="M1507">
        <v>123015</v>
      </c>
      <c r="N1507">
        <v>24</v>
      </c>
      <c r="O1507" t="s">
        <v>68</v>
      </c>
      <c r="P1507">
        <v>1</v>
      </c>
      <c r="R1507">
        <v>1578</v>
      </c>
      <c r="S1507" s="17">
        <v>42135</v>
      </c>
      <c r="T1507" s="17">
        <v>42135</v>
      </c>
      <c r="W1507">
        <v>2015</v>
      </c>
      <c r="X1507">
        <v>24</v>
      </c>
      <c r="AC1507" t="s">
        <v>106</v>
      </c>
      <c r="AD1507" t="s">
        <v>302</v>
      </c>
      <c r="AE1507" t="s">
        <v>46</v>
      </c>
      <c r="AG1507">
        <v>12</v>
      </c>
      <c r="AH1507">
        <v>10</v>
      </c>
      <c r="AI1507" t="s">
        <v>95</v>
      </c>
      <c r="AK1507">
        <v>0</v>
      </c>
      <c r="AM1507">
        <v>0</v>
      </c>
      <c r="AP1507" t="s">
        <v>392</v>
      </c>
    </row>
    <row r="1508" spans="1:42" customFormat="1">
      <c r="A1508">
        <v>269020</v>
      </c>
      <c r="B1508" t="s">
        <v>1863</v>
      </c>
      <c r="C1508" t="s">
        <v>1864</v>
      </c>
      <c r="D1508" s="22">
        <v>0</v>
      </c>
      <c r="E1508" s="17">
        <v>42130</v>
      </c>
      <c r="F1508" s="18">
        <v>0.6213657407407408</v>
      </c>
      <c r="G1508" s="22">
        <v>1476.93</v>
      </c>
      <c r="H1508">
        <v>0</v>
      </c>
      <c r="I1508" s="19" t="e">
        <f>I1507 + (D1508-G1508)</f>
        <v>#VALUE!</v>
      </c>
      <c r="M1508">
        <v>123025</v>
      </c>
      <c r="N1508">
        <v>24</v>
      </c>
      <c r="O1508" t="s">
        <v>68</v>
      </c>
      <c r="P1508">
        <v>1</v>
      </c>
      <c r="R1508">
        <v>1578</v>
      </c>
      <c r="S1508" s="17">
        <v>42135</v>
      </c>
      <c r="T1508" s="17">
        <v>42135</v>
      </c>
      <c r="W1508">
        <v>2015</v>
      </c>
      <c r="X1508">
        <v>24</v>
      </c>
      <c r="AC1508" t="s">
        <v>106</v>
      </c>
      <c r="AD1508" t="s">
        <v>302</v>
      </c>
      <c r="AE1508" t="s">
        <v>46</v>
      </c>
      <c r="AG1508">
        <v>12</v>
      </c>
      <c r="AH1508">
        <v>10</v>
      </c>
      <c r="AI1508" t="s">
        <v>95</v>
      </c>
      <c r="AK1508">
        <v>0</v>
      </c>
      <c r="AM1508">
        <v>0</v>
      </c>
      <c r="AP1508" t="s">
        <v>392</v>
      </c>
    </row>
    <row r="1509" spans="1:42" customFormat="1">
      <c r="A1509">
        <v>269021</v>
      </c>
      <c r="B1509" t="s">
        <v>1865</v>
      </c>
      <c r="C1509" t="s">
        <v>1866</v>
      </c>
      <c r="D1509" s="22">
        <v>0</v>
      </c>
      <c r="E1509" s="17">
        <v>42130</v>
      </c>
      <c r="F1509" s="18">
        <v>0.6213657407407408</v>
      </c>
      <c r="G1509" s="22">
        <v>1476.93</v>
      </c>
      <c r="H1509">
        <v>0</v>
      </c>
      <c r="I1509" s="19" t="e">
        <f>I1508 + (D1509-G1509)</f>
        <v>#VALUE!</v>
      </c>
      <c r="M1509">
        <v>123035</v>
      </c>
      <c r="N1509">
        <v>24</v>
      </c>
      <c r="O1509" t="s">
        <v>68</v>
      </c>
      <c r="P1509">
        <v>1</v>
      </c>
      <c r="R1509">
        <v>1578</v>
      </c>
      <c r="S1509" s="17">
        <v>42135</v>
      </c>
      <c r="T1509" s="17">
        <v>42135</v>
      </c>
      <c r="W1509">
        <v>2015</v>
      </c>
      <c r="X1509">
        <v>24</v>
      </c>
      <c r="AC1509" t="s">
        <v>106</v>
      </c>
      <c r="AD1509" t="s">
        <v>302</v>
      </c>
      <c r="AE1509" t="s">
        <v>46</v>
      </c>
      <c r="AG1509">
        <v>12</v>
      </c>
      <c r="AH1509">
        <v>10</v>
      </c>
      <c r="AI1509" t="s">
        <v>95</v>
      </c>
      <c r="AK1509">
        <v>0</v>
      </c>
      <c r="AM1509">
        <v>0</v>
      </c>
      <c r="AP1509" t="s">
        <v>392</v>
      </c>
    </row>
    <row r="1510" spans="1:42" customFormat="1">
      <c r="A1510">
        <v>269022</v>
      </c>
      <c r="B1510" t="s">
        <v>1867</v>
      </c>
      <c r="C1510" t="s">
        <v>1868</v>
      </c>
      <c r="D1510" s="22">
        <v>0</v>
      </c>
      <c r="E1510" s="17">
        <v>42130</v>
      </c>
      <c r="F1510" s="18">
        <v>0.6213657407407408</v>
      </c>
      <c r="G1510" s="22">
        <v>1476.93</v>
      </c>
      <c r="H1510">
        <v>0</v>
      </c>
      <c r="I1510" s="19" t="e">
        <f>I1509 + (D1510-G1510)</f>
        <v>#VALUE!</v>
      </c>
      <c r="M1510">
        <v>123016</v>
      </c>
      <c r="N1510">
        <v>24</v>
      </c>
      <c r="O1510" t="s">
        <v>68</v>
      </c>
      <c r="P1510">
        <v>1</v>
      </c>
      <c r="R1510">
        <v>1578</v>
      </c>
      <c r="S1510" s="17">
        <v>42135</v>
      </c>
      <c r="T1510" s="17">
        <v>42135</v>
      </c>
      <c r="W1510">
        <v>2015</v>
      </c>
      <c r="X1510">
        <v>24</v>
      </c>
      <c r="AC1510" t="s">
        <v>106</v>
      </c>
      <c r="AD1510" t="s">
        <v>302</v>
      </c>
      <c r="AE1510" t="s">
        <v>46</v>
      </c>
      <c r="AG1510">
        <v>12</v>
      </c>
      <c r="AH1510">
        <v>10</v>
      </c>
      <c r="AI1510" t="s">
        <v>95</v>
      </c>
      <c r="AK1510">
        <v>0</v>
      </c>
      <c r="AM1510">
        <v>0</v>
      </c>
      <c r="AP1510" t="s">
        <v>392</v>
      </c>
    </row>
    <row r="1511" spans="1:42" customFormat="1">
      <c r="A1511">
        <v>269023</v>
      </c>
      <c r="B1511" t="s">
        <v>1869</v>
      </c>
      <c r="C1511" t="s">
        <v>1870</v>
      </c>
      <c r="D1511" s="22">
        <v>0</v>
      </c>
      <c r="E1511" s="17">
        <v>42130</v>
      </c>
      <c r="F1511" s="18">
        <v>0.6213657407407408</v>
      </c>
      <c r="G1511" s="22">
        <v>1476.93</v>
      </c>
      <c r="H1511">
        <v>0</v>
      </c>
      <c r="I1511" s="19" t="e">
        <f>I1510 + (D1511-G1511)</f>
        <v>#VALUE!</v>
      </c>
      <c r="M1511">
        <v>123026</v>
      </c>
      <c r="N1511">
        <v>24</v>
      </c>
      <c r="O1511" t="s">
        <v>68</v>
      </c>
      <c r="P1511">
        <v>1</v>
      </c>
      <c r="R1511">
        <v>1578</v>
      </c>
      <c r="S1511" s="17">
        <v>42135</v>
      </c>
      <c r="T1511" s="17">
        <v>42135</v>
      </c>
      <c r="W1511">
        <v>2015</v>
      </c>
      <c r="X1511">
        <v>24</v>
      </c>
      <c r="AC1511" t="s">
        <v>106</v>
      </c>
      <c r="AD1511" t="s">
        <v>302</v>
      </c>
      <c r="AE1511" t="s">
        <v>46</v>
      </c>
      <c r="AG1511">
        <v>12</v>
      </c>
      <c r="AH1511">
        <v>10</v>
      </c>
      <c r="AI1511" t="s">
        <v>95</v>
      </c>
      <c r="AK1511">
        <v>0</v>
      </c>
      <c r="AM1511">
        <v>0</v>
      </c>
      <c r="AP1511" t="s">
        <v>392</v>
      </c>
    </row>
    <row r="1512" spans="1:42" customFormat="1">
      <c r="A1512">
        <v>269024</v>
      </c>
      <c r="B1512" t="s">
        <v>1871</v>
      </c>
      <c r="C1512" t="s">
        <v>1872</v>
      </c>
      <c r="D1512" s="22">
        <v>0</v>
      </c>
      <c r="E1512" s="17">
        <v>42130</v>
      </c>
      <c r="F1512" s="18">
        <v>0.6213657407407408</v>
      </c>
      <c r="G1512" s="22">
        <v>1476.93</v>
      </c>
      <c r="H1512">
        <v>0</v>
      </c>
      <c r="I1512" s="19" t="e">
        <f>I1511 + (D1512-G1512)</f>
        <v>#VALUE!</v>
      </c>
      <c r="M1512">
        <v>123036</v>
      </c>
      <c r="N1512">
        <v>24</v>
      </c>
      <c r="O1512" t="s">
        <v>68</v>
      </c>
      <c r="P1512">
        <v>1</v>
      </c>
      <c r="R1512">
        <v>1578</v>
      </c>
      <c r="S1512" s="17">
        <v>42135</v>
      </c>
      <c r="T1512" s="17">
        <v>42135</v>
      </c>
      <c r="W1512">
        <v>2015</v>
      </c>
      <c r="X1512">
        <v>24</v>
      </c>
      <c r="AC1512" t="s">
        <v>106</v>
      </c>
      <c r="AD1512" t="s">
        <v>302</v>
      </c>
      <c r="AE1512" t="s">
        <v>46</v>
      </c>
      <c r="AG1512">
        <v>12</v>
      </c>
      <c r="AH1512">
        <v>10</v>
      </c>
      <c r="AI1512" t="s">
        <v>95</v>
      </c>
      <c r="AK1512">
        <v>0</v>
      </c>
      <c r="AM1512">
        <v>0</v>
      </c>
      <c r="AP1512" t="s">
        <v>392</v>
      </c>
    </row>
    <row r="1513" spans="1:42" customFormat="1">
      <c r="A1513">
        <v>269025</v>
      </c>
      <c r="B1513" t="s">
        <v>1873</v>
      </c>
      <c r="C1513" t="s">
        <v>1874</v>
      </c>
      <c r="D1513" s="22">
        <v>0</v>
      </c>
      <c r="E1513" s="17">
        <v>42130</v>
      </c>
      <c r="F1513" s="18">
        <v>0.6213657407407408</v>
      </c>
      <c r="G1513" s="22">
        <v>1476.93</v>
      </c>
      <c r="H1513">
        <v>0</v>
      </c>
      <c r="I1513" s="19" t="e">
        <f>I1512 + (D1513-G1513)</f>
        <v>#VALUE!</v>
      </c>
      <c r="M1513">
        <v>123017</v>
      </c>
      <c r="N1513">
        <v>24</v>
      </c>
      <c r="O1513" t="s">
        <v>68</v>
      </c>
      <c r="P1513">
        <v>1</v>
      </c>
      <c r="R1513">
        <v>1578</v>
      </c>
      <c r="S1513" s="17">
        <v>42135</v>
      </c>
      <c r="T1513" s="17">
        <v>42135</v>
      </c>
      <c r="W1513">
        <v>2015</v>
      </c>
      <c r="X1513">
        <v>24</v>
      </c>
      <c r="AC1513" t="s">
        <v>106</v>
      </c>
      <c r="AD1513" t="s">
        <v>302</v>
      </c>
      <c r="AE1513" t="s">
        <v>46</v>
      </c>
      <c r="AG1513">
        <v>12</v>
      </c>
      <c r="AH1513">
        <v>10</v>
      </c>
      <c r="AI1513" t="s">
        <v>95</v>
      </c>
      <c r="AK1513">
        <v>0</v>
      </c>
      <c r="AM1513">
        <v>0</v>
      </c>
      <c r="AP1513" t="s">
        <v>392</v>
      </c>
    </row>
    <row r="1514" spans="1:42" customFormat="1">
      <c r="A1514">
        <v>269026</v>
      </c>
      <c r="B1514" t="s">
        <v>1875</v>
      </c>
      <c r="C1514" t="s">
        <v>1876</v>
      </c>
      <c r="D1514" s="22">
        <v>0</v>
      </c>
      <c r="E1514" s="17">
        <v>42130</v>
      </c>
      <c r="F1514" s="18">
        <v>0.6213657407407408</v>
      </c>
      <c r="G1514" s="22">
        <v>1476.93</v>
      </c>
      <c r="H1514">
        <v>0</v>
      </c>
      <c r="I1514" s="19" t="e">
        <f>I1513 + (D1514-G1514)</f>
        <v>#VALUE!</v>
      </c>
      <c r="M1514">
        <v>123027</v>
      </c>
      <c r="N1514">
        <v>24</v>
      </c>
      <c r="O1514" t="s">
        <v>68</v>
      </c>
      <c r="P1514">
        <v>1</v>
      </c>
      <c r="R1514">
        <v>1578</v>
      </c>
      <c r="S1514" s="17">
        <v>42135</v>
      </c>
      <c r="T1514" s="17">
        <v>42135</v>
      </c>
      <c r="W1514">
        <v>2015</v>
      </c>
      <c r="X1514">
        <v>24</v>
      </c>
      <c r="AC1514" t="s">
        <v>106</v>
      </c>
      <c r="AD1514" t="s">
        <v>302</v>
      </c>
      <c r="AE1514" t="s">
        <v>46</v>
      </c>
      <c r="AG1514">
        <v>12</v>
      </c>
      <c r="AH1514">
        <v>10</v>
      </c>
      <c r="AI1514" t="s">
        <v>95</v>
      </c>
      <c r="AK1514">
        <v>0</v>
      </c>
      <c r="AM1514">
        <v>0</v>
      </c>
      <c r="AP1514" t="s">
        <v>392</v>
      </c>
    </row>
    <row r="1515" spans="1:42" customFormat="1">
      <c r="A1515">
        <v>269027</v>
      </c>
      <c r="B1515" t="s">
        <v>1877</v>
      </c>
      <c r="C1515" t="s">
        <v>1878</v>
      </c>
      <c r="D1515" s="22">
        <v>0</v>
      </c>
      <c r="E1515" s="17">
        <v>42130</v>
      </c>
      <c r="F1515" s="18">
        <v>0.6213657407407408</v>
      </c>
      <c r="G1515" s="22">
        <v>1476.93</v>
      </c>
      <c r="H1515">
        <v>0</v>
      </c>
      <c r="I1515" s="19" t="e">
        <f>I1514 + (D1515-G1515)</f>
        <v>#VALUE!</v>
      </c>
      <c r="M1515">
        <v>123037</v>
      </c>
      <c r="N1515">
        <v>24</v>
      </c>
      <c r="O1515" t="s">
        <v>68</v>
      </c>
      <c r="P1515">
        <v>1</v>
      </c>
      <c r="R1515">
        <v>1578</v>
      </c>
      <c r="S1515" s="17">
        <v>42135</v>
      </c>
      <c r="T1515" s="17">
        <v>42135</v>
      </c>
      <c r="W1515">
        <v>2015</v>
      </c>
      <c r="X1515">
        <v>24</v>
      </c>
      <c r="AC1515" t="s">
        <v>106</v>
      </c>
      <c r="AD1515" t="s">
        <v>302</v>
      </c>
      <c r="AE1515" t="s">
        <v>46</v>
      </c>
      <c r="AG1515">
        <v>12</v>
      </c>
      <c r="AH1515">
        <v>10</v>
      </c>
      <c r="AI1515" t="s">
        <v>95</v>
      </c>
      <c r="AK1515">
        <v>0</v>
      </c>
      <c r="AM1515">
        <v>0</v>
      </c>
      <c r="AP1515" t="s">
        <v>392</v>
      </c>
    </row>
    <row r="1516" spans="1:42" customFormat="1">
      <c r="A1516">
        <v>269033</v>
      </c>
      <c r="B1516" t="s">
        <v>1879</v>
      </c>
      <c r="C1516" t="s">
        <v>1880</v>
      </c>
      <c r="D1516" s="22">
        <v>0</v>
      </c>
      <c r="E1516" s="17">
        <v>42130</v>
      </c>
      <c r="F1516" s="18">
        <v>0.62254629629629632</v>
      </c>
      <c r="G1516" s="22">
        <v>1476.93</v>
      </c>
      <c r="H1516">
        <v>0</v>
      </c>
      <c r="I1516" s="19" t="e">
        <f>I1515 + (D1516-G1516)</f>
        <v>#VALUE!</v>
      </c>
      <c r="M1516">
        <v>123040</v>
      </c>
      <c r="N1516">
        <v>24</v>
      </c>
      <c r="O1516" t="s">
        <v>68</v>
      </c>
      <c r="P1516">
        <v>1</v>
      </c>
      <c r="R1516">
        <v>1578</v>
      </c>
      <c r="S1516" s="17">
        <v>42135</v>
      </c>
      <c r="T1516" s="17">
        <v>42135</v>
      </c>
      <c r="W1516">
        <v>2015</v>
      </c>
      <c r="X1516">
        <v>24</v>
      </c>
      <c r="AC1516" t="s">
        <v>106</v>
      </c>
      <c r="AD1516" t="s">
        <v>302</v>
      </c>
      <c r="AE1516" t="s">
        <v>46</v>
      </c>
      <c r="AG1516">
        <v>12</v>
      </c>
      <c r="AH1516">
        <v>10</v>
      </c>
      <c r="AI1516" t="s">
        <v>95</v>
      </c>
      <c r="AK1516">
        <v>0</v>
      </c>
      <c r="AM1516">
        <v>0</v>
      </c>
      <c r="AP1516" t="s">
        <v>392</v>
      </c>
    </row>
    <row r="1517" spans="1:42" customFormat="1">
      <c r="A1517">
        <v>269031</v>
      </c>
      <c r="B1517" t="s">
        <v>1881</v>
      </c>
      <c r="C1517" t="s">
        <v>1882</v>
      </c>
      <c r="D1517" s="22">
        <v>0</v>
      </c>
      <c r="E1517" s="17">
        <v>42130</v>
      </c>
      <c r="F1517" s="18">
        <v>0.62254629629629632</v>
      </c>
      <c r="G1517" s="22">
        <v>323.79000000000002</v>
      </c>
      <c r="H1517">
        <v>0</v>
      </c>
      <c r="I1517" s="19" t="e">
        <f>I1516 + (D1517-G1517)</f>
        <v>#VALUE!</v>
      </c>
      <c r="M1517">
        <v>123038</v>
      </c>
      <c r="N1517">
        <v>24</v>
      </c>
      <c r="O1517" t="s">
        <v>68</v>
      </c>
      <c r="P1517">
        <v>1</v>
      </c>
      <c r="R1517">
        <v>1578</v>
      </c>
      <c r="S1517" s="17">
        <v>42135</v>
      </c>
      <c r="T1517" s="17">
        <v>42135</v>
      </c>
      <c r="W1517">
        <v>2015</v>
      </c>
      <c r="X1517">
        <v>24</v>
      </c>
      <c r="AC1517" t="s">
        <v>106</v>
      </c>
      <c r="AD1517" t="s">
        <v>302</v>
      </c>
      <c r="AE1517" t="s">
        <v>46</v>
      </c>
      <c r="AG1517">
        <v>12</v>
      </c>
      <c r="AH1517">
        <v>10</v>
      </c>
      <c r="AI1517" t="s">
        <v>95</v>
      </c>
      <c r="AK1517">
        <v>0</v>
      </c>
      <c r="AM1517">
        <v>0</v>
      </c>
      <c r="AP1517" t="s">
        <v>392</v>
      </c>
    </row>
    <row r="1518" spans="1:42" customFormat="1">
      <c r="A1518">
        <v>269032</v>
      </c>
      <c r="B1518" t="s">
        <v>1883</v>
      </c>
      <c r="C1518" t="s">
        <v>1884</v>
      </c>
      <c r="D1518" s="22">
        <v>0</v>
      </c>
      <c r="E1518" s="17">
        <v>42130</v>
      </c>
      <c r="F1518" s="18">
        <v>0.62254629629629632</v>
      </c>
      <c r="G1518" s="22">
        <v>1476.93</v>
      </c>
      <c r="H1518">
        <v>0</v>
      </c>
      <c r="I1518" s="19" t="e">
        <f>I1517 + (D1518-G1518)</f>
        <v>#VALUE!</v>
      </c>
      <c r="M1518">
        <v>123039</v>
      </c>
      <c r="N1518">
        <v>24</v>
      </c>
      <c r="O1518" t="s">
        <v>68</v>
      </c>
      <c r="P1518">
        <v>1</v>
      </c>
      <c r="R1518">
        <v>1578</v>
      </c>
      <c r="S1518" s="17">
        <v>42135</v>
      </c>
      <c r="T1518" s="17">
        <v>42135</v>
      </c>
      <c r="W1518">
        <v>2015</v>
      </c>
      <c r="X1518">
        <v>24</v>
      </c>
      <c r="AC1518" t="s">
        <v>106</v>
      </c>
      <c r="AD1518" t="s">
        <v>302</v>
      </c>
      <c r="AE1518" t="s">
        <v>46</v>
      </c>
      <c r="AG1518">
        <v>12</v>
      </c>
      <c r="AH1518">
        <v>10</v>
      </c>
      <c r="AI1518" t="s">
        <v>95</v>
      </c>
      <c r="AK1518">
        <v>0</v>
      </c>
      <c r="AM1518">
        <v>0</v>
      </c>
      <c r="AP1518" t="s">
        <v>392</v>
      </c>
    </row>
    <row r="1519" spans="1:42" customFormat="1">
      <c r="A1519">
        <v>269034</v>
      </c>
      <c r="B1519" t="s">
        <v>1885</v>
      </c>
      <c r="C1519" t="s">
        <v>1886</v>
      </c>
      <c r="D1519" s="22">
        <v>0</v>
      </c>
      <c r="E1519" s="17">
        <v>42130</v>
      </c>
      <c r="F1519" s="18">
        <v>0.62255787037037036</v>
      </c>
      <c r="G1519" s="22">
        <v>1476.93</v>
      </c>
      <c r="H1519">
        <v>0</v>
      </c>
      <c r="I1519" s="19" t="e">
        <f>I1518 + (D1519-G1519)</f>
        <v>#VALUE!</v>
      </c>
      <c r="M1519">
        <v>123041</v>
      </c>
      <c r="N1519">
        <v>24</v>
      </c>
      <c r="O1519" t="s">
        <v>68</v>
      </c>
      <c r="P1519">
        <v>1</v>
      </c>
      <c r="R1519">
        <v>1578</v>
      </c>
      <c r="S1519" s="17">
        <v>42135</v>
      </c>
      <c r="T1519" s="17">
        <v>42135</v>
      </c>
      <c r="W1519">
        <v>2015</v>
      </c>
      <c r="X1519">
        <v>24</v>
      </c>
      <c r="AC1519" t="s">
        <v>106</v>
      </c>
      <c r="AD1519" t="s">
        <v>302</v>
      </c>
      <c r="AE1519" t="s">
        <v>46</v>
      </c>
      <c r="AG1519">
        <v>12</v>
      </c>
      <c r="AH1519">
        <v>10</v>
      </c>
      <c r="AI1519" t="s">
        <v>95</v>
      </c>
      <c r="AK1519">
        <v>0</v>
      </c>
      <c r="AM1519">
        <v>0</v>
      </c>
      <c r="AP1519" t="s">
        <v>392</v>
      </c>
    </row>
    <row r="1520" spans="1:42" customFormat="1">
      <c r="A1520">
        <v>269035</v>
      </c>
      <c r="B1520" t="s">
        <v>1887</v>
      </c>
      <c r="C1520" t="s">
        <v>1888</v>
      </c>
      <c r="D1520" s="22">
        <v>0</v>
      </c>
      <c r="E1520" s="17">
        <v>42130</v>
      </c>
      <c r="F1520" s="18">
        <v>0.62255787037037036</v>
      </c>
      <c r="G1520" s="22">
        <v>1476.93</v>
      </c>
      <c r="H1520">
        <v>0</v>
      </c>
      <c r="I1520" s="19" t="e">
        <f>I1519 + (D1520-G1520)</f>
        <v>#VALUE!</v>
      </c>
      <c r="M1520">
        <v>123042</v>
      </c>
      <c r="N1520">
        <v>24</v>
      </c>
      <c r="O1520" t="s">
        <v>68</v>
      </c>
      <c r="P1520">
        <v>1</v>
      </c>
      <c r="R1520">
        <v>1578</v>
      </c>
      <c r="S1520" s="17">
        <v>42135</v>
      </c>
      <c r="T1520" s="17">
        <v>42135</v>
      </c>
      <c r="W1520">
        <v>2015</v>
      </c>
      <c r="X1520">
        <v>24</v>
      </c>
      <c r="AC1520" t="s">
        <v>106</v>
      </c>
      <c r="AD1520" t="s">
        <v>302</v>
      </c>
      <c r="AE1520" t="s">
        <v>46</v>
      </c>
      <c r="AG1520">
        <v>12</v>
      </c>
      <c r="AH1520">
        <v>10</v>
      </c>
      <c r="AI1520" t="s">
        <v>95</v>
      </c>
      <c r="AK1520">
        <v>0</v>
      </c>
      <c r="AM1520">
        <v>0</v>
      </c>
      <c r="AP1520" t="s">
        <v>392</v>
      </c>
    </row>
    <row r="1521" spans="1:42" customFormat="1">
      <c r="A1521">
        <v>269036</v>
      </c>
      <c r="B1521" t="s">
        <v>1889</v>
      </c>
      <c r="C1521" t="s">
        <v>1890</v>
      </c>
      <c r="D1521" s="22">
        <v>0</v>
      </c>
      <c r="E1521" s="17">
        <v>42130</v>
      </c>
      <c r="F1521" s="18">
        <v>0.62255787037037036</v>
      </c>
      <c r="G1521" s="22">
        <v>1476.93</v>
      </c>
      <c r="H1521">
        <v>0</v>
      </c>
      <c r="I1521" s="19" t="e">
        <f>I1520 + (D1521-G1521)</f>
        <v>#VALUE!</v>
      </c>
      <c r="M1521">
        <v>123043</v>
      </c>
      <c r="N1521">
        <v>24</v>
      </c>
      <c r="O1521" t="s">
        <v>68</v>
      </c>
      <c r="P1521">
        <v>1</v>
      </c>
      <c r="R1521">
        <v>1578</v>
      </c>
      <c r="S1521" s="17">
        <v>42135</v>
      </c>
      <c r="T1521" s="17">
        <v>42135</v>
      </c>
      <c r="W1521">
        <v>2015</v>
      </c>
      <c r="X1521">
        <v>24</v>
      </c>
      <c r="AC1521" t="s">
        <v>106</v>
      </c>
      <c r="AD1521" t="s">
        <v>302</v>
      </c>
      <c r="AE1521" t="s">
        <v>46</v>
      </c>
      <c r="AG1521">
        <v>12</v>
      </c>
      <c r="AH1521">
        <v>10</v>
      </c>
      <c r="AI1521" t="s">
        <v>95</v>
      </c>
      <c r="AK1521">
        <v>0</v>
      </c>
      <c r="AM1521">
        <v>0</v>
      </c>
      <c r="AP1521" t="s">
        <v>392</v>
      </c>
    </row>
    <row r="1522" spans="1:42" customFormat="1">
      <c r="A1522">
        <v>269037</v>
      </c>
      <c r="B1522" t="s">
        <v>1891</v>
      </c>
      <c r="C1522" t="s">
        <v>1892</v>
      </c>
      <c r="D1522" s="22">
        <v>0</v>
      </c>
      <c r="E1522" s="17">
        <v>42130</v>
      </c>
      <c r="F1522" s="18">
        <v>0.62255787037037036</v>
      </c>
      <c r="G1522" s="22">
        <v>1476.93</v>
      </c>
      <c r="H1522">
        <v>0</v>
      </c>
      <c r="I1522" s="19" t="e">
        <f>I1521 + (D1522-G1522)</f>
        <v>#VALUE!</v>
      </c>
      <c r="M1522">
        <v>123044</v>
      </c>
      <c r="N1522">
        <v>24</v>
      </c>
      <c r="O1522" t="s">
        <v>68</v>
      </c>
      <c r="P1522">
        <v>1</v>
      </c>
      <c r="R1522">
        <v>1578</v>
      </c>
      <c r="S1522" s="17">
        <v>42135</v>
      </c>
      <c r="T1522" s="17">
        <v>42135</v>
      </c>
      <c r="W1522">
        <v>2015</v>
      </c>
      <c r="X1522">
        <v>24</v>
      </c>
      <c r="AC1522" t="s">
        <v>106</v>
      </c>
      <c r="AD1522" t="s">
        <v>302</v>
      </c>
      <c r="AE1522" t="s">
        <v>46</v>
      </c>
      <c r="AG1522">
        <v>12</v>
      </c>
      <c r="AH1522">
        <v>10</v>
      </c>
      <c r="AI1522" t="s">
        <v>95</v>
      </c>
      <c r="AK1522">
        <v>0</v>
      </c>
      <c r="AM1522">
        <v>0</v>
      </c>
      <c r="AP1522" t="s">
        <v>392</v>
      </c>
    </row>
    <row r="1523" spans="1:42" customFormat="1">
      <c r="A1523">
        <v>269038</v>
      </c>
      <c r="B1523" t="s">
        <v>1893</v>
      </c>
      <c r="C1523" t="s">
        <v>1894</v>
      </c>
      <c r="D1523" s="22">
        <v>0</v>
      </c>
      <c r="E1523" s="17">
        <v>42130</v>
      </c>
      <c r="F1523" s="18">
        <v>0.62255787037037036</v>
      </c>
      <c r="G1523" s="22">
        <v>1476.93</v>
      </c>
      <c r="H1523">
        <v>0</v>
      </c>
      <c r="I1523" s="19" t="e">
        <f>I1522 + (D1523-G1523)</f>
        <v>#VALUE!</v>
      </c>
      <c r="M1523">
        <v>123045</v>
      </c>
      <c r="N1523">
        <v>24</v>
      </c>
      <c r="O1523" t="s">
        <v>68</v>
      </c>
      <c r="P1523">
        <v>1</v>
      </c>
      <c r="R1523">
        <v>1578</v>
      </c>
      <c r="S1523" s="17">
        <v>42135</v>
      </c>
      <c r="T1523" s="17">
        <v>42135</v>
      </c>
      <c r="W1523">
        <v>2015</v>
      </c>
      <c r="X1523">
        <v>24</v>
      </c>
      <c r="AC1523" t="s">
        <v>106</v>
      </c>
      <c r="AD1523" t="s">
        <v>302</v>
      </c>
      <c r="AE1523" t="s">
        <v>46</v>
      </c>
      <c r="AG1523">
        <v>12</v>
      </c>
      <c r="AH1523">
        <v>10</v>
      </c>
      <c r="AI1523" t="s">
        <v>95</v>
      </c>
      <c r="AK1523">
        <v>0</v>
      </c>
      <c r="AM1523">
        <v>0</v>
      </c>
      <c r="AP1523" t="s">
        <v>392</v>
      </c>
    </row>
    <row r="1524" spans="1:42" customFormat="1">
      <c r="A1524">
        <v>269039</v>
      </c>
      <c r="B1524" t="s">
        <v>1895</v>
      </c>
      <c r="C1524" t="s">
        <v>1896</v>
      </c>
      <c r="D1524" s="22">
        <v>0</v>
      </c>
      <c r="E1524" s="17">
        <v>42130</v>
      </c>
      <c r="F1524" s="18">
        <v>0.62255787037037036</v>
      </c>
      <c r="G1524" s="22">
        <v>321.7</v>
      </c>
      <c r="H1524">
        <v>0</v>
      </c>
      <c r="I1524" s="19" t="e">
        <f>I1523 + (D1524-G1524)</f>
        <v>#VALUE!</v>
      </c>
      <c r="M1524">
        <v>123046</v>
      </c>
      <c r="N1524">
        <v>24</v>
      </c>
      <c r="O1524" t="s">
        <v>68</v>
      </c>
      <c r="P1524">
        <v>1</v>
      </c>
      <c r="R1524">
        <v>1578</v>
      </c>
      <c r="S1524" s="17">
        <v>42135</v>
      </c>
      <c r="T1524" s="17">
        <v>42135</v>
      </c>
      <c r="W1524">
        <v>2015</v>
      </c>
      <c r="X1524">
        <v>24</v>
      </c>
      <c r="AC1524" t="s">
        <v>106</v>
      </c>
      <c r="AD1524" t="s">
        <v>302</v>
      </c>
      <c r="AE1524" t="s">
        <v>46</v>
      </c>
      <c r="AG1524">
        <v>12</v>
      </c>
      <c r="AH1524">
        <v>10</v>
      </c>
      <c r="AI1524" t="s">
        <v>95</v>
      </c>
      <c r="AK1524">
        <v>0</v>
      </c>
      <c r="AM1524">
        <v>0</v>
      </c>
      <c r="AP1524" t="s">
        <v>392</v>
      </c>
    </row>
    <row r="1525" spans="1:42" customFormat="1">
      <c r="A1525">
        <v>269088</v>
      </c>
      <c r="B1525" t="s">
        <v>2011</v>
      </c>
      <c r="C1525" t="s">
        <v>2012</v>
      </c>
      <c r="D1525" s="22">
        <v>0</v>
      </c>
      <c r="E1525" s="17">
        <v>42131</v>
      </c>
      <c r="F1525" s="18">
        <v>0.63166666666666671</v>
      </c>
      <c r="G1525" s="22">
        <v>1478.9</v>
      </c>
      <c r="H1525">
        <v>0</v>
      </c>
      <c r="I1525" s="19" t="e">
        <f>I1524 + (D1525-G1525)</f>
        <v>#VALUE!</v>
      </c>
      <c r="M1525">
        <v>123058</v>
      </c>
      <c r="N1525">
        <v>24</v>
      </c>
      <c r="O1525" t="s">
        <v>68</v>
      </c>
      <c r="P1525">
        <v>1</v>
      </c>
      <c r="R1525">
        <v>1578</v>
      </c>
      <c r="S1525" s="17">
        <v>42135</v>
      </c>
      <c r="T1525" s="17">
        <v>42135</v>
      </c>
      <c r="W1525">
        <v>2015</v>
      </c>
      <c r="X1525">
        <v>24</v>
      </c>
      <c r="AC1525" t="s">
        <v>106</v>
      </c>
      <c r="AD1525" t="s">
        <v>302</v>
      </c>
      <c r="AE1525" t="s">
        <v>46</v>
      </c>
      <c r="AG1525">
        <v>12</v>
      </c>
      <c r="AH1525">
        <v>2</v>
      </c>
      <c r="AI1525" t="s">
        <v>50</v>
      </c>
      <c r="AK1525">
        <v>0</v>
      </c>
      <c r="AM1525">
        <v>0</v>
      </c>
      <c r="AP1525" t="s">
        <v>392</v>
      </c>
    </row>
    <row r="1526" spans="1:42" customFormat="1">
      <c r="A1526">
        <v>269089</v>
      </c>
      <c r="B1526" t="s">
        <v>2013</v>
      </c>
      <c r="C1526" t="s">
        <v>2014</v>
      </c>
      <c r="D1526" s="22">
        <v>0</v>
      </c>
      <c r="E1526" s="17">
        <v>42131</v>
      </c>
      <c r="F1526" s="18">
        <v>0.63166666666666671</v>
      </c>
      <c r="G1526" s="22">
        <v>1478.9</v>
      </c>
      <c r="H1526">
        <v>0</v>
      </c>
      <c r="I1526" s="19" t="e">
        <f>I1525 + (D1526-G1526)</f>
        <v>#VALUE!</v>
      </c>
      <c r="M1526">
        <v>123049</v>
      </c>
      <c r="N1526">
        <v>24</v>
      </c>
      <c r="O1526" t="s">
        <v>68</v>
      </c>
      <c r="P1526">
        <v>1</v>
      </c>
      <c r="R1526">
        <v>1578</v>
      </c>
      <c r="S1526" s="17">
        <v>42135</v>
      </c>
      <c r="T1526" s="17">
        <v>42135</v>
      </c>
      <c r="W1526">
        <v>2015</v>
      </c>
      <c r="X1526">
        <v>24</v>
      </c>
      <c r="AC1526" t="s">
        <v>106</v>
      </c>
      <c r="AD1526" t="s">
        <v>302</v>
      </c>
      <c r="AE1526" t="s">
        <v>46</v>
      </c>
      <c r="AG1526">
        <v>12</v>
      </c>
      <c r="AH1526">
        <v>2</v>
      </c>
      <c r="AI1526" t="s">
        <v>50</v>
      </c>
      <c r="AK1526">
        <v>0</v>
      </c>
      <c r="AM1526">
        <v>0</v>
      </c>
      <c r="AP1526" t="s">
        <v>392</v>
      </c>
    </row>
    <row r="1527" spans="1:42" customFormat="1">
      <c r="A1527">
        <v>269090</v>
      </c>
      <c r="B1527" t="s">
        <v>2015</v>
      </c>
      <c r="C1527" t="s">
        <v>2016</v>
      </c>
      <c r="D1527" s="22">
        <v>0</v>
      </c>
      <c r="E1527" s="17">
        <v>42131</v>
      </c>
      <c r="F1527" s="18">
        <v>0.63166666666666671</v>
      </c>
      <c r="G1527" s="22">
        <v>1478.9</v>
      </c>
      <c r="H1527">
        <v>0</v>
      </c>
      <c r="I1527" s="19" t="e">
        <f>I1526 + (D1527-G1527)</f>
        <v>#VALUE!</v>
      </c>
      <c r="M1527">
        <v>123059</v>
      </c>
      <c r="N1527">
        <v>24</v>
      </c>
      <c r="O1527" t="s">
        <v>68</v>
      </c>
      <c r="P1527">
        <v>1</v>
      </c>
      <c r="R1527">
        <v>1578</v>
      </c>
      <c r="S1527" s="17">
        <v>42135</v>
      </c>
      <c r="T1527" s="17">
        <v>42135</v>
      </c>
      <c r="W1527">
        <v>2015</v>
      </c>
      <c r="X1527">
        <v>24</v>
      </c>
      <c r="AC1527" t="s">
        <v>106</v>
      </c>
      <c r="AD1527" t="s">
        <v>302</v>
      </c>
      <c r="AE1527" t="s">
        <v>46</v>
      </c>
      <c r="AG1527">
        <v>12</v>
      </c>
      <c r="AH1527">
        <v>2</v>
      </c>
      <c r="AI1527" t="s">
        <v>50</v>
      </c>
      <c r="AK1527">
        <v>0</v>
      </c>
      <c r="AM1527">
        <v>0</v>
      </c>
      <c r="AP1527" t="s">
        <v>392</v>
      </c>
    </row>
    <row r="1528" spans="1:42" customFormat="1">
      <c r="A1528">
        <v>269091</v>
      </c>
      <c r="B1528" t="s">
        <v>2017</v>
      </c>
      <c r="C1528" t="s">
        <v>2018</v>
      </c>
      <c r="D1528" s="22">
        <v>0</v>
      </c>
      <c r="E1528" s="17">
        <v>42131</v>
      </c>
      <c r="F1528" s="18">
        <v>0.63167824074074075</v>
      </c>
      <c r="G1528" s="22">
        <v>1478.9</v>
      </c>
      <c r="H1528">
        <v>0</v>
      </c>
      <c r="I1528" s="19" t="e">
        <f>I1527 + (D1528-G1528)</f>
        <v>#VALUE!</v>
      </c>
      <c r="M1528">
        <v>123050</v>
      </c>
      <c r="N1528">
        <v>24</v>
      </c>
      <c r="O1528" t="s">
        <v>68</v>
      </c>
      <c r="P1528">
        <v>1</v>
      </c>
      <c r="R1528">
        <v>1578</v>
      </c>
      <c r="S1528" s="17">
        <v>42135</v>
      </c>
      <c r="T1528" s="17">
        <v>42135</v>
      </c>
      <c r="W1528">
        <v>2015</v>
      </c>
      <c r="X1528">
        <v>24</v>
      </c>
      <c r="AC1528" t="s">
        <v>106</v>
      </c>
      <c r="AD1528" t="s">
        <v>302</v>
      </c>
      <c r="AE1528" t="s">
        <v>46</v>
      </c>
      <c r="AG1528">
        <v>12</v>
      </c>
      <c r="AH1528">
        <v>2</v>
      </c>
      <c r="AI1528" t="s">
        <v>50</v>
      </c>
      <c r="AK1528">
        <v>0</v>
      </c>
      <c r="AM1528">
        <v>0</v>
      </c>
      <c r="AP1528" t="s">
        <v>392</v>
      </c>
    </row>
    <row r="1529" spans="1:42" customFormat="1">
      <c r="A1529">
        <v>269092</v>
      </c>
      <c r="B1529" t="s">
        <v>2019</v>
      </c>
      <c r="C1529" t="s">
        <v>2020</v>
      </c>
      <c r="D1529" s="22">
        <v>0</v>
      </c>
      <c r="E1529" s="17">
        <v>42131</v>
      </c>
      <c r="F1529" s="18">
        <v>0.63167824074074075</v>
      </c>
      <c r="G1529" s="22">
        <v>1478.9</v>
      </c>
      <c r="H1529">
        <v>0</v>
      </c>
      <c r="I1529" s="19" t="e">
        <f>I1528 + (D1529-G1529)</f>
        <v>#VALUE!</v>
      </c>
      <c r="M1529">
        <v>123060</v>
      </c>
      <c r="N1529">
        <v>24</v>
      </c>
      <c r="O1529" t="s">
        <v>68</v>
      </c>
      <c r="P1529">
        <v>1</v>
      </c>
      <c r="R1529">
        <v>1578</v>
      </c>
      <c r="S1529" s="17">
        <v>42135</v>
      </c>
      <c r="T1529" s="17">
        <v>42135</v>
      </c>
      <c r="W1529">
        <v>2015</v>
      </c>
      <c r="X1529">
        <v>24</v>
      </c>
      <c r="AC1529" t="s">
        <v>106</v>
      </c>
      <c r="AD1529" t="s">
        <v>302</v>
      </c>
      <c r="AE1529" t="s">
        <v>46</v>
      </c>
      <c r="AG1529">
        <v>12</v>
      </c>
      <c r="AH1529">
        <v>2</v>
      </c>
      <c r="AI1529" t="s">
        <v>50</v>
      </c>
      <c r="AK1529">
        <v>0</v>
      </c>
      <c r="AM1529">
        <v>0</v>
      </c>
      <c r="AP1529" t="s">
        <v>392</v>
      </c>
    </row>
    <row r="1530" spans="1:42" customFormat="1">
      <c r="A1530">
        <v>269093</v>
      </c>
      <c r="B1530" t="s">
        <v>2021</v>
      </c>
      <c r="C1530" t="s">
        <v>2022</v>
      </c>
      <c r="D1530" s="22">
        <v>0</v>
      </c>
      <c r="E1530" s="17">
        <v>42131</v>
      </c>
      <c r="F1530" s="18">
        <v>0.63167824074074075</v>
      </c>
      <c r="G1530" s="22">
        <v>1478.9</v>
      </c>
      <c r="H1530">
        <v>0</v>
      </c>
      <c r="I1530" s="19" t="e">
        <f>I1529 + (D1530-G1530)</f>
        <v>#VALUE!</v>
      </c>
      <c r="M1530">
        <v>123051</v>
      </c>
      <c r="N1530">
        <v>24</v>
      </c>
      <c r="O1530" t="s">
        <v>68</v>
      </c>
      <c r="P1530">
        <v>1</v>
      </c>
      <c r="R1530">
        <v>1578</v>
      </c>
      <c r="S1530" s="17">
        <v>42135</v>
      </c>
      <c r="T1530" s="17">
        <v>42135</v>
      </c>
      <c r="W1530">
        <v>2015</v>
      </c>
      <c r="X1530">
        <v>24</v>
      </c>
      <c r="AC1530" t="s">
        <v>106</v>
      </c>
      <c r="AD1530" t="s">
        <v>302</v>
      </c>
      <c r="AE1530" t="s">
        <v>46</v>
      </c>
      <c r="AG1530">
        <v>12</v>
      </c>
      <c r="AH1530">
        <v>2</v>
      </c>
      <c r="AI1530" t="s">
        <v>50</v>
      </c>
      <c r="AK1530">
        <v>0</v>
      </c>
      <c r="AM1530">
        <v>0</v>
      </c>
      <c r="AP1530" t="s">
        <v>392</v>
      </c>
    </row>
    <row r="1531" spans="1:42" customFormat="1">
      <c r="A1531">
        <v>269094</v>
      </c>
      <c r="B1531" t="s">
        <v>2023</v>
      </c>
      <c r="C1531" t="s">
        <v>2024</v>
      </c>
      <c r="D1531" s="22">
        <v>0</v>
      </c>
      <c r="E1531" s="17">
        <v>42131</v>
      </c>
      <c r="F1531" s="18">
        <v>0.63167824074074075</v>
      </c>
      <c r="G1531" s="22">
        <v>1478.9</v>
      </c>
      <c r="H1531">
        <v>0</v>
      </c>
      <c r="I1531" s="19" t="e">
        <f>I1530 + (D1531-G1531)</f>
        <v>#VALUE!</v>
      </c>
      <c r="M1531">
        <v>123061</v>
      </c>
      <c r="N1531">
        <v>24</v>
      </c>
      <c r="O1531" t="s">
        <v>68</v>
      </c>
      <c r="P1531">
        <v>1</v>
      </c>
      <c r="R1531">
        <v>1578</v>
      </c>
      <c r="S1531" s="17">
        <v>42135</v>
      </c>
      <c r="T1531" s="17">
        <v>42135</v>
      </c>
      <c r="W1531">
        <v>2015</v>
      </c>
      <c r="X1531">
        <v>24</v>
      </c>
      <c r="AC1531" t="s">
        <v>106</v>
      </c>
      <c r="AD1531" t="s">
        <v>302</v>
      </c>
      <c r="AE1531" t="s">
        <v>46</v>
      </c>
      <c r="AG1531">
        <v>12</v>
      </c>
      <c r="AH1531">
        <v>2</v>
      </c>
      <c r="AI1531" t="s">
        <v>50</v>
      </c>
      <c r="AK1531">
        <v>0</v>
      </c>
      <c r="AM1531">
        <v>0</v>
      </c>
      <c r="AP1531" t="s">
        <v>392</v>
      </c>
    </row>
    <row r="1532" spans="1:42" customFormat="1">
      <c r="A1532">
        <v>269095</v>
      </c>
      <c r="B1532" t="s">
        <v>2025</v>
      </c>
      <c r="C1532" t="s">
        <v>2026</v>
      </c>
      <c r="D1532" s="22">
        <v>0</v>
      </c>
      <c r="E1532" s="17">
        <v>42131</v>
      </c>
      <c r="F1532" s="18">
        <v>0.63167824074074075</v>
      </c>
      <c r="G1532" s="22">
        <v>1478.9</v>
      </c>
      <c r="H1532">
        <v>0</v>
      </c>
      <c r="I1532" s="19" t="e">
        <f>I1531 + (D1532-G1532)</f>
        <v>#VALUE!</v>
      </c>
      <c r="M1532">
        <v>123052</v>
      </c>
      <c r="N1532">
        <v>24</v>
      </c>
      <c r="O1532" t="s">
        <v>68</v>
      </c>
      <c r="P1532">
        <v>1</v>
      </c>
      <c r="R1532">
        <v>1578</v>
      </c>
      <c r="S1532" s="17">
        <v>42135</v>
      </c>
      <c r="T1532" s="17">
        <v>42135</v>
      </c>
      <c r="W1532">
        <v>2015</v>
      </c>
      <c r="X1532">
        <v>24</v>
      </c>
      <c r="AC1532" t="s">
        <v>106</v>
      </c>
      <c r="AD1532" t="s">
        <v>302</v>
      </c>
      <c r="AE1532" t="s">
        <v>46</v>
      </c>
      <c r="AG1532">
        <v>12</v>
      </c>
      <c r="AH1532">
        <v>2</v>
      </c>
      <c r="AI1532" t="s">
        <v>50</v>
      </c>
      <c r="AK1532">
        <v>0</v>
      </c>
      <c r="AM1532">
        <v>0</v>
      </c>
      <c r="AP1532" t="s">
        <v>392</v>
      </c>
    </row>
    <row r="1533" spans="1:42" customFormat="1">
      <c r="A1533">
        <v>269096</v>
      </c>
      <c r="B1533" t="s">
        <v>2027</v>
      </c>
      <c r="C1533" t="s">
        <v>2028</v>
      </c>
      <c r="D1533" s="22">
        <v>0</v>
      </c>
      <c r="E1533" s="17">
        <v>42131</v>
      </c>
      <c r="F1533" s="18">
        <v>0.63167824074074075</v>
      </c>
      <c r="G1533" s="22">
        <v>1478.9</v>
      </c>
      <c r="H1533">
        <v>0</v>
      </c>
      <c r="I1533" s="19" t="e">
        <f>I1532 + (D1533-G1533)</f>
        <v>#VALUE!</v>
      </c>
      <c r="M1533">
        <v>123062</v>
      </c>
      <c r="N1533">
        <v>24</v>
      </c>
      <c r="O1533" t="s">
        <v>68</v>
      </c>
      <c r="P1533">
        <v>1</v>
      </c>
      <c r="R1533">
        <v>1578</v>
      </c>
      <c r="S1533" s="17">
        <v>42135</v>
      </c>
      <c r="T1533" s="17">
        <v>42135</v>
      </c>
      <c r="W1533">
        <v>2015</v>
      </c>
      <c r="X1533">
        <v>24</v>
      </c>
      <c r="AC1533" t="s">
        <v>106</v>
      </c>
      <c r="AD1533" t="s">
        <v>302</v>
      </c>
      <c r="AE1533" t="s">
        <v>46</v>
      </c>
      <c r="AG1533">
        <v>12</v>
      </c>
      <c r="AH1533">
        <v>2</v>
      </c>
      <c r="AI1533" t="s">
        <v>50</v>
      </c>
      <c r="AK1533">
        <v>0</v>
      </c>
      <c r="AM1533">
        <v>0</v>
      </c>
      <c r="AP1533" t="s">
        <v>392</v>
      </c>
    </row>
    <row r="1534" spans="1:42" customFormat="1">
      <c r="A1534">
        <v>269097</v>
      </c>
      <c r="B1534" t="s">
        <v>2029</v>
      </c>
      <c r="C1534" t="s">
        <v>2030</v>
      </c>
      <c r="D1534" s="22">
        <v>0</v>
      </c>
      <c r="E1534" s="17">
        <v>42131</v>
      </c>
      <c r="F1534" s="18">
        <v>0.63167824074074075</v>
      </c>
      <c r="G1534" s="22">
        <v>1478.9</v>
      </c>
      <c r="H1534">
        <v>0</v>
      </c>
      <c r="I1534" s="19" t="e">
        <f>I1533 + (D1534-G1534)</f>
        <v>#VALUE!</v>
      </c>
      <c r="M1534">
        <v>123053</v>
      </c>
      <c r="N1534">
        <v>24</v>
      </c>
      <c r="O1534" t="s">
        <v>68</v>
      </c>
      <c r="P1534">
        <v>1</v>
      </c>
      <c r="R1534">
        <v>1578</v>
      </c>
      <c r="S1534" s="17">
        <v>42135</v>
      </c>
      <c r="T1534" s="17">
        <v>42135</v>
      </c>
      <c r="W1534">
        <v>2015</v>
      </c>
      <c r="X1534">
        <v>24</v>
      </c>
      <c r="AC1534" t="s">
        <v>106</v>
      </c>
      <c r="AD1534" t="s">
        <v>302</v>
      </c>
      <c r="AE1534" t="s">
        <v>46</v>
      </c>
      <c r="AG1534">
        <v>12</v>
      </c>
      <c r="AH1534">
        <v>2</v>
      </c>
      <c r="AI1534" t="s">
        <v>50</v>
      </c>
      <c r="AK1534">
        <v>0</v>
      </c>
      <c r="AM1534">
        <v>0</v>
      </c>
      <c r="AP1534" t="s">
        <v>392</v>
      </c>
    </row>
    <row r="1535" spans="1:42" customFormat="1">
      <c r="A1535">
        <v>269098</v>
      </c>
      <c r="B1535" t="s">
        <v>2031</v>
      </c>
      <c r="C1535" t="s">
        <v>2032</v>
      </c>
      <c r="D1535" s="22">
        <v>0</v>
      </c>
      <c r="E1535" s="17">
        <v>42131</v>
      </c>
      <c r="F1535" s="18">
        <v>0.63167824074074075</v>
      </c>
      <c r="G1535" s="22">
        <v>1478.9</v>
      </c>
      <c r="H1535">
        <v>0</v>
      </c>
      <c r="I1535" s="19" t="e">
        <f>I1534 + (D1535-G1535)</f>
        <v>#VALUE!</v>
      </c>
      <c r="M1535">
        <v>123063</v>
      </c>
      <c r="N1535">
        <v>24</v>
      </c>
      <c r="O1535" t="s">
        <v>68</v>
      </c>
      <c r="P1535">
        <v>1</v>
      </c>
      <c r="R1535">
        <v>1578</v>
      </c>
      <c r="S1535" s="17">
        <v>42135</v>
      </c>
      <c r="T1535" s="17">
        <v>42135</v>
      </c>
      <c r="W1535">
        <v>2015</v>
      </c>
      <c r="X1535">
        <v>24</v>
      </c>
      <c r="AC1535" t="s">
        <v>106</v>
      </c>
      <c r="AD1535" t="s">
        <v>302</v>
      </c>
      <c r="AE1535" t="s">
        <v>46</v>
      </c>
      <c r="AG1535">
        <v>12</v>
      </c>
      <c r="AH1535">
        <v>2</v>
      </c>
      <c r="AI1535" t="s">
        <v>50</v>
      </c>
      <c r="AK1535">
        <v>0</v>
      </c>
      <c r="AM1535">
        <v>0</v>
      </c>
      <c r="AP1535" t="s">
        <v>392</v>
      </c>
    </row>
    <row r="1536" spans="1:42" customFormat="1">
      <c r="A1536">
        <v>269099</v>
      </c>
      <c r="B1536" t="s">
        <v>2033</v>
      </c>
      <c r="C1536" t="s">
        <v>2034</v>
      </c>
      <c r="D1536" s="22">
        <v>0</v>
      </c>
      <c r="E1536" s="17">
        <v>42131</v>
      </c>
      <c r="F1536" s="18">
        <v>0.63167824074074075</v>
      </c>
      <c r="G1536" s="22">
        <v>1478.9</v>
      </c>
      <c r="H1536">
        <v>0</v>
      </c>
      <c r="I1536" s="19" t="e">
        <f>I1535 + (D1536-G1536)</f>
        <v>#VALUE!</v>
      </c>
      <c r="M1536">
        <v>123054</v>
      </c>
      <c r="N1536">
        <v>24</v>
      </c>
      <c r="O1536" t="s">
        <v>68</v>
      </c>
      <c r="P1536">
        <v>1</v>
      </c>
      <c r="R1536">
        <v>1578</v>
      </c>
      <c r="S1536" s="17">
        <v>42135</v>
      </c>
      <c r="T1536" s="17">
        <v>42135</v>
      </c>
      <c r="W1536">
        <v>2015</v>
      </c>
      <c r="X1536">
        <v>24</v>
      </c>
      <c r="AC1536" t="s">
        <v>106</v>
      </c>
      <c r="AD1536" t="s">
        <v>302</v>
      </c>
      <c r="AE1536" t="s">
        <v>46</v>
      </c>
      <c r="AG1536">
        <v>12</v>
      </c>
      <c r="AH1536">
        <v>2</v>
      </c>
      <c r="AI1536" t="s">
        <v>50</v>
      </c>
      <c r="AK1536">
        <v>0</v>
      </c>
      <c r="AM1536">
        <v>0</v>
      </c>
      <c r="AP1536" t="s">
        <v>392</v>
      </c>
    </row>
    <row r="1537" spans="1:42" customFormat="1">
      <c r="A1537">
        <v>269100</v>
      </c>
      <c r="B1537" t="s">
        <v>2035</v>
      </c>
      <c r="C1537" t="s">
        <v>2036</v>
      </c>
      <c r="D1537" s="22">
        <v>0</v>
      </c>
      <c r="E1537" s="17">
        <v>42131</v>
      </c>
      <c r="F1537" s="18">
        <v>0.63167824074074075</v>
      </c>
      <c r="G1537" s="22">
        <v>1478.9</v>
      </c>
      <c r="H1537">
        <v>0</v>
      </c>
      <c r="I1537" s="19" t="e">
        <f>I1536 + (D1537-G1537)</f>
        <v>#VALUE!</v>
      </c>
      <c r="M1537">
        <v>123064</v>
      </c>
      <c r="N1537">
        <v>24</v>
      </c>
      <c r="O1537" t="s">
        <v>68</v>
      </c>
      <c r="P1537">
        <v>1</v>
      </c>
      <c r="R1537">
        <v>1578</v>
      </c>
      <c r="S1537" s="17">
        <v>42135</v>
      </c>
      <c r="T1537" s="17">
        <v>42135</v>
      </c>
      <c r="W1537">
        <v>2015</v>
      </c>
      <c r="X1537">
        <v>24</v>
      </c>
      <c r="AC1537" t="s">
        <v>106</v>
      </c>
      <c r="AD1537" t="s">
        <v>302</v>
      </c>
      <c r="AE1537" t="s">
        <v>46</v>
      </c>
      <c r="AG1537">
        <v>12</v>
      </c>
      <c r="AH1537">
        <v>2</v>
      </c>
      <c r="AI1537" t="s">
        <v>50</v>
      </c>
      <c r="AK1537">
        <v>0</v>
      </c>
      <c r="AM1537">
        <v>0</v>
      </c>
      <c r="AP1537" t="s">
        <v>392</v>
      </c>
    </row>
    <row r="1538" spans="1:42" customFormat="1">
      <c r="A1538">
        <v>269101</v>
      </c>
      <c r="B1538" t="s">
        <v>2037</v>
      </c>
      <c r="C1538" t="s">
        <v>2038</v>
      </c>
      <c r="D1538" s="22">
        <v>0</v>
      </c>
      <c r="E1538" s="17">
        <v>42131</v>
      </c>
      <c r="F1538" s="18">
        <v>0.63167824074074075</v>
      </c>
      <c r="G1538" s="22">
        <v>1478.9</v>
      </c>
      <c r="H1538">
        <v>0</v>
      </c>
      <c r="I1538" s="19" t="e">
        <f>I1537 + (D1538-G1538)</f>
        <v>#VALUE!</v>
      </c>
      <c r="M1538">
        <v>123055</v>
      </c>
      <c r="N1538">
        <v>24</v>
      </c>
      <c r="O1538" t="s">
        <v>68</v>
      </c>
      <c r="P1538">
        <v>1</v>
      </c>
      <c r="R1538">
        <v>1578</v>
      </c>
      <c r="S1538" s="17">
        <v>42135</v>
      </c>
      <c r="T1538" s="17">
        <v>42135</v>
      </c>
      <c r="W1538">
        <v>2015</v>
      </c>
      <c r="X1538">
        <v>24</v>
      </c>
      <c r="AC1538" t="s">
        <v>106</v>
      </c>
      <c r="AD1538" t="s">
        <v>302</v>
      </c>
      <c r="AE1538" t="s">
        <v>46</v>
      </c>
      <c r="AG1538">
        <v>12</v>
      </c>
      <c r="AH1538">
        <v>2</v>
      </c>
      <c r="AI1538" t="s">
        <v>50</v>
      </c>
      <c r="AK1538">
        <v>0</v>
      </c>
      <c r="AM1538">
        <v>0</v>
      </c>
      <c r="AP1538" t="s">
        <v>392</v>
      </c>
    </row>
    <row r="1539" spans="1:42" customFormat="1">
      <c r="A1539">
        <v>269102</v>
      </c>
      <c r="B1539" t="s">
        <v>2039</v>
      </c>
      <c r="C1539" t="s">
        <v>2040</v>
      </c>
      <c r="D1539" s="22">
        <v>0</v>
      </c>
      <c r="E1539" s="17">
        <v>42131</v>
      </c>
      <c r="F1539" s="18">
        <v>0.63167824074074075</v>
      </c>
      <c r="G1539" s="22">
        <v>1478.9</v>
      </c>
      <c r="H1539">
        <v>0</v>
      </c>
      <c r="I1539" s="19" t="e">
        <f>I1538 + (D1539-G1539)</f>
        <v>#VALUE!</v>
      </c>
      <c r="M1539">
        <v>123065</v>
      </c>
      <c r="N1539">
        <v>24</v>
      </c>
      <c r="O1539" t="s">
        <v>68</v>
      </c>
      <c r="P1539">
        <v>1</v>
      </c>
      <c r="R1539">
        <v>1578</v>
      </c>
      <c r="S1539" s="17">
        <v>42135</v>
      </c>
      <c r="T1539" s="17">
        <v>42135</v>
      </c>
      <c r="W1539">
        <v>2015</v>
      </c>
      <c r="X1539">
        <v>24</v>
      </c>
      <c r="AC1539" t="s">
        <v>106</v>
      </c>
      <c r="AD1539" t="s">
        <v>302</v>
      </c>
      <c r="AE1539" t="s">
        <v>46</v>
      </c>
      <c r="AG1539">
        <v>12</v>
      </c>
      <c r="AH1539">
        <v>2</v>
      </c>
      <c r="AI1539" t="s">
        <v>50</v>
      </c>
      <c r="AK1539">
        <v>0</v>
      </c>
      <c r="AM1539">
        <v>0</v>
      </c>
      <c r="AP1539" t="s">
        <v>392</v>
      </c>
    </row>
    <row r="1540" spans="1:42" customFormat="1">
      <c r="A1540">
        <v>269103</v>
      </c>
      <c r="B1540" t="s">
        <v>2041</v>
      </c>
      <c r="C1540" t="s">
        <v>2042</v>
      </c>
      <c r="D1540" s="22">
        <v>0</v>
      </c>
      <c r="E1540" s="17">
        <v>42131</v>
      </c>
      <c r="F1540" s="18">
        <v>0.63167824074074075</v>
      </c>
      <c r="G1540" s="22">
        <v>1478.9</v>
      </c>
      <c r="H1540">
        <v>0</v>
      </c>
      <c r="I1540" s="19" t="e">
        <f>I1539 + (D1540-G1540)</f>
        <v>#VALUE!</v>
      </c>
      <c r="M1540">
        <v>123056</v>
      </c>
      <c r="N1540">
        <v>24</v>
      </c>
      <c r="O1540" t="s">
        <v>68</v>
      </c>
      <c r="P1540">
        <v>1</v>
      </c>
      <c r="R1540">
        <v>1578</v>
      </c>
      <c r="S1540" s="17">
        <v>42135</v>
      </c>
      <c r="T1540" s="17">
        <v>42135</v>
      </c>
      <c r="W1540">
        <v>2015</v>
      </c>
      <c r="X1540">
        <v>24</v>
      </c>
      <c r="AC1540" t="s">
        <v>106</v>
      </c>
      <c r="AD1540" t="s">
        <v>302</v>
      </c>
      <c r="AE1540" t="s">
        <v>46</v>
      </c>
      <c r="AG1540">
        <v>12</v>
      </c>
      <c r="AH1540">
        <v>2</v>
      </c>
      <c r="AI1540" t="s">
        <v>50</v>
      </c>
      <c r="AK1540">
        <v>0</v>
      </c>
      <c r="AM1540">
        <v>0</v>
      </c>
      <c r="AP1540" t="s">
        <v>392</v>
      </c>
    </row>
    <row r="1541" spans="1:42" customFormat="1">
      <c r="A1541">
        <v>269104</v>
      </c>
      <c r="B1541" t="s">
        <v>2043</v>
      </c>
      <c r="C1541" t="s">
        <v>2044</v>
      </c>
      <c r="D1541" s="22">
        <v>0</v>
      </c>
      <c r="E1541" s="17">
        <v>42131</v>
      </c>
      <c r="F1541" s="18">
        <v>0.63167824074074075</v>
      </c>
      <c r="G1541" s="22">
        <v>910.95</v>
      </c>
      <c r="H1541">
        <v>0</v>
      </c>
      <c r="I1541" s="19" t="e">
        <f>I1540 + (D1541-G1541)</f>
        <v>#VALUE!</v>
      </c>
      <c r="M1541">
        <v>123066</v>
      </c>
      <c r="N1541">
        <v>24</v>
      </c>
      <c r="O1541" t="s">
        <v>68</v>
      </c>
      <c r="P1541">
        <v>1</v>
      </c>
      <c r="R1541">
        <v>1578</v>
      </c>
      <c r="S1541" s="17">
        <v>42135</v>
      </c>
      <c r="T1541" s="17">
        <v>42135</v>
      </c>
      <c r="W1541">
        <v>2015</v>
      </c>
      <c r="X1541">
        <v>24</v>
      </c>
      <c r="AC1541" t="s">
        <v>106</v>
      </c>
      <c r="AD1541" t="s">
        <v>302</v>
      </c>
      <c r="AE1541" t="s">
        <v>46</v>
      </c>
      <c r="AG1541">
        <v>12</v>
      </c>
      <c r="AH1541">
        <v>2</v>
      </c>
      <c r="AI1541" t="s">
        <v>50</v>
      </c>
      <c r="AK1541">
        <v>0</v>
      </c>
      <c r="AM1541">
        <v>0</v>
      </c>
      <c r="AP1541" t="s">
        <v>392</v>
      </c>
    </row>
    <row r="1542" spans="1:42" customFormat="1">
      <c r="A1542">
        <v>269105</v>
      </c>
      <c r="B1542" t="s">
        <v>2045</v>
      </c>
      <c r="C1542" t="s">
        <v>2046</v>
      </c>
      <c r="D1542" s="22">
        <v>0</v>
      </c>
      <c r="E1542" s="17">
        <v>42131</v>
      </c>
      <c r="F1542" s="18">
        <v>0.63167824074074075</v>
      </c>
      <c r="G1542" s="22">
        <v>1478.9</v>
      </c>
      <c r="H1542">
        <v>0</v>
      </c>
      <c r="I1542" s="19" t="e">
        <f>I1541 + (D1542-G1542)</f>
        <v>#VALUE!</v>
      </c>
      <c r="M1542">
        <v>123057</v>
      </c>
      <c r="N1542">
        <v>24</v>
      </c>
      <c r="O1542" t="s">
        <v>68</v>
      </c>
      <c r="P1542">
        <v>1</v>
      </c>
      <c r="R1542">
        <v>1578</v>
      </c>
      <c r="S1542" s="17">
        <v>42135</v>
      </c>
      <c r="T1542" s="17">
        <v>42135</v>
      </c>
      <c r="W1542">
        <v>2015</v>
      </c>
      <c r="X1542">
        <v>24</v>
      </c>
      <c r="AC1542" t="s">
        <v>106</v>
      </c>
      <c r="AD1542" t="s">
        <v>302</v>
      </c>
      <c r="AE1542" t="s">
        <v>46</v>
      </c>
      <c r="AG1542">
        <v>12</v>
      </c>
      <c r="AH1542">
        <v>2</v>
      </c>
      <c r="AI1542" t="s">
        <v>50</v>
      </c>
      <c r="AK1542">
        <v>0</v>
      </c>
      <c r="AM1542">
        <v>0</v>
      </c>
      <c r="AP1542" t="s">
        <v>392</v>
      </c>
    </row>
    <row r="1543" spans="1:42" customFormat="1">
      <c r="A1543">
        <v>269127</v>
      </c>
      <c r="B1543" t="s">
        <v>2235</v>
      </c>
      <c r="C1543" t="s">
        <v>2236</v>
      </c>
      <c r="D1543" s="22">
        <v>0</v>
      </c>
      <c r="E1543" s="17">
        <v>42132</v>
      </c>
      <c r="F1543" s="18">
        <v>0.66440972222222217</v>
      </c>
      <c r="G1543" s="22">
        <v>1473</v>
      </c>
      <c r="H1543">
        <v>0</v>
      </c>
      <c r="I1543" s="19" t="e">
        <f>I1542 + (D1543-G1543)</f>
        <v>#VALUE!</v>
      </c>
      <c r="M1543">
        <v>123072</v>
      </c>
      <c r="N1543">
        <v>24</v>
      </c>
      <c r="O1543" t="s">
        <v>68</v>
      </c>
      <c r="P1543">
        <v>1</v>
      </c>
      <c r="R1543">
        <v>1578</v>
      </c>
      <c r="S1543" s="17">
        <v>42135</v>
      </c>
      <c r="T1543" s="17">
        <v>42135</v>
      </c>
      <c r="W1543">
        <v>2015</v>
      </c>
      <c r="X1543">
        <v>24</v>
      </c>
      <c r="AC1543" t="s">
        <v>106</v>
      </c>
      <c r="AD1543" t="s">
        <v>302</v>
      </c>
      <c r="AE1543" t="s">
        <v>46</v>
      </c>
      <c r="AG1543">
        <v>12</v>
      </c>
      <c r="AH1543">
        <v>10</v>
      </c>
      <c r="AI1543" t="s">
        <v>95</v>
      </c>
      <c r="AK1543">
        <v>0</v>
      </c>
      <c r="AM1543">
        <v>0</v>
      </c>
      <c r="AP1543" t="s">
        <v>392</v>
      </c>
    </row>
    <row r="1544" spans="1:42" customFormat="1">
      <c r="A1544">
        <v>269128</v>
      </c>
      <c r="B1544" t="s">
        <v>2237</v>
      </c>
      <c r="C1544" t="s">
        <v>2238</v>
      </c>
      <c r="D1544" s="22">
        <v>0</v>
      </c>
      <c r="E1544" s="17">
        <v>42132</v>
      </c>
      <c r="F1544" s="18">
        <v>0.66440972222222217</v>
      </c>
      <c r="G1544" s="22">
        <v>1473</v>
      </c>
      <c r="H1544">
        <v>0</v>
      </c>
      <c r="I1544" s="19" t="e">
        <f>I1543 + (D1544-G1544)</f>
        <v>#VALUE!</v>
      </c>
      <c r="M1544">
        <v>123073</v>
      </c>
      <c r="N1544">
        <v>24</v>
      </c>
      <c r="O1544" t="s">
        <v>68</v>
      </c>
      <c r="P1544">
        <v>1</v>
      </c>
      <c r="R1544">
        <v>1578</v>
      </c>
      <c r="S1544" s="17">
        <v>42135</v>
      </c>
      <c r="T1544" s="17">
        <v>42135</v>
      </c>
      <c r="W1544">
        <v>2015</v>
      </c>
      <c r="X1544">
        <v>24</v>
      </c>
      <c r="AC1544" t="s">
        <v>106</v>
      </c>
      <c r="AD1544" t="s">
        <v>302</v>
      </c>
      <c r="AE1544" t="s">
        <v>46</v>
      </c>
      <c r="AG1544">
        <v>12</v>
      </c>
      <c r="AH1544">
        <v>10</v>
      </c>
      <c r="AI1544" t="s">
        <v>95</v>
      </c>
      <c r="AK1544">
        <v>0</v>
      </c>
      <c r="AM1544">
        <v>0</v>
      </c>
      <c r="AP1544" t="s">
        <v>392</v>
      </c>
    </row>
    <row r="1545" spans="1:42" customFormat="1">
      <c r="A1545">
        <v>269129</v>
      </c>
      <c r="B1545" t="s">
        <v>2239</v>
      </c>
      <c r="C1545" t="s">
        <v>2240</v>
      </c>
      <c r="D1545" s="22">
        <v>0</v>
      </c>
      <c r="E1545" s="17">
        <v>42132</v>
      </c>
      <c r="F1545" s="18">
        <v>0.66440972222222217</v>
      </c>
      <c r="G1545" s="22">
        <v>1480.86</v>
      </c>
      <c r="H1545">
        <v>0</v>
      </c>
      <c r="I1545" s="19" t="e">
        <f>I1544 + (D1545-G1545)</f>
        <v>#VALUE!</v>
      </c>
      <c r="M1545">
        <v>123074</v>
      </c>
      <c r="N1545">
        <v>24</v>
      </c>
      <c r="O1545" t="s">
        <v>68</v>
      </c>
      <c r="P1545">
        <v>1</v>
      </c>
      <c r="R1545">
        <v>1578</v>
      </c>
      <c r="S1545" s="17">
        <v>42135</v>
      </c>
      <c r="T1545" s="17">
        <v>42135</v>
      </c>
      <c r="W1545">
        <v>2015</v>
      </c>
      <c r="X1545">
        <v>24</v>
      </c>
      <c r="AC1545" t="s">
        <v>106</v>
      </c>
      <c r="AD1545" t="s">
        <v>302</v>
      </c>
      <c r="AE1545" t="s">
        <v>46</v>
      </c>
      <c r="AG1545">
        <v>12</v>
      </c>
      <c r="AH1545">
        <v>10</v>
      </c>
      <c r="AI1545" t="s">
        <v>95</v>
      </c>
      <c r="AK1545">
        <v>0</v>
      </c>
      <c r="AM1545">
        <v>0</v>
      </c>
      <c r="AP1545" t="s">
        <v>392</v>
      </c>
    </row>
    <row r="1546" spans="1:42" customFormat="1">
      <c r="A1546">
        <v>269130</v>
      </c>
      <c r="B1546" t="s">
        <v>2241</v>
      </c>
      <c r="C1546" t="s">
        <v>2242</v>
      </c>
      <c r="D1546" s="22">
        <v>0</v>
      </c>
      <c r="E1546" s="17">
        <v>42132</v>
      </c>
      <c r="F1546" s="18">
        <v>0.66440972222222217</v>
      </c>
      <c r="G1546" s="22">
        <v>1480.86</v>
      </c>
      <c r="H1546">
        <v>0</v>
      </c>
      <c r="I1546" s="19" t="e">
        <f>I1545 + (D1546-G1546)</f>
        <v>#VALUE!</v>
      </c>
      <c r="M1546">
        <v>123075</v>
      </c>
      <c r="N1546">
        <v>24</v>
      </c>
      <c r="O1546" t="s">
        <v>68</v>
      </c>
      <c r="P1546">
        <v>1</v>
      </c>
      <c r="R1546">
        <v>1578</v>
      </c>
      <c r="S1546" s="17">
        <v>42135</v>
      </c>
      <c r="T1546" s="17">
        <v>42135</v>
      </c>
      <c r="W1546">
        <v>2015</v>
      </c>
      <c r="X1546">
        <v>24</v>
      </c>
      <c r="AC1546" t="s">
        <v>106</v>
      </c>
      <c r="AD1546" t="s">
        <v>302</v>
      </c>
      <c r="AE1546" t="s">
        <v>46</v>
      </c>
      <c r="AG1546">
        <v>12</v>
      </c>
      <c r="AH1546">
        <v>10</v>
      </c>
      <c r="AI1546" t="s">
        <v>95</v>
      </c>
      <c r="AK1546">
        <v>0</v>
      </c>
      <c r="AM1546">
        <v>0</v>
      </c>
      <c r="AP1546" t="s">
        <v>392</v>
      </c>
    </row>
    <row r="1547" spans="1:42" customFormat="1">
      <c r="A1547">
        <v>269131</v>
      </c>
      <c r="B1547" t="s">
        <v>2243</v>
      </c>
      <c r="C1547" t="s">
        <v>2244</v>
      </c>
      <c r="D1547" s="22">
        <v>0</v>
      </c>
      <c r="E1547" s="17">
        <v>42132</v>
      </c>
      <c r="F1547" s="18">
        <v>0.66440972222222217</v>
      </c>
      <c r="G1547" s="22">
        <v>1480.86</v>
      </c>
      <c r="H1547">
        <v>0</v>
      </c>
      <c r="I1547" s="19" t="e">
        <f>I1546 + (D1547-G1547)</f>
        <v>#VALUE!</v>
      </c>
      <c r="M1547">
        <v>123076</v>
      </c>
      <c r="N1547">
        <v>24</v>
      </c>
      <c r="O1547" t="s">
        <v>68</v>
      </c>
      <c r="P1547">
        <v>1</v>
      </c>
      <c r="R1547">
        <v>1578</v>
      </c>
      <c r="S1547" s="17">
        <v>42135</v>
      </c>
      <c r="T1547" s="17">
        <v>42135</v>
      </c>
      <c r="W1547">
        <v>2015</v>
      </c>
      <c r="X1547">
        <v>24</v>
      </c>
      <c r="AC1547" t="s">
        <v>106</v>
      </c>
      <c r="AD1547" t="s">
        <v>302</v>
      </c>
      <c r="AE1547" t="s">
        <v>46</v>
      </c>
      <c r="AG1547">
        <v>12</v>
      </c>
      <c r="AH1547">
        <v>10</v>
      </c>
      <c r="AI1547" t="s">
        <v>95</v>
      </c>
      <c r="AK1547">
        <v>0</v>
      </c>
      <c r="AM1547">
        <v>0</v>
      </c>
      <c r="AP1547" t="s">
        <v>392</v>
      </c>
    </row>
    <row r="1548" spans="1:42" customFormat="1">
      <c r="A1548">
        <v>269132</v>
      </c>
      <c r="B1548" t="s">
        <v>2245</v>
      </c>
      <c r="C1548" t="s">
        <v>2246</v>
      </c>
      <c r="D1548" s="22">
        <v>0</v>
      </c>
      <c r="E1548" s="17">
        <v>42132</v>
      </c>
      <c r="F1548" s="18">
        <v>0.66440972222222217</v>
      </c>
      <c r="G1548" s="22">
        <v>1480.86</v>
      </c>
      <c r="H1548">
        <v>0</v>
      </c>
      <c r="I1548" s="19" t="e">
        <f>I1547 + (D1548-G1548)</f>
        <v>#VALUE!</v>
      </c>
      <c r="M1548">
        <v>123077</v>
      </c>
      <c r="N1548">
        <v>24</v>
      </c>
      <c r="O1548" t="s">
        <v>68</v>
      </c>
      <c r="P1548">
        <v>1</v>
      </c>
      <c r="R1548">
        <v>1578</v>
      </c>
      <c r="S1548" s="17">
        <v>42135</v>
      </c>
      <c r="T1548" s="17">
        <v>42135</v>
      </c>
      <c r="W1548">
        <v>2015</v>
      </c>
      <c r="X1548">
        <v>24</v>
      </c>
      <c r="AC1548" t="s">
        <v>106</v>
      </c>
      <c r="AD1548" t="s">
        <v>302</v>
      </c>
      <c r="AE1548" t="s">
        <v>46</v>
      </c>
      <c r="AG1548">
        <v>12</v>
      </c>
      <c r="AH1548">
        <v>10</v>
      </c>
      <c r="AI1548" t="s">
        <v>95</v>
      </c>
      <c r="AK1548">
        <v>0</v>
      </c>
      <c r="AM1548">
        <v>0</v>
      </c>
      <c r="AP1548" t="s">
        <v>392</v>
      </c>
    </row>
    <row r="1549" spans="1:42" customFormat="1">
      <c r="A1549">
        <v>269137</v>
      </c>
      <c r="B1549" t="s">
        <v>2247</v>
      </c>
      <c r="C1549" t="s">
        <v>2248</v>
      </c>
      <c r="D1549" s="22">
        <v>0</v>
      </c>
      <c r="E1549" s="17">
        <v>42132</v>
      </c>
      <c r="F1549" s="18">
        <v>0.66666666666666663</v>
      </c>
      <c r="G1549" s="22">
        <v>1480.86</v>
      </c>
      <c r="H1549">
        <v>0</v>
      </c>
      <c r="I1549" s="19" t="e">
        <f>I1548 + (D1549-G1549)</f>
        <v>#VALUE!</v>
      </c>
      <c r="M1549">
        <v>123087</v>
      </c>
      <c r="N1549">
        <v>24</v>
      </c>
      <c r="O1549" t="s">
        <v>68</v>
      </c>
      <c r="P1549">
        <v>1</v>
      </c>
      <c r="R1549">
        <v>1578</v>
      </c>
      <c r="S1549" s="17">
        <v>42135</v>
      </c>
      <c r="T1549" s="17">
        <v>42135</v>
      </c>
      <c r="W1549">
        <v>2015</v>
      </c>
      <c r="X1549">
        <v>24</v>
      </c>
      <c r="AC1549" t="s">
        <v>106</v>
      </c>
      <c r="AD1549" t="s">
        <v>302</v>
      </c>
      <c r="AE1549" t="s">
        <v>46</v>
      </c>
      <c r="AG1549">
        <v>12</v>
      </c>
      <c r="AH1549">
        <v>10</v>
      </c>
      <c r="AI1549" t="s">
        <v>95</v>
      </c>
      <c r="AK1549">
        <v>0</v>
      </c>
      <c r="AM1549">
        <v>0</v>
      </c>
      <c r="AP1549" t="s">
        <v>392</v>
      </c>
    </row>
    <row r="1550" spans="1:42" customFormat="1">
      <c r="A1550">
        <v>269138</v>
      </c>
      <c r="B1550" t="s">
        <v>2249</v>
      </c>
      <c r="C1550" t="s">
        <v>2250</v>
      </c>
      <c r="D1550" s="22">
        <v>0</v>
      </c>
      <c r="E1550" s="17">
        <v>42132</v>
      </c>
      <c r="F1550" s="18">
        <v>0.66666666666666663</v>
      </c>
      <c r="G1550" s="22">
        <v>1480.87</v>
      </c>
      <c r="H1550">
        <v>0</v>
      </c>
      <c r="I1550" s="19" t="e">
        <f>I1549 + (D1550-G1550)</f>
        <v>#VALUE!</v>
      </c>
      <c r="M1550">
        <v>123097</v>
      </c>
      <c r="N1550">
        <v>24</v>
      </c>
      <c r="O1550" t="s">
        <v>68</v>
      </c>
      <c r="P1550">
        <v>1</v>
      </c>
      <c r="R1550">
        <v>1578</v>
      </c>
      <c r="S1550" s="17">
        <v>42135</v>
      </c>
      <c r="T1550" s="17">
        <v>42135</v>
      </c>
      <c r="W1550">
        <v>2015</v>
      </c>
      <c r="X1550">
        <v>24</v>
      </c>
      <c r="AC1550" t="s">
        <v>106</v>
      </c>
      <c r="AD1550" t="s">
        <v>302</v>
      </c>
      <c r="AE1550" t="s">
        <v>46</v>
      </c>
      <c r="AG1550">
        <v>12</v>
      </c>
      <c r="AH1550">
        <v>10</v>
      </c>
      <c r="AI1550" t="s">
        <v>95</v>
      </c>
      <c r="AK1550">
        <v>0</v>
      </c>
      <c r="AM1550">
        <v>0</v>
      </c>
      <c r="AP1550" t="s">
        <v>392</v>
      </c>
    </row>
    <row r="1551" spans="1:42" customFormat="1">
      <c r="A1551">
        <v>269143</v>
      </c>
      <c r="B1551" t="s">
        <v>2251</v>
      </c>
      <c r="C1551" t="s">
        <v>2252</v>
      </c>
      <c r="D1551" s="22">
        <v>0</v>
      </c>
      <c r="E1551" s="17">
        <v>42132</v>
      </c>
      <c r="F1551" s="18">
        <v>0.66667824074074078</v>
      </c>
      <c r="G1551" s="22">
        <v>1480.86</v>
      </c>
      <c r="H1551">
        <v>0</v>
      </c>
      <c r="I1551" s="19" t="e">
        <f>I1550 + (D1551-G1551)</f>
        <v>#VALUE!</v>
      </c>
      <c r="M1551">
        <v>123080</v>
      </c>
      <c r="N1551">
        <v>24</v>
      </c>
      <c r="O1551" t="s">
        <v>68</v>
      </c>
      <c r="P1551">
        <v>1</v>
      </c>
      <c r="R1551">
        <v>1578</v>
      </c>
      <c r="S1551" s="17">
        <v>42135</v>
      </c>
      <c r="T1551" s="17">
        <v>42135</v>
      </c>
      <c r="W1551">
        <v>2015</v>
      </c>
      <c r="X1551">
        <v>24</v>
      </c>
      <c r="AC1551" t="s">
        <v>106</v>
      </c>
      <c r="AD1551" t="s">
        <v>302</v>
      </c>
      <c r="AE1551" t="s">
        <v>46</v>
      </c>
      <c r="AG1551">
        <v>12</v>
      </c>
      <c r="AH1551">
        <v>10</v>
      </c>
      <c r="AI1551" t="s">
        <v>95</v>
      </c>
      <c r="AK1551">
        <v>0</v>
      </c>
      <c r="AM1551">
        <v>0</v>
      </c>
      <c r="AP1551" t="s">
        <v>392</v>
      </c>
    </row>
    <row r="1552" spans="1:42" customFormat="1">
      <c r="A1552">
        <v>269144</v>
      </c>
      <c r="B1552" t="s">
        <v>2253</v>
      </c>
      <c r="C1552" t="s">
        <v>2254</v>
      </c>
      <c r="D1552" s="22">
        <v>0</v>
      </c>
      <c r="E1552" s="17">
        <v>42132</v>
      </c>
      <c r="F1552" s="18">
        <v>0.66667824074074078</v>
      </c>
      <c r="G1552" s="22">
        <v>1056.6199999999999</v>
      </c>
      <c r="H1552">
        <v>0</v>
      </c>
      <c r="I1552" s="19" t="e">
        <f>I1551 + (D1552-G1552)</f>
        <v>#VALUE!</v>
      </c>
      <c r="M1552">
        <v>123090</v>
      </c>
      <c r="N1552">
        <v>24</v>
      </c>
      <c r="O1552" t="s">
        <v>68</v>
      </c>
      <c r="P1552">
        <v>1</v>
      </c>
      <c r="R1552">
        <v>1578</v>
      </c>
      <c r="S1552" s="17">
        <v>42135</v>
      </c>
      <c r="T1552" s="17">
        <v>42135</v>
      </c>
      <c r="W1552">
        <v>2015</v>
      </c>
      <c r="X1552">
        <v>24</v>
      </c>
      <c r="AC1552" t="s">
        <v>106</v>
      </c>
      <c r="AD1552" t="s">
        <v>302</v>
      </c>
      <c r="AE1552" t="s">
        <v>46</v>
      </c>
      <c r="AG1552">
        <v>12</v>
      </c>
      <c r="AH1552">
        <v>10</v>
      </c>
      <c r="AI1552" t="s">
        <v>95</v>
      </c>
      <c r="AK1552">
        <v>0</v>
      </c>
      <c r="AM1552">
        <v>0</v>
      </c>
      <c r="AP1552" t="s">
        <v>392</v>
      </c>
    </row>
    <row r="1553" spans="1:42" customFormat="1">
      <c r="A1553">
        <v>269145</v>
      </c>
      <c r="B1553" t="s">
        <v>2255</v>
      </c>
      <c r="C1553" t="s">
        <v>2256</v>
      </c>
      <c r="D1553" s="22">
        <v>0</v>
      </c>
      <c r="E1553" s="17">
        <v>42132</v>
      </c>
      <c r="F1553" s="18">
        <v>0.66667824074074078</v>
      </c>
      <c r="G1553" s="22">
        <v>1480.86</v>
      </c>
      <c r="H1553">
        <v>0</v>
      </c>
      <c r="I1553" s="19" t="e">
        <f>I1552 + (D1553-G1553)</f>
        <v>#VALUE!</v>
      </c>
      <c r="M1553">
        <v>123081</v>
      </c>
      <c r="N1553">
        <v>24</v>
      </c>
      <c r="O1553" t="s">
        <v>68</v>
      </c>
      <c r="P1553">
        <v>1</v>
      </c>
      <c r="R1553">
        <v>1578</v>
      </c>
      <c r="S1553" s="17">
        <v>42135</v>
      </c>
      <c r="T1553" s="17">
        <v>42135</v>
      </c>
      <c r="W1553">
        <v>2015</v>
      </c>
      <c r="X1553">
        <v>24</v>
      </c>
      <c r="AC1553" t="s">
        <v>106</v>
      </c>
      <c r="AD1553" t="s">
        <v>302</v>
      </c>
      <c r="AE1553" t="s">
        <v>46</v>
      </c>
      <c r="AG1553">
        <v>12</v>
      </c>
      <c r="AH1553">
        <v>10</v>
      </c>
      <c r="AI1553" t="s">
        <v>95</v>
      </c>
      <c r="AK1553">
        <v>0</v>
      </c>
      <c r="AM1553">
        <v>0</v>
      </c>
      <c r="AP1553" t="s">
        <v>392</v>
      </c>
    </row>
    <row r="1554" spans="1:42" customFormat="1">
      <c r="A1554">
        <v>269146</v>
      </c>
      <c r="B1554" t="s">
        <v>2257</v>
      </c>
      <c r="C1554" t="s">
        <v>2258</v>
      </c>
      <c r="D1554" s="22">
        <v>0</v>
      </c>
      <c r="E1554" s="17">
        <v>42132</v>
      </c>
      <c r="F1554" s="18">
        <v>0.66667824074074078</v>
      </c>
      <c r="G1554" s="22">
        <v>1056.6199999999999</v>
      </c>
      <c r="H1554">
        <v>0</v>
      </c>
      <c r="I1554" s="19" t="e">
        <f>I1553 + (D1554-G1554)</f>
        <v>#VALUE!</v>
      </c>
      <c r="M1554">
        <v>123091</v>
      </c>
      <c r="N1554">
        <v>24</v>
      </c>
      <c r="O1554" t="s">
        <v>68</v>
      </c>
      <c r="P1554">
        <v>1</v>
      </c>
      <c r="R1554">
        <v>1578</v>
      </c>
      <c r="S1554" s="17">
        <v>42135</v>
      </c>
      <c r="T1554" s="17">
        <v>42135</v>
      </c>
      <c r="W1554">
        <v>2015</v>
      </c>
      <c r="X1554">
        <v>24</v>
      </c>
      <c r="AC1554" t="s">
        <v>106</v>
      </c>
      <c r="AD1554" t="s">
        <v>302</v>
      </c>
      <c r="AE1554" t="s">
        <v>46</v>
      </c>
      <c r="AG1554">
        <v>12</v>
      </c>
      <c r="AH1554">
        <v>10</v>
      </c>
      <c r="AI1554" t="s">
        <v>95</v>
      </c>
      <c r="AK1554">
        <v>0</v>
      </c>
      <c r="AM1554">
        <v>0</v>
      </c>
      <c r="AP1554" t="s">
        <v>392</v>
      </c>
    </row>
    <row r="1555" spans="1:42" customFormat="1">
      <c r="A1555">
        <v>269147</v>
      </c>
      <c r="B1555" t="s">
        <v>2259</v>
      </c>
      <c r="C1555" t="s">
        <v>2260</v>
      </c>
      <c r="D1555" s="22">
        <v>0</v>
      </c>
      <c r="E1555" s="17">
        <v>42132</v>
      </c>
      <c r="F1555" s="18">
        <v>0.66667824074074078</v>
      </c>
      <c r="G1555" s="22">
        <v>74.040000000000006</v>
      </c>
      <c r="H1555">
        <v>0</v>
      </c>
      <c r="I1555" s="19" t="e">
        <f>I1554 + (D1555-G1555)</f>
        <v>#VALUE!</v>
      </c>
      <c r="M1555">
        <v>123082</v>
      </c>
      <c r="N1555">
        <v>24</v>
      </c>
      <c r="O1555" t="s">
        <v>68</v>
      </c>
      <c r="P1555">
        <v>1</v>
      </c>
      <c r="R1555">
        <v>1578</v>
      </c>
      <c r="S1555" s="17">
        <v>42135</v>
      </c>
      <c r="T1555" s="17">
        <v>42135</v>
      </c>
      <c r="W1555">
        <v>2015</v>
      </c>
      <c r="X1555">
        <v>24</v>
      </c>
      <c r="AC1555" t="s">
        <v>106</v>
      </c>
      <c r="AD1555" t="s">
        <v>302</v>
      </c>
      <c r="AE1555" t="s">
        <v>46</v>
      </c>
      <c r="AG1555">
        <v>12</v>
      </c>
      <c r="AH1555">
        <v>10</v>
      </c>
      <c r="AI1555" t="s">
        <v>95</v>
      </c>
      <c r="AK1555">
        <v>0</v>
      </c>
      <c r="AM1555">
        <v>0</v>
      </c>
      <c r="AP1555" t="s">
        <v>392</v>
      </c>
    </row>
    <row r="1556" spans="1:42" customFormat="1">
      <c r="A1556">
        <v>269148</v>
      </c>
      <c r="B1556" t="s">
        <v>2261</v>
      </c>
      <c r="C1556" t="s">
        <v>2262</v>
      </c>
      <c r="D1556" s="22">
        <v>0</v>
      </c>
      <c r="E1556" s="17">
        <v>42132</v>
      </c>
      <c r="F1556" s="18">
        <v>0.66667824074074078</v>
      </c>
      <c r="G1556" s="22">
        <v>1056.6199999999999</v>
      </c>
      <c r="H1556">
        <v>0</v>
      </c>
      <c r="I1556" s="19" t="e">
        <f>I1555 + (D1556-G1556)</f>
        <v>#VALUE!</v>
      </c>
      <c r="M1556">
        <v>123092</v>
      </c>
      <c r="N1556">
        <v>24</v>
      </c>
      <c r="O1556" t="s">
        <v>68</v>
      </c>
      <c r="P1556">
        <v>1</v>
      </c>
      <c r="R1556">
        <v>1578</v>
      </c>
      <c r="S1556" s="17">
        <v>42135</v>
      </c>
      <c r="T1556" s="17">
        <v>42135</v>
      </c>
      <c r="W1556">
        <v>2015</v>
      </c>
      <c r="X1556">
        <v>24</v>
      </c>
      <c r="AC1556" t="s">
        <v>106</v>
      </c>
      <c r="AD1556" t="s">
        <v>302</v>
      </c>
      <c r="AE1556" t="s">
        <v>46</v>
      </c>
      <c r="AG1556">
        <v>12</v>
      </c>
      <c r="AH1556">
        <v>10</v>
      </c>
      <c r="AI1556" t="s">
        <v>95</v>
      </c>
      <c r="AK1556">
        <v>0</v>
      </c>
      <c r="AM1556">
        <v>0</v>
      </c>
      <c r="AP1556" t="s">
        <v>392</v>
      </c>
    </row>
    <row r="1557" spans="1:42" customFormat="1">
      <c r="A1557">
        <v>269149</v>
      </c>
      <c r="B1557" t="s">
        <v>2263</v>
      </c>
      <c r="C1557" t="s">
        <v>2264</v>
      </c>
      <c r="D1557" s="22">
        <v>0</v>
      </c>
      <c r="E1557" s="17">
        <v>42132</v>
      </c>
      <c r="F1557" s="18">
        <v>0.66667824074074078</v>
      </c>
      <c r="G1557" s="22">
        <v>1480.86</v>
      </c>
      <c r="H1557">
        <v>0</v>
      </c>
      <c r="I1557" s="19" t="e">
        <f>I1556 + (D1557-G1557)</f>
        <v>#VALUE!</v>
      </c>
      <c r="M1557">
        <v>123083</v>
      </c>
      <c r="N1557">
        <v>24</v>
      </c>
      <c r="O1557" t="s">
        <v>68</v>
      </c>
      <c r="P1557">
        <v>1</v>
      </c>
      <c r="R1557">
        <v>1578</v>
      </c>
      <c r="S1557" s="17">
        <v>42135</v>
      </c>
      <c r="T1557" s="17">
        <v>42135</v>
      </c>
      <c r="W1557">
        <v>2015</v>
      </c>
      <c r="X1557">
        <v>24</v>
      </c>
      <c r="AC1557" t="s">
        <v>106</v>
      </c>
      <c r="AD1557" t="s">
        <v>302</v>
      </c>
      <c r="AE1557" t="s">
        <v>46</v>
      </c>
      <c r="AG1557">
        <v>12</v>
      </c>
      <c r="AH1557">
        <v>10</v>
      </c>
      <c r="AI1557" t="s">
        <v>95</v>
      </c>
      <c r="AK1557">
        <v>0</v>
      </c>
      <c r="AM1557">
        <v>0</v>
      </c>
      <c r="AP1557" t="s">
        <v>392</v>
      </c>
    </row>
    <row r="1558" spans="1:42" customFormat="1">
      <c r="A1558">
        <v>269150</v>
      </c>
      <c r="B1558" t="s">
        <v>2265</v>
      </c>
      <c r="C1558" t="s">
        <v>2266</v>
      </c>
      <c r="D1558" s="22">
        <v>0</v>
      </c>
      <c r="E1558" s="17">
        <v>42132</v>
      </c>
      <c r="F1558" s="18">
        <v>0.66667824074074078</v>
      </c>
      <c r="G1558" s="22">
        <v>1056.6199999999999</v>
      </c>
      <c r="H1558">
        <v>0</v>
      </c>
      <c r="I1558" s="19" t="e">
        <f>I1557 + (D1558-G1558)</f>
        <v>#VALUE!</v>
      </c>
      <c r="M1558">
        <v>123093</v>
      </c>
      <c r="N1558">
        <v>24</v>
      </c>
      <c r="O1558" t="s">
        <v>68</v>
      </c>
      <c r="P1558">
        <v>1</v>
      </c>
      <c r="R1558">
        <v>1578</v>
      </c>
      <c r="S1558" s="17">
        <v>42135</v>
      </c>
      <c r="T1558" s="17">
        <v>42135</v>
      </c>
      <c r="W1558">
        <v>2015</v>
      </c>
      <c r="X1558">
        <v>24</v>
      </c>
      <c r="AC1558" t="s">
        <v>106</v>
      </c>
      <c r="AD1558" t="s">
        <v>302</v>
      </c>
      <c r="AE1558" t="s">
        <v>46</v>
      </c>
      <c r="AG1558">
        <v>12</v>
      </c>
      <c r="AH1558">
        <v>10</v>
      </c>
      <c r="AI1558" t="s">
        <v>95</v>
      </c>
      <c r="AK1558">
        <v>0</v>
      </c>
      <c r="AM1558">
        <v>0</v>
      </c>
      <c r="AP1558" t="s">
        <v>392</v>
      </c>
    </row>
    <row r="1559" spans="1:42" customFormat="1">
      <c r="A1559">
        <v>269151</v>
      </c>
      <c r="B1559" t="s">
        <v>2267</v>
      </c>
      <c r="C1559" t="s">
        <v>2268</v>
      </c>
      <c r="D1559" s="22">
        <v>0</v>
      </c>
      <c r="E1559" s="17">
        <v>42132</v>
      </c>
      <c r="F1559" s="18">
        <v>0.66667824074074078</v>
      </c>
      <c r="G1559" s="22">
        <v>1480.86</v>
      </c>
      <c r="H1559">
        <v>0</v>
      </c>
      <c r="I1559" s="19" t="e">
        <f>I1558 + (D1559-G1559)</f>
        <v>#VALUE!</v>
      </c>
      <c r="M1559">
        <v>123084</v>
      </c>
      <c r="N1559">
        <v>24</v>
      </c>
      <c r="O1559" t="s">
        <v>68</v>
      </c>
      <c r="P1559">
        <v>1</v>
      </c>
      <c r="R1559">
        <v>1578</v>
      </c>
      <c r="S1559" s="17">
        <v>42135</v>
      </c>
      <c r="T1559" s="17">
        <v>42135</v>
      </c>
      <c r="W1559">
        <v>2015</v>
      </c>
      <c r="X1559">
        <v>24</v>
      </c>
      <c r="AC1559" t="s">
        <v>106</v>
      </c>
      <c r="AD1559" t="s">
        <v>302</v>
      </c>
      <c r="AE1559" t="s">
        <v>46</v>
      </c>
      <c r="AG1559">
        <v>12</v>
      </c>
      <c r="AH1559">
        <v>10</v>
      </c>
      <c r="AI1559" t="s">
        <v>95</v>
      </c>
      <c r="AK1559">
        <v>0</v>
      </c>
      <c r="AM1559">
        <v>0</v>
      </c>
      <c r="AP1559" t="s">
        <v>392</v>
      </c>
    </row>
    <row r="1560" spans="1:42" customFormat="1">
      <c r="A1560">
        <v>269152</v>
      </c>
      <c r="B1560" t="s">
        <v>2269</v>
      </c>
      <c r="C1560" t="s">
        <v>2270</v>
      </c>
      <c r="D1560" s="22">
        <v>0</v>
      </c>
      <c r="E1560" s="17">
        <v>42132</v>
      </c>
      <c r="F1560" s="18">
        <v>0.66667824074074078</v>
      </c>
      <c r="G1560" s="22">
        <v>1056.6199999999999</v>
      </c>
      <c r="H1560">
        <v>0</v>
      </c>
      <c r="I1560" s="19" t="e">
        <f>I1559 + (D1560-G1560)</f>
        <v>#VALUE!</v>
      </c>
      <c r="M1560">
        <v>123094</v>
      </c>
      <c r="N1560">
        <v>24</v>
      </c>
      <c r="O1560" t="s">
        <v>68</v>
      </c>
      <c r="P1560">
        <v>1</v>
      </c>
      <c r="R1560">
        <v>1578</v>
      </c>
      <c r="S1560" s="17">
        <v>42135</v>
      </c>
      <c r="T1560" s="17">
        <v>42135</v>
      </c>
      <c r="W1560">
        <v>2015</v>
      </c>
      <c r="X1560">
        <v>24</v>
      </c>
      <c r="AC1560" t="s">
        <v>106</v>
      </c>
      <c r="AD1560" t="s">
        <v>302</v>
      </c>
      <c r="AE1560" t="s">
        <v>46</v>
      </c>
      <c r="AG1560">
        <v>12</v>
      </c>
      <c r="AH1560">
        <v>10</v>
      </c>
      <c r="AI1560" t="s">
        <v>95</v>
      </c>
      <c r="AK1560">
        <v>0</v>
      </c>
      <c r="AM1560">
        <v>0</v>
      </c>
      <c r="AP1560" t="s">
        <v>392</v>
      </c>
    </row>
    <row r="1561" spans="1:42" customFormat="1">
      <c r="A1561">
        <v>269153</v>
      </c>
      <c r="B1561" t="s">
        <v>2271</v>
      </c>
      <c r="C1561" t="s">
        <v>2272</v>
      </c>
      <c r="D1561" s="22">
        <v>0</v>
      </c>
      <c r="E1561" s="17">
        <v>42132</v>
      </c>
      <c r="F1561" s="18">
        <v>0.66667824074074078</v>
      </c>
      <c r="G1561" s="22">
        <v>1480.86</v>
      </c>
      <c r="H1561">
        <v>0</v>
      </c>
      <c r="I1561" s="19" t="e">
        <f>I1560 + (D1561-G1561)</f>
        <v>#VALUE!</v>
      </c>
      <c r="M1561">
        <v>123085</v>
      </c>
      <c r="N1561">
        <v>24</v>
      </c>
      <c r="O1561" t="s">
        <v>68</v>
      </c>
      <c r="P1561">
        <v>1</v>
      </c>
      <c r="R1561">
        <v>1578</v>
      </c>
      <c r="S1561" s="17">
        <v>42135</v>
      </c>
      <c r="T1561" s="17">
        <v>42135</v>
      </c>
      <c r="W1561">
        <v>2015</v>
      </c>
      <c r="X1561">
        <v>24</v>
      </c>
      <c r="AC1561" t="s">
        <v>106</v>
      </c>
      <c r="AD1561" t="s">
        <v>302</v>
      </c>
      <c r="AE1561" t="s">
        <v>46</v>
      </c>
      <c r="AG1561">
        <v>12</v>
      </c>
      <c r="AH1561">
        <v>10</v>
      </c>
      <c r="AI1561" t="s">
        <v>95</v>
      </c>
      <c r="AK1561">
        <v>0</v>
      </c>
      <c r="AM1561">
        <v>0</v>
      </c>
      <c r="AP1561" t="s">
        <v>392</v>
      </c>
    </row>
    <row r="1562" spans="1:42" customFormat="1">
      <c r="A1562">
        <v>269154</v>
      </c>
      <c r="B1562" t="s">
        <v>2273</v>
      </c>
      <c r="C1562" t="s">
        <v>2274</v>
      </c>
      <c r="D1562" s="22">
        <v>0</v>
      </c>
      <c r="E1562" s="17">
        <v>42132</v>
      </c>
      <c r="F1562" s="18">
        <v>0.66667824074074078</v>
      </c>
      <c r="G1562" s="22">
        <v>98.47</v>
      </c>
      <c r="H1562">
        <v>0</v>
      </c>
      <c r="I1562" s="19" t="e">
        <f>I1561 + (D1562-G1562)</f>
        <v>#VALUE!</v>
      </c>
      <c r="M1562">
        <v>123095</v>
      </c>
      <c r="N1562">
        <v>24</v>
      </c>
      <c r="O1562" t="s">
        <v>68</v>
      </c>
      <c r="P1562">
        <v>1</v>
      </c>
      <c r="R1562">
        <v>1578</v>
      </c>
      <c r="S1562" s="17">
        <v>42135</v>
      </c>
      <c r="T1562" s="17">
        <v>42135</v>
      </c>
      <c r="W1562">
        <v>2015</v>
      </c>
      <c r="X1562">
        <v>24</v>
      </c>
      <c r="AC1562" t="s">
        <v>106</v>
      </c>
      <c r="AD1562" t="s">
        <v>302</v>
      </c>
      <c r="AE1562" t="s">
        <v>46</v>
      </c>
      <c r="AG1562">
        <v>12</v>
      </c>
      <c r="AH1562">
        <v>10</v>
      </c>
      <c r="AI1562" t="s">
        <v>95</v>
      </c>
      <c r="AK1562">
        <v>0</v>
      </c>
      <c r="AM1562">
        <v>0</v>
      </c>
      <c r="AP1562" t="s">
        <v>392</v>
      </c>
    </row>
    <row r="1563" spans="1:42" customFormat="1">
      <c r="A1563">
        <v>269155</v>
      </c>
      <c r="B1563" t="s">
        <v>2275</v>
      </c>
      <c r="C1563" t="s">
        <v>2276</v>
      </c>
      <c r="D1563" s="22">
        <v>0</v>
      </c>
      <c r="E1563" s="17">
        <v>42132</v>
      </c>
      <c r="F1563" s="18">
        <v>0.66667824074074078</v>
      </c>
      <c r="G1563" s="22">
        <v>1480.86</v>
      </c>
      <c r="H1563">
        <v>0</v>
      </c>
      <c r="I1563" s="19" t="e">
        <f>I1562 + (D1563-G1563)</f>
        <v>#VALUE!</v>
      </c>
      <c r="M1563">
        <v>123086</v>
      </c>
      <c r="N1563">
        <v>24</v>
      </c>
      <c r="O1563" t="s">
        <v>68</v>
      </c>
      <c r="P1563">
        <v>1</v>
      </c>
      <c r="R1563">
        <v>1578</v>
      </c>
      <c r="S1563" s="17">
        <v>42135</v>
      </c>
      <c r="T1563" s="17">
        <v>42135</v>
      </c>
      <c r="W1563">
        <v>2015</v>
      </c>
      <c r="X1563">
        <v>24</v>
      </c>
      <c r="AC1563" t="s">
        <v>106</v>
      </c>
      <c r="AD1563" t="s">
        <v>302</v>
      </c>
      <c r="AE1563" t="s">
        <v>46</v>
      </c>
      <c r="AG1563">
        <v>12</v>
      </c>
      <c r="AH1563">
        <v>10</v>
      </c>
      <c r="AI1563" t="s">
        <v>95</v>
      </c>
      <c r="AK1563">
        <v>0</v>
      </c>
      <c r="AM1563">
        <v>0</v>
      </c>
      <c r="AP1563" t="s">
        <v>392</v>
      </c>
    </row>
    <row r="1564" spans="1:42" customFormat="1">
      <c r="A1564">
        <v>269139</v>
      </c>
      <c r="B1564" t="s">
        <v>2277</v>
      </c>
      <c r="C1564" t="s">
        <v>2278</v>
      </c>
      <c r="D1564" s="22">
        <v>0</v>
      </c>
      <c r="E1564" s="17">
        <v>42132</v>
      </c>
      <c r="F1564" s="18">
        <v>0.66667824074074078</v>
      </c>
      <c r="G1564" s="22">
        <v>568.70000000000005</v>
      </c>
      <c r="H1564">
        <v>0</v>
      </c>
      <c r="I1564" s="19" t="e">
        <f>I1563 + (D1564-G1564)</f>
        <v>#VALUE!</v>
      </c>
      <c r="M1564">
        <v>123078</v>
      </c>
      <c r="N1564">
        <v>24</v>
      </c>
      <c r="O1564" t="s">
        <v>68</v>
      </c>
      <c r="P1564">
        <v>1</v>
      </c>
      <c r="R1564">
        <v>1578</v>
      </c>
      <c r="S1564" s="17">
        <v>42135</v>
      </c>
      <c r="T1564" s="17">
        <v>42135</v>
      </c>
      <c r="W1564">
        <v>2015</v>
      </c>
      <c r="X1564">
        <v>24</v>
      </c>
      <c r="AC1564" t="s">
        <v>106</v>
      </c>
      <c r="AD1564" t="s">
        <v>302</v>
      </c>
      <c r="AE1564" t="s">
        <v>46</v>
      </c>
      <c r="AG1564">
        <v>12</v>
      </c>
      <c r="AH1564">
        <v>10</v>
      </c>
      <c r="AI1564" t="s">
        <v>95</v>
      </c>
      <c r="AK1564">
        <v>0</v>
      </c>
      <c r="AM1564">
        <v>0</v>
      </c>
      <c r="AP1564" t="s">
        <v>392</v>
      </c>
    </row>
    <row r="1565" spans="1:42" customFormat="1">
      <c r="A1565">
        <v>269140</v>
      </c>
      <c r="B1565" t="s">
        <v>2279</v>
      </c>
      <c r="C1565" t="s">
        <v>2280</v>
      </c>
      <c r="D1565" s="22">
        <v>0</v>
      </c>
      <c r="E1565" s="17">
        <v>42132</v>
      </c>
      <c r="F1565" s="18">
        <v>0.66667824074074078</v>
      </c>
      <c r="G1565" s="22">
        <v>1480.86</v>
      </c>
      <c r="H1565">
        <v>0</v>
      </c>
      <c r="I1565" s="19" t="e">
        <f>I1564 + (D1565-G1565)</f>
        <v>#VALUE!</v>
      </c>
      <c r="M1565">
        <v>123088</v>
      </c>
      <c r="N1565">
        <v>24</v>
      </c>
      <c r="O1565" t="s">
        <v>68</v>
      </c>
      <c r="P1565">
        <v>1</v>
      </c>
      <c r="R1565">
        <v>1578</v>
      </c>
      <c r="S1565" s="17">
        <v>42135</v>
      </c>
      <c r="T1565" s="17">
        <v>42135</v>
      </c>
      <c r="W1565">
        <v>2015</v>
      </c>
      <c r="X1565">
        <v>24</v>
      </c>
      <c r="AC1565" t="s">
        <v>106</v>
      </c>
      <c r="AD1565" t="s">
        <v>302</v>
      </c>
      <c r="AE1565" t="s">
        <v>46</v>
      </c>
      <c r="AG1565">
        <v>12</v>
      </c>
      <c r="AH1565">
        <v>10</v>
      </c>
      <c r="AI1565" t="s">
        <v>95</v>
      </c>
      <c r="AK1565">
        <v>0</v>
      </c>
      <c r="AM1565">
        <v>0</v>
      </c>
      <c r="AP1565" t="s">
        <v>392</v>
      </c>
    </row>
    <row r="1566" spans="1:42" customFormat="1">
      <c r="A1566">
        <v>269141</v>
      </c>
      <c r="B1566" t="s">
        <v>2281</v>
      </c>
      <c r="C1566" t="s">
        <v>2282</v>
      </c>
      <c r="D1566" s="22">
        <v>0</v>
      </c>
      <c r="E1566" s="17">
        <v>42132</v>
      </c>
      <c r="F1566" s="18">
        <v>0.66667824074074078</v>
      </c>
      <c r="G1566" s="22">
        <v>1480.86</v>
      </c>
      <c r="H1566">
        <v>0</v>
      </c>
      <c r="I1566" s="19" t="e">
        <f>I1565 + (D1566-G1566)</f>
        <v>#VALUE!</v>
      </c>
      <c r="M1566">
        <v>123079</v>
      </c>
      <c r="N1566">
        <v>24</v>
      </c>
      <c r="O1566" t="s">
        <v>68</v>
      </c>
      <c r="P1566">
        <v>1</v>
      </c>
      <c r="R1566">
        <v>1578</v>
      </c>
      <c r="S1566" s="17">
        <v>42135</v>
      </c>
      <c r="T1566" s="17">
        <v>42135</v>
      </c>
      <c r="W1566">
        <v>2015</v>
      </c>
      <c r="X1566">
        <v>24</v>
      </c>
      <c r="AC1566" t="s">
        <v>106</v>
      </c>
      <c r="AD1566" t="s">
        <v>302</v>
      </c>
      <c r="AE1566" t="s">
        <v>46</v>
      </c>
      <c r="AG1566">
        <v>12</v>
      </c>
      <c r="AH1566">
        <v>10</v>
      </c>
      <c r="AI1566" t="s">
        <v>95</v>
      </c>
      <c r="AK1566">
        <v>0</v>
      </c>
      <c r="AM1566">
        <v>0</v>
      </c>
      <c r="AP1566" t="s">
        <v>392</v>
      </c>
    </row>
    <row r="1567" spans="1:42" customFormat="1">
      <c r="A1567">
        <v>269142</v>
      </c>
      <c r="B1567" t="s">
        <v>2283</v>
      </c>
      <c r="C1567" t="s">
        <v>2284</v>
      </c>
      <c r="D1567" s="22">
        <v>0</v>
      </c>
      <c r="E1567" s="17">
        <v>42132</v>
      </c>
      <c r="F1567" s="18">
        <v>0.66667824074074078</v>
      </c>
      <c r="G1567" s="22">
        <v>1056.6199999999999</v>
      </c>
      <c r="H1567">
        <v>0</v>
      </c>
      <c r="I1567" s="19" t="e">
        <f>I1566 + (D1567-G1567)</f>
        <v>#VALUE!</v>
      </c>
      <c r="M1567">
        <v>123089</v>
      </c>
      <c r="N1567">
        <v>24</v>
      </c>
      <c r="O1567" t="s">
        <v>68</v>
      </c>
      <c r="P1567">
        <v>1</v>
      </c>
      <c r="R1567">
        <v>1578</v>
      </c>
      <c r="S1567" s="17">
        <v>42135</v>
      </c>
      <c r="T1567" s="17">
        <v>42135</v>
      </c>
      <c r="W1567">
        <v>2015</v>
      </c>
      <c r="X1567">
        <v>24</v>
      </c>
      <c r="AC1567" t="s">
        <v>106</v>
      </c>
      <c r="AD1567" t="s">
        <v>302</v>
      </c>
      <c r="AE1567" t="s">
        <v>46</v>
      </c>
      <c r="AG1567">
        <v>12</v>
      </c>
      <c r="AH1567">
        <v>10</v>
      </c>
      <c r="AI1567" t="s">
        <v>95</v>
      </c>
      <c r="AK1567">
        <v>0</v>
      </c>
      <c r="AM1567">
        <v>0</v>
      </c>
      <c r="AP1567" t="s">
        <v>392</v>
      </c>
    </row>
    <row r="1568" spans="1:42" customFormat="1">
      <c r="A1568">
        <v>269156</v>
      </c>
      <c r="B1568" t="s">
        <v>2285</v>
      </c>
      <c r="C1568" t="s">
        <v>2286</v>
      </c>
      <c r="D1568" s="22">
        <v>0</v>
      </c>
      <c r="E1568" s="17">
        <v>42132</v>
      </c>
      <c r="F1568" s="18">
        <v>0.66668981481481471</v>
      </c>
      <c r="G1568" s="22">
        <v>1480.87</v>
      </c>
      <c r="H1568">
        <v>0</v>
      </c>
      <c r="I1568" s="19" t="e">
        <f>I1567 + (D1568-G1568)</f>
        <v>#VALUE!</v>
      </c>
      <c r="M1568">
        <v>123096</v>
      </c>
      <c r="N1568">
        <v>24</v>
      </c>
      <c r="O1568" t="s">
        <v>68</v>
      </c>
      <c r="P1568">
        <v>1</v>
      </c>
      <c r="R1568">
        <v>1578</v>
      </c>
      <c r="S1568" s="17">
        <v>42135</v>
      </c>
      <c r="T1568" s="17">
        <v>42135</v>
      </c>
      <c r="W1568">
        <v>2015</v>
      </c>
      <c r="X1568">
        <v>24</v>
      </c>
      <c r="AC1568" t="s">
        <v>106</v>
      </c>
      <c r="AD1568" t="s">
        <v>302</v>
      </c>
      <c r="AE1568" t="s">
        <v>46</v>
      </c>
      <c r="AG1568">
        <v>12</v>
      </c>
      <c r="AH1568">
        <v>10</v>
      </c>
      <c r="AI1568" t="s">
        <v>95</v>
      </c>
      <c r="AK1568">
        <v>0</v>
      </c>
      <c r="AM1568">
        <v>0</v>
      </c>
      <c r="AP1568" t="s">
        <v>392</v>
      </c>
    </row>
    <row r="1569" spans="1:42" customFormat="1">
      <c r="A1569">
        <v>269215</v>
      </c>
      <c r="B1569" t="s">
        <v>2295</v>
      </c>
      <c r="C1569" t="s">
        <v>2296</v>
      </c>
      <c r="D1569" s="22">
        <v>0</v>
      </c>
      <c r="E1569" s="17">
        <v>42132</v>
      </c>
      <c r="F1569" s="18">
        <v>0.68590277777777775</v>
      </c>
      <c r="G1569" s="22">
        <v>1480.87</v>
      </c>
      <c r="H1569">
        <v>0</v>
      </c>
      <c r="I1569" s="19" t="e">
        <f>I1568 + (D1569-G1569)</f>
        <v>#VALUE!</v>
      </c>
      <c r="M1569">
        <v>123100</v>
      </c>
      <c r="N1569">
        <v>24</v>
      </c>
      <c r="O1569" t="s">
        <v>68</v>
      </c>
      <c r="P1569">
        <v>1</v>
      </c>
      <c r="R1569">
        <v>1578</v>
      </c>
      <c r="S1569" s="17">
        <v>42135</v>
      </c>
      <c r="T1569" s="17">
        <v>42135</v>
      </c>
      <c r="W1569">
        <v>2015</v>
      </c>
      <c r="X1569">
        <v>24</v>
      </c>
      <c r="AC1569" t="s">
        <v>106</v>
      </c>
      <c r="AD1569" t="s">
        <v>302</v>
      </c>
      <c r="AE1569" t="s">
        <v>46</v>
      </c>
      <c r="AG1569">
        <v>12</v>
      </c>
      <c r="AH1569">
        <v>10</v>
      </c>
      <c r="AI1569" t="s">
        <v>95</v>
      </c>
      <c r="AK1569">
        <v>0</v>
      </c>
      <c r="AM1569">
        <v>0</v>
      </c>
      <c r="AP1569" t="s">
        <v>392</v>
      </c>
    </row>
    <row r="1570" spans="1:42" customFormat="1">
      <c r="A1570">
        <v>269216</v>
      </c>
      <c r="B1570" t="s">
        <v>2297</v>
      </c>
      <c r="C1570" t="s">
        <v>2298</v>
      </c>
      <c r="D1570" s="22">
        <v>0</v>
      </c>
      <c r="E1570" s="17">
        <v>42132</v>
      </c>
      <c r="F1570" s="18">
        <v>0.68590277777777775</v>
      </c>
      <c r="G1570" s="22">
        <v>1733.23</v>
      </c>
      <c r="H1570">
        <v>0</v>
      </c>
      <c r="I1570" s="19" t="e">
        <f>I1569 + (D1570-G1570)</f>
        <v>#VALUE!</v>
      </c>
      <c r="M1570">
        <v>123110</v>
      </c>
      <c r="N1570">
        <v>24</v>
      </c>
      <c r="O1570" t="s">
        <v>68</v>
      </c>
      <c r="P1570">
        <v>1</v>
      </c>
      <c r="R1570">
        <v>1578</v>
      </c>
      <c r="S1570" s="17">
        <v>42135</v>
      </c>
      <c r="T1570" s="17">
        <v>42135</v>
      </c>
      <c r="W1570">
        <v>2015</v>
      </c>
      <c r="X1570">
        <v>24</v>
      </c>
      <c r="AC1570" t="s">
        <v>106</v>
      </c>
      <c r="AD1570" t="s">
        <v>302</v>
      </c>
      <c r="AE1570" t="s">
        <v>46</v>
      </c>
      <c r="AG1570">
        <v>12</v>
      </c>
      <c r="AH1570">
        <v>10</v>
      </c>
      <c r="AI1570" t="s">
        <v>95</v>
      </c>
      <c r="AK1570">
        <v>0</v>
      </c>
      <c r="AM1570">
        <v>0</v>
      </c>
      <c r="AP1570" t="s">
        <v>392</v>
      </c>
    </row>
    <row r="1571" spans="1:42" customFormat="1">
      <c r="A1571">
        <v>269217</v>
      </c>
      <c r="B1571" t="s">
        <v>2299</v>
      </c>
      <c r="C1571" t="s">
        <v>2300</v>
      </c>
      <c r="D1571" s="22">
        <v>0</v>
      </c>
      <c r="E1571" s="17">
        <v>42132</v>
      </c>
      <c r="F1571" s="18">
        <v>0.68590277777777775</v>
      </c>
      <c r="G1571" s="22">
        <v>1480.87</v>
      </c>
      <c r="H1571">
        <v>0</v>
      </c>
      <c r="I1571" s="19" t="e">
        <f>I1570 + (D1571-G1571)</f>
        <v>#VALUE!</v>
      </c>
      <c r="M1571">
        <v>123101</v>
      </c>
      <c r="N1571">
        <v>24</v>
      </c>
      <c r="O1571" t="s">
        <v>68</v>
      </c>
      <c r="P1571">
        <v>1</v>
      </c>
      <c r="R1571">
        <v>1578</v>
      </c>
      <c r="S1571" s="17">
        <v>42135</v>
      </c>
      <c r="T1571" s="17">
        <v>42135</v>
      </c>
      <c r="W1571">
        <v>2015</v>
      </c>
      <c r="X1571">
        <v>24</v>
      </c>
      <c r="AC1571" t="s">
        <v>106</v>
      </c>
      <c r="AD1571" t="s">
        <v>302</v>
      </c>
      <c r="AE1571" t="s">
        <v>46</v>
      </c>
      <c r="AG1571">
        <v>12</v>
      </c>
      <c r="AH1571">
        <v>10</v>
      </c>
      <c r="AI1571" t="s">
        <v>95</v>
      </c>
      <c r="AK1571">
        <v>0</v>
      </c>
      <c r="AM1571">
        <v>0</v>
      </c>
      <c r="AP1571" t="s">
        <v>392</v>
      </c>
    </row>
    <row r="1572" spans="1:42" customFormat="1">
      <c r="A1572">
        <v>269210</v>
      </c>
      <c r="B1572" t="s">
        <v>2301</v>
      </c>
      <c r="C1572" t="s">
        <v>2302</v>
      </c>
      <c r="D1572" s="22">
        <v>0</v>
      </c>
      <c r="E1572" s="17">
        <v>42132</v>
      </c>
      <c r="F1572" s="18">
        <v>0.68590277777777775</v>
      </c>
      <c r="G1572" s="22">
        <v>52.83</v>
      </c>
      <c r="H1572">
        <v>0</v>
      </c>
      <c r="I1572" s="19" t="e">
        <f>I1571 + (D1572-G1572)</f>
        <v>#VALUE!</v>
      </c>
      <c r="M1572">
        <v>123107</v>
      </c>
      <c r="N1572">
        <v>24</v>
      </c>
      <c r="O1572" t="s">
        <v>68</v>
      </c>
      <c r="P1572">
        <v>1</v>
      </c>
      <c r="R1572">
        <v>1578</v>
      </c>
      <c r="S1572" s="17">
        <v>42135</v>
      </c>
      <c r="T1572" s="17">
        <v>42135</v>
      </c>
      <c r="W1572">
        <v>2015</v>
      </c>
      <c r="X1572">
        <v>24</v>
      </c>
      <c r="AC1572" t="s">
        <v>106</v>
      </c>
      <c r="AD1572" t="s">
        <v>302</v>
      </c>
      <c r="AE1572" t="s">
        <v>46</v>
      </c>
      <c r="AG1572">
        <v>12</v>
      </c>
      <c r="AH1572">
        <v>10</v>
      </c>
      <c r="AI1572" t="s">
        <v>95</v>
      </c>
      <c r="AK1572">
        <v>0</v>
      </c>
      <c r="AM1572">
        <v>0</v>
      </c>
      <c r="AP1572" t="s">
        <v>392</v>
      </c>
    </row>
    <row r="1573" spans="1:42" customFormat="1">
      <c r="A1573">
        <v>269212</v>
      </c>
      <c r="B1573" t="s">
        <v>2303</v>
      </c>
      <c r="C1573" t="s">
        <v>2304</v>
      </c>
      <c r="D1573" s="22">
        <v>0</v>
      </c>
      <c r="E1573" s="17">
        <v>42132</v>
      </c>
      <c r="F1573" s="18">
        <v>0.68590277777777775</v>
      </c>
      <c r="G1573" s="22">
        <v>1056.6199999999999</v>
      </c>
      <c r="H1573">
        <v>0</v>
      </c>
      <c r="I1573" s="19" t="e">
        <f>I1572 + (D1573-G1573)</f>
        <v>#VALUE!</v>
      </c>
      <c r="M1573">
        <v>123108</v>
      </c>
      <c r="N1573">
        <v>24</v>
      </c>
      <c r="O1573" t="s">
        <v>68</v>
      </c>
      <c r="P1573">
        <v>1</v>
      </c>
      <c r="R1573">
        <v>1578</v>
      </c>
      <c r="S1573" s="17">
        <v>42135</v>
      </c>
      <c r="T1573" s="17">
        <v>42135</v>
      </c>
      <c r="W1573">
        <v>2015</v>
      </c>
      <c r="X1573">
        <v>24</v>
      </c>
      <c r="AC1573" t="s">
        <v>106</v>
      </c>
      <c r="AD1573" t="s">
        <v>302</v>
      </c>
      <c r="AE1573" t="s">
        <v>46</v>
      </c>
      <c r="AG1573">
        <v>12</v>
      </c>
      <c r="AH1573">
        <v>10</v>
      </c>
      <c r="AI1573" t="s">
        <v>95</v>
      </c>
      <c r="AK1573">
        <v>0</v>
      </c>
      <c r="AM1573">
        <v>0</v>
      </c>
      <c r="AP1573" t="s">
        <v>392</v>
      </c>
    </row>
    <row r="1574" spans="1:42" customFormat="1">
      <c r="A1574">
        <v>269211</v>
      </c>
      <c r="B1574" t="s">
        <v>2305</v>
      </c>
      <c r="C1574" t="s">
        <v>2306</v>
      </c>
      <c r="D1574" s="22">
        <v>0</v>
      </c>
      <c r="E1574" s="17">
        <v>42132</v>
      </c>
      <c r="F1574" s="18">
        <v>0.68590277777777775</v>
      </c>
      <c r="G1574" s="22">
        <v>1480.87</v>
      </c>
      <c r="H1574">
        <v>0</v>
      </c>
      <c r="I1574" s="19" t="e">
        <f>I1573 + (D1574-G1574)</f>
        <v>#VALUE!</v>
      </c>
      <c r="M1574">
        <v>123098</v>
      </c>
      <c r="N1574">
        <v>24</v>
      </c>
      <c r="O1574" t="s">
        <v>68</v>
      </c>
      <c r="P1574">
        <v>1</v>
      </c>
      <c r="R1574">
        <v>1578</v>
      </c>
      <c r="S1574" s="17">
        <v>42135</v>
      </c>
      <c r="T1574" s="17">
        <v>42135</v>
      </c>
      <c r="W1574">
        <v>2015</v>
      </c>
      <c r="X1574">
        <v>24</v>
      </c>
      <c r="AC1574" t="s">
        <v>106</v>
      </c>
      <c r="AD1574" t="s">
        <v>302</v>
      </c>
      <c r="AE1574" t="s">
        <v>46</v>
      </c>
      <c r="AG1574">
        <v>12</v>
      </c>
      <c r="AH1574">
        <v>10</v>
      </c>
      <c r="AI1574" t="s">
        <v>95</v>
      </c>
      <c r="AK1574">
        <v>0</v>
      </c>
      <c r="AM1574">
        <v>0</v>
      </c>
      <c r="AP1574" t="s">
        <v>392</v>
      </c>
    </row>
    <row r="1575" spans="1:42" customFormat="1">
      <c r="A1575">
        <v>269214</v>
      </c>
      <c r="B1575" t="s">
        <v>2307</v>
      </c>
      <c r="C1575" t="s">
        <v>2308</v>
      </c>
      <c r="D1575" s="22">
        <v>0</v>
      </c>
      <c r="E1575" s="17">
        <v>42132</v>
      </c>
      <c r="F1575" s="18">
        <v>0.68590277777777775</v>
      </c>
      <c r="G1575" s="22">
        <v>1733.23</v>
      </c>
      <c r="H1575">
        <v>0</v>
      </c>
      <c r="I1575" s="19" t="e">
        <f>I1574 + (D1575-G1575)</f>
        <v>#VALUE!</v>
      </c>
      <c r="M1575">
        <v>123109</v>
      </c>
      <c r="N1575">
        <v>24</v>
      </c>
      <c r="O1575" t="s">
        <v>68</v>
      </c>
      <c r="P1575">
        <v>1</v>
      </c>
      <c r="R1575">
        <v>1578</v>
      </c>
      <c r="S1575" s="17">
        <v>42135</v>
      </c>
      <c r="T1575" s="17">
        <v>42135</v>
      </c>
      <c r="W1575">
        <v>2015</v>
      </c>
      <c r="X1575">
        <v>24</v>
      </c>
      <c r="AC1575" t="s">
        <v>106</v>
      </c>
      <c r="AD1575" t="s">
        <v>302</v>
      </c>
      <c r="AE1575" t="s">
        <v>46</v>
      </c>
      <c r="AG1575">
        <v>12</v>
      </c>
      <c r="AH1575">
        <v>10</v>
      </c>
      <c r="AI1575" t="s">
        <v>95</v>
      </c>
      <c r="AK1575">
        <v>0</v>
      </c>
      <c r="AM1575">
        <v>0</v>
      </c>
      <c r="AP1575" t="s">
        <v>392</v>
      </c>
    </row>
    <row r="1576" spans="1:42" customFormat="1">
      <c r="A1576">
        <v>269213</v>
      </c>
      <c r="B1576" t="s">
        <v>2309</v>
      </c>
      <c r="C1576" t="s">
        <v>2310</v>
      </c>
      <c r="D1576" s="22">
        <v>0</v>
      </c>
      <c r="E1576" s="17">
        <v>42132</v>
      </c>
      <c r="F1576" s="18">
        <v>0.68590277777777775</v>
      </c>
      <c r="G1576" s="22">
        <v>1480.87</v>
      </c>
      <c r="H1576">
        <v>0</v>
      </c>
      <c r="I1576" s="19" t="e">
        <f>I1575 + (D1576-G1576)</f>
        <v>#VALUE!</v>
      </c>
      <c r="M1576">
        <v>123099</v>
      </c>
      <c r="N1576">
        <v>24</v>
      </c>
      <c r="O1576" t="s">
        <v>68</v>
      </c>
      <c r="P1576">
        <v>1</v>
      </c>
      <c r="R1576">
        <v>1578</v>
      </c>
      <c r="S1576" s="17">
        <v>42135</v>
      </c>
      <c r="T1576" s="17">
        <v>42135</v>
      </c>
      <c r="W1576">
        <v>2015</v>
      </c>
      <c r="X1576">
        <v>24</v>
      </c>
      <c r="AC1576" t="s">
        <v>106</v>
      </c>
      <c r="AD1576" t="s">
        <v>302</v>
      </c>
      <c r="AE1576" t="s">
        <v>46</v>
      </c>
      <c r="AG1576">
        <v>12</v>
      </c>
      <c r="AH1576">
        <v>10</v>
      </c>
      <c r="AI1576" t="s">
        <v>95</v>
      </c>
      <c r="AK1576">
        <v>0</v>
      </c>
      <c r="AM1576">
        <v>0</v>
      </c>
      <c r="AP1576" t="s">
        <v>392</v>
      </c>
    </row>
    <row r="1577" spans="1:42" customFormat="1">
      <c r="A1577">
        <v>269218</v>
      </c>
      <c r="B1577" t="s">
        <v>2311</v>
      </c>
      <c r="C1577" t="s">
        <v>2312</v>
      </c>
      <c r="D1577" s="22">
        <v>0</v>
      </c>
      <c r="E1577" s="17">
        <v>42132</v>
      </c>
      <c r="F1577" s="18">
        <v>0.6859143518518519</v>
      </c>
      <c r="G1577" s="22">
        <v>1733.23</v>
      </c>
      <c r="H1577">
        <v>0</v>
      </c>
      <c r="I1577" s="19" t="e">
        <f>I1576 + (D1577-G1577)</f>
        <v>#VALUE!</v>
      </c>
      <c r="M1577">
        <v>123111</v>
      </c>
      <c r="N1577">
        <v>24</v>
      </c>
      <c r="O1577" t="s">
        <v>68</v>
      </c>
      <c r="P1577">
        <v>1</v>
      </c>
      <c r="R1577">
        <v>1578</v>
      </c>
      <c r="S1577" s="17">
        <v>42135</v>
      </c>
      <c r="T1577" s="17">
        <v>42135</v>
      </c>
      <c r="W1577">
        <v>2015</v>
      </c>
      <c r="X1577">
        <v>24</v>
      </c>
      <c r="AC1577" t="s">
        <v>106</v>
      </c>
      <c r="AD1577" t="s">
        <v>302</v>
      </c>
      <c r="AE1577" t="s">
        <v>46</v>
      </c>
      <c r="AG1577">
        <v>12</v>
      </c>
      <c r="AH1577">
        <v>10</v>
      </c>
      <c r="AI1577" t="s">
        <v>95</v>
      </c>
      <c r="AK1577">
        <v>0</v>
      </c>
      <c r="AM1577">
        <v>0</v>
      </c>
      <c r="AP1577" t="s">
        <v>392</v>
      </c>
    </row>
    <row r="1578" spans="1:42" customFormat="1">
      <c r="A1578">
        <v>269219</v>
      </c>
      <c r="B1578" t="s">
        <v>2313</v>
      </c>
      <c r="C1578" t="s">
        <v>2314</v>
      </c>
      <c r="D1578" s="22">
        <v>0</v>
      </c>
      <c r="E1578" s="17">
        <v>42132</v>
      </c>
      <c r="F1578" s="18">
        <v>0.6859143518518519</v>
      </c>
      <c r="G1578" s="22">
        <v>1480.87</v>
      </c>
      <c r="H1578">
        <v>0</v>
      </c>
      <c r="I1578" s="19" t="e">
        <f>I1577 + (D1578-G1578)</f>
        <v>#VALUE!</v>
      </c>
      <c r="M1578">
        <v>123102</v>
      </c>
      <c r="N1578">
        <v>24</v>
      </c>
      <c r="O1578" t="s">
        <v>68</v>
      </c>
      <c r="P1578">
        <v>1</v>
      </c>
      <c r="R1578">
        <v>1578</v>
      </c>
      <c r="S1578" s="17">
        <v>42135</v>
      </c>
      <c r="T1578" s="17">
        <v>42135</v>
      </c>
      <c r="W1578">
        <v>2015</v>
      </c>
      <c r="X1578">
        <v>24</v>
      </c>
      <c r="AC1578" t="s">
        <v>106</v>
      </c>
      <c r="AD1578" t="s">
        <v>302</v>
      </c>
      <c r="AE1578" t="s">
        <v>46</v>
      </c>
      <c r="AG1578">
        <v>12</v>
      </c>
      <c r="AH1578">
        <v>10</v>
      </c>
      <c r="AI1578" t="s">
        <v>95</v>
      </c>
      <c r="AK1578">
        <v>0</v>
      </c>
      <c r="AM1578">
        <v>0</v>
      </c>
      <c r="AP1578" t="s">
        <v>392</v>
      </c>
    </row>
    <row r="1579" spans="1:42" customFormat="1">
      <c r="A1579">
        <v>269220</v>
      </c>
      <c r="B1579" t="s">
        <v>2315</v>
      </c>
      <c r="C1579" t="s">
        <v>2316</v>
      </c>
      <c r="D1579" s="22">
        <v>0</v>
      </c>
      <c r="E1579" s="17">
        <v>42132</v>
      </c>
      <c r="F1579" s="18">
        <v>0.6859143518518519</v>
      </c>
      <c r="G1579" s="22">
        <v>173.32</v>
      </c>
      <c r="H1579">
        <v>0</v>
      </c>
      <c r="I1579" s="19" t="e">
        <f>I1578 + (D1579-G1579)</f>
        <v>#VALUE!</v>
      </c>
      <c r="M1579">
        <v>123112</v>
      </c>
      <c r="N1579">
        <v>24</v>
      </c>
      <c r="O1579" t="s">
        <v>68</v>
      </c>
      <c r="P1579">
        <v>1</v>
      </c>
      <c r="R1579">
        <v>1578</v>
      </c>
      <c r="S1579" s="17">
        <v>42135</v>
      </c>
      <c r="T1579" s="17">
        <v>42135</v>
      </c>
      <c r="W1579">
        <v>2015</v>
      </c>
      <c r="X1579">
        <v>24</v>
      </c>
      <c r="AC1579" t="s">
        <v>106</v>
      </c>
      <c r="AD1579" t="s">
        <v>302</v>
      </c>
      <c r="AE1579" t="s">
        <v>46</v>
      </c>
      <c r="AG1579">
        <v>12</v>
      </c>
      <c r="AH1579">
        <v>10</v>
      </c>
      <c r="AI1579" t="s">
        <v>95</v>
      </c>
      <c r="AK1579">
        <v>0</v>
      </c>
      <c r="AM1579">
        <v>0</v>
      </c>
      <c r="AP1579" t="s">
        <v>392</v>
      </c>
    </row>
    <row r="1580" spans="1:42" customFormat="1">
      <c r="A1580">
        <v>269221</v>
      </c>
      <c r="B1580" t="s">
        <v>2317</v>
      </c>
      <c r="C1580" t="s">
        <v>2318</v>
      </c>
      <c r="D1580" s="22">
        <v>0</v>
      </c>
      <c r="E1580" s="17">
        <v>42132</v>
      </c>
      <c r="F1580" s="18">
        <v>0.6859143518518519</v>
      </c>
      <c r="G1580" s="22">
        <v>1158.32</v>
      </c>
      <c r="H1580">
        <v>0</v>
      </c>
      <c r="I1580" s="19" t="e">
        <f>I1579 + (D1580-G1580)</f>
        <v>#VALUE!</v>
      </c>
      <c r="M1580">
        <v>123103</v>
      </c>
      <c r="N1580">
        <v>24</v>
      </c>
      <c r="O1580" t="s">
        <v>68</v>
      </c>
      <c r="P1580">
        <v>1</v>
      </c>
      <c r="R1580">
        <v>1578</v>
      </c>
      <c r="S1580" s="17">
        <v>42135</v>
      </c>
      <c r="T1580" s="17">
        <v>42135</v>
      </c>
      <c r="W1580">
        <v>2015</v>
      </c>
      <c r="X1580">
        <v>24</v>
      </c>
      <c r="AC1580" t="s">
        <v>106</v>
      </c>
      <c r="AD1580" t="s">
        <v>302</v>
      </c>
      <c r="AE1580" t="s">
        <v>46</v>
      </c>
      <c r="AG1580">
        <v>12</v>
      </c>
      <c r="AH1580">
        <v>10</v>
      </c>
      <c r="AI1580" t="s">
        <v>95</v>
      </c>
      <c r="AK1580">
        <v>0</v>
      </c>
      <c r="AM1580">
        <v>0</v>
      </c>
      <c r="AP1580" t="s">
        <v>392</v>
      </c>
    </row>
    <row r="1581" spans="1:42" customFormat="1">
      <c r="A1581">
        <v>269222</v>
      </c>
      <c r="B1581" t="s">
        <v>2319</v>
      </c>
      <c r="C1581" t="s">
        <v>2320</v>
      </c>
      <c r="D1581" s="22">
        <v>0</v>
      </c>
      <c r="E1581" s="17">
        <v>42132</v>
      </c>
      <c r="F1581" s="18">
        <v>0.6859143518518519</v>
      </c>
      <c r="G1581" s="22">
        <v>1733.23</v>
      </c>
      <c r="H1581">
        <v>0</v>
      </c>
      <c r="I1581" s="19" t="e">
        <f>I1580 + (D1581-G1581)</f>
        <v>#VALUE!</v>
      </c>
      <c r="M1581">
        <v>123113</v>
      </c>
      <c r="N1581">
        <v>24</v>
      </c>
      <c r="O1581" t="s">
        <v>68</v>
      </c>
      <c r="P1581">
        <v>1</v>
      </c>
      <c r="R1581">
        <v>1578</v>
      </c>
      <c r="S1581" s="17">
        <v>42135</v>
      </c>
      <c r="T1581" s="17">
        <v>42135</v>
      </c>
      <c r="W1581">
        <v>2015</v>
      </c>
      <c r="X1581">
        <v>24</v>
      </c>
      <c r="AC1581" t="s">
        <v>106</v>
      </c>
      <c r="AD1581" t="s">
        <v>302</v>
      </c>
      <c r="AE1581" t="s">
        <v>46</v>
      </c>
      <c r="AG1581">
        <v>12</v>
      </c>
      <c r="AH1581">
        <v>10</v>
      </c>
      <c r="AI1581" t="s">
        <v>95</v>
      </c>
      <c r="AK1581">
        <v>0</v>
      </c>
      <c r="AM1581">
        <v>0</v>
      </c>
      <c r="AP1581" t="s">
        <v>392</v>
      </c>
    </row>
    <row r="1582" spans="1:42" customFormat="1">
      <c r="A1582">
        <v>269223</v>
      </c>
      <c r="B1582" t="s">
        <v>2321</v>
      </c>
      <c r="C1582" t="s">
        <v>2322</v>
      </c>
      <c r="D1582" s="22">
        <v>0</v>
      </c>
      <c r="E1582" s="17">
        <v>42132</v>
      </c>
      <c r="F1582" s="18">
        <v>0.6859143518518519</v>
      </c>
      <c r="G1582" s="22">
        <v>1480.86</v>
      </c>
      <c r="H1582">
        <v>0</v>
      </c>
      <c r="I1582" s="19" t="e">
        <f>I1581 + (D1582-G1582)</f>
        <v>#VALUE!</v>
      </c>
      <c r="M1582">
        <v>123104</v>
      </c>
      <c r="N1582">
        <v>24</v>
      </c>
      <c r="O1582" t="s">
        <v>68</v>
      </c>
      <c r="P1582">
        <v>1</v>
      </c>
      <c r="R1582">
        <v>1578</v>
      </c>
      <c r="S1582" s="17">
        <v>42135</v>
      </c>
      <c r="T1582" s="17">
        <v>42135</v>
      </c>
      <c r="W1582">
        <v>2015</v>
      </c>
      <c r="X1582">
        <v>24</v>
      </c>
      <c r="AC1582" t="s">
        <v>106</v>
      </c>
      <c r="AD1582" t="s">
        <v>302</v>
      </c>
      <c r="AE1582" t="s">
        <v>46</v>
      </c>
      <c r="AG1582">
        <v>12</v>
      </c>
      <c r="AH1582">
        <v>10</v>
      </c>
      <c r="AI1582" t="s">
        <v>95</v>
      </c>
      <c r="AK1582">
        <v>0</v>
      </c>
      <c r="AM1582">
        <v>0</v>
      </c>
      <c r="AP1582" t="s">
        <v>392</v>
      </c>
    </row>
    <row r="1583" spans="1:42" customFormat="1">
      <c r="A1583">
        <v>269224</v>
      </c>
      <c r="B1583" t="s">
        <v>2323</v>
      </c>
      <c r="C1583" t="s">
        <v>2324</v>
      </c>
      <c r="D1583" s="22">
        <v>0</v>
      </c>
      <c r="E1583" s="17">
        <v>42132</v>
      </c>
      <c r="F1583" s="18">
        <v>0.6859143518518519</v>
      </c>
      <c r="G1583" s="22">
        <v>86.65</v>
      </c>
      <c r="H1583">
        <v>0</v>
      </c>
      <c r="I1583" s="19" t="e">
        <f>I1582 + (D1583-G1583)</f>
        <v>#VALUE!</v>
      </c>
      <c r="M1583">
        <v>123114</v>
      </c>
      <c r="N1583">
        <v>24</v>
      </c>
      <c r="O1583" t="s">
        <v>68</v>
      </c>
      <c r="P1583">
        <v>1</v>
      </c>
      <c r="R1583">
        <v>1578</v>
      </c>
      <c r="S1583" s="17">
        <v>42135</v>
      </c>
      <c r="T1583" s="17">
        <v>42135</v>
      </c>
      <c r="W1583">
        <v>2015</v>
      </c>
      <c r="X1583">
        <v>24</v>
      </c>
      <c r="AC1583" t="s">
        <v>106</v>
      </c>
      <c r="AD1583" t="s">
        <v>302</v>
      </c>
      <c r="AE1583" t="s">
        <v>46</v>
      </c>
      <c r="AG1583">
        <v>12</v>
      </c>
      <c r="AH1583">
        <v>10</v>
      </c>
      <c r="AI1583" t="s">
        <v>95</v>
      </c>
      <c r="AK1583">
        <v>0</v>
      </c>
      <c r="AM1583">
        <v>0</v>
      </c>
      <c r="AP1583" t="s">
        <v>392</v>
      </c>
    </row>
    <row r="1584" spans="1:42" customFormat="1">
      <c r="A1584">
        <v>269225</v>
      </c>
      <c r="B1584" t="s">
        <v>2325</v>
      </c>
      <c r="C1584" t="s">
        <v>2326</v>
      </c>
      <c r="D1584" s="22">
        <v>0</v>
      </c>
      <c r="E1584" s="17">
        <v>42132</v>
      </c>
      <c r="F1584" s="18">
        <v>0.6859143518518519</v>
      </c>
      <c r="G1584" s="22">
        <v>1056.6199999999999</v>
      </c>
      <c r="H1584">
        <v>0</v>
      </c>
      <c r="I1584" s="19" t="e">
        <f>I1583 + (D1584-G1584)</f>
        <v>#VALUE!</v>
      </c>
      <c r="M1584">
        <v>123105</v>
      </c>
      <c r="N1584">
        <v>24</v>
      </c>
      <c r="O1584" t="s">
        <v>68</v>
      </c>
      <c r="P1584">
        <v>1</v>
      </c>
      <c r="R1584">
        <v>1578</v>
      </c>
      <c r="S1584" s="17">
        <v>42135</v>
      </c>
      <c r="T1584" s="17">
        <v>42135</v>
      </c>
      <c r="W1584">
        <v>2015</v>
      </c>
      <c r="X1584">
        <v>24</v>
      </c>
      <c r="AC1584" t="s">
        <v>106</v>
      </c>
      <c r="AD1584" t="s">
        <v>302</v>
      </c>
      <c r="AE1584" t="s">
        <v>46</v>
      </c>
      <c r="AG1584">
        <v>12</v>
      </c>
      <c r="AH1584">
        <v>10</v>
      </c>
      <c r="AI1584" t="s">
        <v>95</v>
      </c>
      <c r="AK1584">
        <v>0</v>
      </c>
      <c r="AM1584">
        <v>0</v>
      </c>
      <c r="AP1584" t="s">
        <v>392</v>
      </c>
    </row>
    <row r="1585" spans="1:42" customFormat="1">
      <c r="A1585">
        <v>269226</v>
      </c>
      <c r="B1585" t="s">
        <v>2327</v>
      </c>
      <c r="C1585" t="s">
        <v>2328</v>
      </c>
      <c r="D1585" s="22">
        <v>0</v>
      </c>
      <c r="E1585" s="17">
        <v>42132</v>
      </c>
      <c r="F1585" s="18">
        <v>0.6859143518518519</v>
      </c>
      <c r="G1585" s="22">
        <v>173.32</v>
      </c>
      <c r="H1585">
        <v>0</v>
      </c>
      <c r="I1585" s="19" t="e">
        <f>I1584 + (D1585-G1585)</f>
        <v>#VALUE!</v>
      </c>
      <c r="M1585">
        <v>123115</v>
      </c>
      <c r="N1585">
        <v>24</v>
      </c>
      <c r="O1585" t="s">
        <v>68</v>
      </c>
      <c r="P1585">
        <v>1</v>
      </c>
      <c r="R1585">
        <v>1578</v>
      </c>
      <c r="S1585" s="17">
        <v>42135</v>
      </c>
      <c r="T1585" s="17">
        <v>42135</v>
      </c>
      <c r="W1585">
        <v>2015</v>
      </c>
      <c r="X1585">
        <v>24</v>
      </c>
      <c r="AC1585" t="s">
        <v>106</v>
      </c>
      <c r="AD1585" t="s">
        <v>302</v>
      </c>
      <c r="AE1585" t="s">
        <v>46</v>
      </c>
      <c r="AG1585">
        <v>12</v>
      </c>
      <c r="AH1585">
        <v>10</v>
      </c>
      <c r="AI1585" t="s">
        <v>95</v>
      </c>
      <c r="AK1585">
        <v>0</v>
      </c>
      <c r="AM1585">
        <v>0</v>
      </c>
      <c r="AP1585" t="s">
        <v>392</v>
      </c>
    </row>
    <row r="1586" spans="1:42" customFormat="1">
      <c r="A1586">
        <v>269227</v>
      </c>
      <c r="B1586" t="s">
        <v>2329</v>
      </c>
      <c r="C1586" t="s">
        <v>2330</v>
      </c>
      <c r="D1586" s="22">
        <v>0</v>
      </c>
      <c r="E1586" s="17">
        <v>42132</v>
      </c>
      <c r="F1586" s="18">
        <v>0.6859143518518519</v>
      </c>
      <c r="G1586" s="22">
        <v>1056.6199999999999</v>
      </c>
      <c r="H1586">
        <v>0</v>
      </c>
      <c r="I1586" s="19" t="e">
        <f>I1585 + (D1586-G1586)</f>
        <v>#VALUE!</v>
      </c>
      <c r="M1586">
        <v>123106</v>
      </c>
      <c r="N1586">
        <v>24</v>
      </c>
      <c r="O1586" t="s">
        <v>68</v>
      </c>
      <c r="P1586">
        <v>1</v>
      </c>
      <c r="R1586">
        <v>1578</v>
      </c>
      <c r="S1586" s="17">
        <v>42135</v>
      </c>
      <c r="T1586" s="17">
        <v>42135</v>
      </c>
      <c r="W1586">
        <v>2015</v>
      </c>
      <c r="X1586">
        <v>24</v>
      </c>
      <c r="AC1586" t="s">
        <v>106</v>
      </c>
      <c r="AD1586" t="s">
        <v>302</v>
      </c>
      <c r="AE1586" t="s">
        <v>46</v>
      </c>
      <c r="AG1586">
        <v>12</v>
      </c>
      <c r="AH1586">
        <v>10</v>
      </c>
      <c r="AI1586" t="s">
        <v>95</v>
      </c>
      <c r="AK1586">
        <v>0</v>
      </c>
      <c r="AM1586">
        <v>0</v>
      </c>
      <c r="AP1586" t="s">
        <v>392</v>
      </c>
    </row>
    <row r="1587" spans="1:42" customFormat="1">
      <c r="A1587">
        <v>269228</v>
      </c>
      <c r="B1587" t="s">
        <v>2331</v>
      </c>
      <c r="C1587" t="s">
        <v>2332</v>
      </c>
      <c r="D1587" s="22">
        <v>0</v>
      </c>
      <c r="E1587" s="17">
        <v>42132</v>
      </c>
      <c r="F1587" s="18">
        <v>0.68592592592592594</v>
      </c>
      <c r="G1587" s="22">
        <v>86.65</v>
      </c>
      <c r="H1587">
        <v>0</v>
      </c>
      <c r="I1587" s="19" t="e">
        <f>I1586 + (D1587-G1587)</f>
        <v>#VALUE!</v>
      </c>
      <c r="M1587">
        <v>123116</v>
      </c>
      <c r="N1587">
        <v>24</v>
      </c>
      <c r="O1587" t="s">
        <v>68</v>
      </c>
      <c r="P1587">
        <v>1</v>
      </c>
      <c r="R1587">
        <v>1578</v>
      </c>
      <c r="S1587" s="17">
        <v>42135</v>
      </c>
      <c r="T1587" s="17">
        <v>42135</v>
      </c>
      <c r="W1587">
        <v>2015</v>
      </c>
      <c r="X1587">
        <v>24</v>
      </c>
      <c r="AC1587" t="s">
        <v>106</v>
      </c>
      <c r="AD1587" t="s">
        <v>302</v>
      </c>
      <c r="AE1587" t="s">
        <v>46</v>
      </c>
      <c r="AG1587">
        <v>12</v>
      </c>
      <c r="AH1587">
        <v>10</v>
      </c>
      <c r="AI1587" t="s">
        <v>95</v>
      </c>
      <c r="AK1587">
        <v>0</v>
      </c>
      <c r="AM1587">
        <v>0</v>
      </c>
      <c r="AP1587" t="s">
        <v>392</v>
      </c>
    </row>
    <row r="1588" spans="1:42" customFormat="1">
      <c r="A1588">
        <v>269900</v>
      </c>
      <c r="B1588" t="s">
        <v>2504</v>
      </c>
      <c r="C1588" t="s">
        <v>2505</v>
      </c>
      <c r="D1588" s="22">
        <v>0</v>
      </c>
      <c r="E1588" s="17">
        <v>42135</v>
      </c>
      <c r="F1588" s="18">
        <v>0.44145833333333334</v>
      </c>
      <c r="G1588" s="22">
        <v>1473</v>
      </c>
      <c r="H1588">
        <v>0</v>
      </c>
      <c r="I1588" s="19" t="e">
        <f>I1587 + (D1588-G1588)</f>
        <v>#VALUE!</v>
      </c>
      <c r="M1588">
        <v>123300</v>
      </c>
      <c r="N1588">
        <v>24</v>
      </c>
      <c r="O1588" t="s">
        <v>68</v>
      </c>
      <c r="P1588">
        <v>1</v>
      </c>
      <c r="R1588">
        <v>1578</v>
      </c>
      <c r="S1588" s="17">
        <v>42138</v>
      </c>
      <c r="T1588" s="17">
        <v>42138</v>
      </c>
      <c r="W1588">
        <v>2015</v>
      </c>
      <c r="X1588">
        <v>24</v>
      </c>
      <c r="AC1588" t="s">
        <v>106</v>
      </c>
      <c r="AD1588" t="s">
        <v>302</v>
      </c>
      <c r="AE1588" t="s">
        <v>46</v>
      </c>
      <c r="AG1588">
        <v>12</v>
      </c>
      <c r="AH1588">
        <v>10</v>
      </c>
      <c r="AI1588" t="s">
        <v>95</v>
      </c>
      <c r="AK1588">
        <v>0</v>
      </c>
      <c r="AM1588">
        <v>0</v>
      </c>
      <c r="AP1588" t="s">
        <v>392</v>
      </c>
    </row>
    <row r="1589" spans="1:42" customFormat="1">
      <c r="A1589">
        <v>269901</v>
      </c>
      <c r="B1589" t="s">
        <v>2506</v>
      </c>
      <c r="C1589" t="s">
        <v>2507</v>
      </c>
      <c r="D1589" s="22">
        <v>0</v>
      </c>
      <c r="E1589" s="17">
        <v>42135</v>
      </c>
      <c r="F1589" s="18">
        <v>0.44145833333333334</v>
      </c>
      <c r="G1589" s="22">
        <v>1724</v>
      </c>
      <c r="H1589">
        <v>0</v>
      </c>
      <c r="I1589" s="19" t="e">
        <f>I1588 + (D1589-G1589)</f>
        <v>#VALUE!</v>
      </c>
      <c r="M1589">
        <v>123301</v>
      </c>
      <c r="N1589">
        <v>24</v>
      </c>
      <c r="O1589" t="s">
        <v>68</v>
      </c>
      <c r="P1589">
        <v>1</v>
      </c>
      <c r="R1589">
        <v>1578</v>
      </c>
      <c r="S1589" s="17">
        <v>42138</v>
      </c>
      <c r="T1589" s="17">
        <v>42138</v>
      </c>
      <c r="W1589">
        <v>2015</v>
      </c>
      <c r="X1589">
        <v>24</v>
      </c>
      <c r="AC1589" t="s">
        <v>106</v>
      </c>
      <c r="AD1589" t="s">
        <v>302</v>
      </c>
      <c r="AE1589" t="s">
        <v>46</v>
      </c>
      <c r="AG1589">
        <v>12</v>
      </c>
      <c r="AH1589">
        <v>10</v>
      </c>
      <c r="AI1589" t="s">
        <v>95</v>
      </c>
      <c r="AK1589">
        <v>0</v>
      </c>
      <c r="AM1589">
        <v>0</v>
      </c>
      <c r="AP1589" t="s">
        <v>392</v>
      </c>
    </row>
    <row r="1590" spans="1:42" customFormat="1">
      <c r="A1590">
        <v>269902</v>
      </c>
      <c r="B1590" t="s">
        <v>2508</v>
      </c>
      <c r="C1590" t="s">
        <v>2509</v>
      </c>
      <c r="D1590" s="22">
        <v>0</v>
      </c>
      <c r="E1590" s="17">
        <v>42135</v>
      </c>
      <c r="F1590" s="18">
        <v>0.44145833333333334</v>
      </c>
      <c r="G1590" s="22">
        <v>998.45</v>
      </c>
      <c r="H1590">
        <v>0</v>
      </c>
      <c r="I1590" s="19" t="e">
        <f>I1589 + (D1590-G1590)</f>
        <v>#VALUE!</v>
      </c>
      <c r="M1590">
        <v>123302</v>
      </c>
      <c r="N1590">
        <v>24</v>
      </c>
      <c r="O1590" t="s">
        <v>68</v>
      </c>
      <c r="P1590">
        <v>1</v>
      </c>
      <c r="R1590">
        <v>1578</v>
      </c>
      <c r="S1590" s="17">
        <v>42138</v>
      </c>
      <c r="T1590" s="17">
        <v>42138</v>
      </c>
      <c r="W1590">
        <v>2015</v>
      </c>
      <c r="X1590">
        <v>24</v>
      </c>
      <c r="AC1590" t="s">
        <v>106</v>
      </c>
      <c r="AD1590" t="s">
        <v>302</v>
      </c>
      <c r="AE1590" t="s">
        <v>46</v>
      </c>
      <c r="AG1590">
        <v>12</v>
      </c>
      <c r="AH1590">
        <v>10</v>
      </c>
      <c r="AI1590" t="s">
        <v>95</v>
      </c>
      <c r="AK1590">
        <v>0</v>
      </c>
      <c r="AM1590">
        <v>0</v>
      </c>
      <c r="AP1590" t="s">
        <v>392</v>
      </c>
    </row>
    <row r="1591" spans="1:42" customFormat="1">
      <c r="A1591">
        <v>269897</v>
      </c>
      <c r="B1591" t="s">
        <v>2510</v>
      </c>
      <c r="C1591" t="s">
        <v>2511</v>
      </c>
      <c r="D1591" s="22">
        <v>0</v>
      </c>
      <c r="E1591" s="17">
        <v>42135</v>
      </c>
      <c r="F1591" s="18">
        <v>0.44145833333333334</v>
      </c>
      <c r="G1591" s="22">
        <v>1051</v>
      </c>
      <c r="H1591">
        <v>0</v>
      </c>
      <c r="I1591" s="19" t="e">
        <f>I1590 + (D1591-G1591)</f>
        <v>#VALUE!</v>
      </c>
      <c r="M1591">
        <v>123297</v>
      </c>
      <c r="N1591">
        <v>24</v>
      </c>
      <c r="O1591" t="s">
        <v>68</v>
      </c>
      <c r="P1591">
        <v>1</v>
      </c>
      <c r="R1591">
        <v>1578</v>
      </c>
      <c r="S1591" s="17">
        <v>42138</v>
      </c>
      <c r="T1591" s="17">
        <v>42138</v>
      </c>
      <c r="W1591">
        <v>2015</v>
      </c>
      <c r="X1591">
        <v>24</v>
      </c>
      <c r="AC1591" t="s">
        <v>106</v>
      </c>
      <c r="AD1591" t="s">
        <v>302</v>
      </c>
      <c r="AE1591" t="s">
        <v>46</v>
      </c>
      <c r="AG1591">
        <v>12</v>
      </c>
      <c r="AH1591">
        <v>10</v>
      </c>
      <c r="AI1591" t="s">
        <v>95</v>
      </c>
      <c r="AK1591">
        <v>0</v>
      </c>
      <c r="AM1591">
        <v>0</v>
      </c>
      <c r="AP1591" t="s">
        <v>392</v>
      </c>
    </row>
    <row r="1592" spans="1:42" customFormat="1">
      <c r="A1592">
        <v>269898</v>
      </c>
      <c r="B1592" t="s">
        <v>2512</v>
      </c>
      <c r="C1592" t="s">
        <v>2513</v>
      </c>
      <c r="D1592" s="22">
        <v>0</v>
      </c>
      <c r="E1592" s="17">
        <v>42135</v>
      </c>
      <c r="F1592" s="18">
        <v>0.44145833333333334</v>
      </c>
      <c r="G1592" s="22">
        <v>1473</v>
      </c>
      <c r="H1592">
        <v>0</v>
      </c>
      <c r="I1592" s="19" t="e">
        <f>I1591 + (D1592-G1592)</f>
        <v>#VALUE!</v>
      </c>
      <c r="M1592">
        <v>123298</v>
      </c>
      <c r="N1592">
        <v>24</v>
      </c>
      <c r="O1592" t="s">
        <v>68</v>
      </c>
      <c r="P1592">
        <v>1</v>
      </c>
      <c r="R1592">
        <v>1578</v>
      </c>
      <c r="S1592" s="17">
        <v>42138</v>
      </c>
      <c r="T1592" s="17">
        <v>42138</v>
      </c>
      <c r="W1592">
        <v>2015</v>
      </c>
      <c r="X1592">
        <v>24</v>
      </c>
      <c r="AC1592" t="s">
        <v>106</v>
      </c>
      <c r="AD1592" t="s">
        <v>302</v>
      </c>
      <c r="AE1592" t="s">
        <v>46</v>
      </c>
      <c r="AG1592">
        <v>12</v>
      </c>
      <c r="AH1592">
        <v>10</v>
      </c>
      <c r="AI1592" t="s">
        <v>95</v>
      </c>
      <c r="AK1592">
        <v>0</v>
      </c>
      <c r="AM1592">
        <v>0</v>
      </c>
      <c r="AP1592" t="s">
        <v>392</v>
      </c>
    </row>
    <row r="1593" spans="1:42" customFormat="1">
      <c r="A1593">
        <v>269899</v>
      </c>
      <c r="B1593" t="s">
        <v>2514</v>
      </c>
      <c r="C1593" t="s">
        <v>2515</v>
      </c>
      <c r="D1593" s="22">
        <v>0</v>
      </c>
      <c r="E1593" s="17">
        <v>42135</v>
      </c>
      <c r="F1593" s="18">
        <v>0.44145833333333334</v>
      </c>
      <c r="G1593" s="22">
        <v>1473</v>
      </c>
      <c r="H1593">
        <v>0</v>
      </c>
      <c r="I1593" s="19" t="e">
        <f>I1592 + (D1593-G1593)</f>
        <v>#VALUE!</v>
      </c>
      <c r="M1593">
        <v>123299</v>
      </c>
      <c r="N1593">
        <v>24</v>
      </c>
      <c r="O1593" t="s">
        <v>68</v>
      </c>
      <c r="P1593">
        <v>1</v>
      </c>
      <c r="R1593">
        <v>1578</v>
      </c>
      <c r="S1593" s="17">
        <v>42138</v>
      </c>
      <c r="T1593" s="17">
        <v>42138</v>
      </c>
      <c r="W1593">
        <v>2015</v>
      </c>
      <c r="X1593">
        <v>24</v>
      </c>
      <c r="AC1593" t="s">
        <v>106</v>
      </c>
      <c r="AD1593" t="s">
        <v>302</v>
      </c>
      <c r="AE1593" t="s">
        <v>46</v>
      </c>
      <c r="AG1593">
        <v>12</v>
      </c>
      <c r="AH1593">
        <v>10</v>
      </c>
      <c r="AI1593" t="s">
        <v>95</v>
      </c>
      <c r="AK1593">
        <v>0</v>
      </c>
      <c r="AM1593">
        <v>0</v>
      </c>
      <c r="AP1593" t="s">
        <v>392</v>
      </c>
    </row>
    <row r="1594" spans="1:42" customFormat="1">
      <c r="A1594">
        <v>269909</v>
      </c>
      <c r="B1594" t="s">
        <v>2906</v>
      </c>
      <c r="C1594" t="s">
        <v>2907</v>
      </c>
      <c r="D1594" s="22">
        <v>0</v>
      </c>
      <c r="E1594" s="17">
        <v>42136</v>
      </c>
      <c r="F1594" s="18">
        <v>0.45370370370370372</v>
      </c>
      <c r="G1594" s="22">
        <v>1637.8</v>
      </c>
      <c r="H1594">
        <v>0</v>
      </c>
      <c r="I1594" s="19" t="e">
        <f>I1593 + (D1594-G1594)</f>
        <v>#VALUE!</v>
      </c>
      <c r="M1594">
        <v>123305</v>
      </c>
      <c r="N1594">
        <v>24</v>
      </c>
      <c r="O1594" t="s">
        <v>68</v>
      </c>
      <c r="P1594">
        <v>1</v>
      </c>
      <c r="R1594">
        <v>1578</v>
      </c>
      <c r="S1594" s="17">
        <v>42138</v>
      </c>
      <c r="T1594" s="17">
        <v>42138</v>
      </c>
      <c r="W1594">
        <v>2015</v>
      </c>
      <c r="X1594">
        <v>24</v>
      </c>
      <c r="AC1594" t="s">
        <v>106</v>
      </c>
      <c r="AD1594" t="s">
        <v>302</v>
      </c>
      <c r="AE1594" t="s">
        <v>46</v>
      </c>
      <c r="AG1594">
        <v>12</v>
      </c>
      <c r="AH1594">
        <v>10</v>
      </c>
      <c r="AI1594" t="s">
        <v>95</v>
      </c>
      <c r="AK1594">
        <v>0</v>
      </c>
      <c r="AM1594">
        <v>0</v>
      </c>
      <c r="AP1594" t="s">
        <v>392</v>
      </c>
    </row>
    <row r="1595" spans="1:42" customFormat="1">
      <c r="A1595">
        <v>269910</v>
      </c>
      <c r="B1595" t="s">
        <v>2908</v>
      </c>
      <c r="C1595" t="s">
        <v>2909</v>
      </c>
      <c r="D1595" s="22">
        <v>0</v>
      </c>
      <c r="E1595" s="17">
        <v>42136</v>
      </c>
      <c r="F1595" s="18">
        <v>0.45370370370370372</v>
      </c>
      <c r="G1595" s="22">
        <v>1473</v>
      </c>
      <c r="H1595">
        <v>0</v>
      </c>
      <c r="I1595" s="19" t="e">
        <f>I1594 + (D1595-G1595)</f>
        <v>#VALUE!</v>
      </c>
      <c r="M1595">
        <v>123306</v>
      </c>
      <c r="N1595">
        <v>24</v>
      </c>
      <c r="O1595" t="s">
        <v>68</v>
      </c>
      <c r="P1595">
        <v>1</v>
      </c>
      <c r="R1595">
        <v>1578</v>
      </c>
      <c r="S1595" s="17">
        <v>42138</v>
      </c>
      <c r="T1595" s="17">
        <v>42138</v>
      </c>
      <c r="W1595">
        <v>2015</v>
      </c>
      <c r="X1595">
        <v>24</v>
      </c>
      <c r="AC1595" t="s">
        <v>106</v>
      </c>
      <c r="AD1595" t="s">
        <v>302</v>
      </c>
      <c r="AE1595" t="s">
        <v>46</v>
      </c>
      <c r="AG1595">
        <v>12</v>
      </c>
      <c r="AH1595">
        <v>10</v>
      </c>
      <c r="AI1595" t="s">
        <v>95</v>
      </c>
      <c r="AK1595">
        <v>0</v>
      </c>
      <c r="AM1595">
        <v>0</v>
      </c>
      <c r="AP1595" t="s">
        <v>392</v>
      </c>
    </row>
    <row r="1596" spans="1:42" customFormat="1">
      <c r="A1596">
        <v>269911</v>
      </c>
      <c r="B1596" t="s">
        <v>2910</v>
      </c>
      <c r="C1596" t="s">
        <v>2911</v>
      </c>
      <c r="D1596" s="22">
        <v>0</v>
      </c>
      <c r="E1596" s="17">
        <v>42136</v>
      </c>
      <c r="F1596" s="18">
        <v>0.45370370370370372</v>
      </c>
      <c r="G1596" s="22">
        <v>1473</v>
      </c>
      <c r="H1596">
        <v>0</v>
      </c>
      <c r="I1596" s="19" t="e">
        <f>I1595 + (D1596-G1596)</f>
        <v>#VALUE!</v>
      </c>
      <c r="M1596">
        <v>123307</v>
      </c>
      <c r="N1596">
        <v>24</v>
      </c>
      <c r="O1596" t="s">
        <v>68</v>
      </c>
      <c r="P1596">
        <v>1</v>
      </c>
      <c r="R1596">
        <v>1578</v>
      </c>
      <c r="S1596" s="17">
        <v>42138</v>
      </c>
      <c r="T1596" s="17">
        <v>42138</v>
      </c>
      <c r="W1596">
        <v>2015</v>
      </c>
      <c r="X1596">
        <v>24</v>
      </c>
      <c r="AC1596" t="s">
        <v>106</v>
      </c>
      <c r="AD1596" t="s">
        <v>302</v>
      </c>
      <c r="AE1596" t="s">
        <v>46</v>
      </c>
      <c r="AG1596">
        <v>12</v>
      </c>
      <c r="AH1596">
        <v>10</v>
      </c>
      <c r="AI1596" t="s">
        <v>95</v>
      </c>
      <c r="AK1596">
        <v>0</v>
      </c>
      <c r="AM1596">
        <v>0</v>
      </c>
      <c r="AP1596" t="s">
        <v>392</v>
      </c>
    </row>
    <row r="1597" spans="1:42" customFormat="1">
      <c r="A1597">
        <v>270029</v>
      </c>
      <c r="B1597" t="s">
        <v>3055</v>
      </c>
      <c r="C1597" t="s">
        <v>3056</v>
      </c>
      <c r="D1597" s="22">
        <v>0</v>
      </c>
      <c r="E1597" s="17">
        <v>42137</v>
      </c>
      <c r="F1597" s="18">
        <v>0.62157407407407406</v>
      </c>
      <c r="G1597" s="22">
        <v>945</v>
      </c>
      <c r="H1597">
        <v>0</v>
      </c>
      <c r="I1597" s="19" t="e">
        <f>I1596 + (D1597-G1597)</f>
        <v>#VALUE!</v>
      </c>
      <c r="M1597">
        <v>123429</v>
      </c>
      <c r="N1597">
        <v>24</v>
      </c>
      <c r="O1597" t="s">
        <v>68</v>
      </c>
      <c r="P1597">
        <v>1</v>
      </c>
      <c r="R1597">
        <v>1578</v>
      </c>
      <c r="S1597" s="17">
        <v>42139</v>
      </c>
      <c r="T1597" s="17">
        <v>42139</v>
      </c>
      <c r="W1597">
        <v>2015</v>
      </c>
      <c r="X1597">
        <v>24</v>
      </c>
      <c r="AC1597" t="s">
        <v>106</v>
      </c>
      <c r="AD1597" t="s">
        <v>302</v>
      </c>
      <c r="AE1597" t="s">
        <v>46</v>
      </c>
      <c r="AG1597">
        <v>12</v>
      </c>
      <c r="AH1597">
        <v>11</v>
      </c>
      <c r="AI1597" t="s">
        <v>47</v>
      </c>
      <c r="AK1597">
        <v>0</v>
      </c>
      <c r="AM1597">
        <v>0</v>
      </c>
      <c r="AP1597" t="s">
        <v>392</v>
      </c>
    </row>
    <row r="1598" spans="1:42" customFormat="1">
      <c r="A1598">
        <v>270030</v>
      </c>
      <c r="B1598" t="s">
        <v>3057</v>
      </c>
      <c r="C1598" t="s">
        <v>3058</v>
      </c>
      <c r="D1598" s="22">
        <v>0</v>
      </c>
      <c r="E1598" s="17">
        <v>42137</v>
      </c>
      <c r="F1598" s="18">
        <v>0.62300925925925921</v>
      </c>
      <c r="G1598" s="22">
        <v>1473</v>
      </c>
      <c r="H1598">
        <v>0</v>
      </c>
      <c r="I1598" s="19" t="e">
        <f>I1597 + (D1598-G1598)</f>
        <v>#VALUE!</v>
      </c>
      <c r="M1598">
        <v>123431</v>
      </c>
      <c r="N1598">
        <v>24</v>
      </c>
      <c r="O1598" t="s">
        <v>68</v>
      </c>
      <c r="P1598">
        <v>1</v>
      </c>
      <c r="R1598">
        <v>1578</v>
      </c>
      <c r="S1598" s="17">
        <v>42139</v>
      </c>
      <c r="T1598" s="17">
        <v>42139</v>
      </c>
      <c r="W1598">
        <v>2015</v>
      </c>
      <c r="X1598">
        <v>24</v>
      </c>
      <c r="AC1598" t="s">
        <v>106</v>
      </c>
      <c r="AD1598" t="s">
        <v>302</v>
      </c>
      <c r="AE1598" t="s">
        <v>46</v>
      </c>
      <c r="AG1598">
        <v>12</v>
      </c>
      <c r="AH1598">
        <v>10</v>
      </c>
      <c r="AI1598" t="s">
        <v>95</v>
      </c>
      <c r="AK1598">
        <v>0</v>
      </c>
      <c r="AM1598">
        <v>0</v>
      </c>
      <c r="AP1598" t="s">
        <v>392</v>
      </c>
    </row>
    <row r="1599" spans="1:42" customFormat="1">
      <c r="A1599">
        <v>270031</v>
      </c>
      <c r="B1599" t="s">
        <v>3059</v>
      </c>
      <c r="C1599" t="s">
        <v>3060</v>
      </c>
      <c r="D1599" s="22">
        <v>0</v>
      </c>
      <c r="E1599" s="17">
        <v>42137</v>
      </c>
      <c r="F1599" s="18">
        <v>0.62300925925925921</v>
      </c>
      <c r="G1599" s="22">
        <v>1473</v>
      </c>
      <c r="H1599">
        <v>0</v>
      </c>
      <c r="I1599" s="19" t="e">
        <f>I1598 + (D1599-G1599)</f>
        <v>#VALUE!</v>
      </c>
      <c r="M1599">
        <v>123432</v>
      </c>
      <c r="N1599">
        <v>24</v>
      </c>
      <c r="O1599" t="s">
        <v>68</v>
      </c>
      <c r="P1599">
        <v>1</v>
      </c>
      <c r="R1599">
        <v>1578</v>
      </c>
      <c r="S1599" s="17">
        <v>42139</v>
      </c>
      <c r="T1599" s="17">
        <v>42139</v>
      </c>
      <c r="W1599">
        <v>2015</v>
      </c>
      <c r="X1599">
        <v>24</v>
      </c>
      <c r="AC1599" t="s">
        <v>106</v>
      </c>
      <c r="AD1599" t="s">
        <v>302</v>
      </c>
      <c r="AE1599" t="s">
        <v>46</v>
      </c>
      <c r="AG1599">
        <v>12</v>
      </c>
      <c r="AH1599">
        <v>10</v>
      </c>
      <c r="AI1599" t="s">
        <v>95</v>
      </c>
      <c r="AK1599">
        <v>0</v>
      </c>
      <c r="AM1599">
        <v>0</v>
      </c>
      <c r="AP1599" t="s">
        <v>392</v>
      </c>
    </row>
    <row r="1600" spans="1:42" customFormat="1">
      <c r="A1600">
        <v>270032</v>
      </c>
      <c r="B1600" t="s">
        <v>3061</v>
      </c>
      <c r="C1600" t="s">
        <v>3062</v>
      </c>
      <c r="D1600" s="22">
        <v>0</v>
      </c>
      <c r="E1600" s="17">
        <v>42137</v>
      </c>
      <c r="F1600" s="18">
        <v>0.62300925925925921</v>
      </c>
      <c r="G1600" s="22">
        <v>1637.8</v>
      </c>
      <c r="H1600">
        <v>0</v>
      </c>
      <c r="I1600" s="19" t="e">
        <f>I1599 + (D1600-G1600)</f>
        <v>#VALUE!</v>
      </c>
      <c r="M1600">
        <v>123433</v>
      </c>
      <c r="N1600">
        <v>24</v>
      </c>
      <c r="O1600" t="s">
        <v>68</v>
      </c>
      <c r="P1600">
        <v>1</v>
      </c>
      <c r="R1600">
        <v>1578</v>
      </c>
      <c r="S1600" s="17">
        <v>42139</v>
      </c>
      <c r="T1600" s="17">
        <v>42139</v>
      </c>
      <c r="W1600">
        <v>2015</v>
      </c>
      <c r="X1600">
        <v>24</v>
      </c>
      <c r="AC1600" t="s">
        <v>106</v>
      </c>
      <c r="AD1600" t="s">
        <v>302</v>
      </c>
      <c r="AE1600" t="s">
        <v>46</v>
      </c>
      <c r="AG1600">
        <v>12</v>
      </c>
      <c r="AH1600">
        <v>10</v>
      </c>
      <c r="AI1600" t="s">
        <v>95</v>
      </c>
      <c r="AK1600">
        <v>0</v>
      </c>
      <c r="AM1600">
        <v>0</v>
      </c>
      <c r="AP1600" t="s">
        <v>392</v>
      </c>
    </row>
    <row r="1601" spans="1:42" customFormat="1">
      <c r="A1601">
        <v>270033</v>
      </c>
      <c r="B1601" t="s">
        <v>3063</v>
      </c>
      <c r="C1601" t="s">
        <v>3064</v>
      </c>
      <c r="D1601" s="22">
        <v>0</v>
      </c>
      <c r="E1601" s="17">
        <v>42137</v>
      </c>
      <c r="F1601" s="18">
        <v>0.62300925925925921</v>
      </c>
      <c r="G1601" s="22">
        <v>1051</v>
      </c>
      <c r="H1601">
        <v>0</v>
      </c>
      <c r="I1601" s="19" t="e">
        <f>I1600 + (D1601-G1601)</f>
        <v>#VALUE!</v>
      </c>
      <c r="M1601">
        <v>123434</v>
      </c>
      <c r="N1601">
        <v>24</v>
      </c>
      <c r="O1601" t="s">
        <v>68</v>
      </c>
      <c r="P1601">
        <v>1</v>
      </c>
      <c r="R1601">
        <v>1578</v>
      </c>
      <c r="S1601" s="17">
        <v>42139</v>
      </c>
      <c r="T1601" s="17">
        <v>42139</v>
      </c>
      <c r="W1601">
        <v>2015</v>
      </c>
      <c r="X1601">
        <v>24</v>
      </c>
      <c r="AC1601" t="s">
        <v>106</v>
      </c>
      <c r="AD1601" t="s">
        <v>302</v>
      </c>
      <c r="AE1601" t="s">
        <v>46</v>
      </c>
      <c r="AG1601">
        <v>12</v>
      </c>
      <c r="AH1601">
        <v>10</v>
      </c>
      <c r="AI1601" t="s">
        <v>95</v>
      </c>
      <c r="AK1601">
        <v>0</v>
      </c>
      <c r="AM1601">
        <v>0</v>
      </c>
      <c r="AP1601" t="s">
        <v>392</v>
      </c>
    </row>
    <row r="1602" spans="1:42" customFormat="1">
      <c r="A1602">
        <v>272804</v>
      </c>
      <c r="B1602" t="s">
        <v>3439</v>
      </c>
      <c r="C1602" t="s">
        <v>3440</v>
      </c>
      <c r="D1602" s="22">
        <v>0</v>
      </c>
      <c r="E1602" s="17">
        <v>42139</v>
      </c>
      <c r="F1602" s="18">
        <v>0.4440972222222222</v>
      </c>
      <c r="G1602" s="22">
        <v>1051</v>
      </c>
      <c r="H1602">
        <v>0</v>
      </c>
      <c r="I1602" s="19" t="e">
        <f>I1601 + (D1602-G1602)</f>
        <v>#VALUE!</v>
      </c>
      <c r="M1602">
        <v>125060</v>
      </c>
      <c r="N1602">
        <v>24</v>
      </c>
      <c r="O1602" t="s">
        <v>68</v>
      </c>
      <c r="P1602">
        <v>1</v>
      </c>
      <c r="R1602">
        <v>1578</v>
      </c>
      <c r="S1602" s="17">
        <v>42166</v>
      </c>
      <c r="T1602" s="17">
        <v>42166</v>
      </c>
      <c r="W1602">
        <v>2015</v>
      </c>
      <c r="X1602">
        <v>24</v>
      </c>
      <c r="AC1602" t="s">
        <v>106</v>
      </c>
      <c r="AD1602" t="s">
        <v>302</v>
      </c>
      <c r="AE1602" t="s">
        <v>46</v>
      </c>
      <c r="AG1602">
        <v>12</v>
      </c>
      <c r="AH1602">
        <v>10</v>
      </c>
      <c r="AI1602" t="s">
        <v>95</v>
      </c>
      <c r="AK1602">
        <v>0</v>
      </c>
      <c r="AM1602">
        <v>0</v>
      </c>
      <c r="AP1602" t="s">
        <v>392</v>
      </c>
    </row>
    <row r="1603" spans="1:42" customFormat="1">
      <c r="A1603">
        <v>272805</v>
      </c>
      <c r="B1603" t="s">
        <v>3441</v>
      </c>
      <c r="C1603" t="s">
        <v>3442</v>
      </c>
      <c r="D1603" s="22">
        <v>0</v>
      </c>
      <c r="E1603" s="17">
        <v>42139</v>
      </c>
      <c r="F1603" s="18">
        <v>0.4440972222222222</v>
      </c>
      <c r="G1603" s="22">
        <v>1473</v>
      </c>
      <c r="H1603">
        <v>0</v>
      </c>
      <c r="I1603" s="19" t="e">
        <f>I1602 + (D1603-G1603)</f>
        <v>#VALUE!</v>
      </c>
      <c r="M1603">
        <v>125061</v>
      </c>
      <c r="N1603">
        <v>24</v>
      </c>
      <c r="O1603" t="s">
        <v>68</v>
      </c>
      <c r="P1603">
        <v>1</v>
      </c>
      <c r="R1603">
        <v>1578</v>
      </c>
      <c r="S1603" s="17">
        <v>42166</v>
      </c>
      <c r="T1603" s="17">
        <v>42166</v>
      </c>
      <c r="W1603">
        <v>2015</v>
      </c>
      <c r="X1603">
        <v>24</v>
      </c>
      <c r="AC1603" t="s">
        <v>106</v>
      </c>
      <c r="AD1603" t="s">
        <v>302</v>
      </c>
      <c r="AE1603" t="s">
        <v>46</v>
      </c>
      <c r="AG1603">
        <v>12</v>
      </c>
      <c r="AH1603">
        <v>10</v>
      </c>
      <c r="AI1603" t="s">
        <v>95</v>
      </c>
      <c r="AK1603">
        <v>0</v>
      </c>
      <c r="AM1603">
        <v>0</v>
      </c>
      <c r="AP1603" t="s">
        <v>392</v>
      </c>
    </row>
    <row r="1604" spans="1:42" customFormat="1">
      <c r="A1604">
        <v>272803</v>
      </c>
      <c r="B1604" t="s">
        <v>3443</v>
      </c>
      <c r="C1604" t="s">
        <v>3444</v>
      </c>
      <c r="D1604" s="22">
        <v>0</v>
      </c>
      <c r="E1604" s="17">
        <v>42139</v>
      </c>
      <c r="F1604" s="18">
        <v>0.4440972222222222</v>
      </c>
      <c r="G1604" s="22">
        <v>1473</v>
      </c>
      <c r="H1604">
        <v>0</v>
      </c>
      <c r="I1604" s="19" t="e">
        <f>I1603 + (D1604-G1604)</f>
        <v>#VALUE!</v>
      </c>
      <c r="M1604">
        <v>125059</v>
      </c>
      <c r="N1604">
        <v>24</v>
      </c>
      <c r="O1604" t="s">
        <v>68</v>
      </c>
      <c r="P1604">
        <v>1</v>
      </c>
      <c r="R1604">
        <v>1578</v>
      </c>
      <c r="S1604" s="17">
        <v>42166</v>
      </c>
      <c r="T1604" s="17">
        <v>42166</v>
      </c>
      <c r="W1604">
        <v>2015</v>
      </c>
      <c r="X1604">
        <v>24</v>
      </c>
      <c r="AC1604" t="s">
        <v>106</v>
      </c>
      <c r="AD1604" t="s">
        <v>302</v>
      </c>
      <c r="AE1604" t="s">
        <v>46</v>
      </c>
      <c r="AG1604">
        <v>12</v>
      </c>
      <c r="AH1604">
        <v>10</v>
      </c>
      <c r="AI1604" t="s">
        <v>95</v>
      </c>
      <c r="AK1604">
        <v>0</v>
      </c>
      <c r="AM1604">
        <v>0</v>
      </c>
      <c r="AP1604" t="s">
        <v>392</v>
      </c>
    </row>
    <row r="1605" spans="1:42" customFormat="1">
      <c r="A1605">
        <v>272820</v>
      </c>
      <c r="B1605" t="s">
        <v>3554</v>
      </c>
      <c r="C1605" t="s">
        <v>3555</v>
      </c>
      <c r="D1605" s="22">
        <v>252.06</v>
      </c>
      <c r="E1605" s="17">
        <v>42142</v>
      </c>
      <c r="F1605" s="18">
        <v>0.46761574074074069</v>
      </c>
      <c r="G1605" s="22">
        <v>0</v>
      </c>
      <c r="H1605">
        <v>0</v>
      </c>
      <c r="I1605" s="19" t="e">
        <f>I1604 + (D1605-G1605)</f>
        <v>#VALUE!</v>
      </c>
      <c r="N1605">
        <v>24</v>
      </c>
      <c r="O1605" t="s">
        <v>68</v>
      </c>
      <c r="P1605">
        <v>1</v>
      </c>
      <c r="R1605">
        <v>1578</v>
      </c>
      <c r="S1605" s="17">
        <v>42166</v>
      </c>
      <c r="T1605" s="17">
        <v>42166</v>
      </c>
      <c r="W1605">
        <v>2015</v>
      </c>
      <c r="X1605">
        <v>24</v>
      </c>
      <c r="AC1605" t="s">
        <v>106</v>
      </c>
      <c r="AD1605" t="s">
        <v>302</v>
      </c>
      <c r="AE1605" t="s">
        <v>46</v>
      </c>
      <c r="AG1605">
        <v>12</v>
      </c>
      <c r="AH1605">
        <v>11</v>
      </c>
      <c r="AI1605" t="s">
        <v>47</v>
      </c>
      <c r="AM1605">
        <v>0</v>
      </c>
      <c r="AP1605" t="s">
        <v>392</v>
      </c>
    </row>
    <row r="1606" spans="1:42" customFormat="1">
      <c r="A1606">
        <v>270851</v>
      </c>
      <c r="B1606" t="s">
        <v>3560</v>
      </c>
      <c r="C1606" t="s">
        <v>3561</v>
      </c>
      <c r="D1606" s="22">
        <v>0</v>
      </c>
      <c r="E1606" s="17">
        <v>42142</v>
      </c>
      <c r="F1606" s="18">
        <v>0.59423611111111108</v>
      </c>
      <c r="G1606" s="22">
        <v>1473</v>
      </c>
      <c r="H1606">
        <v>0</v>
      </c>
      <c r="I1606" s="19" t="e">
        <f>I1605 + (D1606-G1606)</f>
        <v>#VALUE!</v>
      </c>
      <c r="M1606">
        <v>123938</v>
      </c>
      <c r="N1606">
        <v>24</v>
      </c>
      <c r="O1606" t="s">
        <v>68</v>
      </c>
      <c r="P1606">
        <v>1</v>
      </c>
      <c r="R1606">
        <v>1578</v>
      </c>
      <c r="S1606" s="17">
        <v>42146</v>
      </c>
      <c r="T1606" s="17">
        <v>42146</v>
      </c>
      <c r="W1606">
        <v>2015</v>
      </c>
      <c r="X1606">
        <v>24</v>
      </c>
      <c r="AC1606" t="s">
        <v>106</v>
      </c>
      <c r="AD1606" t="s">
        <v>302</v>
      </c>
      <c r="AE1606" t="s">
        <v>46</v>
      </c>
      <c r="AG1606">
        <v>12</v>
      </c>
      <c r="AH1606">
        <v>10</v>
      </c>
      <c r="AI1606" t="s">
        <v>95</v>
      </c>
      <c r="AK1606">
        <v>0</v>
      </c>
      <c r="AM1606">
        <v>0</v>
      </c>
      <c r="AP1606" t="s">
        <v>392</v>
      </c>
    </row>
    <row r="1607" spans="1:42" customFormat="1">
      <c r="A1607">
        <v>270853</v>
      </c>
      <c r="B1607" t="s">
        <v>3772</v>
      </c>
      <c r="C1607" t="s">
        <v>3773</v>
      </c>
      <c r="D1607" s="22">
        <v>0</v>
      </c>
      <c r="E1607" s="17">
        <v>42143</v>
      </c>
      <c r="F1607" s="18">
        <v>0.59465277777777781</v>
      </c>
      <c r="G1607" s="22">
        <v>1473</v>
      </c>
      <c r="H1607">
        <v>0</v>
      </c>
      <c r="I1607" s="19" t="e">
        <f>I1606 + (D1607-G1607)</f>
        <v>#VALUE!</v>
      </c>
      <c r="M1607">
        <v>123940</v>
      </c>
      <c r="N1607">
        <v>24</v>
      </c>
      <c r="O1607" t="s">
        <v>68</v>
      </c>
      <c r="P1607">
        <v>1</v>
      </c>
      <c r="R1607">
        <v>1578</v>
      </c>
      <c r="S1607" s="17">
        <v>42146</v>
      </c>
      <c r="T1607" s="17">
        <v>42146</v>
      </c>
      <c r="W1607">
        <v>2015</v>
      </c>
      <c r="X1607">
        <v>24</v>
      </c>
      <c r="AC1607" t="s">
        <v>106</v>
      </c>
      <c r="AD1607" t="s">
        <v>302</v>
      </c>
      <c r="AE1607" t="s">
        <v>46</v>
      </c>
      <c r="AG1607">
        <v>12</v>
      </c>
      <c r="AH1607">
        <v>10</v>
      </c>
      <c r="AI1607" t="s">
        <v>95</v>
      </c>
      <c r="AK1607">
        <v>0</v>
      </c>
      <c r="AM1607">
        <v>0</v>
      </c>
      <c r="AP1607" t="s">
        <v>392</v>
      </c>
    </row>
    <row r="1608" spans="1:42" customFormat="1">
      <c r="A1608">
        <v>270852</v>
      </c>
      <c r="B1608" t="s">
        <v>3774</v>
      </c>
      <c r="C1608" t="s">
        <v>3775</v>
      </c>
      <c r="D1608" s="22">
        <v>0</v>
      </c>
      <c r="E1608" s="17">
        <v>42143</v>
      </c>
      <c r="F1608" s="18">
        <v>0.59465277777777781</v>
      </c>
      <c r="G1608" s="22">
        <v>1473</v>
      </c>
      <c r="H1608">
        <v>0</v>
      </c>
      <c r="I1608" s="19" t="e">
        <f>I1607 + (D1608-G1608)</f>
        <v>#VALUE!</v>
      </c>
      <c r="M1608">
        <v>123939</v>
      </c>
      <c r="N1608">
        <v>24</v>
      </c>
      <c r="O1608" t="s">
        <v>68</v>
      </c>
      <c r="P1608">
        <v>1</v>
      </c>
      <c r="R1608">
        <v>1578</v>
      </c>
      <c r="S1608" s="17">
        <v>42146</v>
      </c>
      <c r="T1608" s="17">
        <v>42146</v>
      </c>
      <c r="W1608">
        <v>2015</v>
      </c>
      <c r="X1608">
        <v>24</v>
      </c>
      <c r="AC1608" t="s">
        <v>106</v>
      </c>
      <c r="AD1608" t="s">
        <v>302</v>
      </c>
      <c r="AE1608" t="s">
        <v>46</v>
      </c>
      <c r="AG1608">
        <v>12</v>
      </c>
      <c r="AH1608">
        <v>10</v>
      </c>
      <c r="AI1608" t="s">
        <v>95</v>
      </c>
      <c r="AK1608">
        <v>0</v>
      </c>
      <c r="AM1608">
        <v>0</v>
      </c>
      <c r="AP1608" t="s">
        <v>392</v>
      </c>
    </row>
    <row r="1609" spans="1:42" customFormat="1">
      <c r="A1609">
        <v>270854</v>
      </c>
      <c r="B1609" t="s">
        <v>3875</v>
      </c>
      <c r="C1609" t="s">
        <v>3876</v>
      </c>
      <c r="D1609" s="22">
        <v>0</v>
      </c>
      <c r="E1609" s="17">
        <v>42144</v>
      </c>
      <c r="F1609" s="18">
        <v>0.59546296296296297</v>
      </c>
      <c r="G1609" s="22">
        <v>1473</v>
      </c>
      <c r="H1609">
        <v>0</v>
      </c>
      <c r="I1609" s="19" t="e">
        <f>I1608 + (D1609-G1609)</f>
        <v>#VALUE!</v>
      </c>
      <c r="M1609">
        <v>123941</v>
      </c>
      <c r="N1609">
        <v>24</v>
      </c>
      <c r="O1609" t="s">
        <v>68</v>
      </c>
      <c r="P1609">
        <v>1</v>
      </c>
      <c r="R1609">
        <v>1578</v>
      </c>
      <c r="S1609" s="17">
        <v>42146</v>
      </c>
      <c r="T1609" s="17">
        <v>42146</v>
      </c>
      <c r="W1609">
        <v>2015</v>
      </c>
      <c r="X1609">
        <v>24</v>
      </c>
      <c r="AC1609" t="s">
        <v>106</v>
      </c>
      <c r="AD1609" t="s">
        <v>302</v>
      </c>
      <c r="AE1609" t="s">
        <v>46</v>
      </c>
      <c r="AG1609">
        <v>12</v>
      </c>
      <c r="AH1609">
        <v>10</v>
      </c>
      <c r="AI1609" t="s">
        <v>95</v>
      </c>
      <c r="AK1609">
        <v>0</v>
      </c>
      <c r="AM1609">
        <v>0</v>
      </c>
      <c r="AP1609" t="s">
        <v>392</v>
      </c>
    </row>
    <row r="1610" spans="1:42" customFormat="1">
      <c r="A1610">
        <v>270855</v>
      </c>
      <c r="B1610" t="s">
        <v>3877</v>
      </c>
      <c r="C1610" t="s">
        <v>3878</v>
      </c>
      <c r="D1610" s="22">
        <v>0</v>
      </c>
      <c r="E1610" s="17">
        <v>42144</v>
      </c>
      <c r="F1610" s="18">
        <v>0.59546296296296297</v>
      </c>
      <c r="G1610" s="22">
        <v>1473</v>
      </c>
      <c r="H1610">
        <v>0</v>
      </c>
      <c r="I1610" s="19" t="e">
        <f>I1609 + (D1610-G1610)</f>
        <v>#VALUE!</v>
      </c>
      <c r="M1610">
        <v>123942</v>
      </c>
      <c r="N1610">
        <v>24</v>
      </c>
      <c r="O1610" t="s">
        <v>68</v>
      </c>
      <c r="P1610">
        <v>1</v>
      </c>
      <c r="R1610">
        <v>1578</v>
      </c>
      <c r="S1610" s="17">
        <v>42146</v>
      </c>
      <c r="T1610" s="17">
        <v>42146</v>
      </c>
      <c r="W1610">
        <v>2015</v>
      </c>
      <c r="X1610">
        <v>24</v>
      </c>
      <c r="AC1610" t="s">
        <v>106</v>
      </c>
      <c r="AD1610" t="s">
        <v>302</v>
      </c>
      <c r="AE1610" t="s">
        <v>46</v>
      </c>
      <c r="AG1610">
        <v>12</v>
      </c>
      <c r="AH1610">
        <v>10</v>
      </c>
      <c r="AI1610" t="s">
        <v>95</v>
      </c>
      <c r="AK1610">
        <v>0</v>
      </c>
      <c r="AM1610">
        <v>0</v>
      </c>
      <c r="AP1610" t="s">
        <v>392</v>
      </c>
    </row>
    <row r="1611" spans="1:42" customFormat="1">
      <c r="A1611">
        <v>270856</v>
      </c>
      <c r="B1611" t="s">
        <v>3879</v>
      </c>
      <c r="C1611" t="s">
        <v>3880</v>
      </c>
      <c r="D1611" s="22">
        <v>0</v>
      </c>
      <c r="E1611" s="17">
        <v>42144</v>
      </c>
      <c r="F1611" s="18">
        <v>0.59546296296296297</v>
      </c>
      <c r="G1611" s="22">
        <v>1399.35</v>
      </c>
      <c r="H1611">
        <v>0</v>
      </c>
      <c r="I1611" s="19" t="e">
        <f>I1610 + (D1611-G1611)</f>
        <v>#VALUE!</v>
      </c>
      <c r="M1611">
        <v>123943</v>
      </c>
      <c r="N1611">
        <v>24</v>
      </c>
      <c r="O1611" t="s">
        <v>68</v>
      </c>
      <c r="P1611">
        <v>1</v>
      </c>
      <c r="R1611">
        <v>1578</v>
      </c>
      <c r="S1611" s="17">
        <v>42146</v>
      </c>
      <c r="T1611" s="17">
        <v>42146</v>
      </c>
      <c r="W1611">
        <v>2015</v>
      </c>
      <c r="X1611">
        <v>24</v>
      </c>
      <c r="AC1611" t="s">
        <v>106</v>
      </c>
      <c r="AD1611" t="s">
        <v>302</v>
      </c>
      <c r="AE1611" t="s">
        <v>46</v>
      </c>
      <c r="AG1611">
        <v>12</v>
      </c>
      <c r="AH1611">
        <v>10</v>
      </c>
      <c r="AI1611" t="s">
        <v>95</v>
      </c>
      <c r="AK1611">
        <v>0</v>
      </c>
      <c r="AM1611">
        <v>0</v>
      </c>
      <c r="AP1611" t="s">
        <v>392</v>
      </c>
    </row>
    <row r="1612" spans="1:42" customFormat="1">
      <c r="A1612">
        <v>270857</v>
      </c>
      <c r="B1612" t="s">
        <v>3881</v>
      </c>
      <c r="C1612" t="s">
        <v>3882</v>
      </c>
      <c r="D1612" s="22">
        <v>0</v>
      </c>
      <c r="E1612" s="17">
        <v>42144</v>
      </c>
      <c r="F1612" s="18">
        <v>0.59546296296296297</v>
      </c>
      <c r="G1612" s="22">
        <v>1473</v>
      </c>
      <c r="H1612">
        <v>0</v>
      </c>
      <c r="I1612" s="19" t="e">
        <f>I1611 + (D1612-G1612)</f>
        <v>#VALUE!</v>
      </c>
      <c r="M1612">
        <v>123944</v>
      </c>
      <c r="N1612">
        <v>24</v>
      </c>
      <c r="O1612" t="s">
        <v>68</v>
      </c>
      <c r="P1612">
        <v>1</v>
      </c>
      <c r="R1612">
        <v>1578</v>
      </c>
      <c r="S1612" s="17">
        <v>42146</v>
      </c>
      <c r="T1612" s="17">
        <v>42146</v>
      </c>
      <c r="W1612">
        <v>2015</v>
      </c>
      <c r="X1612">
        <v>24</v>
      </c>
      <c r="AC1612" t="s">
        <v>106</v>
      </c>
      <c r="AD1612" t="s">
        <v>302</v>
      </c>
      <c r="AE1612" t="s">
        <v>46</v>
      </c>
      <c r="AG1612">
        <v>12</v>
      </c>
      <c r="AH1612">
        <v>10</v>
      </c>
      <c r="AI1612" t="s">
        <v>95</v>
      </c>
      <c r="AK1612">
        <v>0</v>
      </c>
      <c r="AM1612">
        <v>0</v>
      </c>
      <c r="AP1612" t="s">
        <v>392</v>
      </c>
    </row>
    <row r="1613" spans="1:42" customFormat="1">
      <c r="A1613">
        <v>270859</v>
      </c>
      <c r="B1613" t="s">
        <v>4099</v>
      </c>
      <c r="C1613" t="s">
        <v>4100</v>
      </c>
      <c r="D1613" s="22">
        <v>0</v>
      </c>
      <c r="E1613" s="17">
        <v>42145</v>
      </c>
      <c r="F1613" s="18">
        <v>0.59848379629629633</v>
      </c>
      <c r="G1613" s="22">
        <v>1473</v>
      </c>
      <c r="H1613">
        <v>0</v>
      </c>
      <c r="I1613" s="19" t="e">
        <f>I1612 + (D1613-G1613)</f>
        <v>#VALUE!</v>
      </c>
      <c r="M1613">
        <v>123945</v>
      </c>
      <c r="N1613">
        <v>24</v>
      </c>
      <c r="O1613" t="s">
        <v>68</v>
      </c>
      <c r="P1613">
        <v>1</v>
      </c>
      <c r="R1613">
        <v>1578</v>
      </c>
      <c r="S1613" s="17">
        <v>42146</v>
      </c>
      <c r="T1613" s="17">
        <v>42146</v>
      </c>
      <c r="W1613">
        <v>2015</v>
      </c>
      <c r="X1613">
        <v>24</v>
      </c>
      <c r="AC1613" t="s">
        <v>106</v>
      </c>
      <c r="AD1613" t="s">
        <v>302</v>
      </c>
      <c r="AE1613" t="s">
        <v>46</v>
      </c>
      <c r="AG1613">
        <v>12</v>
      </c>
      <c r="AH1613">
        <v>10</v>
      </c>
      <c r="AI1613" t="s">
        <v>95</v>
      </c>
      <c r="AK1613">
        <v>0</v>
      </c>
      <c r="AM1613">
        <v>0</v>
      </c>
      <c r="AP1613" t="s">
        <v>392</v>
      </c>
    </row>
    <row r="1614" spans="1:42" customFormat="1">
      <c r="A1614">
        <v>270860</v>
      </c>
      <c r="B1614" t="s">
        <v>4101</v>
      </c>
      <c r="C1614" t="s">
        <v>4102</v>
      </c>
      <c r="D1614" s="22">
        <v>0</v>
      </c>
      <c r="E1614" s="17">
        <v>42145</v>
      </c>
      <c r="F1614" s="18">
        <v>0.59848379629629633</v>
      </c>
      <c r="G1614" s="22">
        <v>1473</v>
      </c>
      <c r="H1614">
        <v>0</v>
      </c>
      <c r="I1614" s="19" t="e">
        <f>I1613 + (D1614-G1614)</f>
        <v>#VALUE!</v>
      </c>
      <c r="M1614">
        <v>123946</v>
      </c>
      <c r="N1614">
        <v>24</v>
      </c>
      <c r="O1614" t="s">
        <v>68</v>
      </c>
      <c r="P1614">
        <v>1</v>
      </c>
      <c r="R1614">
        <v>1578</v>
      </c>
      <c r="S1614" s="17">
        <v>42146</v>
      </c>
      <c r="T1614" s="17">
        <v>42146</v>
      </c>
      <c r="W1614">
        <v>2015</v>
      </c>
      <c r="X1614">
        <v>24</v>
      </c>
      <c r="AC1614" t="s">
        <v>106</v>
      </c>
      <c r="AD1614" t="s">
        <v>302</v>
      </c>
      <c r="AE1614" t="s">
        <v>46</v>
      </c>
      <c r="AG1614">
        <v>12</v>
      </c>
      <c r="AH1614">
        <v>10</v>
      </c>
      <c r="AI1614" t="s">
        <v>95</v>
      </c>
      <c r="AK1614">
        <v>0</v>
      </c>
      <c r="AM1614">
        <v>0</v>
      </c>
      <c r="AP1614" t="s">
        <v>392</v>
      </c>
    </row>
    <row r="1615" spans="1:42" customFormat="1">
      <c r="A1615">
        <v>272831</v>
      </c>
      <c r="B1615" t="s">
        <v>4164</v>
      </c>
      <c r="C1615" t="s">
        <v>4165</v>
      </c>
      <c r="D1615" s="22">
        <v>0</v>
      </c>
      <c r="E1615" s="17">
        <v>42146</v>
      </c>
      <c r="F1615" s="18">
        <v>0.55222222222222228</v>
      </c>
      <c r="G1615" s="22">
        <v>1637.8</v>
      </c>
      <c r="H1615">
        <v>0</v>
      </c>
      <c r="I1615" s="19" t="e">
        <f>I1614 + (D1615-G1615)</f>
        <v>#VALUE!</v>
      </c>
      <c r="M1615">
        <v>125065</v>
      </c>
      <c r="N1615">
        <v>24</v>
      </c>
      <c r="O1615" t="s">
        <v>68</v>
      </c>
      <c r="P1615">
        <v>1</v>
      </c>
      <c r="R1615">
        <v>1578</v>
      </c>
      <c r="S1615" s="17">
        <v>42166</v>
      </c>
      <c r="T1615" s="17">
        <v>42166</v>
      </c>
      <c r="W1615">
        <v>2015</v>
      </c>
      <c r="X1615">
        <v>24</v>
      </c>
      <c r="AC1615" t="s">
        <v>106</v>
      </c>
      <c r="AD1615" t="s">
        <v>302</v>
      </c>
      <c r="AE1615" t="s">
        <v>46</v>
      </c>
      <c r="AG1615">
        <v>12</v>
      </c>
      <c r="AH1615">
        <v>10</v>
      </c>
      <c r="AI1615" t="s">
        <v>95</v>
      </c>
      <c r="AK1615">
        <v>0</v>
      </c>
      <c r="AM1615">
        <v>0</v>
      </c>
      <c r="AP1615" t="s">
        <v>392</v>
      </c>
    </row>
    <row r="1616" spans="1:42" customFormat="1">
      <c r="A1616">
        <v>272840</v>
      </c>
      <c r="B1616" t="s">
        <v>4571</v>
      </c>
      <c r="C1616" t="s">
        <v>4572</v>
      </c>
      <c r="D1616" s="22">
        <v>0</v>
      </c>
      <c r="E1616" s="17">
        <v>42149</v>
      </c>
      <c r="F1616" s="18">
        <v>0.55564814814814811</v>
      </c>
      <c r="G1616" s="22">
        <v>1399.35</v>
      </c>
      <c r="H1616">
        <v>0</v>
      </c>
      <c r="I1616" s="19" t="e">
        <f>I1615 + (D1616-G1616)</f>
        <v>#VALUE!</v>
      </c>
      <c r="M1616">
        <v>125070</v>
      </c>
      <c r="N1616">
        <v>24</v>
      </c>
      <c r="O1616" t="s">
        <v>68</v>
      </c>
      <c r="P1616">
        <v>1</v>
      </c>
      <c r="R1616">
        <v>1578</v>
      </c>
      <c r="S1616" s="17">
        <v>42166</v>
      </c>
      <c r="T1616" s="17">
        <v>42166</v>
      </c>
      <c r="W1616">
        <v>2015</v>
      </c>
      <c r="X1616">
        <v>24</v>
      </c>
      <c r="AC1616" t="s">
        <v>106</v>
      </c>
      <c r="AD1616" t="s">
        <v>302</v>
      </c>
      <c r="AE1616" t="s">
        <v>46</v>
      </c>
      <c r="AG1616">
        <v>12</v>
      </c>
      <c r="AH1616">
        <v>10</v>
      </c>
      <c r="AI1616" t="s">
        <v>95</v>
      </c>
      <c r="AK1616">
        <v>0</v>
      </c>
      <c r="AM1616">
        <v>0</v>
      </c>
      <c r="AP1616" t="s">
        <v>392</v>
      </c>
    </row>
    <row r="1617" spans="1:42" customFormat="1">
      <c r="A1617">
        <v>272841</v>
      </c>
      <c r="B1617" t="s">
        <v>4573</v>
      </c>
      <c r="C1617" t="s">
        <v>4574</v>
      </c>
      <c r="D1617" s="22">
        <v>0</v>
      </c>
      <c r="E1617" s="17">
        <v>42149</v>
      </c>
      <c r="F1617" s="18">
        <v>0.55564814814814811</v>
      </c>
      <c r="G1617" s="22">
        <v>1473</v>
      </c>
      <c r="H1617">
        <v>0</v>
      </c>
      <c r="I1617" s="19" t="e">
        <f>I1616 + (D1617-G1617)</f>
        <v>#VALUE!</v>
      </c>
      <c r="M1617">
        <v>125071</v>
      </c>
      <c r="N1617">
        <v>24</v>
      </c>
      <c r="O1617" t="s">
        <v>68</v>
      </c>
      <c r="P1617">
        <v>1</v>
      </c>
      <c r="R1617">
        <v>1578</v>
      </c>
      <c r="S1617" s="17">
        <v>42166</v>
      </c>
      <c r="T1617" s="17">
        <v>42166</v>
      </c>
      <c r="W1617">
        <v>2015</v>
      </c>
      <c r="X1617">
        <v>24</v>
      </c>
      <c r="AC1617" t="s">
        <v>106</v>
      </c>
      <c r="AD1617" t="s">
        <v>302</v>
      </c>
      <c r="AE1617" t="s">
        <v>46</v>
      </c>
      <c r="AG1617">
        <v>12</v>
      </c>
      <c r="AH1617">
        <v>10</v>
      </c>
      <c r="AI1617" t="s">
        <v>95</v>
      </c>
      <c r="AK1617">
        <v>0</v>
      </c>
      <c r="AM1617">
        <v>0</v>
      </c>
      <c r="AP1617" t="s">
        <v>392</v>
      </c>
    </row>
    <row r="1618" spans="1:42" customFormat="1">
      <c r="A1618">
        <v>272836</v>
      </c>
      <c r="B1618" t="s">
        <v>4575</v>
      </c>
      <c r="C1618" t="s">
        <v>4576</v>
      </c>
      <c r="D1618" s="22">
        <v>0</v>
      </c>
      <c r="E1618" s="17">
        <v>42149</v>
      </c>
      <c r="F1618" s="18">
        <v>0.55564814814814811</v>
      </c>
      <c r="G1618" s="22">
        <v>1473</v>
      </c>
      <c r="H1618">
        <v>0</v>
      </c>
      <c r="I1618" s="19" t="e">
        <f>I1617 + (D1618-G1618)</f>
        <v>#VALUE!</v>
      </c>
      <c r="M1618">
        <v>125066</v>
      </c>
      <c r="N1618">
        <v>24</v>
      </c>
      <c r="O1618" t="s">
        <v>68</v>
      </c>
      <c r="P1618">
        <v>1</v>
      </c>
      <c r="R1618">
        <v>1578</v>
      </c>
      <c r="S1618" s="17">
        <v>42166</v>
      </c>
      <c r="T1618" s="17">
        <v>42166</v>
      </c>
      <c r="W1618">
        <v>2015</v>
      </c>
      <c r="X1618">
        <v>24</v>
      </c>
      <c r="AC1618" t="s">
        <v>106</v>
      </c>
      <c r="AD1618" t="s">
        <v>302</v>
      </c>
      <c r="AE1618" t="s">
        <v>46</v>
      </c>
      <c r="AG1618">
        <v>12</v>
      </c>
      <c r="AH1618">
        <v>10</v>
      </c>
      <c r="AI1618" t="s">
        <v>95</v>
      </c>
      <c r="AK1618">
        <v>0</v>
      </c>
      <c r="AM1618">
        <v>0</v>
      </c>
      <c r="AP1618" t="s">
        <v>392</v>
      </c>
    </row>
    <row r="1619" spans="1:42" customFormat="1">
      <c r="A1619">
        <v>272837</v>
      </c>
      <c r="B1619" t="s">
        <v>4577</v>
      </c>
      <c r="C1619" t="s">
        <v>4578</v>
      </c>
      <c r="D1619" s="22">
        <v>0</v>
      </c>
      <c r="E1619" s="17">
        <v>42149</v>
      </c>
      <c r="F1619" s="18">
        <v>0.55564814814814811</v>
      </c>
      <c r="G1619" s="22">
        <v>1724</v>
      </c>
      <c r="H1619">
        <v>0</v>
      </c>
      <c r="I1619" s="19" t="e">
        <f>I1618 + (D1619-G1619)</f>
        <v>#VALUE!</v>
      </c>
      <c r="M1619">
        <v>125067</v>
      </c>
      <c r="N1619">
        <v>24</v>
      </c>
      <c r="O1619" t="s">
        <v>68</v>
      </c>
      <c r="P1619">
        <v>1</v>
      </c>
      <c r="R1619">
        <v>1578</v>
      </c>
      <c r="S1619" s="17">
        <v>42166</v>
      </c>
      <c r="T1619" s="17">
        <v>42166</v>
      </c>
      <c r="W1619">
        <v>2015</v>
      </c>
      <c r="X1619">
        <v>24</v>
      </c>
      <c r="AC1619" t="s">
        <v>106</v>
      </c>
      <c r="AD1619" t="s">
        <v>302</v>
      </c>
      <c r="AE1619" t="s">
        <v>46</v>
      </c>
      <c r="AG1619">
        <v>12</v>
      </c>
      <c r="AH1619">
        <v>10</v>
      </c>
      <c r="AI1619" t="s">
        <v>95</v>
      </c>
      <c r="AK1619">
        <v>0</v>
      </c>
      <c r="AM1619">
        <v>0</v>
      </c>
      <c r="AP1619" t="s">
        <v>392</v>
      </c>
    </row>
    <row r="1620" spans="1:42" customFormat="1">
      <c r="A1620">
        <v>272838</v>
      </c>
      <c r="B1620" t="s">
        <v>4579</v>
      </c>
      <c r="C1620" t="s">
        <v>4580</v>
      </c>
      <c r="D1620" s="22">
        <v>0</v>
      </c>
      <c r="E1620" s="17">
        <v>42149</v>
      </c>
      <c r="F1620" s="18">
        <v>0.55564814814814811</v>
      </c>
      <c r="G1620" s="22">
        <v>1473</v>
      </c>
      <c r="H1620">
        <v>0</v>
      </c>
      <c r="I1620" s="19" t="e">
        <f>I1619 + (D1620-G1620)</f>
        <v>#VALUE!</v>
      </c>
      <c r="M1620">
        <v>125068</v>
      </c>
      <c r="N1620">
        <v>24</v>
      </c>
      <c r="O1620" t="s">
        <v>68</v>
      </c>
      <c r="P1620">
        <v>1</v>
      </c>
      <c r="R1620">
        <v>1578</v>
      </c>
      <c r="S1620" s="17">
        <v>42166</v>
      </c>
      <c r="T1620" s="17">
        <v>42166</v>
      </c>
      <c r="W1620">
        <v>2015</v>
      </c>
      <c r="X1620">
        <v>24</v>
      </c>
      <c r="AC1620" t="s">
        <v>106</v>
      </c>
      <c r="AD1620" t="s">
        <v>302</v>
      </c>
      <c r="AE1620" t="s">
        <v>46</v>
      </c>
      <c r="AG1620">
        <v>12</v>
      </c>
      <c r="AH1620">
        <v>10</v>
      </c>
      <c r="AI1620" t="s">
        <v>95</v>
      </c>
      <c r="AK1620">
        <v>0</v>
      </c>
      <c r="AM1620">
        <v>0</v>
      </c>
      <c r="AP1620" t="s">
        <v>392</v>
      </c>
    </row>
    <row r="1621" spans="1:42" customFormat="1">
      <c r="A1621">
        <v>272839</v>
      </c>
      <c r="B1621" t="s">
        <v>4581</v>
      </c>
      <c r="C1621" t="s">
        <v>4582</v>
      </c>
      <c r="D1621" s="22">
        <v>0</v>
      </c>
      <c r="E1621" s="17">
        <v>42149</v>
      </c>
      <c r="F1621" s="18">
        <v>0.55564814814814811</v>
      </c>
      <c r="G1621" s="22">
        <v>1473</v>
      </c>
      <c r="H1621">
        <v>0</v>
      </c>
      <c r="I1621" s="19" t="e">
        <f>I1620 + (D1621-G1621)</f>
        <v>#VALUE!</v>
      </c>
      <c r="M1621">
        <v>125069</v>
      </c>
      <c r="N1621">
        <v>24</v>
      </c>
      <c r="O1621" t="s">
        <v>68</v>
      </c>
      <c r="P1621">
        <v>1</v>
      </c>
      <c r="R1621">
        <v>1578</v>
      </c>
      <c r="S1621" s="17">
        <v>42166</v>
      </c>
      <c r="T1621" s="17">
        <v>42166</v>
      </c>
      <c r="W1621">
        <v>2015</v>
      </c>
      <c r="X1621">
        <v>24</v>
      </c>
      <c r="AC1621" t="s">
        <v>106</v>
      </c>
      <c r="AD1621" t="s">
        <v>302</v>
      </c>
      <c r="AE1621" t="s">
        <v>46</v>
      </c>
      <c r="AG1621">
        <v>12</v>
      </c>
      <c r="AH1621">
        <v>10</v>
      </c>
      <c r="AI1621" t="s">
        <v>95</v>
      </c>
      <c r="AK1621">
        <v>0</v>
      </c>
      <c r="AM1621">
        <v>0</v>
      </c>
      <c r="AP1621" t="s">
        <v>392</v>
      </c>
    </row>
    <row r="1622" spans="1:42" customFormat="1">
      <c r="A1622">
        <v>272843</v>
      </c>
      <c r="B1622" t="s">
        <v>4806</v>
      </c>
      <c r="C1622" t="s">
        <v>4807</v>
      </c>
      <c r="D1622" s="22">
        <v>0</v>
      </c>
      <c r="E1622" s="17">
        <v>42150</v>
      </c>
      <c r="F1622" s="18">
        <v>0.55745370370370373</v>
      </c>
      <c r="G1622" s="22">
        <v>1551.6</v>
      </c>
      <c r="H1622">
        <v>0</v>
      </c>
      <c r="I1622" s="19" t="e">
        <f>I1621 + (D1622-G1622)</f>
        <v>#VALUE!</v>
      </c>
      <c r="M1622">
        <v>125072</v>
      </c>
      <c r="N1622">
        <v>24</v>
      </c>
      <c r="O1622" t="s">
        <v>68</v>
      </c>
      <c r="P1622">
        <v>1</v>
      </c>
      <c r="R1622">
        <v>1578</v>
      </c>
      <c r="S1622" s="17">
        <v>42166</v>
      </c>
      <c r="T1622" s="17">
        <v>42166</v>
      </c>
      <c r="W1622">
        <v>2015</v>
      </c>
      <c r="X1622">
        <v>24</v>
      </c>
      <c r="AC1622" t="s">
        <v>106</v>
      </c>
      <c r="AD1622" t="s">
        <v>302</v>
      </c>
      <c r="AE1622" t="s">
        <v>46</v>
      </c>
      <c r="AG1622">
        <v>12</v>
      </c>
      <c r="AH1622">
        <v>10</v>
      </c>
      <c r="AI1622" t="s">
        <v>95</v>
      </c>
      <c r="AK1622">
        <v>0</v>
      </c>
      <c r="AM1622">
        <v>0</v>
      </c>
      <c r="AP1622" t="s">
        <v>392</v>
      </c>
    </row>
    <row r="1623" spans="1:42" customFormat="1">
      <c r="A1623">
        <v>272844</v>
      </c>
      <c r="B1623" t="s">
        <v>4808</v>
      </c>
      <c r="C1623" t="s">
        <v>4809</v>
      </c>
      <c r="D1623" s="22">
        <v>0</v>
      </c>
      <c r="E1623" s="17">
        <v>42150</v>
      </c>
      <c r="F1623" s="18">
        <v>0.55745370370370373</v>
      </c>
      <c r="G1623" s="22">
        <v>1551.6</v>
      </c>
      <c r="H1623">
        <v>0</v>
      </c>
      <c r="I1623" s="19" t="e">
        <f>I1622 + (D1623-G1623)</f>
        <v>#VALUE!</v>
      </c>
      <c r="M1623">
        <v>125073</v>
      </c>
      <c r="N1623">
        <v>24</v>
      </c>
      <c r="O1623" t="s">
        <v>68</v>
      </c>
      <c r="P1623">
        <v>1</v>
      </c>
      <c r="R1623">
        <v>1578</v>
      </c>
      <c r="S1623" s="17">
        <v>42166</v>
      </c>
      <c r="T1623" s="17">
        <v>42166</v>
      </c>
      <c r="W1623">
        <v>2015</v>
      </c>
      <c r="X1623">
        <v>24</v>
      </c>
      <c r="AC1623" t="s">
        <v>106</v>
      </c>
      <c r="AD1623" t="s">
        <v>302</v>
      </c>
      <c r="AE1623" t="s">
        <v>46</v>
      </c>
      <c r="AG1623">
        <v>12</v>
      </c>
      <c r="AH1623">
        <v>10</v>
      </c>
      <c r="AI1623" t="s">
        <v>95</v>
      </c>
      <c r="AK1623">
        <v>0</v>
      </c>
      <c r="AM1623">
        <v>0</v>
      </c>
      <c r="AP1623" t="s">
        <v>392</v>
      </c>
    </row>
    <row r="1624" spans="1:42" customFormat="1">
      <c r="A1624">
        <v>272845</v>
      </c>
      <c r="B1624" t="s">
        <v>4810</v>
      </c>
      <c r="C1624" t="s">
        <v>4811</v>
      </c>
      <c r="D1624" s="22">
        <v>0</v>
      </c>
      <c r="E1624" s="17">
        <v>42150</v>
      </c>
      <c r="F1624" s="18">
        <v>0.55745370370370373</v>
      </c>
      <c r="G1624" s="22">
        <v>1473</v>
      </c>
      <c r="H1624">
        <v>0</v>
      </c>
      <c r="I1624" s="19" t="e">
        <f>I1623 + (D1624-G1624)</f>
        <v>#VALUE!</v>
      </c>
      <c r="M1624">
        <v>125074</v>
      </c>
      <c r="N1624">
        <v>24</v>
      </c>
      <c r="O1624" t="s">
        <v>68</v>
      </c>
      <c r="P1624">
        <v>1</v>
      </c>
      <c r="R1624">
        <v>1578</v>
      </c>
      <c r="S1624" s="17">
        <v>42166</v>
      </c>
      <c r="T1624" s="17">
        <v>42166</v>
      </c>
      <c r="W1624">
        <v>2015</v>
      </c>
      <c r="X1624">
        <v>24</v>
      </c>
      <c r="AC1624" t="s">
        <v>106</v>
      </c>
      <c r="AD1624" t="s">
        <v>302</v>
      </c>
      <c r="AE1624" t="s">
        <v>46</v>
      </c>
      <c r="AG1624">
        <v>12</v>
      </c>
      <c r="AH1624">
        <v>10</v>
      </c>
      <c r="AI1624" t="s">
        <v>95</v>
      </c>
      <c r="AK1624">
        <v>0</v>
      </c>
      <c r="AM1624">
        <v>0</v>
      </c>
      <c r="AP1624" t="s">
        <v>392</v>
      </c>
    </row>
    <row r="1625" spans="1:42" customFormat="1">
      <c r="A1625">
        <v>272846</v>
      </c>
      <c r="B1625" t="s">
        <v>4812</v>
      </c>
      <c r="C1625" t="s">
        <v>4813</v>
      </c>
      <c r="D1625" s="22">
        <v>0</v>
      </c>
      <c r="E1625" s="17">
        <v>42150</v>
      </c>
      <c r="F1625" s="18">
        <v>0.55745370370370373</v>
      </c>
      <c r="G1625" s="22">
        <v>1473</v>
      </c>
      <c r="H1625">
        <v>0</v>
      </c>
      <c r="I1625" s="19" t="e">
        <f>I1624 + (D1625-G1625)</f>
        <v>#VALUE!</v>
      </c>
      <c r="M1625">
        <v>125075</v>
      </c>
      <c r="N1625">
        <v>24</v>
      </c>
      <c r="O1625" t="s">
        <v>68</v>
      </c>
      <c r="P1625">
        <v>1</v>
      </c>
      <c r="R1625">
        <v>1578</v>
      </c>
      <c r="S1625" s="17">
        <v>42166</v>
      </c>
      <c r="T1625" s="17">
        <v>42166</v>
      </c>
      <c r="W1625">
        <v>2015</v>
      </c>
      <c r="X1625">
        <v>24</v>
      </c>
      <c r="AC1625" t="s">
        <v>106</v>
      </c>
      <c r="AD1625" t="s">
        <v>302</v>
      </c>
      <c r="AE1625" t="s">
        <v>46</v>
      </c>
      <c r="AG1625">
        <v>12</v>
      </c>
      <c r="AH1625">
        <v>10</v>
      </c>
      <c r="AI1625" t="s">
        <v>95</v>
      </c>
      <c r="AK1625">
        <v>0</v>
      </c>
      <c r="AM1625">
        <v>0</v>
      </c>
      <c r="AP1625" t="s">
        <v>392</v>
      </c>
    </row>
    <row r="1626" spans="1:42" customFormat="1">
      <c r="A1626">
        <v>272847</v>
      </c>
      <c r="B1626" t="s">
        <v>4814</v>
      </c>
      <c r="C1626" t="s">
        <v>4815</v>
      </c>
      <c r="D1626" s="22">
        <v>0</v>
      </c>
      <c r="E1626" s="17">
        <v>42150</v>
      </c>
      <c r="F1626" s="18">
        <v>0.55745370370370373</v>
      </c>
      <c r="G1626" s="22">
        <v>1473</v>
      </c>
      <c r="H1626">
        <v>0</v>
      </c>
      <c r="I1626" s="19" t="e">
        <f>I1625 + (D1626-G1626)</f>
        <v>#VALUE!</v>
      </c>
      <c r="M1626">
        <v>125076</v>
      </c>
      <c r="N1626">
        <v>24</v>
      </c>
      <c r="O1626" t="s">
        <v>68</v>
      </c>
      <c r="P1626">
        <v>1</v>
      </c>
      <c r="R1626">
        <v>1578</v>
      </c>
      <c r="S1626" s="17">
        <v>42166</v>
      </c>
      <c r="T1626" s="17">
        <v>42166</v>
      </c>
      <c r="W1626">
        <v>2015</v>
      </c>
      <c r="X1626">
        <v>24</v>
      </c>
      <c r="AC1626" t="s">
        <v>106</v>
      </c>
      <c r="AD1626" t="s">
        <v>302</v>
      </c>
      <c r="AE1626" t="s">
        <v>46</v>
      </c>
      <c r="AG1626">
        <v>12</v>
      </c>
      <c r="AH1626">
        <v>10</v>
      </c>
      <c r="AI1626" t="s">
        <v>95</v>
      </c>
      <c r="AK1626">
        <v>0</v>
      </c>
      <c r="AM1626">
        <v>0</v>
      </c>
      <c r="AP1626" t="s">
        <v>392</v>
      </c>
    </row>
    <row r="1627" spans="1:42" customFormat="1">
      <c r="A1627">
        <v>272848</v>
      </c>
      <c r="B1627" t="s">
        <v>4816</v>
      </c>
      <c r="C1627" t="s">
        <v>4817</v>
      </c>
      <c r="D1627" s="22">
        <v>0</v>
      </c>
      <c r="E1627" s="17">
        <v>42150</v>
      </c>
      <c r="F1627" s="18">
        <v>0.55745370370370373</v>
      </c>
      <c r="G1627" s="22">
        <v>1473</v>
      </c>
      <c r="H1627">
        <v>0</v>
      </c>
      <c r="I1627" s="19" t="e">
        <f>I1626 + (D1627-G1627)</f>
        <v>#VALUE!</v>
      </c>
      <c r="M1627">
        <v>125077</v>
      </c>
      <c r="N1627">
        <v>24</v>
      </c>
      <c r="O1627" t="s">
        <v>68</v>
      </c>
      <c r="P1627">
        <v>1</v>
      </c>
      <c r="R1627">
        <v>1578</v>
      </c>
      <c r="S1627" s="17">
        <v>42166</v>
      </c>
      <c r="T1627" s="17">
        <v>42166</v>
      </c>
      <c r="W1627">
        <v>2015</v>
      </c>
      <c r="X1627">
        <v>24</v>
      </c>
      <c r="AC1627" t="s">
        <v>106</v>
      </c>
      <c r="AD1627" t="s">
        <v>302</v>
      </c>
      <c r="AE1627" t="s">
        <v>46</v>
      </c>
      <c r="AG1627">
        <v>12</v>
      </c>
      <c r="AH1627">
        <v>10</v>
      </c>
      <c r="AI1627" t="s">
        <v>95</v>
      </c>
      <c r="AK1627">
        <v>0</v>
      </c>
      <c r="AM1627">
        <v>0</v>
      </c>
      <c r="AP1627" t="s">
        <v>392</v>
      </c>
    </row>
    <row r="1628" spans="1:42" customFormat="1">
      <c r="A1628">
        <v>272854</v>
      </c>
      <c r="B1628" t="s">
        <v>4966</v>
      </c>
      <c r="C1628" t="s">
        <v>4967</v>
      </c>
      <c r="D1628" s="22">
        <v>0</v>
      </c>
      <c r="E1628" s="17">
        <v>42151</v>
      </c>
      <c r="F1628" s="18">
        <v>0.56062500000000004</v>
      </c>
      <c r="G1628" s="22">
        <v>1473</v>
      </c>
      <c r="H1628">
        <v>0</v>
      </c>
      <c r="I1628" s="19" t="e">
        <f>I1627 + (D1628-G1628)</f>
        <v>#VALUE!</v>
      </c>
      <c r="M1628">
        <v>125080</v>
      </c>
      <c r="N1628">
        <v>24</v>
      </c>
      <c r="O1628" t="s">
        <v>68</v>
      </c>
      <c r="P1628">
        <v>1</v>
      </c>
      <c r="R1628">
        <v>1578</v>
      </c>
      <c r="S1628" s="17">
        <v>42166</v>
      </c>
      <c r="T1628" s="17">
        <v>42166</v>
      </c>
      <c r="W1628">
        <v>2015</v>
      </c>
      <c r="X1628">
        <v>24</v>
      </c>
      <c r="AC1628" t="s">
        <v>106</v>
      </c>
      <c r="AD1628" t="s">
        <v>302</v>
      </c>
      <c r="AE1628" t="s">
        <v>46</v>
      </c>
      <c r="AG1628">
        <v>12</v>
      </c>
      <c r="AH1628">
        <v>10</v>
      </c>
      <c r="AI1628" t="s">
        <v>95</v>
      </c>
      <c r="AK1628">
        <v>0</v>
      </c>
      <c r="AM1628">
        <v>0</v>
      </c>
      <c r="AP1628" t="s">
        <v>392</v>
      </c>
    </row>
    <row r="1629" spans="1:42" customFormat="1">
      <c r="A1629">
        <v>272855</v>
      </c>
      <c r="B1629" t="s">
        <v>4968</v>
      </c>
      <c r="C1629" t="s">
        <v>4969</v>
      </c>
      <c r="D1629" s="22">
        <v>0</v>
      </c>
      <c r="E1629" s="17">
        <v>42151</v>
      </c>
      <c r="F1629" s="18">
        <v>0.56062500000000004</v>
      </c>
      <c r="G1629" s="22">
        <v>1473</v>
      </c>
      <c r="H1629">
        <v>0</v>
      </c>
      <c r="I1629" s="19" t="e">
        <f>I1628 + (D1629-G1629)</f>
        <v>#VALUE!</v>
      </c>
      <c r="M1629">
        <v>125081</v>
      </c>
      <c r="N1629">
        <v>24</v>
      </c>
      <c r="O1629" t="s">
        <v>68</v>
      </c>
      <c r="P1629">
        <v>1</v>
      </c>
      <c r="R1629">
        <v>1578</v>
      </c>
      <c r="S1629" s="17">
        <v>42166</v>
      </c>
      <c r="T1629" s="17">
        <v>42166</v>
      </c>
      <c r="W1629">
        <v>2015</v>
      </c>
      <c r="X1629">
        <v>24</v>
      </c>
      <c r="AC1629" t="s">
        <v>106</v>
      </c>
      <c r="AD1629" t="s">
        <v>302</v>
      </c>
      <c r="AE1629" t="s">
        <v>46</v>
      </c>
      <c r="AG1629">
        <v>12</v>
      </c>
      <c r="AH1629">
        <v>10</v>
      </c>
      <c r="AI1629" t="s">
        <v>95</v>
      </c>
      <c r="AK1629">
        <v>0</v>
      </c>
      <c r="AM1629">
        <v>0</v>
      </c>
      <c r="AP1629" t="s">
        <v>392</v>
      </c>
    </row>
    <row r="1630" spans="1:42" customFormat="1">
      <c r="A1630">
        <v>272856</v>
      </c>
      <c r="B1630" t="s">
        <v>4970</v>
      </c>
      <c r="C1630" t="s">
        <v>4971</v>
      </c>
      <c r="D1630" s="22">
        <v>0</v>
      </c>
      <c r="E1630" s="17">
        <v>42151</v>
      </c>
      <c r="F1630" s="18">
        <v>0.56062500000000004</v>
      </c>
      <c r="G1630" s="22">
        <v>1473</v>
      </c>
      <c r="H1630">
        <v>0</v>
      </c>
      <c r="I1630" s="19" t="e">
        <f>I1629 + (D1630-G1630)</f>
        <v>#VALUE!</v>
      </c>
      <c r="M1630">
        <v>125082</v>
      </c>
      <c r="N1630">
        <v>24</v>
      </c>
      <c r="O1630" t="s">
        <v>68</v>
      </c>
      <c r="P1630">
        <v>1</v>
      </c>
      <c r="R1630">
        <v>1578</v>
      </c>
      <c r="S1630" s="17">
        <v>42166</v>
      </c>
      <c r="T1630" s="17">
        <v>42166</v>
      </c>
      <c r="W1630">
        <v>2015</v>
      </c>
      <c r="X1630">
        <v>24</v>
      </c>
      <c r="AC1630" t="s">
        <v>106</v>
      </c>
      <c r="AD1630" t="s">
        <v>302</v>
      </c>
      <c r="AE1630" t="s">
        <v>46</v>
      </c>
      <c r="AG1630">
        <v>12</v>
      </c>
      <c r="AH1630">
        <v>10</v>
      </c>
      <c r="AI1630" t="s">
        <v>95</v>
      </c>
      <c r="AK1630">
        <v>0</v>
      </c>
      <c r="AM1630">
        <v>0</v>
      </c>
      <c r="AP1630" t="s">
        <v>392</v>
      </c>
    </row>
    <row r="1631" spans="1:42" customFormat="1">
      <c r="A1631">
        <v>272857</v>
      </c>
      <c r="B1631" t="s">
        <v>4972</v>
      </c>
      <c r="C1631" t="s">
        <v>4973</v>
      </c>
      <c r="D1631" s="22">
        <v>0</v>
      </c>
      <c r="E1631" s="17">
        <v>42151</v>
      </c>
      <c r="F1631" s="18">
        <v>0.56062500000000004</v>
      </c>
      <c r="G1631" s="22">
        <v>1473</v>
      </c>
      <c r="H1631">
        <v>0</v>
      </c>
      <c r="I1631" s="19" t="e">
        <f>I1630 + (D1631-G1631)</f>
        <v>#VALUE!</v>
      </c>
      <c r="M1631">
        <v>125083</v>
      </c>
      <c r="N1631">
        <v>24</v>
      </c>
      <c r="O1631" t="s">
        <v>68</v>
      </c>
      <c r="P1631">
        <v>1</v>
      </c>
      <c r="R1631">
        <v>1578</v>
      </c>
      <c r="S1631" s="17">
        <v>42166</v>
      </c>
      <c r="T1631" s="17">
        <v>42166</v>
      </c>
      <c r="W1631">
        <v>2015</v>
      </c>
      <c r="X1631">
        <v>24</v>
      </c>
      <c r="AC1631" t="s">
        <v>106</v>
      </c>
      <c r="AD1631" t="s">
        <v>302</v>
      </c>
      <c r="AE1631" t="s">
        <v>46</v>
      </c>
      <c r="AG1631">
        <v>12</v>
      </c>
      <c r="AH1631">
        <v>10</v>
      </c>
      <c r="AI1631" t="s">
        <v>95</v>
      </c>
      <c r="AK1631">
        <v>0</v>
      </c>
      <c r="AM1631">
        <v>0</v>
      </c>
      <c r="AP1631" t="s">
        <v>392</v>
      </c>
    </row>
    <row r="1632" spans="1:42" customFormat="1">
      <c r="A1632">
        <v>272858</v>
      </c>
      <c r="B1632" t="s">
        <v>4974</v>
      </c>
      <c r="C1632" t="s">
        <v>4975</v>
      </c>
      <c r="D1632" s="22">
        <v>0</v>
      </c>
      <c r="E1632" s="17">
        <v>42151</v>
      </c>
      <c r="F1632" s="18">
        <v>0.56062500000000004</v>
      </c>
      <c r="G1632" s="22">
        <v>1473</v>
      </c>
      <c r="H1632">
        <v>0</v>
      </c>
      <c r="I1632" s="19" t="e">
        <f>I1631 + (D1632-G1632)</f>
        <v>#VALUE!</v>
      </c>
      <c r="M1632">
        <v>125084</v>
      </c>
      <c r="N1632">
        <v>24</v>
      </c>
      <c r="O1632" t="s">
        <v>68</v>
      </c>
      <c r="P1632">
        <v>1</v>
      </c>
      <c r="R1632">
        <v>1578</v>
      </c>
      <c r="S1632" s="17">
        <v>42166</v>
      </c>
      <c r="T1632" s="17">
        <v>42166</v>
      </c>
      <c r="W1632">
        <v>2015</v>
      </c>
      <c r="X1632">
        <v>24</v>
      </c>
      <c r="AC1632" t="s">
        <v>106</v>
      </c>
      <c r="AD1632" t="s">
        <v>302</v>
      </c>
      <c r="AE1632" t="s">
        <v>46</v>
      </c>
      <c r="AG1632">
        <v>12</v>
      </c>
      <c r="AH1632">
        <v>10</v>
      </c>
      <c r="AI1632" t="s">
        <v>95</v>
      </c>
      <c r="AK1632">
        <v>0</v>
      </c>
      <c r="AM1632">
        <v>0</v>
      </c>
      <c r="AP1632" t="s">
        <v>392</v>
      </c>
    </row>
    <row r="1633" spans="1:42" customFormat="1">
      <c r="A1633">
        <v>272859</v>
      </c>
      <c r="B1633" t="s">
        <v>4976</v>
      </c>
      <c r="C1633" t="s">
        <v>4977</v>
      </c>
      <c r="D1633" s="22">
        <v>0</v>
      </c>
      <c r="E1633" s="17">
        <v>42151</v>
      </c>
      <c r="F1633" s="18">
        <v>0.56062500000000004</v>
      </c>
      <c r="G1633" s="22">
        <v>1473</v>
      </c>
      <c r="H1633">
        <v>0</v>
      </c>
      <c r="I1633" s="19" t="e">
        <f>I1632 + (D1633-G1633)</f>
        <v>#VALUE!</v>
      </c>
      <c r="M1633">
        <v>125085</v>
      </c>
      <c r="N1633">
        <v>24</v>
      </c>
      <c r="O1633" t="s">
        <v>68</v>
      </c>
      <c r="P1633">
        <v>1</v>
      </c>
      <c r="R1633">
        <v>1578</v>
      </c>
      <c r="S1633" s="17">
        <v>42166</v>
      </c>
      <c r="T1633" s="17">
        <v>42166</v>
      </c>
      <c r="W1633">
        <v>2015</v>
      </c>
      <c r="X1633">
        <v>24</v>
      </c>
      <c r="AC1633" t="s">
        <v>106</v>
      </c>
      <c r="AD1633" t="s">
        <v>302</v>
      </c>
      <c r="AE1633" t="s">
        <v>46</v>
      </c>
      <c r="AG1633">
        <v>12</v>
      </c>
      <c r="AH1633">
        <v>10</v>
      </c>
      <c r="AI1633" t="s">
        <v>95</v>
      </c>
      <c r="AK1633">
        <v>0</v>
      </c>
      <c r="AM1633">
        <v>0</v>
      </c>
      <c r="AP1633" t="s">
        <v>392</v>
      </c>
    </row>
    <row r="1634" spans="1:42" customFormat="1">
      <c r="A1634">
        <v>272852</v>
      </c>
      <c r="B1634" t="s">
        <v>4978</v>
      </c>
      <c r="C1634" t="s">
        <v>4979</v>
      </c>
      <c r="D1634" s="22">
        <v>0</v>
      </c>
      <c r="E1634" s="17">
        <v>42151</v>
      </c>
      <c r="F1634" s="18">
        <v>0.56062500000000004</v>
      </c>
      <c r="G1634" s="22">
        <v>1473</v>
      </c>
      <c r="H1634">
        <v>0</v>
      </c>
      <c r="I1634" s="19" t="e">
        <f>I1633 + (D1634-G1634)</f>
        <v>#VALUE!</v>
      </c>
      <c r="M1634">
        <v>125078</v>
      </c>
      <c r="N1634">
        <v>24</v>
      </c>
      <c r="O1634" t="s">
        <v>68</v>
      </c>
      <c r="P1634">
        <v>1</v>
      </c>
      <c r="R1634">
        <v>1578</v>
      </c>
      <c r="S1634" s="17">
        <v>42166</v>
      </c>
      <c r="T1634" s="17">
        <v>42166</v>
      </c>
      <c r="W1634">
        <v>2015</v>
      </c>
      <c r="X1634">
        <v>24</v>
      </c>
      <c r="AC1634" t="s">
        <v>106</v>
      </c>
      <c r="AD1634" t="s">
        <v>302</v>
      </c>
      <c r="AE1634" t="s">
        <v>46</v>
      </c>
      <c r="AG1634">
        <v>12</v>
      </c>
      <c r="AH1634">
        <v>10</v>
      </c>
      <c r="AI1634" t="s">
        <v>95</v>
      </c>
      <c r="AK1634">
        <v>0</v>
      </c>
      <c r="AM1634">
        <v>0</v>
      </c>
      <c r="AP1634" t="s">
        <v>392</v>
      </c>
    </row>
    <row r="1635" spans="1:42" customFormat="1">
      <c r="A1635">
        <v>272853</v>
      </c>
      <c r="B1635" t="s">
        <v>4980</v>
      </c>
      <c r="C1635" t="s">
        <v>4981</v>
      </c>
      <c r="D1635" s="22">
        <v>0</v>
      </c>
      <c r="E1635" s="17">
        <v>42151</v>
      </c>
      <c r="F1635" s="18">
        <v>0.56062500000000004</v>
      </c>
      <c r="G1635" s="22">
        <v>1473</v>
      </c>
      <c r="H1635">
        <v>0</v>
      </c>
      <c r="I1635" s="19" t="e">
        <f>I1634 + (D1635-G1635)</f>
        <v>#VALUE!</v>
      </c>
      <c r="M1635">
        <v>125079</v>
      </c>
      <c r="N1635">
        <v>24</v>
      </c>
      <c r="O1635" t="s">
        <v>68</v>
      </c>
      <c r="P1635">
        <v>1</v>
      </c>
      <c r="R1635">
        <v>1578</v>
      </c>
      <c r="S1635" s="17">
        <v>42166</v>
      </c>
      <c r="T1635" s="17">
        <v>42166</v>
      </c>
      <c r="W1635">
        <v>2015</v>
      </c>
      <c r="X1635">
        <v>24</v>
      </c>
      <c r="AC1635" t="s">
        <v>106</v>
      </c>
      <c r="AD1635" t="s">
        <v>302</v>
      </c>
      <c r="AE1635" t="s">
        <v>46</v>
      </c>
      <c r="AG1635">
        <v>12</v>
      </c>
      <c r="AH1635">
        <v>10</v>
      </c>
      <c r="AI1635" t="s">
        <v>95</v>
      </c>
      <c r="AK1635">
        <v>0</v>
      </c>
      <c r="AM1635">
        <v>0</v>
      </c>
      <c r="AP1635" t="s">
        <v>392</v>
      </c>
    </row>
    <row r="1636" spans="1:42" customFormat="1">
      <c r="A1636">
        <v>271810</v>
      </c>
      <c r="B1636" t="s">
        <v>5052</v>
      </c>
      <c r="C1636" t="s">
        <v>5053</v>
      </c>
      <c r="D1636" s="22">
        <v>0</v>
      </c>
      <c r="E1636" s="17">
        <v>42152</v>
      </c>
      <c r="F1636" s="18">
        <v>0.42834490740740744</v>
      </c>
      <c r="G1636" s="22">
        <v>1473</v>
      </c>
      <c r="H1636">
        <v>0</v>
      </c>
      <c r="I1636" s="19" t="e">
        <f>I1635 + (D1636-G1636)</f>
        <v>#VALUE!</v>
      </c>
      <c r="M1636">
        <v>124540</v>
      </c>
      <c r="N1636">
        <v>24</v>
      </c>
      <c r="O1636" t="s">
        <v>68</v>
      </c>
      <c r="P1636">
        <v>1</v>
      </c>
      <c r="R1636">
        <v>1578</v>
      </c>
      <c r="S1636" s="17">
        <v>42160</v>
      </c>
      <c r="T1636" s="17">
        <v>42160</v>
      </c>
      <c r="W1636">
        <v>2015</v>
      </c>
      <c r="X1636">
        <v>24</v>
      </c>
      <c r="AC1636" t="s">
        <v>106</v>
      </c>
      <c r="AD1636" t="s">
        <v>302</v>
      </c>
      <c r="AE1636" t="s">
        <v>46</v>
      </c>
      <c r="AG1636">
        <v>12</v>
      </c>
      <c r="AH1636">
        <v>10</v>
      </c>
      <c r="AI1636" t="s">
        <v>95</v>
      </c>
      <c r="AK1636">
        <v>0</v>
      </c>
      <c r="AM1636">
        <v>0</v>
      </c>
      <c r="AP1636" t="s">
        <v>392</v>
      </c>
    </row>
    <row r="1637" spans="1:42" customFormat="1">
      <c r="A1637">
        <v>271807</v>
      </c>
      <c r="B1637" t="s">
        <v>5054</v>
      </c>
      <c r="C1637" t="s">
        <v>5055</v>
      </c>
      <c r="D1637" s="22">
        <v>0</v>
      </c>
      <c r="E1637" s="17">
        <v>42152</v>
      </c>
      <c r="F1637" s="18">
        <v>0.42834490740740744</v>
      </c>
      <c r="G1637" s="22">
        <v>1051</v>
      </c>
      <c r="H1637">
        <v>0</v>
      </c>
      <c r="I1637" s="19" t="e">
        <f>I1636 + (D1637-G1637)</f>
        <v>#VALUE!</v>
      </c>
      <c r="M1637">
        <v>124548</v>
      </c>
      <c r="N1637">
        <v>24</v>
      </c>
      <c r="O1637" t="s">
        <v>68</v>
      </c>
      <c r="P1637">
        <v>1</v>
      </c>
      <c r="R1637">
        <v>1578</v>
      </c>
      <c r="S1637" s="17">
        <v>42160</v>
      </c>
      <c r="T1637" s="17">
        <v>42160</v>
      </c>
      <c r="W1637">
        <v>2015</v>
      </c>
      <c r="X1637">
        <v>24</v>
      </c>
      <c r="AC1637" t="s">
        <v>106</v>
      </c>
      <c r="AD1637" t="s">
        <v>302</v>
      </c>
      <c r="AE1637" t="s">
        <v>46</v>
      </c>
      <c r="AG1637">
        <v>12</v>
      </c>
      <c r="AH1637">
        <v>10</v>
      </c>
      <c r="AI1637" t="s">
        <v>95</v>
      </c>
      <c r="AK1637">
        <v>0</v>
      </c>
      <c r="AM1637">
        <v>0</v>
      </c>
      <c r="AP1637" t="s">
        <v>392</v>
      </c>
    </row>
    <row r="1638" spans="1:42" customFormat="1">
      <c r="A1638">
        <v>271808</v>
      </c>
      <c r="B1638" t="s">
        <v>5056</v>
      </c>
      <c r="C1638" t="s">
        <v>5057</v>
      </c>
      <c r="D1638" s="22">
        <v>0</v>
      </c>
      <c r="E1638" s="17">
        <v>42152</v>
      </c>
      <c r="F1638" s="18">
        <v>0.42834490740740744</v>
      </c>
      <c r="G1638" s="22">
        <v>1473</v>
      </c>
      <c r="H1638">
        <v>0</v>
      </c>
      <c r="I1638" s="19" t="e">
        <f>I1637 + (D1638-G1638)</f>
        <v>#VALUE!</v>
      </c>
      <c r="M1638">
        <v>124539</v>
      </c>
      <c r="N1638">
        <v>24</v>
      </c>
      <c r="O1638" t="s">
        <v>68</v>
      </c>
      <c r="P1638">
        <v>1</v>
      </c>
      <c r="R1638">
        <v>1578</v>
      </c>
      <c r="S1638" s="17">
        <v>42160</v>
      </c>
      <c r="T1638" s="17">
        <v>42160</v>
      </c>
      <c r="W1638">
        <v>2015</v>
      </c>
      <c r="X1638">
        <v>24</v>
      </c>
      <c r="AC1638" t="s">
        <v>106</v>
      </c>
      <c r="AD1638" t="s">
        <v>302</v>
      </c>
      <c r="AE1638" t="s">
        <v>46</v>
      </c>
      <c r="AG1638">
        <v>12</v>
      </c>
      <c r="AH1638">
        <v>10</v>
      </c>
      <c r="AI1638" t="s">
        <v>95</v>
      </c>
      <c r="AK1638">
        <v>0</v>
      </c>
      <c r="AM1638">
        <v>0</v>
      </c>
      <c r="AP1638" t="s">
        <v>392</v>
      </c>
    </row>
    <row r="1639" spans="1:42" customFormat="1">
      <c r="A1639">
        <v>271809</v>
      </c>
      <c r="B1639" t="s">
        <v>5058</v>
      </c>
      <c r="C1639" t="s">
        <v>5059</v>
      </c>
      <c r="D1639" s="22">
        <v>0</v>
      </c>
      <c r="E1639" s="17">
        <v>42152</v>
      </c>
      <c r="F1639" s="18">
        <v>0.42834490740740744</v>
      </c>
      <c r="G1639" s="22">
        <v>1473</v>
      </c>
      <c r="H1639">
        <v>0</v>
      </c>
      <c r="I1639" s="19" t="e">
        <f>I1638 + (D1639-G1639)</f>
        <v>#VALUE!</v>
      </c>
      <c r="M1639">
        <v>124549</v>
      </c>
      <c r="N1639">
        <v>24</v>
      </c>
      <c r="O1639" t="s">
        <v>68</v>
      </c>
      <c r="P1639">
        <v>1</v>
      </c>
      <c r="R1639">
        <v>1578</v>
      </c>
      <c r="S1639" s="17">
        <v>42160</v>
      </c>
      <c r="T1639" s="17">
        <v>42160</v>
      </c>
      <c r="W1639">
        <v>2015</v>
      </c>
      <c r="X1639">
        <v>24</v>
      </c>
      <c r="AC1639" t="s">
        <v>106</v>
      </c>
      <c r="AD1639" t="s">
        <v>302</v>
      </c>
      <c r="AE1639" t="s">
        <v>46</v>
      </c>
      <c r="AG1639">
        <v>12</v>
      </c>
      <c r="AH1639">
        <v>10</v>
      </c>
      <c r="AI1639" t="s">
        <v>95</v>
      </c>
      <c r="AK1639">
        <v>0</v>
      </c>
      <c r="AM1639">
        <v>0</v>
      </c>
      <c r="AP1639" t="s">
        <v>392</v>
      </c>
    </row>
    <row r="1640" spans="1:42" customFormat="1">
      <c r="A1640">
        <v>271811</v>
      </c>
      <c r="B1640" t="s">
        <v>5060</v>
      </c>
      <c r="C1640" t="s">
        <v>5061</v>
      </c>
      <c r="D1640" s="22">
        <v>0</v>
      </c>
      <c r="E1640" s="17">
        <v>42152</v>
      </c>
      <c r="F1640" s="18">
        <v>0.42835648148148148</v>
      </c>
      <c r="G1640" s="22">
        <v>1473</v>
      </c>
      <c r="H1640">
        <v>0</v>
      </c>
      <c r="I1640" s="19" t="e">
        <f>I1639 + (D1640-G1640)</f>
        <v>#VALUE!</v>
      </c>
      <c r="M1640">
        <v>124550</v>
      </c>
      <c r="N1640">
        <v>24</v>
      </c>
      <c r="O1640" t="s">
        <v>68</v>
      </c>
      <c r="P1640">
        <v>1</v>
      </c>
      <c r="R1640">
        <v>1578</v>
      </c>
      <c r="S1640" s="17">
        <v>42160</v>
      </c>
      <c r="T1640" s="17">
        <v>42160</v>
      </c>
      <c r="W1640">
        <v>2015</v>
      </c>
      <c r="X1640">
        <v>24</v>
      </c>
      <c r="AC1640" t="s">
        <v>106</v>
      </c>
      <c r="AD1640" t="s">
        <v>302</v>
      </c>
      <c r="AE1640" t="s">
        <v>46</v>
      </c>
      <c r="AG1640">
        <v>12</v>
      </c>
      <c r="AH1640">
        <v>10</v>
      </c>
      <c r="AI1640" t="s">
        <v>95</v>
      </c>
      <c r="AK1640">
        <v>0</v>
      </c>
      <c r="AM1640">
        <v>0</v>
      </c>
      <c r="AP1640" t="s">
        <v>392</v>
      </c>
    </row>
    <row r="1641" spans="1:42" customFormat="1">
      <c r="A1641">
        <v>271812</v>
      </c>
      <c r="B1641" t="s">
        <v>5062</v>
      </c>
      <c r="C1641" t="s">
        <v>5063</v>
      </c>
      <c r="D1641" s="22">
        <v>0</v>
      </c>
      <c r="E1641" s="17">
        <v>42152</v>
      </c>
      <c r="F1641" s="18">
        <v>0.42835648148148148</v>
      </c>
      <c r="G1641" s="22">
        <v>1473</v>
      </c>
      <c r="H1641">
        <v>0</v>
      </c>
      <c r="I1641" s="19" t="e">
        <f>I1640 + (D1641-G1641)</f>
        <v>#VALUE!</v>
      </c>
      <c r="M1641">
        <v>124541</v>
      </c>
      <c r="N1641">
        <v>24</v>
      </c>
      <c r="O1641" t="s">
        <v>68</v>
      </c>
      <c r="P1641">
        <v>1</v>
      </c>
      <c r="R1641">
        <v>1578</v>
      </c>
      <c r="S1641" s="17">
        <v>42160</v>
      </c>
      <c r="T1641" s="17">
        <v>42160</v>
      </c>
      <c r="W1641">
        <v>2015</v>
      </c>
      <c r="X1641">
        <v>24</v>
      </c>
      <c r="AC1641" t="s">
        <v>106</v>
      </c>
      <c r="AD1641" t="s">
        <v>302</v>
      </c>
      <c r="AE1641" t="s">
        <v>46</v>
      </c>
      <c r="AG1641">
        <v>12</v>
      </c>
      <c r="AH1641">
        <v>10</v>
      </c>
      <c r="AI1641" t="s">
        <v>95</v>
      </c>
      <c r="AK1641">
        <v>0</v>
      </c>
      <c r="AM1641">
        <v>0</v>
      </c>
      <c r="AP1641" t="s">
        <v>392</v>
      </c>
    </row>
    <row r="1642" spans="1:42" customFormat="1">
      <c r="A1642">
        <v>271813</v>
      </c>
      <c r="B1642" t="s">
        <v>5064</v>
      </c>
      <c r="C1642" t="s">
        <v>5065</v>
      </c>
      <c r="D1642" s="22">
        <v>0</v>
      </c>
      <c r="E1642" s="17">
        <v>42152</v>
      </c>
      <c r="F1642" s="18">
        <v>0.42835648148148148</v>
      </c>
      <c r="G1642" s="22">
        <v>1473</v>
      </c>
      <c r="H1642">
        <v>0</v>
      </c>
      <c r="I1642" s="19" t="e">
        <f>I1641 + (D1642-G1642)</f>
        <v>#VALUE!</v>
      </c>
      <c r="M1642">
        <v>124551</v>
      </c>
      <c r="N1642">
        <v>24</v>
      </c>
      <c r="O1642" t="s">
        <v>68</v>
      </c>
      <c r="P1642">
        <v>1</v>
      </c>
      <c r="R1642">
        <v>1578</v>
      </c>
      <c r="S1642" s="17">
        <v>42160</v>
      </c>
      <c r="T1642" s="17">
        <v>42160</v>
      </c>
      <c r="W1642">
        <v>2015</v>
      </c>
      <c r="X1642">
        <v>24</v>
      </c>
      <c r="AC1642" t="s">
        <v>106</v>
      </c>
      <c r="AD1642" t="s">
        <v>302</v>
      </c>
      <c r="AE1642" t="s">
        <v>46</v>
      </c>
      <c r="AG1642">
        <v>12</v>
      </c>
      <c r="AH1642">
        <v>10</v>
      </c>
      <c r="AI1642" t="s">
        <v>95</v>
      </c>
      <c r="AK1642">
        <v>0</v>
      </c>
      <c r="AM1642">
        <v>0</v>
      </c>
      <c r="AP1642" t="s">
        <v>392</v>
      </c>
    </row>
    <row r="1643" spans="1:42" customFormat="1">
      <c r="A1643">
        <v>271814</v>
      </c>
      <c r="B1643" t="s">
        <v>5066</v>
      </c>
      <c r="C1643" t="s">
        <v>5067</v>
      </c>
      <c r="D1643" s="22">
        <v>0</v>
      </c>
      <c r="E1643" s="17">
        <v>42152</v>
      </c>
      <c r="F1643" s="18">
        <v>0.42835648148148148</v>
      </c>
      <c r="G1643" s="22">
        <v>1473</v>
      </c>
      <c r="H1643">
        <v>0</v>
      </c>
      <c r="I1643" s="19" t="e">
        <f>I1642 + (D1643-G1643)</f>
        <v>#VALUE!</v>
      </c>
      <c r="M1643">
        <v>124542</v>
      </c>
      <c r="N1643">
        <v>24</v>
      </c>
      <c r="O1643" t="s">
        <v>68</v>
      </c>
      <c r="P1643">
        <v>1</v>
      </c>
      <c r="R1643">
        <v>1578</v>
      </c>
      <c r="S1643" s="17">
        <v>42160</v>
      </c>
      <c r="T1643" s="17">
        <v>42160</v>
      </c>
      <c r="W1643">
        <v>2015</v>
      </c>
      <c r="X1643">
        <v>24</v>
      </c>
      <c r="AC1643" t="s">
        <v>106</v>
      </c>
      <c r="AD1643" t="s">
        <v>302</v>
      </c>
      <c r="AE1643" t="s">
        <v>46</v>
      </c>
      <c r="AG1643">
        <v>12</v>
      </c>
      <c r="AH1643">
        <v>10</v>
      </c>
      <c r="AI1643" t="s">
        <v>95</v>
      </c>
      <c r="AK1643">
        <v>0</v>
      </c>
      <c r="AM1643">
        <v>0</v>
      </c>
      <c r="AP1643" t="s">
        <v>392</v>
      </c>
    </row>
    <row r="1644" spans="1:42" customFormat="1">
      <c r="A1644">
        <v>271815</v>
      </c>
      <c r="B1644" t="s">
        <v>5068</v>
      </c>
      <c r="C1644" t="s">
        <v>5069</v>
      </c>
      <c r="D1644" s="22">
        <v>0</v>
      </c>
      <c r="E1644" s="17">
        <v>42152</v>
      </c>
      <c r="F1644" s="18">
        <v>0.42835648148148148</v>
      </c>
      <c r="G1644" s="22">
        <v>1473</v>
      </c>
      <c r="H1644">
        <v>0</v>
      </c>
      <c r="I1644" s="19" t="e">
        <f>I1643 + (D1644-G1644)</f>
        <v>#VALUE!</v>
      </c>
      <c r="M1644">
        <v>124552</v>
      </c>
      <c r="N1644">
        <v>24</v>
      </c>
      <c r="O1644" t="s">
        <v>68</v>
      </c>
      <c r="P1644">
        <v>1</v>
      </c>
      <c r="R1644">
        <v>1578</v>
      </c>
      <c r="S1644" s="17">
        <v>42160</v>
      </c>
      <c r="T1644" s="17">
        <v>42160</v>
      </c>
      <c r="W1644">
        <v>2015</v>
      </c>
      <c r="X1644">
        <v>24</v>
      </c>
      <c r="AC1644" t="s">
        <v>106</v>
      </c>
      <c r="AD1644" t="s">
        <v>302</v>
      </c>
      <c r="AE1644" t="s">
        <v>46</v>
      </c>
      <c r="AG1644">
        <v>12</v>
      </c>
      <c r="AH1644">
        <v>10</v>
      </c>
      <c r="AI1644" t="s">
        <v>95</v>
      </c>
      <c r="AK1644">
        <v>0</v>
      </c>
      <c r="AM1644">
        <v>0</v>
      </c>
      <c r="AP1644" t="s">
        <v>392</v>
      </c>
    </row>
    <row r="1645" spans="1:42" customFormat="1">
      <c r="A1645">
        <v>271816</v>
      </c>
      <c r="B1645" t="s">
        <v>5070</v>
      </c>
      <c r="C1645" t="s">
        <v>5071</v>
      </c>
      <c r="D1645" s="22">
        <v>0</v>
      </c>
      <c r="E1645" s="17">
        <v>42152</v>
      </c>
      <c r="F1645" s="18">
        <v>0.42835648148148148</v>
      </c>
      <c r="G1645" s="22">
        <v>1473</v>
      </c>
      <c r="H1645">
        <v>0</v>
      </c>
      <c r="I1645" s="19" t="e">
        <f>I1644 + (D1645-G1645)</f>
        <v>#VALUE!</v>
      </c>
      <c r="M1645">
        <v>124543</v>
      </c>
      <c r="N1645">
        <v>24</v>
      </c>
      <c r="O1645" t="s">
        <v>68</v>
      </c>
      <c r="P1645">
        <v>1</v>
      </c>
      <c r="R1645">
        <v>1578</v>
      </c>
      <c r="S1645" s="17">
        <v>42160</v>
      </c>
      <c r="T1645" s="17">
        <v>42160</v>
      </c>
      <c r="W1645">
        <v>2015</v>
      </c>
      <c r="X1645">
        <v>24</v>
      </c>
      <c r="AC1645" t="s">
        <v>106</v>
      </c>
      <c r="AD1645" t="s">
        <v>302</v>
      </c>
      <c r="AE1645" t="s">
        <v>46</v>
      </c>
      <c r="AG1645">
        <v>12</v>
      </c>
      <c r="AH1645">
        <v>10</v>
      </c>
      <c r="AI1645" t="s">
        <v>95</v>
      </c>
      <c r="AK1645">
        <v>0</v>
      </c>
      <c r="AM1645">
        <v>0</v>
      </c>
      <c r="AP1645" t="s">
        <v>392</v>
      </c>
    </row>
    <row r="1646" spans="1:42" customFormat="1">
      <c r="A1646">
        <v>271817</v>
      </c>
      <c r="B1646" t="s">
        <v>5072</v>
      </c>
      <c r="C1646" t="s">
        <v>5073</v>
      </c>
      <c r="D1646" s="22">
        <v>0</v>
      </c>
      <c r="E1646" s="17">
        <v>42152</v>
      </c>
      <c r="F1646" s="18">
        <v>0.42835648148148148</v>
      </c>
      <c r="G1646" s="22">
        <v>1399.35</v>
      </c>
      <c r="H1646">
        <v>0</v>
      </c>
      <c r="I1646" s="19" t="e">
        <f>I1645 + (D1646-G1646)</f>
        <v>#VALUE!</v>
      </c>
      <c r="M1646">
        <v>124553</v>
      </c>
      <c r="N1646">
        <v>24</v>
      </c>
      <c r="O1646" t="s">
        <v>68</v>
      </c>
      <c r="P1646">
        <v>1</v>
      </c>
      <c r="R1646">
        <v>1578</v>
      </c>
      <c r="S1646" s="17">
        <v>42160</v>
      </c>
      <c r="T1646" s="17">
        <v>42160</v>
      </c>
      <c r="W1646">
        <v>2015</v>
      </c>
      <c r="X1646">
        <v>24</v>
      </c>
      <c r="AC1646" t="s">
        <v>106</v>
      </c>
      <c r="AD1646" t="s">
        <v>302</v>
      </c>
      <c r="AE1646" t="s">
        <v>46</v>
      </c>
      <c r="AG1646">
        <v>12</v>
      </c>
      <c r="AH1646">
        <v>10</v>
      </c>
      <c r="AI1646" t="s">
        <v>95</v>
      </c>
      <c r="AK1646">
        <v>0</v>
      </c>
      <c r="AM1646">
        <v>0</v>
      </c>
      <c r="AP1646" t="s">
        <v>392</v>
      </c>
    </row>
    <row r="1647" spans="1:42" customFormat="1">
      <c r="A1647">
        <v>271818</v>
      </c>
      <c r="B1647" t="s">
        <v>5074</v>
      </c>
      <c r="C1647" t="s">
        <v>5075</v>
      </c>
      <c r="D1647" s="22">
        <v>0</v>
      </c>
      <c r="E1647" s="17">
        <v>42152</v>
      </c>
      <c r="F1647" s="18">
        <v>0.42836805555555557</v>
      </c>
      <c r="G1647" s="22">
        <v>1473</v>
      </c>
      <c r="H1647">
        <v>0</v>
      </c>
      <c r="I1647" s="19" t="e">
        <f>I1646 + (D1647-G1647)</f>
        <v>#VALUE!</v>
      </c>
      <c r="M1647">
        <v>124544</v>
      </c>
      <c r="N1647">
        <v>24</v>
      </c>
      <c r="O1647" t="s">
        <v>68</v>
      </c>
      <c r="P1647">
        <v>1</v>
      </c>
      <c r="R1647">
        <v>1578</v>
      </c>
      <c r="S1647" s="17">
        <v>42160</v>
      </c>
      <c r="T1647" s="17">
        <v>42160</v>
      </c>
      <c r="W1647">
        <v>2015</v>
      </c>
      <c r="X1647">
        <v>24</v>
      </c>
      <c r="AC1647" t="s">
        <v>106</v>
      </c>
      <c r="AD1647" t="s">
        <v>302</v>
      </c>
      <c r="AE1647" t="s">
        <v>46</v>
      </c>
      <c r="AG1647">
        <v>12</v>
      </c>
      <c r="AH1647">
        <v>10</v>
      </c>
      <c r="AI1647" t="s">
        <v>95</v>
      </c>
      <c r="AK1647">
        <v>0</v>
      </c>
      <c r="AM1647">
        <v>0</v>
      </c>
      <c r="AP1647" t="s">
        <v>392</v>
      </c>
    </row>
    <row r="1648" spans="1:42" customFormat="1">
      <c r="A1648">
        <v>271819</v>
      </c>
      <c r="B1648" t="s">
        <v>5076</v>
      </c>
      <c r="C1648" t="s">
        <v>5077</v>
      </c>
      <c r="D1648" s="22">
        <v>0</v>
      </c>
      <c r="E1648" s="17">
        <v>42152</v>
      </c>
      <c r="F1648" s="18">
        <v>0.42836805555555557</v>
      </c>
      <c r="G1648" s="22">
        <v>1473</v>
      </c>
      <c r="H1648">
        <v>0</v>
      </c>
      <c r="I1648" s="19" t="e">
        <f>I1647 + (D1648-G1648)</f>
        <v>#VALUE!</v>
      </c>
      <c r="M1648">
        <v>124554</v>
      </c>
      <c r="N1648">
        <v>24</v>
      </c>
      <c r="O1648" t="s">
        <v>68</v>
      </c>
      <c r="P1648">
        <v>1</v>
      </c>
      <c r="R1648">
        <v>1578</v>
      </c>
      <c r="S1648" s="17">
        <v>42160</v>
      </c>
      <c r="T1648" s="17">
        <v>42160</v>
      </c>
      <c r="W1648">
        <v>2015</v>
      </c>
      <c r="X1648">
        <v>24</v>
      </c>
      <c r="AC1648" t="s">
        <v>106</v>
      </c>
      <c r="AD1648" t="s">
        <v>302</v>
      </c>
      <c r="AE1648" t="s">
        <v>46</v>
      </c>
      <c r="AG1648">
        <v>12</v>
      </c>
      <c r="AH1648">
        <v>10</v>
      </c>
      <c r="AI1648" t="s">
        <v>95</v>
      </c>
      <c r="AK1648">
        <v>0</v>
      </c>
      <c r="AM1648">
        <v>0</v>
      </c>
      <c r="AP1648" t="s">
        <v>392</v>
      </c>
    </row>
    <row r="1649" spans="1:42" customFormat="1">
      <c r="A1649">
        <v>271820</v>
      </c>
      <c r="B1649" t="s">
        <v>5078</v>
      </c>
      <c r="C1649" t="s">
        <v>5079</v>
      </c>
      <c r="D1649" s="22">
        <v>0</v>
      </c>
      <c r="E1649" s="17">
        <v>42152</v>
      </c>
      <c r="F1649" s="18">
        <v>0.42836805555555557</v>
      </c>
      <c r="G1649" s="22">
        <v>1473</v>
      </c>
      <c r="H1649">
        <v>0</v>
      </c>
      <c r="I1649" s="19" t="e">
        <f>I1648 + (D1649-G1649)</f>
        <v>#VALUE!</v>
      </c>
      <c r="M1649">
        <v>124545</v>
      </c>
      <c r="N1649">
        <v>24</v>
      </c>
      <c r="O1649" t="s">
        <v>68</v>
      </c>
      <c r="P1649">
        <v>1</v>
      </c>
      <c r="R1649">
        <v>1578</v>
      </c>
      <c r="S1649" s="17">
        <v>42160</v>
      </c>
      <c r="T1649" s="17">
        <v>42160</v>
      </c>
      <c r="W1649">
        <v>2015</v>
      </c>
      <c r="X1649">
        <v>24</v>
      </c>
      <c r="AC1649" t="s">
        <v>106</v>
      </c>
      <c r="AD1649" t="s">
        <v>302</v>
      </c>
      <c r="AE1649" t="s">
        <v>46</v>
      </c>
      <c r="AG1649">
        <v>12</v>
      </c>
      <c r="AH1649">
        <v>10</v>
      </c>
      <c r="AI1649" t="s">
        <v>95</v>
      </c>
      <c r="AK1649">
        <v>0</v>
      </c>
      <c r="AM1649">
        <v>0</v>
      </c>
      <c r="AP1649" t="s">
        <v>392</v>
      </c>
    </row>
    <row r="1650" spans="1:42" customFormat="1">
      <c r="A1650">
        <v>271821</v>
      </c>
      <c r="B1650" t="s">
        <v>5080</v>
      </c>
      <c r="C1650" t="s">
        <v>5081</v>
      </c>
      <c r="D1650" s="22">
        <v>0</v>
      </c>
      <c r="E1650" s="17">
        <v>42152</v>
      </c>
      <c r="F1650" s="18">
        <v>0.42836805555555557</v>
      </c>
      <c r="G1650" s="22">
        <v>1473</v>
      </c>
      <c r="H1650">
        <v>0</v>
      </c>
      <c r="I1650" s="19" t="e">
        <f>I1649 + (D1650-G1650)</f>
        <v>#VALUE!</v>
      </c>
      <c r="M1650">
        <v>124555</v>
      </c>
      <c r="N1650">
        <v>24</v>
      </c>
      <c r="O1650" t="s">
        <v>68</v>
      </c>
      <c r="P1650">
        <v>1</v>
      </c>
      <c r="R1650">
        <v>1578</v>
      </c>
      <c r="S1650" s="17">
        <v>42160</v>
      </c>
      <c r="T1650" s="17">
        <v>42160</v>
      </c>
      <c r="W1650">
        <v>2015</v>
      </c>
      <c r="X1650">
        <v>24</v>
      </c>
      <c r="AC1650" t="s">
        <v>106</v>
      </c>
      <c r="AD1650" t="s">
        <v>302</v>
      </c>
      <c r="AE1650" t="s">
        <v>46</v>
      </c>
      <c r="AG1650">
        <v>12</v>
      </c>
      <c r="AH1650">
        <v>10</v>
      </c>
      <c r="AI1650" t="s">
        <v>95</v>
      </c>
      <c r="AK1650">
        <v>0</v>
      </c>
      <c r="AM1650">
        <v>0</v>
      </c>
      <c r="AP1650" t="s">
        <v>392</v>
      </c>
    </row>
    <row r="1651" spans="1:42" customFormat="1">
      <c r="A1651">
        <v>271822</v>
      </c>
      <c r="B1651" t="s">
        <v>5082</v>
      </c>
      <c r="C1651" t="s">
        <v>5083</v>
      </c>
      <c r="D1651" s="22">
        <v>0</v>
      </c>
      <c r="E1651" s="17">
        <v>42152</v>
      </c>
      <c r="F1651" s="18">
        <v>0.42836805555555557</v>
      </c>
      <c r="G1651" s="22">
        <v>1399.35</v>
      </c>
      <c r="H1651">
        <v>0</v>
      </c>
      <c r="I1651" s="19" t="e">
        <f>I1650 + (D1651-G1651)</f>
        <v>#VALUE!</v>
      </c>
      <c r="M1651">
        <v>124546</v>
      </c>
      <c r="N1651">
        <v>24</v>
      </c>
      <c r="O1651" t="s">
        <v>68</v>
      </c>
      <c r="P1651">
        <v>1</v>
      </c>
      <c r="R1651">
        <v>1578</v>
      </c>
      <c r="S1651" s="17">
        <v>42160</v>
      </c>
      <c r="T1651" s="17">
        <v>42160</v>
      </c>
      <c r="W1651">
        <v>2015</v>
      </c>
      <c r="X1651">
        <v>24</v>
      </c>
      <c r="AC1651" t="s">
        <v>106</v>
      </c>
      <c r="AD1651" t="s">
        <v>302</v>
      </c>
      <c r="AE1651" t="s">
        <v>46</v>
      </c>
      <c r="AG1651">
        <v>12</v>
      </c>
      <c r="AH1651">
        <v>10</v>
      </c>
      <c r="AI1651" t="s">
        <v>95</v>
      </c>
      <c r="AK1651">
        <v>0</v>
      </c>
      <c r="AM1651">
        <v>0</v>
      </c>
      <c r="AP1651" t="s">
        <v>392</v>
      </c>
    </row>
    <row r="1652" spans="1:42" customFormat="1">
      <c r="A1652">
        <v>271823</v>
      </c>
      <c r="B1652" t="s">
        <v>5084</v>
      </c>
      <c r="C1652" t="s">
        <v>5085</v>
      </c>
      <c r="D1652" s="22">
        <v>0</v>
      </c>
      <c r="E1652" s="17">
        <v>42152</v>
      </c>
      <c r="F1652" s="18">
        <v>0.42836805555555557</v>
      </c>
      <c r="G1652" s="22">
        <v>1399.35</v>
      </c>
      <c r="H1652">
        <v>0</v>
      </c>
      <c r="I1652" s="19" t="e">
        <f>I1651 + (D1652-G1652)</f>
        <v>#VALUE!</v>
      </c>
      <c r="M1652">
        <v>124547</v>
      </c>
      <c r="N1652">
        <v>24</v>
      </c>
      <c r="O1652" t="s">
        <v>68</v>
      </c>
      <c r="P1652">
        <v>1</v>
      </c>
      <c r="R1652">
        <v>1578</v>
      </c>
      <c r="S1652" s="17">
        <v>42160</v>
      </c>
      <c r="T1652" s="17">
        <v>42160</v>
      </c>
      <c r="W1652">
        <v>2015</v>
      </c>
      <c r="X1652">
        <v>24</v>
      </c>
      <c r="AC1652" t="s">
        <v>106</v>
      </c>
      <c r="AD1652" t="s">
        <v>302</v>
      </c>
      <c r="AE1652" t="s">
        <v>46</v>
      </c>
      <c r="AG1652">
        <v>12</v>
      </c>
      <c r="AH1652">
        <v>10</v>
      </c>
      <c r="AI1652" t="s">
        <v>95</v>
      </c>
      <c r="AK1652">
        <v>0</v>
      </c>
      <c r="AM1652">
        <v>0</v>
      </c>
      <c r="AP1652" t="s">
        <v>392</v>
      </c>
    </row>
    <row r="1653" spans="1:42" customFormat="1">
      <c r="A1653">
        <v>271825</v>
      </c>
      <c r="B1653" t="s">
        <v>5357</v>
      </c>
      <c r="C1653" t="s">
        <v>5358</v>
      </c>
      <c r="D1653" s="22">
        <v>0</v>
      </c>
      <c r="E1653" s="17">
        <v>42153</v>
      </c>
      <c r="F1653" s="18">
        <v>0.4332523148148148</v>
      </c>
      <c r="G1653" s="22">
        <v>1473</v>
      </c>
      <c r="H1653">
        <v>0</v>
      </c>
      <c r="I1653" s="19" t="e">
        <f>I1652 + (D1653-G1653)</f>
        <v>#VALUE!</v>
      </c>
      <c r="M1653">
        <v>124566</v>
      </c>
      <c r="N1653">
        <v>24</v>
      </c>
      <c r="O1653" t="s">
        <v>68</v>
      </c>
      <c r="P1653">
        <v>1</v>
      </c>
      <c r="R1653">
        <v>1578</v>
      </c>
      <c r="S1653" s="17">
        <v>42160</v>
      </c>
      <c r="T1653" s="17">
        <v>42160</v>
      </c>
      <c r="W1653">
        <v>2015</v>
      </c>
      <c r="X1653">
        <v>24</v>
      </c>
      <c r="AC1653" t="s">
        <v>106</v>
      </c>
      <c r="AD1653" t="s">
        <v>302</v>
      </c>
      <c r="AE1653" t="s">
        <v>46</v>
      </c>
      <c r="AG1653">
        <v>12</v>
      </c>
      <c r="AH1653">
        <v>10</v>
      </c>
      <c r="AI1653" t="s">
        <v>95</v>
      </c>
      <c r="AK1653">
        <v>0</v>
      </c>
      <c r="AM1653">
        <v>0</v>
      </c>
      <c r="AP1653" t="s">
        <v>392</v>
      </c>
    </row>
    <row r="1654" spans="1:42" customFormat="1">
      <c r="A1654">
        <v>271826</v>
      </c>
      <c r="B1654" t="s">
        <v>5359</v>
      </c>
      <c r="C1654" t="s">
        <v>5360</v>
      </c>
      <c r="D1654" s="22">
        <v>0</v>
      </c>
      <c r="E1654" s="17">
        <v>42153</v>
      </c>
      <c r="F1654" s="18">
        <v>0.4332523148148148</v>
      </c>
      <c r="G1654" s="22">
        <v>1473</v>
      </c>
      <c r="H1654">
        <v>0</v>
      </c>
      <c r="I1654" s="19" t="e">
        <f>I1653 + (D1654-G1654)</f>
        <v>#VALUE!</v>
      </c>
      <c r="M1654">
        <v>124576</v>
      </c>
      <c r="N1654">
        <v>24</v>
      </c>
      <c r="O1654" t="s">
        <v>68</v>
      </c>
      <c r="P1654">
        <v>1</v>
      </c>
      <c r="R1654">
        <v>1578</v>
      </c>
      <c r="S1654" s="17">
        <v>42160</v>
      </c>
      <c r="T1654" s="17">
        <v>42160</v>
      </c>
      <c r="W1654">
        <v>2015</v>
      </c>
      <c r="X1654">
        <v>24</v>
      </c>
      <c r="AC1654" t="s">
        <v>106</v>
      </c>
      <c r="AD1654" t="s">
        <v>302</v>
      </c>
      <c r="AE1654" t="s">
        <v>46</v>
      </c>
      <c r="AG1654">
        <v>12</v>
      </c>
      <c r="AH1654">
        <v>10</v>
      </c>
      <c r="AI1654" t="s">
        <v>95</v>
      </c>
      <c r="AK1654">
        <v>0</v>
      </c>
      <c r="AM1654">
        <v>0</v>
      </c>
      <c r="AP1654" t="s">
        <v>392</v>
      </c>
    </row>
    <row r="1655" spans="1:42" customFormat="1">
      <c r="A1655">
        <v>271827</v>
      </c>
      <c r="B1655" t="s">
        <v>5361</v>
      </c>
      <c r="C1655" t="s">
        <v>5362</v>
      </c>
      <c r="D1655" s="22">
        <v>0</v>
      </c>
      <c r="E1655" s="17">
        <v>42153</v>
      </c>
      <c r="F1655" s="18">
        <v>0.4332523148148148</v>
      </c>
      <c r="G1655" s="22">
        <v>1473</v>
      </c>
      <c r="H1655">
        <v>0</v>
      </c>
      <c r="I1655" s="19" t="e">
        <f>I1654 + (D1655-G1655)</f>
        <v>#VALUE!</v>
      </c>
      <c r="M1655">
        <v>124557</v>
      </c>
      <c r="N1655">
        <v>24</v>
      </c>
      <c r="O1655" t="s">
        <v>68</v>
      </c>
      <c r="P1655">
        <v>1</v>
      </c>
      <c r="R1655">
        <v>1578</v>
      </c>
      <c r="S1655" s="17">
        <v>42160</v>
      </c>
      <c r="T1655" s="17">
        <v>42160</v>
      </c>
      <c r="W1655">
        <v>2015</v>
      </c>
      <c r="X1655">
        <v>24</v>
      </c>
      <c r="AC1655" t="s">
        <v>106</v>
      </c>
      <c r="AD1655" t="s">
        <v>302</v>
      </c>
      <c r="AE1655" t="s">
        <v>46</v>
      </c>
      <c r="AG1655">
        <v>12</v>
      </c>
      <c r="AH1655">
        <v>10</v>
      </c>
      <c r="AI1655" t="s">
        <v>95</v>
      </c>
      <c r="AK1655">
        <v>0</v>
      </c>
      <c r="AM1655">
        <v>0</v>
      </c>
      <c r="AP1655" t="s">
        <v>392</v>
      </c>
    </row>
    <row r="1656" spans="1:42" customFormat="1">
      <c r="A1656">
        <v>271828</v>
      </c>
      <c r="B1656" t="s">
        <v>5363</v>
      </c>
      <c r="C1656" t="s">
        <v>5364</v>
      </c>
      <c r="D1656" s="22">
        <v>0</v>
      </c>
      <c r="E1656" s="17">
        <v>42153</v>
      </c>
      <c r="F1656" s="18">
        <v>0.4332523148148148</v>
      </c>
      <c r="G1656" s="22">
        <v>1473</v>
      </c>
      <c r="H1656">
        <v>0</v>
      </c>
      <c r="I1656" s="19" t="e">
        <f>I1655 + (D1656-G1656)</f>
        <v>#VALUE!</v>
      </c>
      <c r="M1656">
        <v>124567</v>
      </c>
      <c r="N1656">
        <v>24</v>
      </c>
      <c r="O1656" t="s">
        <v>68</v>
      </c>
      <c r="P1656">
        <v>1</v>
      </c>
      <c r="R1656">
        <v>1578</v>
      </c>
      <c r="S1656" s="17">
        <v>42160</v>
      </c>
      <c r="T1656" s="17">
        <v>42160</v>
      </c>
      <c r="W1656">
        <v>2015</v>
      </c>
      <c r="X1656">
        <v>24</v>
      </c>
      <c r="AC1656" t="s">
        <v>106</v>
      </c>
      <c r="AD1656" t="s">
        <v>302</v>
      </c>
      <c r="AE1656" t="s">
        <v>46</v>
      </c>
      <c r="AG1656">
        <v>12</v>
      </c>
      <c r="AH1656">
        <v>10</v>
      </c>
      <c r="AI1656" t="s">
        <v>95</v>
      </c>
      <c r="AK1656">
        <v>0</v>
      </c>
      <c r="AM1656">
        <v>0</v>
      </c>
      <c r="AP1656" t="s">
        <v>392</v>
      </c>
    </row>
    <row r="1657" spans="1:42" customFormat="1">
      <c r="A1657">
        <v>271836</v>
      </c>
      <c r="B1657" t="s">
        <v>5365</v>
      </c>
      <c r="C1657" t="s">
        <v>5366</v>
      </c>
      <c r="D1657" s="22">
        <v>0</v>
      </c>
      <c r="E1657" s="17">
        <v>42153</v>
      </c>
      <c r="F1657" s="18">
        <v>0.43326388888888889</v>
      </c>
      <c r="G1657" s="22">
        <v>1473</v>
      </c>
      <c r="H1657">
        <v>0</v>
      </c>
      <c r="I1657" s="19" t="e">
        <f>I1656 + (D1657-G1657)</f>
        <v>#VALUE!</v>
      </c>
      <c r="M1657">
        <v>124560</v>
      </c>
      <c r="N1657">
        <v>24</v>
      </c>
      <c r="O1657" t="s">
        <v>68</v>
      </c>
      <c r="P1657">
        <v>1</v>
      </c>
      <c r="R1657">
        <v>1578</v>
      </c>
      <c r="S1657" s="17">
        <v>42160</v>
      </c>
      <c r="T1657" s="17">
        <v>42160</v>
      </c>
      <c r="W1657">
        <v>2015</v>
      </c>
      <c r="X1657">
        <v>24</v>
      </c>
      <c r="AC1657" t="s">
        <v>106</v>
      </c>
      <c r="AD1657" t="s">
        <v>302</v>
      </c>
      <c r="AE1657" t="s">
        <v>46</v>
      </c>
      <c r="AG1657">
        <v>12</v>
      </c>
      <c r="AH1657">
        <v>10</v>
      </c>
      <c r="AI1657" t="s">
        <v>95</v>
      </c>
      <c r="AK1657">
        <v>0</v>
      </c>
      <c r="AM1657">
        <v>0</v>
      </c>
      <c r="AP1657" t="s">
        <v>392</v>
      </c>
    </row>
    <row r="1658" spans="1:42" customFormat="1">
      <c r="A1658">
        <v>271837</v>
      </c>
      <c r="B1658" t="s">
        <v>5367</v>
      </c>
      <c r="C1658" t="s">
        <v>5368</v>
      </c>
      <c r="D1658" s="22">
        <v>0</v>
      </c>
      <c r="E1658" s="17">
        <v>42153</v>
      </c>
      <c r="F1658" s="18">
        <v>0.43326388888888889</v>
      </c>
      <c r="G1658" s="22">
        <v>1473</v>
      </c>
      <c r="H1658">
        <v>0</v>
      </c>
      <c r="I1658" s="19" t="e">
        <f>I1657 + (D1658-G1658)</f>
        <v>#VALUE!</v>
      </c>
      <c r="M1658">
        <v>124570</v>
      </c>
      <c r="N1658">
        <v>24</v>
      </c>
      <c r="O1658" t="s">
        <v>68</v>
      </c>
      <c r="P1658">
        <v>1</v>
      </c>
      <c r="R1658">
        <v>1578</v>
      </c>
      <c r="S1658" s="17">
        <v>42160</v>
      </c>
      <c r="T1658" s="17">
        <v>42160</v>
      </c>
      <c r="W1658">
        <v>2015</v>
      </c>
      <c r="X1658">
        <v>24</v>
      </c>
      <c r="AC1658" t="s">
        <v>106</v>
      </c>
      <c r="AD1658" t="s">
        <v>302</v>
      </c>
      <c r="AE1658" t="s">
        <v>46</v>
      </c>
      <c r="AG1658">
        <v>12</v>
      </c>
      <c r="AH1658">
        <v>10</v>
      </c>
      <c r="AI1658" t="s">
        <v>95</v>
      </c>
      <c r="AK1658">
        <v>0</v>
      </c>
      <c r="AM1658">
        <v>0</v>
      </c>
      <c r="AP1658" t="s">
        <v>392</v>
      </c>
    </row>
    <row r="1659" spans="1:42" customFormat="1">
      <c r="A1659">
        <v>271838</v>
      </c>
      <c r="B1659" t="s">
        <v>5369</v>
      </c>
      <c r="C1659" t="s">
        <v>5370</v>
      </c>
      <c r="D1659" s="22">
        <v>0</v>
      </c>
      <c r="E1659" s="17">
        <v>42153</v>
      </c>
      <c r="F1659" s="18">
        <v>0.43326388888888889</v>
      </c>
      <c r="G1659" s="22">
        <v>1473</v>
      </c>
      <c r="H1659">
        <v>0</v>
      </c>
      <c r="I1659" s="19" t="e">
        <f>I1658 + (D1659-G1659)</f>
        <v>#VALUE!</v>
      </c>
      <c r="M1659">
        <v>124580</v>
      </c>
      <c r="N1659">
        <v>24</v>
      </c>
      <c r="O1659" t="s">
        <v>68</v>
      </c>
      <c r="P1659">
        <v>1</v>
      </c>
      <c r="R1659">
        <v>1578</v>
      </c>
      <c r="S1659" s="17">
        <v>42160</v>
      </c>
      <c r="T1659" s="17">
        <v>42160</v>
      </c>
      <c r="W1659">
        <v>2015</v>
      </c>
      <c r="X1659">
        <v>24</v>
      </c>
      <c r="AC1659" t="s">
        <v>106</v>
      </c>
      <c r="AD1659" t="s">
        <v>302</v>
      </c>
      <c r="AE1659" t="s">
        <v>46</v>
      </c>
      <c r="AG1659">
        <v>12</v>
      </c>
      <c r="AH1659">
        <v>10</v>
      </c>
      <c r="AI1659" t="s">
        <v>95</v>
      </c>
      <c r="AK1659">
        <v>0</v>
      </c>
      <c r="AM1659">
        <v>0</v>
      </c>
      <c r="AP1659" t="s">
        <v>392</v>
      </c>
    </row>
    <row r="1660" spans="1:42" customFormat="1">
      <c r="A1660">
        <v>271839</v>
      </c>
      <c r="B1660" t="s">
        <v>5371</v>
      </c>
      <c r="C1660" t="s">
        <v>5372</v>
      </c>
      <c r="D1660" s="22">
        <v>0</v>
      </c>
      <c r="E1660" s="17">
        <v>42153</v>
      </c>
      <c r="F1660" s="18">
        <v>0.43326388888888889</v>
      </c>
      <c r="G1660" s="22">
        <v>1473</v>
      </c>
      <c r="H1660">
        <v>0</v>
      </c>
      <c r="I1660" s="19" t="e">
        <f>I1659 + (D1660-G1660)</f>
        <v>#VALUE!</v>
      </c>
      <c r="M1660">
        <v>124561</v>
      </c>
      <c r="N1660">
        <v>24</v>
      </c>
      <c r="O1660" t="s">
        <v>68</v>
      </c>
      <c r="P1660">
        <v>1</v>
      </c>
      <c r="R1660">
        <v>1578</v>
      </c>
      <c r="S1660" s="17">
        <v>42160</v>
      </c>
      <c r="T1660" s="17">
        <v>42160</v>
      </c>
      <c r="W1660">
        <v>2015</v>
      </c>
      <c r="X1660">
        <v>24</v>
      </c>
      <c r="AC1660" t="s">
        <v>106</v>
      </c>
      <c r="AD1660" t="s">
        <v>302</v>
      </c>
      <c r="AE1660" t="s">
        <v>46</v>
      </c>
      <c r="AG1660">
        <v>12</v>
      </c>
      <c r="AH1660">
        <v>10</v>
      </c>
      <c r="AI1660" t="s">
        <v>95</v>
      </c>
      <c r="AK1660">
        <v>0</v>
      </c>
      <c r="AM1660">
        <v>0</v>
      </c>
      <c r="AP1660" t="s">
        <v>392</v>
      </c>
    </row>
    <row r="1661" spans="1:42" customFormat="1">
      <c r="A1661">
        <v>271840</v>
      </c>
      <c r="B1661" t="s">
        <v>5373</v>
      </c>
      <c r="C1661" t="s">
        <v>5374</v>
      </c>
      <c r="D1661" s="22">
        <v>0</v>
      </c>
      <c r="E1661" s="17">
        <v>42153</v>
      </c>
      <c r="F1661" s="18">
        <v>0.43326388888888889</v>
      </c>
      <c r="G1661" s="22">
        <v>1473</v>
      </c>
      <c r="H1661">
        <v>0</v>
      </c>
      <c r="I1661" s="19" t="e">
        <f>I1660 + (D1661-G1661)</f>
        <v>#VALUE!</v>
      </c>
      <c r="M1661">
        <v>124571</v>
      </c>
      <c r="N1661">
        <v>24</v>
      </c>
      <c r="O1661" t="s">
        <v>68</v>
      </c>
      <c r="P1661">
        <v>1</v>
      </c>
      <c r="R1661">
        <v>1578</v>
      </c>
      <c r="S1661" s="17">
        <v>42160</v>
      </c>
      <c r="T1661" s="17">
        <v>42160</v>
      </c>
      <c r="W1661">
        <v>2015</v>
      </c>
      <c r="X1661">
        <v>24</v>
      </c>
      <c r="AC1661" t="s">
        <v>106</v>
      </c>
      <c r="AD1661" t="s">
        <v>302</v>
      </c>
      <c r="AE1661" t="s">
        <v>46</v>
      </c>
      <c r="AG1661">
        <v>12</v>
      </c>
      <c r="AH1661">
        <v>10</v>
      </c>
      <c r="AI1661" t="s">
        <v>95</v>
      </c>
      <c r="AK1661">
        <v>0</v>
      </c>
      <c r="AM1661">
        <v>0</v>
      </c>
      <c r="AP1661" t="s">
        <v>392</v>
      </c>
    </row>
    <row r="1662" spans="1:42" customFormat="1">
      <c r="A1662">
        <v>271841</v>
      </c>
      <c r="B1662" t="s">
        <v>5375</v>
      </c>
      <c r="C1662" t="s">
        <v>5376</v>
      </c>
      <c r="D1662" s="22">
        <v>0</v>
      </c>
      <c r="E1662" s="17">
        <v>42153</v>
      </c>
      <c r="F1662" s="18">
        <v>0.43326388888888889</v>
      </c>
      <c r="G1662" s="22">
        <v>1473</v>
      </c>
      <c r="H1662">
        <v>0</v>
      </c>
      <c r="I1662" s="19" t="e">
        <f>I1661 + (D1662-G1662)</f>
        <v>#VALUE!</v>
      </c>
      <c r="M1662">
        <v>124581</v>
      </c>
      <c r="N1662">
        <v>24</v>
      </c>
      <c r="O1662" t="s">
        <v>68</v>
      </c>
      <c r="P1662">
        <v>1</v>
      </c>
      <c r="R1662">
        <v>1578</v>
      </c>
      <c r="S1662" s="17">
        <v>42160</v>
      </c>
      <c r="T1662" s="17">
        <v>42160</v>
      </c>
      <c r="W1662">
        <v>2015</v>
      </c>
      <c r="X1662">
        <v>24</v>
      </c>
      <c r="AC1662" t="s">
        <v>106</v>
      </c>
      <c r="AD1662" t="s">
        <v>302</v>
      </c>
      <c r="AE1662" t="s">
        <v>46</v>
      </c>
      <c r="AG1662">
        <v>12</v>
      </c>
      <c r="AH1662">
        <v>10</v>
      </c>
      <c r="AI1662" t="s">
        <v>95</v>
      </c>
      <c r="AK1662">
        <v>0</v>
      </c>
      <c r="AM1662">
        <v>0</v>
      </c>
      <c r="AP1662" t="s">
        <v>392</v>
      </c>
    </row>
    <row r="1663" spans="1:42" customFormat="1">
      <c r="A1663">
        <v>271842</v>
      </c>
      <c r="B1663" t="s">
        <v>5377</v>
      </c>
      <c r="C1663" t="s">
        <v>5378</v>
      </c>
      <c r="D1663" s="22">
        <v>0</v>
      </c>
      <c r="E1663" s="17">
        <v>42153</v>
      </c>
      <c r="F1663" s="18">
        <v>0.43326388888888889</v>
      </c>
      <c r="G1663" s="22">
        <v>1473</v>
      </c>
      <c r="H1663">
        <v>0</v>
      </c>
      <c r="I1663" s="19" t="e">
        <f>I1662 + (D1663-G1663)</f>
        <v>#VALUE!</v>
      </c>
      <c r="M1663">
        <v>124562</v>
      </c>
      <c r="N1663">
        <v>24</v>
      </c>
      <c r="O1663" t="s">
        <v>68</v>
      </c>
      <c r="P1663">
        <v>1</v>
      </c>
      <c r="R1663">
        <v>1578</v>
      </c>
      <c r="S1663" s="17">
        <v>42160</v>
      </c>
      <c r="T1663" s="17">
        <v>42160</v>
      </c>
      <c r="W1663">
        <v>2015</v>
      </c>
      <c r="X1663">
        <v>24</v>
      </c>
      <c r="AC1663" t="s">
        <v>106</v>
      </c>
      <c r="AD1663" t="s">
        <v>302</v>
      </c>
      <c r="AE1663" t="s">
        <v>46</v>
      </c>
      <c r="AG1663">
        <v>12</v>
      </c>
      <c r="AH1663">
        <v>10</v>
      </c>
      <c r="AI1663" t="s">
        <v>95</v>
      </c>
      <c r="AK1663">
        <v>0</v>
      </c>
      <c r="AM1663">
        <v>0</v>
      </c>
      <c r="AP1663" t="s">
        <v>392</v>
      </c>
    </row>
    <row r="1664" spans="1:42" customFormat="1">
      <c r="A1664">
        <v>271829</v>
      </c>
      <c r="B1664" t="s">
        <v>5379</v>
      </c>
      <c r="C1664" t="s">
        <v>5380</v>
      </c>
      <c r="D1664" s="22">
        <v>0</v>
      </c>
      <c r="E1664" s="17">
        <v>42153</v>
      </c>
      <c r="F1664" s="18">
        <v>0.43326388888888889</v>
      </c>
      <c r="G1664" s="22">
        <v>1473</v>
      </c>
      <c r="H1664">
        <v>0</v>
      </c>
      <c r="I1664" s="19" t="e">
        <f>I1663 + (D1664-G1664)</f>
        <v>#VALUE!</v>
      </c>
      <c r="M1664">
        <v>124577</v>
      </c>
      <c r="N1664">
        <v>24</v>
      </c>
      <c r="O1664" t="s">
        <v>68</v>
      </c>
      <c r="P1664">
        <v>1</v>
      </c>
      <c r="R1664">
        <v>1578</v>
      </c>
      <c r="S1664" s="17">
        <v>42160</v>
      </c>
      <c r="T1664" s="17">
        <v>42160</v>
      </c>
      <c r="W1664">
        <v>2015</v>
      </c>
      <c r="X1664">
        <v>24</v>
      </c>
      <c r="AC1664" t="s">
        <v>106</v>
      </c>
      <c r="AD1664" t="s">
        <v>302</v>
      </c>
      <c r="AE1664" t="s">
        <v>46</v>
      </c>
      <c r="AG1664">
        <v>12</v>
      </c>
      <c r="AH1664">
        <v>10</v>
      </c>
      <c r="AI1664" t="s">
        <v>95</v>
      </c>
      <c r="AK1664">
        <v>0</v>
      </c>
      <c r="AM1664">
        <v>0</v>
      </c>
      <c r="AP1664" t="s">
        <v>392</v>
      </c>
    </row>
    <row r="1665" spans="1:42" customFormat="1">
      <c r="A1665">
        <v>271830</v>
      </c>
      <c r="B1665" t="s">
        <v>5381</v>
      </c>
      <c r="C1665" t="s">
        <v>5382</v>
      </c>
      <c r="D1665" s="22">
        <v>0</v>
      </c>
      <c r="E1665" s="17">
        <v>42153</v>
      </c>
      <c r="F1665" s="18">
        <v>0.43326388888888889</v>
      </c>
      <c r="G1665" s="22">
        <v>1473</v>
      </c>
      <c r="H1665">
        <v>0</v>
      </c>
      <c r="I1665" s="19" t="e">
        <f>I1664 + (D1665-G1665)</f>
        <v>#VALUE!</v>
      </c>
      <c r="M1665">
        <v>124558</v>
      </c>
      <c r="N1665">
        <v>24</v>
      </c>
      <c r="O1665" t="s">
        <v>68</v>
      </c>
      <c r="P1665">
        <v>1</v>
      </c>
      <c r="R1665">
        <v>1578</v>
      </c>
      <c r="S1665" s="17">
        <v>42160</v>
      </c>
      <c r="T1665" s="17">
        <v>42160</v>
      </c>
      <c r="W1665">
        <v>2015</v>
      </c>
      <c r="X1665">
        <v>24</v>
      </c>
      <c r="AC1665" t="s">
        <v>106</v>
      </c>
      <c r="AD1665" t="s">
        <v>302</v>
      </c>
      <c r="AE1665" t="s">
        <v>46</v>
      </c>
      <c r="AG1665">
        <v>12</v>
      </c>
      <c r="AH1665">
        <v>10</v>
      </c>
      <c r="AI1665" t="s">
        <v>95</v>
      </c>
      <c r="AK1665">
        <v>0</v>
      </c>
      <c r="AM1665">
        <v>0</v>
      </c>
      <c r="AP1665" t="s">
        <v>392</v>
      </c>
    </row>
    <row r="1666" spans="1:42" customFormat="1">
      <c r="A1666">
        <v>271831</v>
      </c>
      <c r="B1666" t="s">
        <v>5383</v>
      </c>
      <c r="C1666" t="s">
        <v>5384</v>
      </c>
      <c r="D1666" s="22">
        <v>0</v>
      </c>
      <c r="E1666" s="17">
        <v>42153</v>
      </c>
      <c r="F1666" s="18">
        <v>0.43326388888888889</v>
      </c>
      <c r="G1666" s="22">
        <v>1473</v>
      </c>
      <c r="H1666">
        <v>0</v>
      </c>
      <c r="I1666" s="19" t="e">
        <f>I1665 + (D1666-G1666)</f>
        <v>#VALUE!</v>
      </c>
      <c r="M1666">
        <v>124568</v>
      </c>
      <c r="N1666">
        <v>24</v>
      </c>
      <c r="O1666" t="s">
        <v>68</v>
      </c>
      <c r="P1666">
        <v>1</v>
      </c>
      <c r="R1666">
        <v>1578</v>
      </c>
      <c r="S1666" s="17">
        <v>42160</v>
      </c>
      <c r="T1666" s="17">
        <v>42160</v>
      </c>
      <c r="W1666">
        <v>2015</v>
      </c>
      <c r="X1666">
        <v>24</v>
      </c>
      <c r="AC1666" t="s">
        <v>106</v>
      </c>
      <c r="AD1666" t="s">
        <v>302</v>
      </c>
      <c r="AE1666" t="s">
        <v>46</v>
      </c>
      <c r="AG1666">
        <v>12</v>
      </c>
      <c r="AH1666">
        <v>10</v>
      </c>
      <c r="AI1666" t="s">
        <v>95</v>
      </c>
      <c r="AK1666">
        <v>0</v>
      </c>
      <c r="AM1666">
        <v>0</v>
      </c>
      <c r="AP1666" t="s">
        <v>392</v>
      </c>
    </row>
    <row r="1667" spans="1:42" customFormat="1">
      <c r="A1667">
        <v>271832</v>
      </c>
      <c r="B1667" t="s">
        <v>5385</v>
      </c>
      <c r="C1667" t="s">
        <v>5386</v>
      </c>
      <c r="D1667" s="22">
        <v>0</v>
      </c>
      <c r="E1667" s="17">
        <v>42153</v>
      </c>
      <c r="F1667" s="18">
        <v>0.43326388888888889</v>
      </c>
      <c r="G1667" s="22">
        <v>1473</v>
      </c>
      <c r="H1667">
        <v>0</v>
      </c>
      <c r="I1667" s="19" t="e">
        <f>I1666 + (D1667-G1667)</f>
        <v>#VALUE!</v>
      </c>
      <c r="M1667">
        <v>124578</v>
      </c>
      <c r="N1667">
        <v>24</v>
      </c>
      <c r="O1667" t="s">
        <v>68</v>
      </c>
      <c r="P1667">
        <v>1</v>
      </c>
      <c r="R1667">
        <v>1578</v>
      </c>
      <c r="S1667" s="17">
        <v>42160</v>
      </c>
      <c r="T1667" s="17">
        <v>42160</v>
      </c>
      <c r="W1667">
        <v>2015</v>
      </c>
      <c r="X1667">
        <v>24</v>
      </c>
      <c r="AC1667" t="s">
        <v>106</v>
      </c>
      <c r="AD1667" t="s">
        <v>302</v>
      </c>
      <c r="AE1667" t="s">
        <v>46</v>
      </c>
      <c r="AG1667">
        <v>12</v>
      </c>
      <c r="AH1667">
        <v>10</v>
      </c>
      <c r="AI1667" t="s">
        <v>95</v>
      </c>
      <c r="AK1667">
        <v>0</v>
      </c>
      <c r="AM1667">
        <v>0</v>
      </c>
      <c r="AP1667" t="s">
        <v>392</v>
      </c>
    </row>
    <row r="1668" spans="1:42" customFormat="1">
      <c r="A1668">
        <v>271833</v>
      </c>
      <c r="B1668" t="s">
        <v>5387</v>
      </c>
      <c r="C1668" t="s">
        <v>5388</v>
      </c>
      <c r="D1668" s="22">
        <v>0</v>
      </c>
      <c r="E1668" s="17">
        <v>42153</v>
      </c>
      <c r="F1668" s="18">
        <v>0.43326388888888889</v>
      </c>
      <c r="G1668" s="22">
        <v>1473</v>
      </c>
      <c r="H1668">
        <v>0</v>
      </c>
      <c r="I1668" s="19" t="e">
        <f>I1667 + (D1668-G1668)</f>
        <v>#VALUE!</v>
      </c>
      <c r="M1668">
        <v>124559</v>
      </c>
      <c r="N1668">
        <v>24</v>
      </c>
      <c r="O1668" t="s">
        <v>68</v>
      </c>
      <c r="P1668">
        <v>1</v>
      </c>
      <c r="R1668">
        <v>1578</v>
      </c>
      <c r="S1668" s="17">
        <v>42160</v>
      </c>
      <c r="T1668" s="17">
        <v>42160</v>
      </c>
      <c r="W1668">
        <v>2015</v>
      </c>
      <c r="X1668">
        <v>24</v>
      </c>
      <c r="AC1668" t="s">
        <v>106</v>
      </c>
      <c r="AD1668" t="s">
        <v>302</v>
      </c>
      <c r="AE1668" t="s">
        <v>46</v>
      </c>
      <c r="AG1668">
        <v>12</v>
      </c>
      <c r="AH1668">
        <v>10</v>
      </c>
      <c r="AI1668" t="s">
        <v>95</v>
      </c>
      <c r="AK1668">
        <v>0</v>
      </c>
      <c r="AM1668">
        <v>0</v>
      </c>
      <c r="AP1668" t="s">
        <v>392</v>
      </c>
    </row>
    <row r="1669" spans="1:42" customFormat="1">
      <c r="A1669">
        <v>271834</v>
      </c>
      <c r="B1669" t="s">
        <v>5389</v>
      </c>
      <c r="C1669" t="s">
        <v>5390</v>
      </c>
      <c r="D1669" s="22">
        <v>0</v>
      </c>
      <c r="E1669" s="17">
        <v>42153</v>
      </c>
      <c r="F1669" s="18">
        <v>0.43326388888888889</v>
      </c>
      <c r="G1669" s="22">
        <v>1473</v>
      </c>
      <c r="H1669">
        <v>0</v>
      </c>
      <c r="I1669" s="19" t="e">
        <f>I1668 + (D1669-G1669)</f>
        <v>#VALUE!</v>
      </c>
      <c r="M1669">
        <v>124569</v>
      </c>
      <c r="N1669">
        <v>24</v>
      </c>
      <c r="O1669" t="s">
        <v>68</v>
      </c>
      <c r="P1669">
        <v>1</v>
      </c>
      <c r="R1669">
        <v>1578</v>
      </c>
      <c r="S1669" s="17">
        <v>42160</v>
      </c>
      <c r="T1669" s="17">
        <v>42160</v>
      </c>
      <c r="W1669">
        <v>2015</v>
      </c>
      <c r="X1669">
        <v>24</v>
      </c>
      <c r="AC1669" t="s">
        <v>106</v>
      </c>
      <c r="AD1669" t="s">
        <v>302</v>
      </c>
      <c r="AE1669" t="s">
        <v>46</v>
      </c>
      <c r="AG1669">
        <v>12</v>
      </c>
      <c r="AH1669">
        <v>10</v>
      </c>
      <c r="AI1669" t="s">
        <v>95</v>
      </c>
      <c r="AK1669">
        <v>0</v>
      </c>
      <c r="AM1669">
        <v>0</v>
      </c>
      <c r="AP1669" t="s">
        <v>392</v>
      </c>
    </row>
    <row r="1670" spans="1:42" customFormat="1">
      <c r="A1670">
        <v>271835</v>
      </c>
      <c r="B1670" t="s">
        <v>5391</v>
      </c>
      <c r="C1670" t="s">
        <v>5392</v>
      </c>
      <c r="D1670" s="22">
        <v>0</v>
      </c>
      <c r="E1670" s="17">
        <v>42153</v>
      </c>
      <c r="F1670" s="18">
        <v>0.43326388888888889</v>
      </c>
      <c r="G1670" s="22">
        <v>1473</v>
      </c>
      <c r="H1670">
        <v>0</v>
      </c>
      <c r="I1670" s="19" t="e">
        <f>I1669 + (D1670-G1670)</f>
        <v>#VALUE!</v>
      </c>
      <c r="M1670">
        <v>124579</v>
      </c>
      <c r="N1670">
        <v>24</v>
      </c>
      <c r="O1670" t="s">
        <v>68</v>
      </c>
      <c r="P1670">
        <v>1</v>
      </c>
      <c r="R1670">
        <v>1578</v>
      </c>
      <c r="S1670" s="17">
        <v>42160</v>
      </c>
      <c r="T1670" s="17">
        <v>42160</v>
      </c>
      <c r="W1670">
        <v>2015</v>
      </c>
      <c r="X1670">
        <v>24</v>
      </c>
      <c r="AC1670" t="s">
        <v>106</v>
      </c>
      <c r="AD1670" t="s">
        <v>302</v>
      </c>
      <c r="AE1670" t="s">
        <v>46</v>
      </c>
      <c r="AG1670">
        <v>12</v>
      </c>
      <c r="AH1670">
        <v>10</v>
      </c>
      <c r="AI1670" t="s">
        <v>95</v>
      </c>
      <c r="AK1670">
        <v>0</v>
      </c>
      <c r="AM1670">
        <v>0</v>
      </c>
      <c r="AP1670" t="s">
        <v>392</v>
      </c>
    </row>
    <row r="1671" spans="1:42" customFormat="1">
      <c r="A1671">
        <v>271843</v>
      </c>
      <c r="B1671" t="s">
        <v>5393</v>
      </c>
      <c r="C1671" t="s">
        <v>5394</v>
      </c>
      <c r="D1671" s="22">
        <v>0</v>
      </c>
      <c r="E1671" s="17">
        <v>42153</v>
      </c>
      <c r="F1671" s="18">
        <v>0.43327546296296293</v>
      </c>
      <c r="G1671" s="22">
        <v>1473</v>
      </c>
      <c r="H1671">
        <v>0</v>
      </c>
      <c r="I1671" s="19" t="e">
        <f>I1670 + (D1671-G1671)</f>
        <v>#VALUE!</v>
      </c>
      <c r="M1671">
        <v>124572</v>
      </c>
      <c r="N1671">
        <v>24</v>
      </c>
      <c r="O1671" t="s">
        <v>68</v>
      </c>
      <c r="P1671">
        <v>1</v>
      </c>
      <c r="R1671">
        <v>1578</v>
      </c>
      <c r="S1671" s="17">
        <v>42160</v>
      </c>
      <c r="T1671" s="17">
        <v>42160</v>
      </c>
      <c r="W1671">
        <v>2015</v>
      </c>
      <c r="X1671">
        <v>24</v>
      </c>
      <c r="AC1671" t="s">
        <v>106</v>
      </c>
      <c r="AD1671" t="s">
        <v>302</v>
      </c>
      <c r="AE1671" t="s">
        <v>46</v>
      </c>
      <c r="AG1671">
        <v>12</v>
      </c>
      <c r="AH1671">
        <v>10</v>
      </c>
      <c r="AI1671" t="s">
        <v>95</v>
      </c>
      <c r="AK1671">
        <v>0</v>
      </c>
      <c r="AM1671">
        <v>0</v>
      </c>
      <c r="AP1671" t="s">
        <v>392</v>
      </c>
    </row>
    <row r="1672" spans="1:42" customFormat="1">
      <c r="A1672">
        <v>271844</v>
      </c>
      <c r="B1672" t="s">
        <v>5395</v>
      </c>
      <c r="C1672" t="s">
        <v>5396</v>
      </c>
      <c r="D1672" s="22">
        <v>0</v>
      </c>
      <c r="E1672" s="17">
        <v>42153</v>
      </c>
      <c r="F1672" s="18">
        <v>0.43327546296296293</v>
      </c>
      <c r="G1672" s="22">
        <v>1473</v>
      </c>
      <c r="H1672">
        <v>0</v>
      </c>
      <c r="I1672" s="19" t="e">
        <f>I1671 + (D1672-G1672)</f>
        <v>#VALUE!</v>
      </c>
      <c r="M1672">
        <v>124582</v>
      </c>
      <c r="N1672">
        <v>24</v>
      </c>
      <c r="O1672" t="s">
        <v>68</v>
      </c>
      <c r="P1672">
        <v>1</v>
      </c>
      <c r="R1672">
        <v>1578</v>
      </c>
      <c r="S1672" s="17">
        <v>42160</v>
      </c>
      <c r="T1672" s="17">
        <v>42160</v>
      </c>
      <c r="W1672">
        <v>2015</v>
      </c>
      <c r="X1672">
        <v>24</v>
      </c>
      <c r="AC1672" t="s">
        <v>106</v>
      </c>
      <c r="AD1672" t="s">
        <v>302</v>
      </c>
      <c r="AE1672" t="s">
        <v>46</v>
      </c>
      <c r="AG1672">
        <v>12</v>
      </c>
      <c r="AH1672">
        <v>10</v>
      </c>
      <c r="AI1672" t="s">
        <v>95</v>
      </c>
      <c r="AK1672">
        <v>0</v>
      </c>
      <c r="AM1672">
        <v>0</v>
      </c>
      <c r="AP1672" t="s">
        <v>392</v>
      </c>
    </row>
    <row r="1673" spans="1:42" customFormat="1">
      <c r="A1673">
        <v>271845</v>
      </c>
      <c r="B1673" t="s">
        <v>5397</v>
      </c>
      <c r="C1673" t="s">
        <v>5398</v>
      </c>
      <c r="D1673" s="22">
        <v>0</v>
      </c>
      <c r="E1673" s="17">
        <v>42153</v>
      </c>
      <c r="F1673" s="18">
        <v>0.43327546296296293</v>
      </c>
      <c r="G1673" s="22">
        <v>1473</v>
      </c>
      <c r="H1673">
        <v>0</v>
      </c>
      <c r="I1673" s="19" t="e">
        <f>I1672 + (D1673-G1673)</f>
        <v>#VALUE!</v>
      </c>
      <c r="M1673">
        <v>124563</v>
      </c>
      <c r="N1673">
        <v>24</v>
      </c>
      <c r="O1673" t="s">
        <v>68</v>
      </c>
      <c r="P1673">
        <v>1</v>
      </c>
      <c r="R1673">
        <v>1578</v>
      </c>
      <c r="S1673" s="17">
        <v>42160</v>
      </c>
      <c r="T1673" s="17">
        <v>42160</v>
      </c>
      <c r="W1673">
        <v>2015</v>
      </c>
      <c r="X1673">
        <v>24</v>
      </c>
      <c r="AC1673" t="s">
        <v>106</v>
      </c>
      <c r="AD1673" t="s">
        <v>302</v>
      </c>
      <c r="AE1673" t="s">
        <v>46</v>
      </c>
      <c r="AG1673">
        <v>12</v>
      </c>
      <c r="AH1673">
        <v>10</v>
      </c>
      <c r="AI1673" t="s">
        <v>95</v>
      </c>
      <c r="AK1673">
        <v>0</v>
      </c>
      <c r="AM1673">
        <v>0</v>
      </c>
      <c r="AP1673" t="s">
        <v>392</v>
      </c>
    </row>
    <row r="1674" spans="1:42" customFormat="1">
      <c r="A1674">
        <v>271846</v>
      </c>
      <c r="B1674" t="s">
        <v>5399</v>
      </c>
      <c r="C1674" t="s">
        <v>5400</v>
      </c>
      <c r="D1674" s="22">
        <v>0</v>
      </c>
      <c r="E1674" s="17">
        <v>42153</v>
      </c>
      <c r="F1674" s="18">
        <v>0.43327546296296293</v>
      </c>
      <c r="G1674" s="22">
        <v>1473</v>
      </c>
      <c r="H1674">
        <v>0</v>
      </c>
      <c r="I1674" s="19" t="e">
        <f>I1673 + (D1674-G1674)</f>
        <v>#VALUE!</v>
      </c>
      <c r="M1674">
        <v>124573</v>
      </c>
      <c r="N1674">
        <v>24</v>
      </c>
      <c r="O1674" t="s">
        <v>68</v>
      </c>
      <c r="P1674">
        <v>1</v>
      </c>
      <c r="R1674">
        <v>1578</v>
      </c>
      <c r="S1674" s="17">
        <v>42160</v>
      </c>
      <c r="T1674" s="17">
        <v>42160</v>
      </c>
      <c r="W1674">
        <v>2015</v>
      </c>
      <c r="X1674">
        <v>24</v>
      </c>
      <c r="AC1674" t="s">
        <v>106</v>
      </c>
      <c r="AD1674" t="s">
        <v>302</v>
      </c>
      <c r="AE1674" t="s">
        <v>46</v>
      </c>
      <c r="AG1674">
        <v>12</v>
      </c>
      <c r="AH1674">
        <v>10</v>
      </c>
      <c r="AI1674" t="s">
        <v>95</v>
      </c>
      <c r="AK1674">
        <v>0</v>
      </c>
      <c r="AM1674">
        <v>0</v>
      </c>
      <c r="AP1674" t="s">
        <v>392</v>
      </c>
    </row>
    <row r="1675" spans="1:42" customFormat="1">
      <c r="A1675">
        <v>271847</v>
      </c>
      <c r="B1675" t="s">
        <v>5401</v>
      </c>
      <c r="C1675" t="s">
        <v>5402</v>
      </c>
      <c r="D1675" s="22">
        <v>0</v>
      </c>
      <c r="E1675" s="17">
        <v>42153</v>
      </c>
      <c r="F1675" s="18">
        <v>0.43327546296296293</v>
      </c>
      <c r="G1675" s="22">
        <v>1473</v>
      </c>
      <c r="H1675">
        <v>0</v>
      </c>
      <c r="I1675" s="19" t="e">
        <f>I1674 + (D1675-G1675)</f>
        <v>#VALUE!</v>
      </c>
      <c r="M1675">
        <v>124583</v>
      </c>
      <c r="N1675">
        <v>24</v>
      </c>
      <c r="O1675" t="s">
        <v>68</v>
      </c>
      <c r="P1675">
        <v>1</v>
      </c>
      <c r="R1675">
        <v>1578</v>
      </c>
      <c r="S1675" s="17">
        <v>42160</v>
      </c>
      <c r="T1675" s="17">
        <v>42160</v>
      </c>
      <c r="W1675">
        <v>2015</v>
      </c>
      <c r="X1675">
        <v>24</v>
      </c>
      <c r="AC1675" t="s">
        <v>106</v>
      </c>
      <c r="AD1675" t="s">
        <v>302</v>
      </c>
      <c r="AE1675" t="s">
        <v>46</v>
      </c>
      <c r="AG1675">
        <v>12</v>
      </c>
      <c r="AH1675">
        <v>10</v>
      </c>
      <c r="AI1675" t="s">
        <v>95</v>
      </c>
      <c r="AK1675">
        <v>0</v>
      </c>
      <c r="AM1675">
        <v>0</v>
      </c>
      <c r="AP1675" t="s">
        <v>392</v>
      </c>
    </row>
    <row r="1676" spans="1:42" customFormat="1">
      <c r="A1676">
        <v>271848</v>
      </c>
      <c r="B1676" t="s">
        <v>5403</v>
      </c>
      <c r="C1676" t="s">
        <v>5404</v>
      </c>
      <c r="D1676" s="22">
        <v>0</v>
      </c>
      <c r="E1676" s="17">
        <v>42153</v>
      </c>
      <c r="F1676" s="18">
        <v>0.43327546296296293</v>
      </c>
      <c r="G1676" s="22">
        <v>1473</v>
      </c>
      <c r="H1676">
        <v>0</v>
      </c>
      <c r="I1676" s="19" t="e">
        <f>I1675 + (D1676-G1676)</f>
        <v>#VALUE!</v>
      </c>
      <c r="M1676">
        <v>124564</v>
      </c>
      <c r="N1676">
        <v>24</v>
      </c>
      <c r="O1676" t="s">
        <v>68</v>
      </c>
      <c r="P1676">
        <v>1</v>
      </c>
      <c r="R1676">
        <v>1578</v>
      </c>
      <c r="S1676" s="17">
        <v>42160</v>
      </c>
      <c r="T1676" s="17">
        <v>42160</v>
      </c>
      <c r="W1676">
        <v>2015</v>
      </c>
      <c r="X1676">
        <v>24</v>
      </c>
      <c r="AC1676" t="s">
        <v>106</v>
      </c>
      <c r="AD1676" t="s">
        <v>302</v>
      </c>
      <c r="AE1676" t="s">
        <v>46</v>
      </c>
      <c r="AG1676">
        <v>12</v>
      </c>
      <c r="AH1676">
        <v>10</v>
      </c>
      <c r="AI1676" t="s">
        <v>95</v>
      </c>
      <c r="AK1676">
        <v>0</v>
      </c>
      <c r="AM1676">
        <v>0</v>
      </c>
      <c r="AP1676" t="s">
        <v>392</v>
      </c>
    </row>
    <row r="1677" spans="1:42" customFormat="1">
      <c r="A1677">
        <v>271849</v>
      </c>
      <c r="B1677" t="s">
        <v>5405</v>
      </c>
      <c r="C1677" t="s">
        <v>5406</v>
      </c>
      <c r="D1677" s="22">
        <v>0</v>
      </c>
      <c r="E1677" s="17">
        <v>42153</v>
      </c>
      <c r="F1677" s="18">
        <v>0.43327546296296293</v>
      </c>
      <c r="G1677" s="22">
        <v>1473</v>
      </c>
      <c r="H1677">
        <v>0</v>
      </c>
      <c r="I1677" s="19" t="e">
        <f>I1676 + (D1677-G1677)</f>
        <v>#VALUE!</v>
      </c>
      <c r="M1677">
        <v>124574</v>
      </c>
      <c r="N1677">
        <v>24</v>
      </c>
      <c r="O1677" t="s">
        <v>68</v>
      </c>
      <c r="P1677">
        <v>1</v>
      </c>
      <c r="R1677">
        <v>1578</v>
      </c>
      <c r="S1677" s="17">
        <v>42160</v>
      </c>
      <c r="T1677" s="17">
        <v>42160</v>
      </c>
      <c r="W1677">
        <v>2015</v>
      </c>
      <c r="X1677">
        <v>24</v>
      </c>
      <c r="AC1677" t="s">
        <v>106</v>
      </c>
      <c r="AD1677" t="s">
        <v>302</v>
      </c>
      <c r="AE1677" t="s">
        <v>46</v>
      </c>
      <c r="AG1677">
        <v>12</v>
      </c>
      <c r="AH1677">
        <v>10</v>
      </c>
      <c r="AI1677" t="s">
        <v>95</v>
      </c>
      <c r="AK1677">
        <v>0</v>
      </c>
      <c r="AM1677">
        <v>0</v>
      </c>
      <c r="AP1677" t="s">
        <v>392</v>
      </c>
    </row>
    <row r="1678" spans="1:42" customFormat="1">
      <c r="A1678">
        <v>271850</v>
      </c>
      <c r="B1678" t="s">
        <v>5407</v>
      </c>
      <c r="C1678" t="s">
        <v>5408</v>
      </c>
      <c r="D1678" s="22">
        <v>0</v>
      </c>
      <c r="E1678" s="17">
        <v>42153</v>
      </c>
      <c r="F1678" s="18">
        <v>0.43327546296296293</v>
      </c>
      <c r="G1678" s="22">
        <v>1473</v>
      </c>
      <c r="H1678">
        <v>0</v>
      </c>
      <c r="I1678" s="19" t="e">
        <f>I1677 + (D1678-G1678)</f>
        <v>#VALUE!</v>
      </c>
      <c r="M1678">
        <v>124565</v>
      </c>
      <c r="N1678">
        <v>24</v>
      </c>
      <c r="O1678" t="s">
        <v>68</v>
      </c>
      <c r="P1678">
        <v>1</v>
      </c>
      <c r="R1678">
        <v>1578</v>
      </c>
      <c r="S1678" s="17">
        <v>42160</v>
      </c>
      <c r="T1678" s="17">
        <v>42160</v>
      </c>
      <c r="W1678">
        <v>2015</v>
      </c>
      <c r="X1678">
        <v>24</v>
      </c>
      <c r="AC1678" t="s">
        <v>106</v>
      </c>
      <c r="AD1678" t="s">
        <v>302</v>
      </c>
      <c r="AE1678" t="s">
        <v>46</v>
      </c>
      <c r="AG1678">
        <v>12</v>
      </c>
      <c r="AH1678">
        <v>10</v>
      </c>
      <c r="AI1678" t="s">
        <v>95</v>
      </c>
      <c r="AK1678">
        <v>0</v>
      </c>
      <c r="AM1678">
        <v>0</v>
      </c>
      <c r="AP1678" t="s">
        <v>392</v>
      </c>
    </row>
    <row r="1679" spans="1:42" customFormat="1">
      <c r="A1679">
        <v>271851</v>
      </c>
      <c r="B1679" t="s">
        <v>5409</v>
      </c>
      <c r="C1679" t="s">
        <v>5410</v>
      </c>
      <c r="D1679" s="22">
        <v>0</v>
      </c>
      <c r="E1679" s="17">
        <v>42153</v>
      </c>
      <c r="F1679" s="18">
        <v>0.43327546296296293</v>
      </c>
      <c r="G1679" s="22">
        <v>1473</v>
      </c>
      <c r="H1679">
        <v>0</v>
      </c>
      <c r="I1679" s="19" t="e">
        <f>I1678 + (D1679-G1679)</f>
        <v>#VALUE!</v>
      </c>
      <c r="M1679">
        <v>124575</v>
      </c>
      <c r="N1679">
        <v>24</v>
      </c>
      <c r="O1679" t="s">
        <v>68</v>
      </c>
      <c r="P1679">
        <v>1</v>
      </c>
      <c r="R1679">
        <v>1578</v>
      </c>
      <c r="S1679" s="17">
        <v>42160</v>
      </c>
      <c r="T1679" s="17">
        <v>42160</v>
      </c>
      <c r="W1679">
        <v>2015</v>
      </c>
      <c r="X1679">
        <v>24</v>
      </c>
      <c r="AC1679" t="s">
        <v>106</v>
      </c>
      <c r="AD1679" t="s">
        <v>302</v>
      </c>
      <c r="AE1679" t="s">
        <v>46</v>
      </c>
      <c r="AG1679">
        <v>12</v>
      </c>
      <c r="AH1679">
        <v>10</v>
      </c>
      <c r="AI1679" t="s">
        <v>95</v>
      </c>
      <c r="AK1679">
        <v>0</v>
      </c>
      <c r="AM1679">
        <v>0</v>
      </c>
      <c r="AP1679" t="s">
        <v>392</v>
      </c>
    </row>
    <row r="1680" spans="1:42" customFormat="1">
      <c r="A1680">
        <v>271853</v>
      </c>
      <c r="B1680" t="s">
        <v>5411</v>
      </c>
      <c r="C1680" t="s">
        <v>5412</v>
      </c>
      <c r="D1680" s="22">
        <v>0</v>
      </c>
      <c r="E1680" s="17">
        <v>42153</v>
      </c>
      <c r="F1680" s="18">
        <v>0.43460648148148145</v>
      </c>
      <c r="G1680" s="22">
        <v>1399.35</v>
      </c>
      <c r="H1680">
        <v>0</v>
      </c>
      <c r="I1680" s="19" t="e">
        <f>I1679 + (D1680-G1680)</f>
        <v>#VALUE!</v>
      </c>
      <c r="M1680">
        <v>124584</v>
      </c>
      <c r="N1680">
        <v>24</v>
      </c>
      <c r="O1680" t="s">
        <v>68</v>
      </c>
      <c r="P1680">
        <v>1</v>
      </c>
      <c r="R1680">
        <v>1578</v>
      </c>
      <c r="S1680" s="17">
        <v>42160</v>
      </c>
      <c r="T1680" s="17">
        <v>42160</v>
      </c>
      <c r="W1680">
        <v>2015</v>
      </c>
      <c r="X1680">
        <v>24</v>
      </c>
      <c r="AC1680" t="s">
        <v>106</v>
      </c>
      <c r="AD1680" t="s">
        <v>302</v>
      </c>
      <c r="AE1680" t="s">
        <v>46</v>
      </c>
      <c r="AG1680">
        <v>12</v>
      </c>
      <c r="AH1680">
        <v>10</v>
      </c>
      <c r="AI1680" t="s">
        <v>95</v>
      </c>
      <c r="AK1680">
        <v>0</v>
      </c>
      <c r="AM1680">
        <v>0</v>
      </c>
      <c r="AP1680" t="s">
        <v>392</v>
      </c>
    </row>
    <row r="1681" spans="1:42" customFormat="1">
      <c r="A1681">
        <v>271854</v>
      </c>
      <c r="B1681" t="s">
        <v>5413</v>
      </c>
      <c r="C1681" t="s">
        <v>5414</v>
      </c>
      <c r="D1681" s="22">
        <v>0</v>
      </c>
      <c r="E1681" s="17">
        <v>42153</v>
      </c>
      <c r="F1681" s="18">
        <v>0.43460648148148145</v>
      </c>
      <c r="G1681" s="22">
        <v>1399.35</v>
      </c>
      <c r="H1681">
        <v>0</v>
      </c>
      <c r="I1681" s="19" t="e">
        <f>I1680 + (D1681-G1681)</f>
        <v>#VALUE!</v>
      </c>
      <c r="M1681">
        <v>124585</v>
      </c>
      <c r="N1681">
        <v>24</v>
      </c>
      <c r="O1681" t="s">
        <v>68</v>
      </c>
      <c r="P1681">
        <v>1</v>
      </c>
      <c r="R1681">
        <v>1578</v>
      </c>
      <c r="S1681" s="17">
        <v>42160</v>
      </c>
      <c r="T1681" s="17">
        <v>42160</v>
      </c>
      <c r="W1681">
        <v>2015</v>
      </c>
      <c r="X1681">
        <v>24</v>
      </c>
      <c r="AC1681" t="s">
        <v>106</v>
      </c>
      <c r="AD1681" t="s">
        <v>302</v>
      </c>
      <c r="AE1681" t="s">
        <v>46</v>
      </c>
      <c r="AG1681">
        <v>12</v>
      </c>
      <c r="AH1681">
        <v>10</v>
      </c>
      <c r="AI1681" t="s">
        <v>95</v>
      </c>
      <c r="AK1681">
        <v>0</v>
      </c>
      <c r="AM1681">
        <v>0</v>
      </c>
      <c r="AP1681" t="s">
        <v>392</v>
      </c>
    </row>
    <row r="1682" spans="1:42" customFormat="1">
      <c r="A1682">
        <v>271855</v>
      </c>
      <c r="B1682" t="s">
        <v>5415</v>
      </c>
      <c r="C1682" t="s">
        <v>5416</v>
      </c>
      <c r="D1682" s="22">
        <v>0</v>
      </c>
      <c r="E1682" s="17">
        <v>42153</v>
      </c>
      <c r="F1682" s="18">
        <v>0.43460648148148145</v>
      </c>
      <c r="G1682" s="22">
        <v>1473</v>
      </c>
      <c r="H1682">
        <v>0</v>
      </c>
      <c r="I1682" s="19" t="e">
        <f>I1681 + (D1682-G1682)</f>
        <v>#VALUE!</v>
      </c>
      <c r="M1682">
        <v>124586</v>
      </c>
      <c r="N1682">
        <v>24</v>
      </c>
      <c r="O1682" t="s">
        <v>68</v>
      </c>
      <c r="P1682">
        <v>1</v>
      </c>
      <c r="R1682">
        <v>1578</v>
      </c>
      <c r="S1682" s="17">
        <v>42160</v>
      </c>
      <c r="T1682" s="17">
        <v>42160</v>
      </c>
      <c r="W1682">
        <v>2015</v>
      </c>
      <c r="X1682">
        <v>24</v>
      </c>
      <c r="AC1682" t="s">
        <v>106</v>
      </c>
      <c r="AD1682" t="s">
        <v>302</v>
      </c>
      <c r="AE1682" t="s">
        <v>46</v>
      </c>
      <c r="AG1682">
        <v>12</v>
      </c>
      <c r="AH1682">
        <v>10</v>
      </c>
      <c r="AI1682" t="s">
        <v>95</v>
      </c>
      <c r="AK1682">
        <v>0</v>
      </c>
      <c r="AM1682">
        <v>0</v>
      </c>
      <c r="AP1682" t="s">
        <v>392</v>
      </c>
    </row>
    <row r="1683" spans="1:42" customFormat="1">
      <c r="A1683">
        <v>271856</v>
      </c>
      <c r="B1683" t="s">
        <v>5417</v>
      </c>
      <c r="C1683" t="s">
        <v>5418</v>
      </c>
      <c r="D1683" s="22">
        <v>0</v>
      </c>
      <c r="E1683" s="17">
        <v>42153</v>
      </c>
      <c r="F1683" s="18">
        <v>0.43460648148148145</v>
      </c>
      <c r="G1683" s="22">
        <v>1399.35</v>
      </c>
      <c r="H1683">
        <v>0</v>
      </c>
      <c r="I1683" s="19" t="e">
        <f>I1682 + (D1683-G1683)</f>
        <v>#VALUE!</v>
      </c>
      <c r="M1683">
        <v>124587</v>
      </c>
      <c r="N1683">
        <v>24</v>
      </c>
      <c r="O1683" t="s">
        <v>68</v>
      </c>
      <c r="P1683">
        <v>1</v>
      </c>
      <c r="R1683">
        <v>1578</v>
      </c>
      <c r="S1683" s="17">
        <v>42160</v>
      </c>
      <c r="T1683" s="17">
        <v>42160</v>
      </c>
      <c r="W1683">
        <v>2015</v>
      </c>
      <c r="X1683">
        <v>24</v>
      </c>
      <c r="AC1683" t="s">
        <v>106</v>
      </c>
      <c r="AD1683" t="s">
        <v>302</v>
      </c>
      <c r="AE1683" t="s">
        <v>46</v>
      </c>
      <c r="AG1683">
        <v>12</v>
      </c>
      <c r="AH1683">
        <v>10</v>
      </c>
      <c r="AI1683" t="s">
        <v>95</v>
      </c>
      <c r="AK1683">
        <v>0</v>
      </c>
      <c r="AM1683">
        <v>0</v>
      </c>
      <c r="AP1683" t="s">
        <v>392</v>
      </c>
    </row>
    <row r="1684" spans="1:42" customFormat="1">
      <c r="A1684">
        <v>271857</v>
      </c>
      <c r="B1684" t="s">
        <v>5419</v>
      </c>
      <c r="C1684" t="s">
        <v>5420</v>
      </c>
      <c r="D1684" s="22">
        <v>0</v>
      </c>
      <c r="E1684" s="17">
        <v>42153</v>
      </c>
      <c r="F1684" s="18">
        <v>0.43460648148148145</v>
      </c>
      <c r="G1684" s="22">
        <v>1055.45</v>
      </c>
      <c r="H1684">
        <v>0</v>
      </c>
      <c r="I1684" s="19" t="e">
        <f>I1683 + (D1684-G1684)</f>
        <v>#VALUE!</v>
      </c>
      <c r="M1684">
        <v>124588</v>
      </c>
      <c r="N1684">
        <v>24</v>
      </c>
      <c r="O1684" t="s">
        <v>68</v>
      </c>
      <c r="P1684">
        <v>1</v>
      </c>
      <c r="R1684">
        <v>1578</v>
      </c>
      <c r="S1684" s="17">
        <v>42160</v>
      </c>
      <c r="T1684" s="17">
        <v>42160</v>
      </c>
      <c r="W1684">
        <v>2015</v>
      </c>
      <c r="X1684">
        <v>24</v>
      </c>
      <c r="AC1684" t="s">
        <v>106</v>
      </c>
      <c r="AD1684" t="s">
        <v>302</v>
      </c>
      <c r="AE1684" t="s">
        <v>46</v>
      </c>
      <c r="AG1684">
        <v>12</v>
      </c>
      <c r="AH1684">
        <v>10</v>
      </c>
      <c r="AI1684" t="s">
        <v>95</v>
      </c>
      <c r="AK1684">
        <v>0</v>
      </c>
      <c r="AM1684">
        <v>0</v>
      </c>
      <c r="AP1684" t="s">
        <v>392</v>
      </c>
    </row>
    <row r="1685" spans="1:42" customFormat="1">
      <c r="A1685">
        <v>271858</v>
      </c>
      <c r="B1685" t="s">
        <v>5421</v>
      </c>
      <c r="C1685" t="s">
        <v>5422</v>
      </c>
      <c r="D1685" s="22">
        <v>0</v>
      </c>
      <c r="E1685" s="17">
        <v>42153</v>
      </c>
      <c r="F1685" s="18">
        <v>0.43460648148148145</v>
      </c>
      <c r="G1685" s="22">
        <v>1055.45</v>
      </c>
      <c r="H1685">
        <v>0</v>
      </c>
      <c r="I1685" s="19" t="e">
        <f>I1684 + (D1685-G1685)</f>
        <v>#VALUE!</v>
      </c>
      <c r="M1685">
        <v>124589</v>
      </c>
      <c r="N1685">
        <v>24</v>
      </c>
      <c r="O1685" t="s">
        <v>68</v>
      </c>
      <c r="P1685">
        <v>1</v>
      </c>
      <c r="R1685">
        <v>1578</v>
      </c>
      <c r="S1685" s="17">
        <v>42160</v>
      </c>
      <c r="T1685" s="17">
        <v>42160</v>
      </c>
      <c r="W1685">
        <v>2015</v>
      </c>
      <c r="X1685">
        <v>24</v>
      </c>
      <c r="AC1685" t="s">
        <v>106</v>
      </c>
      <c r="AD1685" t="s">
        <v>302</v>
      </c>
      <c r="AE1685" t="s">
        <v>46</v>
      </c>
      <c r="AG1685">
        <v>12</v>
      </c>
      <c r="AH1685">
        <v>10</v>
      </c>
      <c r="AI1685" t="s">
        <v>95</v>
      </c>
      <c r="AK1685">
        <v>0</v>
      </c>
      <c r="AM1685">
        <v>0</v>
      </c>
      <c r="AP1685" t="s">
        <v>392</v>
      </c>
    </row>
    <row r="1686" spans="1:42" customFormat="1">
      <c r="A1686">
        <v>271859</v>
      </c>
      <c r="B1686" t="s">
        <v>5423</v>
      </c>
      <c r="C1686" t="s">
        <v>5424</v>
      </c>
      <c r="D1686" s="22">
        <v>0</v>
      </c>
      <c r="E1686" s="17">
        <v>42153</v>
      </c>
      <c r="F1686" s="18">
        <v>0.4346180555555556</v>
      </c>
      <c r="G1686" s="22">
        <v>1111</v>
      </c>
      <c r="H1686">
        <v>0</v>
      </c>
      <c r="I1686" s="19" t="e">
        <f>I1685 + (D1686-G1686)</f>
        <v>#VALUE!</v>
      </c>
      <c r="M1686">
        <v>124590</v>
      </c>
      <c r="N1686">
        <v>24</v>
      </c>
      <c r="O1686" t="s">
        <v>68</v>
      </c>
      <c r="P1686">
        <v>1</v>
      </c>
      <c r="R1686">
        <v>1578</v>
      </c>
      <c r="S1686" s="17">
        <v>42160</v>
      </c>
      <c r="T1686" s="17">
        <v>42160</v>
      </c>
      <c r="W1686">
        <v>2015</v>
      </c>
      <c r="X1686">
        <v>24</v>
      </c>
      <c r="AC1686" t="s">
        <v>106</v>
      </c>
      <c r="AD1686" t="s">
        <v>302</v>
      </c>
      <c r="AE1686" t="s">
        <v>46</v>
      </c>
      <c r="AG1686">
        <v>12</v>
      </c>
      <c r="AH1686">
        <v>10</v>
      </c>
      <c r="AI1686" t="s">
        <v>95</v>
      </c>
      <c r="AK1686">
        <v>0</v>
      </c>
      <c r="AM1686">
        <v>0</v>
      </c>
      <c r="AP1686" t="s">
        <v>392</v>
      </c>
    </row>
    <row r="1687" spans="1:42" customFormat="1">
      <c r="A1687">
        <v>271860</v>
      </c>
      <c r="B1687" t="s">
        <v>5425</v>
      </c>
      <c r="C1687" t="s">
        <v>5426</v>
      </c>
      <c r="D1687" s="22">
        <v>0</v>
      </c>
      <c r="E1687" s="17">
        <v>42153</v>
      </c>
      <c r="F1687" s="18">
        <v>0.4346180555555556</v>
      </c>
      <c r="G1687" s="22">
        <v>1111</v>
      </c>
      <c r="H1687">
        <v>0</v>
      </c>
      <c r="I1687" s="19" t="e">
        <f>I1686 + (D1687-G1687)</f>
        <v>#VALUE!</v>
      </c>
      <c r="M1687">
        <v>124591</v>
      </c>
      <c r="N1687">
        <v>24</v>
      </c>
      <c r="O1687" t="s">
        <v>68</v>
      </c>
      <c r="P1687">
        <v>1</v>
      </c>
      <c r="R1687">
        <v>1578</v>
      </c>
      <c r="S1687" s="17">
        <v>42160</v>
      </c>
      <c r="T1687" s="17">
        <v>42160</v>
      </c>
      <c r="W1687">
        <v>2015</v>
      </c>
      <c r="X1687">
        <v>24</v>
      </c>
      <c r="AC1687" t="s">
        <v>106</v>
      </c>
      <c r="AD1687" t="s">
        <v>302</v>
      </c>
      <c r="AE1687" t="s">
        <v>46</v>
      </c>
      <c r="AG1687">
        <v>12</v>
      </c>
      <c r="AH1687">
        <v>10</v>
      </c>
      <c r="AI1687" t="s">
        <v>95</v>
      </c>
      <c r="AK1687">
        <v>0</v>
      </c>
      <c r="AM1687">
        <v>0</v>
      </c>
      <c r="AP1687" t="s">
        <v>392</v>
      </c>
    </row>
    <row r="1688" spans="1:42" customFormat="1">
      <c r="A1688">
        <v>271861</v>
      </c>
      <c r="B1688" t="s">
        <v>5427</v>
      </c>
      <c r="C1688" t="s">
        <v>5428</v>
      </c>
      <c r="D1688" s="22">
        <v>0</v>
      </c>
      <c r="E1688" s="17">
        <v>42153</v>
      </c>
      <c r="F1688" s="18">
        <v>0.4346180555555556</v>
      </c>
      <c r="G1688" s="22">
        <v>1111</v>
      </c>
      <c r="H1688">
        <v>0</v>
      </c>
      <c r="I1688" s="19" t="e">
        <f>I1687 + (D1688-G1688)</f>
        <v>#VALUE!</v>
      </c>
      <c r="M1688">
        <v>124592</v>
      </c>
      <c r="N1688">
        <v>24</v>
      </c>
      <c r="O1688" t="s">
        <v>68</v>
      </c>
      <c r="P1688">
        <v>1</v>
      </c>
      <c r="R1688">
        <v>1578</v>
      </c>
      <c r="S1688" s="17">
        <v>42160</v>
      </c>
      <c r="T1688" s="17">
        <v>42160</v>
      </c>
      <c r="W1688">
        <v>2015</v>
      </c>
      <c r="X1688">
        <v>24</v>
      </c>
      <c r="AC1688" t="s">
        <v>106</v>
      </c>
      <c r="AD1688" t="s">
        <v>302</v>
      </c>
      <c r="AE1688" t="s">
        <v>46</v>
      </c>
      <c r="AG1688">
        <v>12</v>
      </c>
      <c r="AH1688">
        <v>10</v>
      </c>
      <c r="AI1688" t="s">
        <v>95</v>
      </c>
      <c r="AK1688">
        <v>0</v>
      </c>
      <c r="AM1688">
        <v>0</v>
      </c>
      <c r="AP1688" t="s">
        <v>392</v>
      </c>
    </row>
    <row r="1689" spans="1:42" customFormat="1">
      <c r="A1689">
        <v>271862</v>
      </c>
      <c r="B1689" t="s">
        <v>5429</v>
      </c>
      <c r="C1689" t="s">
        <v>5430</v>
      </c>
      <c r="D1689" s="22">
        <v>0</v>
      </c>
      <c r="E1689" s="17">
        <v>42153</v>
      </c>
      <c r="F1689" s="18">
        <v>0.43630787037037039</v>
      </c>
      <c r="G1689" s="22">
        <v>1051</v>
      </c>
      <c r="H1689">
        <v>0</v>
      </c>
      <c r="I1689" s="19" t="e">
        <f>I1688 + (D1689-G1689)</f>
        <v>#VALUE!</v>
      </c>
      <c r="M1689">
        <v>124602</v>
      </c>
      <c r="N1689">
        <v>24</v>
      </c>
      <c r="O1689" t="s">
        <v>68</v>
      </c>
      <c r="P1689">
        <v>1</v>
      </c>
      <c r="R1689">
        <v>1578</v>
      </c>
      <c r="S1689" s="17">
        <v>42160</v>
      </c>
      <c r="T1689" s="17">
        <v>42160</v>
      </c>
      <c r="W1689">
        <v>2015</v>
      </c>
      <c r="X1689">
        <v>24</v>
      </c>
      <c r="AC1689" t="s">
        <v>106</v>
      </c>
      <c r="AD1689" t="s">
        <v>302</v>
      </c>
      <c r="AE1689" t="s">
        <v>46</v>
      </c>
      <c r="AG1689">
        <v>12</v>
      </c>
      <c r="AH1689">
        <v>10</v>
      </c>
      <c r="AI1689" t="s">
        <v>95</v>
      </c>
      <c r="AK1689">
        <v>0</v>
      </c>
      <c r="AM1689">
        <v>0</v>
      </c>
      <c r="AP1689" t="s">
        <v>392</v>
      </c>
    </row>
    <row r="1690" spans="1:42" customFormat="1">
      <c r="A1690">
        <v>271864</v>
      </c>
      <c r="B1690" t="s">
        <v>5431</v>
      </c>
      <c r="C1690" t="s">
        <v>5432</v>
      </c>
      <c r="D1690" s="22">
        <v>0</v>
      </c>
      <c r="E1690" s="17">
        <v>42153</v>
      </c>
      <c r="F1690" s="18">
        <v>0.43630787037037039</v>
      </c>
      <c r="G1690" s="22">
        <v>1473</v>
      </c>
      <c r="H1690">
        <v>0</v>
      </c>
      <c r="I1690" s="19" t="e">
        <f>I1689 + (D1690-G1690)</f>
        <v>#VALUE!</v>
      </c>
      <c r="M1690">
        <v>124603</v>
      </c>
      <c r="N1690">
        <v>24</v>
      </c>
      <c r="O1690" t="s">
        <v>68</v>
      </c>
      <c r="P1690">
        <v>1</v>
      </c>
      <c r="R1690">
        <v>1578</v>
      </c>
      <c r="S1690" s="17">
        <v>42160</v>
      </c>
      <c r="T1690" s="17">
        <v>42160</v>
      </c>
      <c r="W1690">
        <v>2015</v>
      </c>
      <c r="X1690">
        <v>24</v>
      </c>
      <c r="AC1690" t="s">
        <v>106</v>
      </c>
      <c r="AD1690" t="s">
        <v>302</v>
      </c>
      <c r="AE1690" t="s">
        <v>46</v>
      </c>
      <c r="AG1690">
        <v>12</v>
      </c>
      <c r="AH1690">
        <v>10</v>
      </c>
      <c r="AI1690" t="s">
        <v>95</v>
      </c>
      <c r="AK1690">
        <v>0</v>
      </c>
      <c r="AM1690">
        <v>0</v>
      </c>
      <c r="AP1690" t="s">
        <v>392</v>
      </c>
    </row>
    <row r="1691" spans="1:42" customFormat="1">
      <c r="A1691">
        <v>271863</v>
      </c>
      <c r="B1691" t="s">
        <v>5433</v>
      </c>
      <c r="C1691" t="s">
        <v>5434</v>
      </c>
      <c r="D1691" s="22">
        <v>0</v>
      </c>
      <c r="E1691" s="17">
        <v>42153</v>
      </c>
      <c r="F1691" s="18">
        <v>0.43630787037037039</v>
      </c>
      <c r="G1691" s="22">
        <v>998.45</v>
      </c>
      <c r="H1691">
        <v>0</v>
      </c>
      <c r="I1691" s="19" t="e">
        <f>I1690 + (D1691-G1691)</f>
        <v>#VALUE!</v>
      </c>
      <c r="M1691">
        <v>124593</v>
      </c>
      <c r="N1691">
        <v>24</v>
      </c>
      <c r="O1691" t="s">
        <v>68</v>
      </c>
      <c r="P1691">
        <v>1</v>
      </c>
      <c r="R1691">
        <v>1578</v>
      </c>
      <c r="S1691" s="17">
        <v>42160</v>
      </c>
      <c r="T1691" s="17">
        <v>42160</v>
      </c>
      <c r="W1691">
        <v>2015</v>
      </c>
      <c r="X1691">
        <v>24</v>
      </c>
      <c r="AC1691" t="s">
        <v>106</v>
      </c>
      <c r="AD1691" t="s">
        <v>302</v>
      </c>
      <c r="AE1691" t="s">
        <v>46</v>
      </c>
      <c r="AG1691">
        <v>12</v>
      </c>
      <c r="AH1691">
        <v>10</v>
      </c>
      <c r="AI1691" t="s">
        <v>95</v>
      </c>
      <c r="AK1691">
        <v>0</v>
      </c>
      <c r="AM1691">
        <v>0</v>
      </c>
      <c r="AP1691" t="s">
        <v>392</v>
      </c>
    </row>
    <row r="1692" spans="1:42" customFormat="1">
      <c r="A1692">
        <v>271866</v>
      </c>
      <c r="B1692" t="s">
        <v>5435</v>
      </c>
      <c r="C1692" t="s">
        <v>5436</v>
      </c>
      <c r="D1692" s="22">
        <v>0</v>
      </c>
      <c r="E1692" s="17">
        <v>42153</v>
      </c>
      <c r="F1692" s="18">
        <v>0.43630787037037039</v>
      </c>
      <c r="G1692" s="22">
        <v>1473</v>
      </c>
      <c r="H1692">
        <v>0</v>
      </c>
      <c r="I1692" s="19" t="e">
        <f>I1691 + (D1692-G1692)</f>
        <v>#VALUE!</v>
      </c>
      <c r="M1692">
        <v>124604</v>
      </c>
      <c r="N1692">
        <v>24</v>
      </c>
      <c r="O1692" t="s">
        <v>68</v>
      </c>
      <c r="P1692">
        <v>1</v>
      </c>
      <c r="R1692">
        <v>1578</v>
      </c>
      <c r="S1692" s="17">
        <v>42160</v>
      </c>
      <c r="T1692" s="17">
        <v>42160</v>
      </c>
      <c r="W1692">
        <v>2015</v>
      </c>
      <c r="X1692">
        <v>24</v>
      </c>
      <c r="AC1692" t="s">
        <v>106</v>
      </c>
      <c r="AD1692" t="s">
        <v>302</v>
      </c>
      <c r="AE1692" t="s">
        <v>46</v>
      </c>
      <c r="AG1692">
        <v>12</v>
      </c>
      <c r="AH1692">
        <v>10</v>
      </c>
      <c r="AI1692" t="s">
        <v>95</v>
      </c>
      <c r="AK1692">
        <v>0</v>
      </c>
      <c r="AM1692">
        <v>0</v>
      </c>
      <c r="AP1692" t="s">
        <v>392</v>
      </c>
    </row>
    <row r="1693" spans="1:42" customFormat="1">
      <c r="A1693">
        <v>271865</v>
      </c>
      <c r="B1693" t="s">
        <v>5437</v>
      </c>
      <c r="C1693" t="s">
        <v>5438</v>
      </c>
      <c r="D1693" s="22">
        <v>0</v>
      </c>
      <c r="E1693" s="17">
        <v>42153</v>
      </c>
      <c r="F1693" s="18">
        <v>0.43630787037037039</v>
      </c>
      <c r="G1693" s="22">
        <v>1051</v>
      </c>
      <c r="H1693">
        <v>0</v>
      </c>
      <c r="I1693" s="19" t="e">
        <f>I1692 + (D1693-G1693)</f>
        <v>#VALUE!</v>
      </c>
      <c r="M1693">
        <v>124594</v>
      </c>
      <c r="N1693">
        <v>24</v>
      </c>
      <c r="O1693" t="s">
        <v>68</v>
      </c>
      <c r="P1693">
        <v>1</v>
      </c>
      <c r="R1693">
        <v>1578</v>
      </c>
      <c r="S1693" s="17">
        <v>42160</v>
      </c>
      <c r="T1693" s="17">
        <v>42160</v>
      </c>
      <c r="W1693">
        <v>2015</v>
      </c>
      <c r="X1693">
        <v>24</v>
      </c>
      <c r="AC1693" t="s">
        <v>106</v>
      </c>
      <c r="AD1693" t="s">
        <v>302</v>
      </c>
      <c r="AE1693" t="s">
        <v>46</v>
      </c>
      <c r="AG1693">
        <v>12</v>
      </c>
      <c r="AH1693">
        <v>10</v>
      </c>
      <c r="AI1693" t="s">
        <v>95</v>
      </c>
      <c r="AK1693">
        <v>0</v>
      </c>
      <c r="AM1693">
        <v>0</v>
      </c>
      <c r="AP1693" t="s">
        <v>392</v>
      </c>
    </row>
    <row r="1694" spans="1:42" customFormat="1">
      <c r="A1694">
        <v>271868</v>
      </c>
      <c r="B1694" t="s">
        <v>5439</v>
      </c>
      <c r="C1694" t="s">
        <v>5440</v>
      </c>
      <c r="D1694" s="22">
        <v>0</v>
      </c>
      <c r="E1694" s="17">
        <v>42153</v>
      </c>
      <c r="F1694" s="18">
        <v>0.43630787037037039</v>
      </c>
      <c r="G1694" s="22">
        <v>1473</v>
      </c>
      <c r="H1694">
        <v>0</v>
      </c>
      <c r="I1694" s="19" t="e">
        <f>I1693 + (D1694-G1694)</f>
        <v>#VALUE!</v>
      </c>
      <c r="M1694">
        <v>124605</v>
      </c>
      <c r="N1694">
        <v>24</v>
      </c>
      <c r="O1694" t="s">
        <v>68</v>
      </c>
      <c r="P1694">
        <v>1</v>
      </c>
      <c r="R1694">
        <v>1578</v>
      </c>
      <c r="S1694" s="17">
        <v>42160</v>
      </c>
      <c r="T1694" s="17">
        <v>42160</v>
      </c>
      <c r="W1694">
        <v>2015</v>
      </c>
      <c r="X1694">
        <v>24</v>
      </c>
      <c r="AC1694" t="s">
        <v>106</v>
      </c>
      <c r="AD1694" t="s">
        <v>302</v>
      </c>
      <c r="AE1694" t="s">
        <v>46</v>
      </c>
      <c r="AG1694">
        <v>12</v>
      </c>
      <c r="AH1694">
        <v>10</v>
      </c>
      <c r="AI1694" t="s">
        <v>95</v>
      </c>
      <c r="AK1694">
        <v>0</v>
      </c>
      <c r="AM1694">
        <v>0</v>
      </c>
      <c r="AP1694" t="s">
        <v>392</v>
      </c>
    </row>
    <row r="1695" spans="1:42" customFormat="1">
      <c r="A1695">
        <v>271867</v>
      </c>
      <c r="B1695" t="s">
        <v>5441</v>
      </c>
      <c r="C1695" t="s">
        <v>5442</v>
      </c>
      <c r="D1695" s="22">
        <v>0</v>
      </c>
      <c r="E1695" s="17">
        <v>42153</v>
      </c>
      <c r="F1695" s="18">
        <v>0.43630787037037039</v>
      </c>
      <c r="G1695" s="22">
        <v>998.45</v>
      </c>
      <c r="H1695">
        <v>0</v>
      </c>
      <c r="I1695" s="19" t="e">
        <f>I1694 + (D1695-G1695)</f>
        <v>#VALUE!</v>
      </c>
      <c r="M1695">
        <v>124595</v>
      </c>
      <c r="N1695">
        <v>24</v>
      </c>
      <c r="O1695" t="s">
        <v>68</v>
      </c>
      <c r="P1695">
        <v>1</v>
      </c>
      <c r="R1695">
        <v>1578</v>
      </c>
      <c r="S1695" s="17">
        <v>42160</v>
      </c>
      <c r="T1695" s="17">
        <v>42160</v>
      </c>
      <c r="W1695">
        <v>2015</v>
      </c>
      <c r="X1695">
        <v>24</v>
      </c>
      <c r="AC1695" t="s">
        <v>106</v>
      </c>
      <c r="AD1695" t="s">
        <v>302</v>
      </c>
      <c r="AE1695" t="s">
        <v>46</v>
      </c>
      <c r="AG1695">
        <v>12</v>
      </c>
      <c r="AH1695">
        <v>10</v>
      </c>
      <c r="AI1695" t="s">
        <v>95</v>
      </c>
      <c r="AK1695">
        <v>0</v>
      </c>
      <c r="AM1695">
        <v>0</v>
      </c>
      <c r="AP1695" t="s">
        <v>392</v>
      </c>
    </row>
    <row r="1696" spans="1:42" customFormat="1">
      <c r="A1696">
        <v>271870</v>
      </c>
      <c r="B1696" t="s">
        <v>5443</v>
      </c>
      <c r="C1696" t="s">
        <v>5444</v>
      </c>
      <c r="D1696" s="22">
        <v>0</v>
      </c>
      <c r="E1696" s="17">
        <v>42153</v>
      </c>
      <c r="F1696" s="18">
        <v>0.43630787037037039</v>
      </c>
      <c r="G1696" s="22">
        <v>1473</v>
      </c>
      <c r="H1696">
        <v>0</v>
      </c>
      <c r="I1696" s="19" t="e">
        <f>I1695 + (D1696-G1696)</f>
        <v>#VALUE!</v>
      </c>
      <c r="M1696">
        <v>124606</v>
      </c>
      <c r="N1696">
        <v>24</v>
      </c>
      <c r="O1696" t="s">
        <v>68</v>
      </c>
      <c r="P1696">
        <v>1</v>
      </c>
      <c r="R1696">
        <v>1578</v>
      </c>
      <c r="S1696" s="17">
        <v>42160</v>
      </c>
      <c r="T1696" s="17">
        <v>42160</v>
      </c>
      <c r="W1696">
        <v>2015</v>
      </c>
      <c r="X1696">
        <v>24</v>
      </c>
      <c r="AC1696" t="s">
        <v>106</v>
      </c>
      <c r="AD1696" t="s">
        <v>302</v>
      </c>
      <c r="AE1696" t="s">
        <v>46</v>
      </c>
      <c r="AG1696">
        <v>12</v>
      </c>
      <c r="AH1696">
        <v>10</v>
      </c>
      <c r="AI1696" t="s">
        <v>95</v>
      </c>
      <c r="AK1696">
        <v>0</v>
      </c>
      <c r="AM1696">
        <v>0</v>
      </c>
      <c r="AP1696" t="s">
        <v>392</v>
      </c>
    </row>
    <row r="1697" spans="1:42" customFormat="1">
      <c r="A1697">
        <v>271869</v>
      </c>
      <c r="B1697" t="s">
        <v>5445</v>
      </c>
      <c r="C1697" t="s">
        <v>5446</v>
      </c>
      <c r="D1697" s="22">
        <v>0</v>
      </c>
      <c r="E1697" s="17">
        <v>42153</v>
      </c>
      <c r="F1697" s="18">
        <v>0.43630787037037039</v>
      </c>
      <c r="G1697" s="22">
        <v>998.45</v>
      </c>
      <c r="H1697">
        <v>0</v>
      </c>
      <c r="I1697" s="19" t="e">
        <f>I1696 + (D1697-G1697)</f>
        <v>#VALUE!</v>
      </c>
      <c r="M1697">
        <v>124596</v>
      </c>
      <c r="N1697">
        <v>24</v>
      </c>
      <c r="O1697" t="s">
        <v>68</v>
      </c>
      <c r="P1697">
        <v>1</v>
      </c>
      <c r="R1697">
        <v>1578</v>
      </c>
      <c r="S1697" s="17">
        <v>42160</v>
      </c>
      <c r="T1697" s="17">
        <v>42160</v>
      </c>
      <c r="W1697">
        <v>2015</v>
      </c>
      <c r="X1697">
        <v>24</v>
      </c>
      <c r="AC1697" t="s">
        <v>106</v>
      </c>
      <c r="AD1697" t="s">
        <v>302</v>
      </c>
      <c r="AE1697" t="s">
        <v>46</v>
      </c>
      <c r="AG1697">
        <v>12</v>
      </c>
      <c r="AH1697">
        <v>10</v>
      </c>
      <c r="AI1697" t="s">
        <v>95</v>
      </c>
      <c r="AK1697">
        <v>0</v>
      </c>
      <c r="AM1697">
        <v>0</v>
      </c>
      <c r="AP1697" t="s">
        <v>392</v>
      </c>
    </row>
    <row r="1698" spans="1:42" customFormat="1">
      <c r="A1698">
        <v>271871</v>
      </c>
      <c r="B1698" t="s">
        <v>5447</v>
      </c>
      <c r="C1698" t="s">
        <v>5448</v>
      </c>
      <c r="D1698" s="22">
        <v>0</v>
      </c>
      <c r="E1698" s="17">
        <v>42153</v>
      </c>
      <c r="F1698" s="18">
        <v>0.43630787037037039</v>
      </c>
      <c r="G1698" s="22">
        <v>998.45</v>
      </c>
      <c r="H1698">
        <v>0</v>
      </c>
      <c r="I1698" s="19" t="e">
        <f>I1697 + (D1698-G1698)</f>
        <v>#VALUE!</v>
      </c>
      <c r="M1698">
        <v>124597</v>
      </c>
      <c r="N1698">
        <v>24</v>
      </c>
      <c r="O1698" t="s">
        <v>68</v>
      </c>
      <c r="P1698">
        <v>1</v>
      </c>
      <c r="R1698">
        <v>1578</v>
      </c>
      <c r="S1698" s="17">
        <v>42160</v>
      </c>
      <c r="T1698" s="17">
        <v>42160</v>
      </c>
      <c r="W1698">
        <v>2015</v>
      </c>
      <c r="X1698">
        <v>24</v>
      </c>
      <c r="AC1698" t="s">
        <v>106</v>
      </c>
      <c r="AD1698" t="s">
        <v>302</v>
      </c>
      <c r="AE1698" t="s">
        <v>46</v>
      </c>
      <c r="AG1698">
        <v>12</v>
      </c>
      <c r="AH1698">
        <v>10</v>
      </c>
      <c r="AI1698" t="s">
        <v>95</v>
      </c>
      <c r="AK1698">
        <v>0</v>
      </c>
      <c r="AM1698">
        <v>0</v>
      </c>
      <c r="AP1698" t="s">
        <v>392</v>
      </c>
    </row>
    <row r="1699" spans="1:42" customFormat="1">
      <c r="A1699">
        <v>271877</v>
      </c>
      <c r="B1699" t="s">
        <v>5449</v>
      </c>
      <c r="C1699" t="s">
        <v>5450</v>
      </c>
      <c r="D1699" s="22">
        <v>0</v>
      </c>
      <c r="E1699" s="17">
        <v>42153</v>
      </c>
      <c r="F1699" s="18">
        <v>0.43631944444444448</v>
      </c>
      <c r="G1699" s="22">
        <v>1051</v>
      </c>
      <c r="H1699">
        <v>0</v>
      </c>
      <c r="I1699" s="19" t="e">
        <f>I1698 + (D1699-G1699)</f>
        <v>#VALUE!</v>
      </c>
      <c r="M1699">
        <v>124600</v>
      </c>
      <c r="N1699">
        <v>24</v>
      </c>
      <c r="O1699" t="s">
        <v>68</v>
      </c>
      <c r="P1699">
        <v>1</v>
      </c>
      <c r="R1699">
        <v>1578</v>
      </c>
      <c r="S1699" s="17">
        <v>42160</v>
      </c>
      <c r="T1699" s="17">
        <v>42160</v>
      </c>
      <c r="W1699">
        <v>2015</v>
      </c>
      <c r="X1699">
        <v>24</v>
      </c>
      <c r="AC1699" t="s">
        <v>106</v>
      </c>
      <c r="AD1699" t="s">
        <v>302</v>
      </c>
      <c r="AE1699" t="s">
        <v>46</v>
      </c>
      <c r="AG1699">
        <v>12</v>
      </c>
      <c r="AH1699">
        <v>10</v>
      </c>
      <c r="AI1699" t="s">
        <v>95</v>
      </c>
      <c r="AK1699">
        <v>0</v>
      </c>
      <c r="AM1699">
        <v>0</v>
      </c>
      <c r="AP1699" t="s">
        <v>392</v>
      </c>
    </row>
    <row r="1700" spans="1:42" customFormat="1">
      <c r="A1700">
        <v>271878</v>
      </c>
      <c r="B1700" t="s">
        <v>5451</v>
      </c>
      <c r="C1700" t="s">
        <v>5452</v>
      </c>
      <c r="D1700" s="22">
        <v>0</v>
      </c>
      <c r="E1700" s="17">
        <v>42153</v>
      </c>
      <c r="F1700" s="18">
        <v>0.43631944444444448</v>
      </c>
      <c r="G1700" s="22">
        <v>1473</v>
      </c>
      <c r="H1700">
        <v>0</v>
      </c>
      <c r="I1700" s="19" t="e">
        <f>I1699 + (D1700-G1700)</f>
        <v>#VALUE!</v>
      </c>
      <c r="M1700">
        <v>124610</v>
      </c>
      <c r="N1700">
        <v>24</v>
      </c>
      <c r="O1700" t="s">
        <v>68</v>
      </c>
      <c r="P1700">
        <v>1</v>
      </c>
      <c r="R1700">
        <v>1578</v>
      </c>
      <c r="S1700" s="17">
        <v>42160</v>
      </c>
      <c r="T1700" s="17">
        <v>42160</v>
      </c>
      <c r="W1700">
        <v>2015</v>
      </c>
      <c r="X1700">
        <v>24</v>
      </c>
      <c r="AC1700" t="s">
        <v>106</v>
      </c>
      <c r="AD1700" t="s">
        <v>302</v>
      </c>
      <c r="AE1700" t="s">
        <v>46</v>
      </c>
      <c r="AG1700">
        <v>12</v>
      </c>
      <c r="AH1700">
        <v>10</v>
      </c>
      <c r="AI1700" t="s">
        <v>95</v>
      </c>
      <c r="AK1700">
        <v>0</v>
      </c>
      <c r="AM1700">
        <v>0</v>
      </c>
      <c r="AP1700" t="s">
        <v>392</v>
      </c>
    </row>
    <row r="1701" spans="1:42" customFormat="1">
      <c r="A1701">
        <v>271879</v>
      </c>
      <c r="B1701" t="s">
        <v>5453</v>
      </c>
      <c r="C1701" t="s">
        <v>5454</v>
      </c>
      <c r="D1701" s="22">
        <v>0</v>
      </c>
      <c r="E1701" s="17">
        <v>42153</v>
      </c>
      <c r="F1701" s="18">
        <v>0.43631944444444448</v>
      </c>
      <c r="G1701" s="22">
        <v>1051</v>
      </c>
      <c r="H1701">
        <v>0</v>
      </c>
      <c r="I1701" s="19" t="e">
        <f>I1700 + (D1701-G1701)</f>
        <v>#VALUE!</v>
      </c>
      <c r="M1701">
        <v>124601</v>
      </c>
      <c r="N1701">
        <v>24</v>
      </c>
      <c r="O1701" t="s">
        <v>68</v>
      </c>
      <c r="P1701">
        <v>1</v>
      </c>
      <c r="R1701">
        <v>1578</v>
      </c>
      <c r="S1701" s="17">
        <v>42160</v>
      </c>
      <c r="T1701" s="17">
        <v>42160</v>
      </c>
      <c r="W1701">
        <v>2015</v>
      </c>
      <c r="X1701">
        <v>24</v>
      </c>
      <c r="AC1701" t="s">
        <v>106</v>
      </c>
      <c r="AD1701" t="s">
        <v>302</v>
      </c>
      <c r="AE1701" t="s">
        <v>46</v>
      </c>
      <c r="AG1701">
        <v>12</v>
      </c>
      <c r="AH1701">
        <v>10</v>
      </c>
      <c r="AI1701" t="s">
        <v>95</v>
      </c>
      <c r="AK1701">
        <v>0</v>
      </c>
      <c r="AM1701">
        <v>0</v>
      </c>
      <c r="AP1701" t="s">
        <v>392</v>
      </c>
    </row>
    <row r="1702" spans="1:42" customFormat="1">
      <c r="A1702">
        <v>271880</v>
      </c>
      <c r="B1702" t="s">
        <v>5455</v>
      </c>
      <c r="C1702" t="s">
        <v>5456</v>
      </c>
      <c r="D1702" s="22">
        <v>0</v>
      </c>
      <c r="E1702" s="17">
        <v>42153</v>
      </c>
      <c r="F1702" s="18">
        <v>0.43631944444444448</v>
      </c>
      <c r="G1702" s="22">
        <v>1473</v>
      </c>
      <c r="H1702">
        <v>0</v>
      </c>
      <c r="I1702" s="19" t="e">
        <f>I1701 + (D1702-G1702)</f>
        <v>#VALUE!</v>
      </c>
      <c r="M1702">
        <v>124611</v>
      </c>
      <c r="N1702">
        <v>24</v>
      </c>
      <c r="O1702" t="s">
        <v>68</v>
      </c>
      <c r="P1702">
        <v>1</v>
      </c>
      <c r="R1702">
        <v>1578</v>
      </c>
      <c r="S1702" s="17">
        <v>42160</v>
      </c>
      <c r="T1702" s="17">
        <v>42160</v>
      </c>
      <c r="W1702">
        <v>2015</v>
      </c>
      <c r="X1702">
        <v>24</v>
      </c>
      <c r="AC1702" t="s">
        <v>106</v>
      </c>
      <c r="AD1702" t="s">
        <v>302</v>
      </c>
      <c r="AE1702" t="s">
        <v>46</v>
      </c>
      <c r="AG1702">
        <v>12</v>
      </c>
      <c r="AH1702">
        <v>10</v>
      </c>
      <c r="AI1702" t="s">
        <v>95</v>
      </c>
      <c r="AK1702">
        <v>0</v>
      </c>
      <c r="AM1702">
        <v>0</v>
      </c>
      <c r="AP1702" t="s">
        <v>392</v>
      </c>
    </row>
    <row r="1703" spans="1:42" customFormat="1">
      <c r="A1703">
        <v>271872</v>
      </c>
      <c r="B1703" t="s">
        <v>5457</v>
      </c>
      <c r="C1703" t="s">
        <v>5458</v>
      </c>
      <c r="D1703" s="22">
        <v>0</v>
      </c>
      <c r="E1703" s="17">
        <v>42153</v>
      </c>
      <c r="F1703" s="18">
        <v>0.43631944444444448</v>
      </c>
      <c r="G1703" s="22">
        <v>1473</v>
      </c>
      <c r="H1703">
        <v>0</v>
      </c>
      <c r="I1703" s="19" t="e">
        <f>I1702 + (D1703-G1703)</f>
        <v>#VALUE!</v>
      </c>
      <c r="M1703">
        <v>124607</v>
      </c>
      <c r="N1703">
        <v>24</v>
      </c>
      <c r="O1703" t="s">
        <v>68</v>
      </c>
      <c r="P1703">
        <v>1</v>
      </c>
      <c r="R1703">
        <v>1578</v>
      </c>
      <c r="S1703" s="17">
        <v>42160</v>
      </c>
      <c r="T1703" s="17">
        <v>42160</v>
      </c>
      <c r="W1703">
        <v>2015</v>
      </c>
      <c r="X1703">
        <v>24</v>
      </c>
      <c r="AC1703" t="s">
        <v>106</v>
      </c>
      <c r="AD1703" t="s">
        <v>302</v>
      </c>
      <c r="AE1703" t="s">
        <v>46</v>
      </c>
      <c r="AG1703">
        <v>12</v>
      </c>
      <c r="AH1703">
        <v>10</v>
      </c>
      <c r="AI1703" t="s">
        <v>95</v>
      </c>
      <c r="AK1703">
        <v>0</v>
      </c>
      <c r="AM1703">
        <v>0</v>
      </c>
      <c r="AP1703" t="s">
        <v>392</v>
      </c>
    </row>
    <row r="1704" spans="1:42" customFormat="1">
      <c r="A1704">
        <v>271874</v>
      </c>
      <c r="B1704" t="s">
        <v>5459</v>
      </c>
      <c r="C1704" t="s">
        <v>5460</v>
      </c>
      <c r="D1704" s="22">
        <v>0</v>
      </c>
      <c r="E1704" s="17">
        <v>42153</v>
      </c>
      <c r="F1704" s="18">
        <v>0.43631944444444448</v>
      </c>
      <c r="G1704" s="22">
        <v>1473</v>
      </c>
      <c r="H1704">
        <v>0</v>
      </c>
      <c r="I1704" s="19" t="e">
        <f>I1703 + (D1704-G1704)</f>
        <v>#VALUE!</v>
      </c>
      <c r="M1704">
        <v>124608</v>
      </c>
      <c r="N1704">
        <v>24</v>
      </c>
      <c r="O1704" t="s">
        <v>68</v>
      </c>
      <c r="P1704">
        <v>1</v>
      </c>
      <c r="R1704">
        <v>1578</v>
      </c>
      <c r="S1704" s="17">
        <v>42160</v>
      </c>
      <c r="T1704" s="17">
        <v>42160</v>
      </c>
      <c r="W1704">
        <v>2015</v>
      </c>
      <c r="X1704">
        <v>24</v>
      </c>
      <c r="AC1704" t="s">
        <v>106</v>
      </c>
      <c r="AD1704" t="s">
        <v>302</v>
      </c>
      <c r="AE1704" t="s">
        <v>46</v>
      </c>
      <c r="AG1704">
        <v>12</v>
      </c>
      <c r="AH1704">
        <v>10</v>
      </c>
      <c r="AI1704" t="s">
        <v>95</v>
      </c>
      <c r="AK1704">
        <v>0</v>
      </c>
      <c r="AM1704">
        <v>0</v>
      </c>
      <c r="AP1704" t="s">
        <v>392</v>
      </c>
    </row>
    <row r="1705" spans="1:42" customFormat="1">
      <c r="A1705">
        <v>271873</v>
      </c>
      <c r="B1705" t="s">
        <v>5461</v>
      </c>
      <c r="C1705" t="s">
        <v>5462</v>
      </c>
      <c r="D1705" s="22">
        <v>0</v>
      </c>
      <c r="E1705" s="17">
        <v>42153</v>
      </c>
      <c r="F1705" s="18">
        <v>0.43631944444444448</v>
      </c>
      <c r="G1705" s="22">
        <v>1051</v>
      </c>
      <c r="H1705">
        <v>0</v>
      </c>
      <c r="I1705" s="19" t="e">
        <f>I1704 + (D1705-G1705)</f>
        <v>#VALUE!</v>
      </c>
      <c r="M1705">
        <v>124598</v>
      </c>
      <c r="N1705">
        <v>24</v>
      </c>
      <c r="O1705" t="s">
        <v>68</v>
      </c>
      <c r="P1705">
        <v>1</v>
      </c>
      <c r="R1705">
        <v>1578</v>
      </c>
      <c r="S1705" s="17">
        <v>42160</v>
      </c>
      <c r="T1705" s="17">
        <v>42160</v>
      </c>
      <c r="W1705">
        <v>2015</v>
      </c>
      <c r="X1705">
        <v>24</v>
      </c>
      <c r="AC1705" t="s">
        <v>106</v>
      </c>
      <c r="AD1705" t="s">
        <v>302</v>
      </c>
      <c r="AE1705" t="s">
        <v>46</v>
      </c>
      <c r="AG1705">
        <v>12</v>
      </c>
      <c r="AH1705">
        <v>10</v>
      </c>
      <c r="AI1705" t="s">
        <v>95</v>
      </c>
      <c r="AK1705">
        <v>0</v>
      </c>
      <c r="AM1705">
        <v>0</v>
      </c>
      <c r="AP1705" t="s">
        <v>392</v>
      </c>
    </row>
    <row r="1706" spans="1:42" customFormat="1">
      <c r="A1706">
        <v>271876</v>
      </c>
      <c r="B1706" t="s">
        <v>5463</v>
      </c>
      <c r="C1706" t="s">
        <v>5464</v>
      </c>
      <c r="D1706" s="22">
        <v>0</v>
      </c>
      <c r="E1706" s="17">
        <v>42153</v>
      </c>
      <c r="F1706" s="18">
        <v>0.43631944444444448</v>
      </c>
      <c r="G1706" s="22">
        <v>1473</v>
      </c>
      <c r="H1706">
        <v>0</v>
      </c>
      <c r="I1706" s="19" t="e">
        <f>I1705 + (D1706-G1706)</f>
        <v>#VALUE!</v>
      </c>
      <c r="M1706">
        <v>124609</v>
      </c>
      <c r="N1706">
        <v>24</v>
      </c>
      <c r="O1706" t="s">
        <v>68</v>
      </c>
      <c r="P1706">
        <v>1</v>
      </c>
      <c r="R1706">
        <v>1578</v>
      </c>
      <c r="S1706" s="17">
        <v>42160</v>
      </c>
      <c r="T1706" s="17">
        <v>42160</v>
      </c>
      <c r="W1706">
        <v>2015</v>
      </c>
      <c r="X1706">
        <v>24</v>
      </c>
      <c r="AC1706" t="s">
        <v>106</v>
      </c>
      <c r="AD1706" t="s">
        <v>302</v>
      </c>
      <c r="AE1706" t="s">
        <v>46</v>
      </c>
      <c r="AG1706">
        <v>12</v>
      </c>
      <c r="AH1706">
        <v>10</v>
      </c>
      <c r="AI1706" t="s">
        <v>95</v>
      </c>
      <c r="AK1706">
        <v>0</v>
      </c>
      <c r="AM1706">
        <v>0</v>
      </c>
      <c r="AP1706" t="s">
        <v>392</v>
      </c>
    </row>
    <row r="1707" spans="1:42" customFormat="1">
      <c r="A1707">
        <v>271875</v>
      </c>
      <c r="B1707" t="s">
        <v>5465</v>
      </c>
      <c r="C1707" t="s">
        <v>5466</v>
      </c>
      <c r="D1707" s="22">
        <v>0</v>
      </c>
      <c r="E1707" s="17">
        <v>42153</v>
      </c>
      <c r="F1707" s="18">
        <v>0.43631944444444448</v>
      </c>
      <c r="G1707" s="22">
        <v>998.45</v>
      </c>
      <c r="H1707">
        <v>0</v>
      </c>
      <c r="I1707" s="19" t="e">
        <f>I1706 + (D1707-G1707)</f>
        <v>#VALUE!</v>
      </c>
      <c r="M1707">
        <v>124599</v>
      </c>
      <c r="N1707">
        <v>24</v>
      </c>
      <c r="O1707" t="s">
        <v>68</v>
      </c>
      <c r="P1707">
        <v>1</v>
      </c>
      <c r="R1707">
        <v>1578</v>
      </c>
      <c r="S1707" s="17">
        <v>42160</v>
      </c>
      <c r="T1707" s="17">
        <v>42160</v>
      </c>
      <c r="W1707">
        <v>2015</v>
      </c>
      <c r="X1707">
        <v>24</v>
      </c>
      <c r="AC1707" t="s">
        <v>106</v>
      </c>
      <c r="AD1707" t="s">
        <v>302</v>
      </c>
      <c r="AE1707" t="s">
        <v>46</v>
      </c>
      <c r="AG1707">
        <v>12</v>
      </c>
      <c r="AH1707">
        <v>10</v>
      </c>
      <c r="AI1707" t="s">
        <v>95</v>
      </c>
      <c r="AK1707">
        <v>0</v>
      </c>
      <c r="AM1707">
        <v>0</v>
      </c>
      <c r="AP1707" t="s">
        <v>392</v>
      </c>
    </row>
    <row r="1708" spans="1:42" customFormat="1">
      <c r="A1708">
        <v>270918</v>
      </c>
      <c r="B1708" t="s">
        <v>3922</v>
      </c>
      <c r="C1708" t="s">
        <v>3923</v>
      </c>
      <c r="D1708" s="22">
        <v>0</v>
      </c>
      <c r="E1708" s="17">
        <v>42145</v>
      </c>
      <c r="F1708" s="18">
        <v>0.37178240740740742</v>
      </c>
      <c r="G1708" s="22">
        <v>3479.62</v>
      </c>
      <c r="H1708">
        <v>0</v>
      </c>
      <c r="I1708" s="19" t="e">
        <f>I1707 + (D1708-G1708)</f>
        <v>#VALUE!</v>
      </c>
      <c r="M1708">
        <v>110396</v>
      </c>
      <c r="N1708">
        <v>24</v>
      </c>
      <c r="O1708" t="s">
        <v>68</v>
      </c>
      <c r="P1708">
        <v>2</v>
      </c>
      <c r="R1708">
        <v>331</v>
      </c>
      <c r="S1708" s="17">
        <v>42149</v>
      </c>
      <c r="T1708" s="17">
        <v>42149</v>
      </c>
      <c r="W1708">
        <v>2015</v>
      </c>
      <c r="X1708">
        <v>24</v>
      </c>
      <c r="AC1708" t="s">
        <v>273</v>
      </c>
      <c r="AD1708" t="s">
        <v>301</v>
      </c>
      <c r="AE1708" t="s">
        <v>46</v>
      </c>
      <c r="AG1708">
        <v>4</v>
      </c>
      <c r="AH1708">
        <v>8</v>
      </c>
      <c r="AI1708" t="s">
        <v>52</v>
      </c>
      <c r="AK1708">
        <v>0</v>
      </c>
      <c r="AM1708">
        <v>0</v>
      </c>
      <c r="AP1708" t="s">
        <v>389</v>
      </c>
    </row>
    <row r="1709" spans="1:42" customFormat="1">
      <c r="A1709">
        <v>269735</v>
      </c>
      <c r="B1709" t="s">
        <v>1927</v>
      </c>
      <c r="C1709" t="s">
        <v>1928</v>
      </c>
      <c r="D1709" s="22">
        <v>0</v>
      </c>
      <c r="E1709" s="17">
        <v>42131</v>
      </c>
      <c r="F1709" s="18">
        <v>0.41437499999999999</v>
      </c>
      <c r="G1709" s="22">
        <v>4463.6400000000003</v>
      </c>
      <c r="H1709">
        <v>0</v>
      </c>
      <c r="I1709" s="19" t="e">
        <f>I1708 + (D1709-G1709)</f>
        <v>#VALUE!</v>
      </c>
      <c r="M1709">
        <v>123242</v>
      </c>
      <c r="N1709">
        <v>24</v>
      </c>
      <c r="O1709" t="s">
        <v>68</v>
      </c>
      <c r="P1709">
        <v>1</v>
      </c>
      <c r="R1709">
        <v>335</v>
      </c>
      <c r="S1709" s="17">
        <v>42137</v>
      </c>
      <c r="T1709" s="17">
        <v>42137</v>
      </c>
      <c r="W1709">
        <v>2015</v>
      </c>
      <c r="X1709">
        <v>24</v>
      </c>
      <c r="AC1709" t="s">
        <v>222</v>
      </c>
      <c r="AD1709" t="s">
        <v>301</v>
      </c>
      <c r="AE1709" t="s">
        <v>46</v>
      </c>
      <c r="AG1709">
        <v>4</v>
      </c>
      <c r="AH1709">
        <v>9</v>
      </c>
      <c r="AI1709" t="s">
        <v>54</v>
      </c>
      <c r="AK1709">
        <v>0</v>
      </c>
      <c r="AM1709">
        <v>0</v>
      </c>
      <c r="AP1709" t="s">
        <v>389</v>
      </c>
    </row>
    <row r="1710" spans="1:42" customFormat="1">
      <c r="A1710">
        <v>270704</v>
      </c>
      <c r="B1710" t="s">
        <v>3931</v>
      </c>
      <c r="C1710" t="s">
        <v>3932</v>
      </c>
      <c r="D1710" s="22">
        <v>0</v>
      </c>
      <c r="E1710" s="17">
        <v>42145</v>
      </c>
      <c r="F1710" s="18">
        <v>0.39405092592592594</v>
      </c>
      <c r="G1710" s="22">
        <v>100.65</v>
      </c>
      <c r="H1710">
        <v>0</v>
      </c>
      <c r="I1710" s="19" t="e">
        <f>I1709 + (D1710-G1710)</f>
        <v>#VALUE!</v>
      </c>
      <c r="M1710">
        <v>123840</v>
      </c>
      <c r="N1710">
        <v>24</v>
      </c>
      <c r="O1710" t="s">
        <v>68</v>
      </c>
      <c r="P1710">
        <v>1</v>
      </c>
      <c r="R1710">
        <v>335</v>
      </c>
      <c r="S1710" s="17">
        <v>42146</v>
      </c>
      <c r="T1710" s="17">
        <v>42146</v>
      </c>
      <c r="W1710">
        <v>2015</v>
      </c>
      <c r="X1710">
        <v>24</v>
      </c>
      <c r="AC1710" t="s">
        <v>222</v>
      </c>
      <c r="AD1710" t="s">
        <v>301</v>
      </c>
      <c r="AE1710" t="s">
        <v>46</v>
      </c>
      <c r="AG1710">
        <v>8</v>
      </c>
      <c r="AH1710">
        <v>9</v>
      </c>
      <c r="AI1710" t="s">
        <v>54</v>
      </c>
      <c r="AK1710">
        <v>0</v>
      </c>
      <c r="AM1710">
        <v>0</v>
      </c>
      <c r="AP1710" t="s">
        <v>1201</v>
      </c>
    </row>
    <row r="1711" spans="1:42" customFormat="1">
      <c r="A1711">
        <v>270707</v>
      </c>
      <c r="B1711" t="s">
        <v>3933</v>
      </c>
      <c r="C1711" t="s">
        <v>3934</v>
      </c>
      <c r="D1711" s="22">
        <v>0</v>
      </c>
      <c r="E1711" s="17">
        <v>42145</v>
      </c>
      <c r="F1711" s="18">
        <v>0.39405092592592594</v>
      </c>
      <c r="G1711" s="22">
        <v>88.17</v>
      </c>
      <c r="H1711">
        <v>0</v>
      </c>
      <c r="I1711" s="19" t="e">
        <f>I1710 + (D1711-G1711)</f>
        <v>#VALUE!</v>
      </c>
      <c r="M1711">
        <v>123841</v>
      </c>
      <c r="N1711">
        <v>24</v>
      </c>
      <c r="O1711" t="s">
        <v>68</v>
      </c>
      <c r="P1711">
        <v>1</v>
      </c>
      <c r="R1711">
        <v>335</v>
      </c>
      <c r="S1711" s="17">
        <v>42146</v>
      </c>
      <c r="T1711" s="17">
        <v>42146</v>
      </c>
      <c r="W1711">
        <v>2015</v>
      </c>
      <c r="X1711">
        <v>24</v>
      </c>
      <c r="AC1711" t="s">
        <v>222</v>
      </c>
      <c r="AD1711" t="s">
        <v>301</v>
      </c>
      <c r="AE1711" t="s">
        <v>46</v>
      </c>
      <c r="AG1711">
        <v>8</v>
      </c>
      <c r="AH1711">
        <v>9</v>
      </c>
      <c r="AI1711" t="s">
        <v>54</v>
      </c>
      <c r="AK1711">
        <v>0</v>
      </c>
      <c r="AM1711">
        <v>0</v>
      </c>
      <c r="AP1711" t="s">
        <v>1201</v>
      </c>
    </row>
    <row r="1712" spans="1:42" customFormat="1">
      <c r="A1712">
        <v>270710</v>
      </c>
      <c r="B1712" t="s">
        <v>3935</v>
      </c>
      <c r="C1712" t="s">
        <v>3936</v>
      </c>
      <c r="D1712" s="22">
        <v>0</v>
      </c>
      <c r="E1712" s="17">
        <v>42145</v>
      </c>
      <c r="F1712" s="18">
        <v>0.39405092592592594</v>
      </c>
      <c r="G1712" s="22">
        <v>116.08</v>
      </c>
      <c r="H1712">
        <v>0</v>
      </c>
      <c r="I1712" s="19" t="e">
        <f>I1711 + (D1712-G1712)</f>
        <v>#VALUE!</v>
      </c>
      <c r="M1712">
        <v>123842</v>
      </c>
      <c r="N1712">
        <v>24</v>
      </c>
      <c r="O1712" t="s">
        <v>68</v>
      </c>
      <c r="P1712">
        <v>1</v>
      </c>
      <c r="R1712">
        <v>335</v>
      </c>
      <c r="S1712" s="17">
        <v>42146</v>
      </c>
      <c r="T1712" s="17">
        <v>42146</v>
      </c>
      <c r="W1712">
        <v>2015</v>
      </c>
      <c r="X1712">
        <v>24</v>
      </c>
      <c r="AC1712" t="s">
        <v>222</v>
      </c>
      <c r="AD1712" t="s">
        <v>301</v>
      </c>
      <c r="AE1712" t="s">
        <v>46</v>
      </c>
      <c r="AG1712">
        <v>8</v>
      </c>
      <c r="AH1712">
        <v>9</v>
      </c>
      <c r="AI1712" t="s">
        <v>54</v>
      </c>
      <c r="AK1712">
        <v>0</v>
      </c>
      <c r="AM1712">
        <v>0</v>
      </c>
      <c r="AP1712" t="s">
        <v>1201</v>
      </c>
    </row>
    <row r="1713" spans="1:42" customFormat="1">
      <c r="A1713">
        <v>270712</v>
      </c>
      <c r="B1713" t="s">
        <v>3937</v>
      </c>
      <c r="C1713" t="s">
        <v>3938</v>
      </c>
      <c r="D1713" s="22">
        <v>0</v>
      </c>
      <c r="E1713" s="17">
        <v>42145</v>
      </c>
      <c r="F1713" s="18">
        <v>0.39405092592592594</v>
      </c>
      <c r="G1713" s="22">
        <v>125.21</v>
      </c>
      <c r="H1713">
        <v>0</v>
      </c>
      <c r="I1713" s="19" t="e">
        <f>I1712 + (D1713-G1713)</f>
        <v>#VALUE!</v>
      </c>
      <c r="M1713">
        <v>123843</v>
      </c>
      <c r="N1713">
        <v>24</v>
      </c>
      <c r="O1713" t="s">
        <v>68</v>
      </c>
      <c r="P1713">
        <v>1</v>
      </c>
      <c r="R1713">
        <v>335</v>
      </c>
      <c r="S1713" s="17">
        <v>42146</v>
      </c>
      <c r="T1713" s="17">
        <v>42146</v>
      </c>
      <c r="W1713">
        <v>2015</v>
      </c>
      <c r="X1713">
        <v>24</v>
      </c>
      <c r="AC1713" t="s">
        <v>222</v>
      </c>
      <c r="AD1713" t="s">
        <v>301</v>
      </c>
      <c r="AE1713" t="s">
        <v>46</v>
      </c>
      <c r="AG1713">
        <v>8</v>
      </c>
      <c r="AH1713">
        <v>9</v>
      </c>
      <c r="AI1713" t="s">
        <v>54</v>
      </c>
      <c r="AK1713">
        <v>0</v>
      </c>
      <c r="AM1713">
        <v>0</v>
      </c>
      <c r="AP1713" t="s">
        <v>1201</v>
      </c>
    </row>
    <row r="1714" spans="1:42" customFormat="1">
      <c r="A1714">
        <v>270714</v>
      </c>
      <c r="B1714" t="s">
        <v>3939</v>
      </c>
      <c r="C1714" t="s">
        <v>3940</v>
      </c>
      <c r="D1714" s="22">
        <v>0</v>
      </c>
      <c r="E1714" s="17">
        <v>42145</v>
      </c>
      <c r="F1714" s="18">
        <v>0.39405092592592594</v>
      </c>
      <c r="G1714" s="22">
        <v>147.06</v>
      </c>
      <c r="H1714">
        <v>0</v>
      </c>
      <c r="I1714" s="19" t="e">
        <f>I1713 + (D1714-G1714)</f>
        <v>#VALUE!</v>
      </c>
      <c r="M1714">
        <v>123844</v>
      </c>
      <c r="N1714">
        <v>24</v>
      </c>
      <c r="O1714" t="s">
        <v>68</v>
      </c>
      <c r="P1714">
        <v>1</v>
      </c>
      <c r="R1714">
        <v>335</v>
      </c>
      <c r="S1714" s="17">
        <v>42146</v>
      </c>
      <c r="T1714" s="17">
        <v>42146</v>
      </c>
      <c r="W1714">
        <v>2015</v>
      </c>
      <c r="X1714">
        <v>24</v>
      </c>
      <c r="AC1714" t="s">
        <v>222</v>
      </c>
      <c r="AD1714" t="s">
        <v>301</v>
      </c>
      <c r="AE1714" t="s">
        <v>46</v>
      </c>
      <c r="AG1714">
        <v>8</v>
      </c>
      <c r="AH1714">
        <v>9</v>
      </c>
      <c r="AI1714" t="s">
        <v>54</v>
      </c>
      <c r="AK1714">
        <v>0</v>
      </c>
      <c r="AM1714">
        <v>0</v>
      </c>
      <c r="AP1714" t="s">
        <v>1201</v>
      </c>
    </row>
    <row r="1715" spans="1:42" customFormat="1">
      <c r="A1715">
        <v>270716</v>
      </c>
      <c r="B1715" t="s">
        <v>3941</v>
      </c>
      <c r="C1715" t="s">
        <v>3942</v>
      </c>
      <c r="D1715" s="22">
        <v>0</v>
      </c>
      <c r="E1715" s="17">
        <v>42145</v>
      </c>
      <c r="F1715" s="18">
        <v>0.39405092592592594</v>
      </c>
      <c r="G1715" s="22">
        <v>204.64</v>
      </c>
      <c r="H1715">
        <v>0</v>
      </c>
      <c r="I1715" s="19" t="e">
        <f>I1714 + (D1715-G1715)</f>
        <v>#VALUE!</v>
      </c>
      <c r="M1715">
        <v>123845</v>
      </c>
      <c r="N1715">
        <v>24</v>
      </c>
      <c r="O1715" t="s">
        <v>68</v>
      </c>
      <c r="P1715">
        <v>1</v>
      </c>
      <c r="R1715">
        <v>335</v>
      </c>
      <c r="S1715" s="17">
        <v>42146</v>
      </c>
      <c r="T1715" s="17">
        <v>42146</v>
      </c>
      <c r="W1715">
        <v>2015</v>
      </c>
      <c r="X1715">
        <v>24</v>
      </c>
      <c r="AC1715" t="s">
        <v>222</v>
      </c>
      <c r="AD1715" t="s">
        <v>301</v>
      </c>
      <c r="AE1715" t="s">
        <v>46</v>
      </c>
      <c r="AG1715">
        <v>8</v>
      </c>
      <c r="AH1715">
        <v>9</v>
      </c>
      <c r="AI1715" t="s">
        <v>54</v>
      </c>
      <c r="AK1715">
        <v>0</v>
      </c>
      <c r="AM1715">
        <v>0</v>
      </c>
      <c r="AP1715" t="s">
        <v>1201</v>
      </c>
    </row>
    <row r="1716" spans="1:42" customFormat="1">
      <c r="A1716">
        <v>270718</v>
      </c>
      <c r="B1716" t="s">
        <v>3943</v>
      </c>
      <c r="C1716" t="s">
        <v>3944</v>
      </c>
      <c r="D1716" s="22">
        <v>0</v>
      </c>
      <c r="E1716" s="17">
        <v>42145</v>
      </c>
      <c r="F1716" s="18">
        <v>0.39405092592592594</v>
      </c>
      <c r="G1716" s="22">
        <v>203.48</v>
      </c>
      <c r="H1716">
        <v>0</v>
      </c>
      <c r="I1716" s="19" t="e">
        <f>I1715 + (D1716-G1716)</f>
        <v>#VALUE!</v>
      </c>
      <c r="M1716">
        <v>123846</v>
      </c>
      <c r="N1716">
        <v>24</v>
      </c>
      <c r="O1716" t="s">
        <v>68</v>
      </c>
      <c r="P1716">
        <v>1</v>
      </c>
      <c r="R1716">
        <v>335</v>
      </c>
      <c r="S1716" s="17">
        <v>42146</v>
      </c>
      <c r="T1716" s="17">
        <v>42146</v>
      </c>
      <c r="W1716">
        <v>2015</v>
      </c>
      <c r="X1716">
        <v>24</v>
      </c>
      <c r="AC1716" t="s">
        <v>222</v>
      </c>
      <c r="AD1716" t="s">
        <v>301</v>
      </c>
      <c r="AE1716" t="s">
        <v>46</v>
      </c>
      <c r="AG1716">
        <v>8</v>
      </c>
      <c r="AH1716">
        <v>9</v>
      </c>
      <c r="AI1716" t="s">
        <v>54</v>
      </c>
      <c r="AK1716">
        <v>0</v>
      </c>
      <c r="AM1716">
        <v>0</v>
      </c>
      <c r="AP1716" t="s">
        <v>1201</v>
      </c>
    </row>
    <row r="1717" spans="1:42" customFormat="1">
      <c r="A1717">
        <v>270698</v>
      </c>
      <c r="B1717" t="s">
        <v>3945</v>
      </c>
      <c r="C1717" t="s">
        <v>3946</v>
      </c>
      <c r="D1717" s="22">
        <v>0</v>
      </c>
      <c r="E1717" s="17">
        <v>42145</v>
      </c>
      <c r="F1717" s="18">
        <v>0.39405092592592594</v>
      </c>
      <c r="G1717" s="22">
        <v>127.27</v>
      </c>
      <c r="H1717">
        <v>0</v>
      </c>
      <c r="I1717" s="19" t="e">
        <f>I1716 + (D1717-G1717)</f>
        <v>#VALUE!</v>
      </c>
      <c r="M1717">
        <v>123838</v>
      </c>
      <c r="N1717">
        <v>24</v>
      </c>
      <c r="O1717" t="s">
        <v>68</v>
      </c>
      <c r="P1717">
        <v>1</v>
      </c>
      <c r="R1717">
        <v>335</v>
      </c>
      <c r="S1717" s="17">
        <v>42146</v>
      </c>
      <c r="T1717" s="17">
        <v>42146</v>
      </c>
      <c r="W1717">
        <v>2015</v>
      </c>
      <c r="X1717">
        <v>24</v>
      </c>
      <c r="AC1717" t="s">
        <v>222</v>
      </c>
      <c r="AD1717" t="s">
        <v>301</v>
      </c>
      <c r="AE1717" t="s">
        <v>46</v>
      </c>
      <c r="AG1717">
        <v>8</v>
      </c>
      <c r="AH1717">
        <v>9</v>
      </c>
      <c r="AI1717" t="s">
        <v>54</v>
      </c>
      <c r="AK1717">
        <v>0</v>
      </c>
      <c r="AM1717">
        <v>0</v>
      </c>
      <c r="AP1717" t="s">
        <v>1201</v>
      </c>
    </row>
    <row r="1718" spans="1:42" customFormat="1">
      <c r="A1718">
        <v>270701</v>
      </c>
      <c r="B1718" t="s">
        <v>3947</v>
      </c>
      <c r="C1718" t="s">
        <v>3948</v>
      </c>
      <c r="D1718" s="22">
        <v>0</v>
      </c>
      <c r="E1718" s="17">
        <v>42145</v>
      </c>
      <c r="F1718" s="18">
        <v>0.39405092592592594</v>
      </c>
      <c r="G1718" s="22">
        <v>95.72</v>
      </c>
      <c r="H1718">
        <v>0</v>
      </c>
      <c r="I1718" s="19" t="e">
        <f>I1717 + (D1718-G1718)</f>
        <v>#VALUE!</v>
      </c>
      <c r="M1718">
        <v>123839</v>
      </c>
      <c r="N1718">
        <v>24</v>
      </c>
      <c r="O1718" t="s">
        <v>68</v>
      </c>
      <c r="P1718">
        <v>1</v>
      </c>
      <c r="R1718">
        <v>335</v>
      </c>
      <c r="S1718" s="17">
        <v>42146</v>
      </c>
      <c r="T1718" s="17">
        <v>42146</v>
      </c>
      <c r="W1718">
        <v>2015</v>
      </c>
      <c r="X1718">
        <v>24</v>
      </c>
      <c r="AC1718" t="s">
        <v>222</v>
      </c>
      <c r="AD1718" t="s">
        <v>301</v>
      </c>
      <c r="AE1718" t="s">
        <v>46</v>
      </c>
      <c r="AG1718">
        <v>8</v>
      </c>
      <c r="AH1718">
        <v>9</v>
      </c>
      <c r="AI1718" t="s">
        <v>54</v>
      </c>
      <c r="AK1718">
        <v>0</v>
      </c>
      <c r="AM1718">
        <v>0</v>
      </c>
      <c r="AP1718" t="s">
        <v>1201</v>
      </c>
    </row>
    <row r="1719" spans="1:42" customFormat="1">
      <c r="A1719">
        <v>270705</v>
      </c>
      <c r="B1719" t="s">
        <v>3949</v>
      </c>
      <c r="C1719" t="s">
        <v>3950</v>
      </c>
      <c r="D1719" s="22">
        <v>0</v>
      </c>
      <c r="E1719" s="17">
        <v>42145</v>
      </c>
      <c r="F1719" s="18">
        <v>0.39405092592592594</v>
      </c>
      <c r="G1719" s="22">
        <v>155.1</v>
      </c>
      <c r="H1719">
        <v>0</v>
      </c>
      <c r="I1719" s="19" t="e">
        <f>I1718 + (D1719-G1719)</f>
        <v>#VALUE!</v>
      </c>
      <c r="M1719">
        <v>123850</v>
      </c>
      <c r="N1719">
        <v>24</v>
      </c>
      <c r="O1719" t="s">
        <v>68</v>
      </c>
      <c r="P1719">
        <v>1</v>
      </c>
      <c r="R1719">
        <v>335</v>
      </c>
      <c r="S1719" s="17">
        <v>42146</v>
      </c>
      <c r="T1719" s="17">
        <v>42146</v>
      </c>
      <c r="W1719">
        <v>2015</v>
      </c>
      <c r="X1719">
        <v>24</v>
      </c>
      <c r="AC1719" t="s">
        <v>222</v>
      </c>
      <c r="AD1719" t="s">
        <v>301</v>
      </c>
      <c r="AE1719" t="s">
        <v>46</v>
      </c>
      <c r="AG1719">
        <v>8</v>
      </c>
      <c r="AH1719">
        <v>9</v>
      </c>
      <c r="AI1719" t="s">
        <v>54</v>
      </c>
      <c r="AK1719">
        <v>0</v>
      </c>
      <c r="AM1719">
        <v>0</v>
      </c>
      <c r="AP1719" t="s">
        <v>1201</v>
      </c>
    </row>
    <row r="1720" spans="1:42" customFormat="1">
      <c r="A1720">
        <v>270708</v>
      </c>
      <c r="B1720" t="s">
        <v>3951</v>
      </c>
      <c r="C1720" t="s">
        <v>3952</v>
      </c>
      <c r="D1720" s="22">
        <v>0</v>
      </c>
      <c r="E1720" s="17">
        <v>42145</v>
      </c>
      <c r="F1720" s="18">
        <v>0.39405092592592594</v>
      </c>
      <c r="G1720" s="22">
        <v>140.66</v>
      </c>
      <c r="H1720">
        <v>0</v>
      </c>
      <c r="I1720" s="19" t="e">
        <f>I1719 + (D1720-G1720)</f>
        <v>#VALUE!</v>
      </c>
      <c r="M1720">
        <v>123851</v>
      </c>
      <c r="N1720">
        <v>24</v>
      </c>
      <c r="O1720" t="s">
        <v>68</v>
      </c>
      <c r="P1720">
        <v>1</v>
      </c>
      <c r="R1720">
        <v>335</v>
      </c>
      <c r="S1720" s="17">
        <v>42146</v>
      </c>
      <c r="T1720" s="17">
        <v>42146</v>
      </c>
      <c r="W1720">
        <v>2015</v>
      </c>
      <c r="X1720">
        <v>24</v>
      </c>
      <c r="AC1720" t="s">
        <v>222</v>
      </c>
      <c r="AD1720" t="s">
        <v>301</v>
      </c>
      <c r="AE1720" t="s">
        <v>46</v>
      </c>
      <c r="AG1720">
        <v>8</v>
      </c>
      <c r="AH1720">
        <v>9</v>
      </c>
      <c r="AI1720" t="s">
        <v>54</v>
      </c>
      <c r="AK1720">
        <v>0</v>
      </c>
      <c r="AM1720">
        <v>0</v>
      </c>
      <c r="AP1720" t="s">
        <v>1201</v>
      </c>
    </row>
    <row r="1721" spans="1:42" customFormat="1">
      <c r="A1721">
        <v>270711</v>
      </c>
      <c r="B1721" t="s">
        <v>3953</v>
      </c>
      <c r="C1721" t="s">
        <v>3954</v>
      </c>
      <c r="D1721" s="22">
        <v>0</v>
      </c>
      <c r="E1721" s="17">
        <v>42145</v>
      </c>
      <c r="F1721" s="18">
        <v>0.39405092592592594</v>
      </c>
      <c r="G1721" s="22">
        <v>126.23</v>
      </c>
      <c r="H1721">
        <v>0</v>
      </c>
      <c r="I1721" s="19" t="e">
        <f>I1720 + (D1721-G1721)</f>
        <v>#VALUE!</v>
      </c>
      <c r="M1721">
        <v>123852</v>
      </c>
      <c r="N1721">
        <v>24</v>
      </c>
      <c r="O1721" t="s">
        <v>68</v>
      </c>
      <c r="P1721">
        <v>1</v>
      </c>
      <c r="R1721">
        <v>335</v>
      </c>
      <c r="S1721" s="17">
        <v>42146</v>
      </c>
      <c r="T1721" s="17">
        <v>42146</v>
      </c>
      <c r="W1721">
        <v>2015</v>
      </c>
      <c r="X1721">
        <v>24</v>
      </c>
      <c r="AC1721" t="s">
        <v>222</v>
      </c>
      <c r="AD1721" t="s">
        <v>301</v>
      </c>
      <c r="AE1721" t="s">
        <v>46</v>
      </c>
      <c r="AG1721">
        <v>8</v>
      </c>
      <c r="AH1721">
        <v>9</v>
      </c>
      <c r="AI1721" t="s">
        <v>54</v>
      </c>
      <c r="AK1721">
        <v>0</v>
      </c>
      <c r="AM1721">
        <v>0</v>
      </c>
      <c r="AP1721" t="s">
        <v>1201</v>
      </c>
    </row>
    <row r="1722" spans="1:42" customFormat="1">
      <c r="A1722">
        <v>270713</v>
      </c>
      <c r="B1722" t="s">
        <v>3955</v>
      </c>
      <c r="C1722" t="s">
        <v>3956</v>
      </c>
      <c r="D1722" s="22">
        <v>0</v>
      </c>
      <c r="E1722" s="17">
        <v>42145</v>
      </c>
      <c r="F1722" s="18">
        <v>0.39405092592592594</v>
      </c>
      <c r="G1722" s="22">
        <v>114.69</v>
      </c>
      <c r="H1722">
        <v>0</v>
      </c>
      <c r="I1722" s="19" t="e">
        <f>I1721 + (D1722-G1722)</f>
        <v>#VALUE!</v>
      </c>
      <c r="M1722">
        <v>123853</v>
      </c>
      <c r="N1722">
        <v>24</v>
      </c>
      <c r="O1722" t="s">
        <v>68</v>
      </c>
      <c r="P1722">
        <v>1</v>
      </c>
      <c r="R1722">
        <v>335</v>
      </c>
      <c r="S1722" s="17">
        <v>42146</v>
      </c>
      <c r="T1722" s="17">
        <v>42146</v>
      </c>
      <c r="W1722">
        <v>2015</v>
      </c>
      <c r="X1722">
        <v>24</v>
      </c>
      <c r="AC1722" t="s">
        <v>222</v>
      </c>
      <c r="AD1722" t="s">
        <v>301</v>
      </c>
      <c r="AE1722" t="s">
        <v>46</v>
      </c>
      <c r="AG1722">
        <v>8</v>
      </c>
      <c r="AH1722">
        <v>9</v>
      </c>
      <c r="AI1722" t="s">
        <v>54</v>
      </c>
      <c r="AK1722">
        <v>0</v>
      </c>
      <c r="AM1722">
        <v>0</v>
      </c>
      <c r="AP1722" t="s">
        <v>1201</v>
      </c>
    </row>
    <row r="1723" spans="1:42" customFormat="1">
      <c r="A1723">
        <v>270715</v>
      </c>
      <c r="B1723" t="s">
        <v>3957</v>
      </c>
      <c r="C1723" t="s">
        <v>3958</v>
      </c>
      <c r="D1723" s="22">
        <v>0</v>
      </c>
      <c r="E1723" s="17">
        <v>42145</v>
      </c>
      <c r="F1723" s="18">
        <v>0.39405092592592594</v>
      </c>
      <c r="G1723" s="22">
        <v>129.36000000000001</v>
      </c>
      <c r="H1723">
        <v>0</v>
      </c>
      <c r="I1723" s="19" t="e">
        <f>I1722 + (D1723-G1723)</f>
        <v>#VALUE!</v>
      </c>
      <c r="M1723">
        <v>123854</v>
      </c>
      <c r="N1723">
        <v>24</v>
      </c>
      <c r="O1723" t="s">
        <v>68</v>
      </c>
      <c r="P1723">
        <v>1</v>
      </c>
      <c r="R1723">
        <v>335</v>
      </c>
      <c r="S1723" s="17">
        <v>42146</v>
      </c>
      <c r="T1723" s="17">
        <v>42146</v>
      </c>
      <c r="W1723">
        <v>2015</v>
      </c>
      <c r="X1723">
        <v>24</v>
      </c>
      <c r="AC1723" t="s">
        <v>222</v>
      </c>
      <c r="AD1723" t="s">
        <v>301</v>
      </c>
      <c r="AE1723" t="s">
        <v>46</v>
      </c>
      <c r="AG1723">
        <v>8</v>
      </c>
      <c r="AH1723">
        <v>9</v>
      </c>
      <c r="AI1723" t="s">
        <v>54</v>
      </c>
      <c r="AK1723">
        <v>0</v>
      </c>
      <c r="AM1723">
        <v>0</v>
      </c>
      <c r="AP1723" t="s">
        <v>1201</v>
      </c>
    </row>
    <row r="1724" spans="1:42" customFormat="1">
      <c r="A1724">
        <v>270717</v>
      </c>
      <c r="B1724" t="s">
        <v>3959</v>
      </c>
      <c r="C1724" t="s">
        <v>3960</v>
      </c>
      <c r="D1724" s="22">
        <v>0</v>
      </c>
      <c r="E1724" s="17">
        <v>42145</v>
      </c>
      <c r="F1724" s="18">
        <v>0.39405092592592594</v>
      </c>
      <c r="G1724" s="22">
        <v>122.48</v>
      </c>
      <c r="H1724">
        <v>0</v>
      </c>
      <c r="I1724" s="19" t="e">
        <f>I1723 + (D1724-G1724)</f>
        <v>#VALUE!</v>
      </c>
      <c r="M1724">
        <v>123855</v>
      </c>
      <c r="N1724">
        <v>24</v>
      </c>
      <c r="O1724" t="s">
        <v>68</v>
      </c>
      <c r="P1724">
        <v>1</v>
      </c>
      <c r="R1724">
        <v>335</v>
      </c>
      <c r="S1724" s="17">
        <v>42146</v>
      </c>
      <c r="T1724" s="17">
        <v>42146</v>
      </c>
      <c r="W1724">
        <v>2015</v>
      </c>
      <c r="X1724">
        <v>24</v>
      </c>
      <c r="AC1724" t="s">
        <v>222</v>
      </c>
      <c r="AD1724" t="s">
        <v>301</v>
      </c>
      <c r="AE1724" t="s">
        <v>46</v>
      </c>
      <c r="AG1724">
        <v>8</v>
      </c>
      <c r="AH1724">
        <v>9</v>
      </c>
      <c r="AI1724" t="s">
        <v>54</v>
      </c>
      <c r="AK1724">
        <v>0</v>
      </c>
      <c r="AM1724">
        <v>0</v>
      </c>
      <c r="AP1724" t="s">
        <v>1201</v>
      </c>
    </row>
    <row r="1725" spans="1:42" customFormat="1">
      <c r="A1725">
        <v>270719</v>
      </c>
      <c r="B1725" t="s">
        <v>3961</v>
      </c>
      <c r="C1725" t="s">
        <v>3962</v>
      </c>
      <c r="D1725" s="22">
        <v>0</v>
      </c>
      <c r="E1725" s="17">
        <v>42145</v>
      </c>
      <c r="F1725" s="18">
        <v>0.39405092592592594</v>
      </c>
      <c r="G1725" s="22">
        <v>173.62</v>
      </c>
      <c r="H1725">
        <v>0</v>
      </c>
      <c r="I1725" s="19" t="e">
        <f>I1724 + (D1725-G1725)</f>
        <v>#VALUE!</v>
      </c>
      <c r="M1725">
        <v>123856</v>
      </c>
      <c r="N1725">
        <v>24</v>
      </c>
      <c r="O1725" t="s">
        <v>68</v>
      </c>
      <c r="P1725">
        <v>1</v>
      </c>
      <c r="R1725">
        <v>335</v>
      </c>
      <c r="S1725" s="17">
        <v>42146</v>
      </c>
      <c r="T1725" s="17">
        <v>42146</v>
      </c>
      <c r="W1725">
        <v>2015</v>
      </c>
      <c r="X1725">
        <v>24</v>
      </c>
      <c r="AC1725" t="s">
        <v>222</v>
      </c>
      <c r="AD1725" t="s">
        <v>301</v>
      </c>
      <c r="AE1725" t="s">
        <v>46</v>
      </c>
      <c r="AG1725">
        <v>8</v>
      </c>
      <c r="AH1725">
        <v>9</v>
      </c>
      <c r="AI1725" t="s">
        <v>54</v>
      </c>
      <c r="AK1725">
        <v>0</v>
      </c>
      <c r="AM1725">
        <v>0</v>
      </c>
      <c r="AP1725" t="s">
        <v>1201</v>
      </c>
    </row>
    <row r="1726" spans="1:42" customFormat="1">
      <c r="A1726">
        <v>270696</v>
      </c>
      <c r="B1726" t="s">
        <v>3963</v>
      </c>
      <c r="C1726" t="s">
        <v>3964</v>
      </c>
      <c r="D1726" s="22">
        <v>0</v>
      </c>
      <c r="E1726" s="17">
        <v>42145</v>
      </c>
      <c r="F1726" s="18">
        <v>0.39405092592592594</v>
      </c>
      <c r="G1726" s="22">
        <v>149.59</v>
      </c>
      <c r="H1726">
        <v>0</v>
      </c>
      <c r="I1726" s="19" t="e">
        <f>I1725 + (D1726-G1726)</f>
        <v>#VALUE!</v>
      </c>
      <c r="M1726">
        <v>123847</v>
      </c>
      <c r="N1726">
        <v>24</v>
      </c>
      <c r="O1726" t="s">
        <v>68</v>
      </c>
      <c r="P1726">
        <v>1</v>
      </c>
      <c r="R1726">
        <v>335</v>
      </c>
      <c r="S1726" s="17">
        <v>42146</v>
      </c>
      <c r="T1726" s="17">
        <v>42146</v>
      </c>
      <c r="W1726">
        <v>2015</v>
      </c>
      <c r="X1726">
        <v>24</v>
      </c>
      <c r="AC1726" t="s">
        <v>222</v>
      </c>
      <c r="AD1726" t="s">
        <v>301</v>
      </c>
      <c r="AE1726" t="s">
        <v>46</v>
      </c>
      <c r="AG1726">
        <v>8</v>
      </c>
      <c r="AH1726">
        <v>9</v>
      </c>
      <c r="AI1726" t="s">
        <v>54</v>
      </c>
      <c r="AK1726">
        <v>0</v>
      </c>
      <c r="AM1726">
        <v>0</v>
      </c>
      <c r="AP1726" t="s">
        <v>1201</v>
      </c>
    </row>
    <row r="1727" spans="1:42" customFormat="1">
      <c r="A1727">
        <v>270699</v>
      </c>
      <c r="B1727" t="s">
        <v>3965</v>
      </c>
      <c r="C1727" t="s">
        <v>3966</v>
      </c>
      <c r="D1727" s="22">
        <v>0</v>
      </c>
      <c r="E1727" s="17">
        <v>42145</v>
      </c>
      <c r="F1727" s="18">
        <v>0.39405092592592594</v>
      </c>
      <c r="G1727" s="22">
        <v>160.15</v>
      </c>
      <c r="H1727">
        <v>0</v>
      </c>
      <c r="I1727" s="19" t="e">
        <f>I1726 + (D1727-G1727)</f>
        <v>#VALUE!</v>
      </c>
      <c r="M1727">
        <v>123848</v>
      </c>
      <c r="N1727">
        <v>24</v>
      </c>
      <c r="O1727" t="s">
        <v>68</v>
      </c>
      <c r="P1727">
        <v>1</v>
      </c>
      <c r="R1727">
        <v>335</v>
      </c>
      <c r="S1727" s="17">
        <v>42146</v>
      </c>
      <c r="T1727" s="17">
        <v>42146</v>
      </c>
      <c r="W1727">
        <v>2015</v>
      </c>
      <c r="X1727">
        <v>24</v>
      </c>
      <c r="AC1727" t="s">
        <v>222</v>
      </c>
      <c r="AD1727" t="s">
        <v>301</v>
      </c>
      <c r="AE1727" t="s">
        <v>46</v>
      </c>
      <c r="AG1727">
        <v>8</v>
      </c>
      <c r="AH1727">
        <v>9</v>
      </c>
      <c r="AI1727" t="s">
        <v>54</v>
      </c>
      <c r="AK1727">
        <v>0</v>
      </c>
      <c r="AM1727">
        <v>0</v>
      </c>
      <c r="AP1727" t="s">
        <v>1201</v>
      </c>
    </row>
    <row r="1728" spans="1:42" customFormat="1">
      <c r="A1728">
        <v>270702</v>
      </c>
      <c r="B1728" t="s">
        <v>3967</v>
      </c>
      <c r="C1728" t="s">
        <v>3968</v>
      </c>
      <c r="D1728" s="22">
        <v>0</v>
      </c>
      <c r="E1728" s="17">
        <v>42145</v>
      </c>
      <c r="F1728" s="18">
        <v>0.39405092592592594</v>
      </c>
      <c r="G1728" s="22">
        <v>212.82</v>
      </c>
      <c r="H1728">
        <v>0</v>
      </c>
      <c r="I1728" s="19" t="e">
        <f>I1727 + (D1728-G1728)</f>
        <v>#VALUE!</v>
      </c>
      <c r="M1728">
        <v>123849</v>
      </c>
      <c r="N1728">
        <v>24</v>
      </c>
      <c r="O1728" t="s">
        <v>68</v>
      </c>
      <c r="P1728">
        <v>1</v>
      </c>
      <c r="R1728">
        <v>335</v>
      </c>
      <c r="S1728" s="17">
        <v>42146</v>
      </c>
      <c r="T1728" s="17">
        <v>42146</v>
      </c>
      <c r="W1728">
        <v>2015</v>
      </c>
      <c r="X1728">
        <v>24</v>
      </c>
      <c r="AC1728" t="s">
        <v>222</v>
      </c>
      <c r="AD1728" t="s">
        <v>301</v>
      </c>
      <c r="AE1728" t="s">
        <v>46</v>
      </c>
      <c r="AG1728">
        <v>8</v>
      </c>
      <c r="AH1728">
        <v>9</v>
      </c>
      <c r="AI1728" t="s">
        <v>54</v>
      </c>
      <c r="AK1728">
        <v>0</v>
      </c>
      <c r="AM1728">
        <v>0</v>
      </c>
      <c r="AP1728" t="s">
        <v>1201</v>
      </c>
    </row>
    <row r="1729" spans="1:42" customFormat="1">
      <c r="A1729">
        <v>270706</v>
      </c>
      <c r="B1729" t="s">
        <v>3969</v>
      </c>
      <c r="C1729" t="s">
        <v>3970</v>
      </c>
      <c r="D1729" s="22">
        <v>0</v>
      </c>
      <c r="E1729" s="17">
        <v>42145</v>
      </c>
      <c r="F1729" s="18">
        <v>0.39405092592592594</v>
      </c>
      <c r="G1729" s="22">
        <v>117.26</v>
      </c>
      <c r="H1729">
        <v>0</v>
      </c>
      <c r="I1729" s="19" t="e">
        <f>I1728 + (D1729-G1729)</f>
        <v>#VALUE!</v>
      </c>
      <c r="M1729">
        <v>123860</v>
      </c>
      <c r="N1729">
        <v>24</v>
      </c>
      <c r="O1729" t="s">
        <v>68</v>
      </c>
      <c r="P1729">
        <v>1</v>
      </c>
      <c r="R1729">
        <v>335</v>
      </c>
      <c r="S1729" s="17">
        <v>42146</v>
      </c>
      <c r="T1729" s="17">
        <v>42146</v>
      </c>
      <c r="W1729">
        <v>2015</v>
      </c>
      <c r="X1729">
        <v>24</v>
      </c>
      <c r="AC1729" t="s">
        <v>222</v>
      </c>
      <c r="AD1729" t="s">
        <v>301</v>
      </c>
      <c r="AE1729" t="s">
        <v>46</v>
      </c>
      <c r="AG1729">
        <v>8</v>
      </c>
      <c r="AH1729">
        <v>9</v>
      </c>
      <c r="AI1729" t="s">
        <v>54</v>
      </c>
      <c r="AK1729">
        <v>0</v>
      </c>
      <c r="AM1729">
        <v>0</v>
      </c>
      <c r="AP1729" t="s">
        <v>1201</v>
      </c>
    </row>
    <row r="1730" spans="1:42" customFormat="1">
      <c r="A1730">
        <v>270709</v>
      </c>
      <c r="B1730" t="s">
        <v>3971</v>
      </c>
      <c r="C1730" t="s">
        <v>3972</v>
      </c>
      <c r="D1730" s="22">
        <v>0</v>
      </c>
      <c r="E1730" s="17">
        <v>42145</v>
      </c>
      <c r="F1730" s="18">
        <v>0.39405092592592594</v>
      </c>
      <c r="G1730" s="22">
        <v>117.92</v>
      </c>
      <c r="H1730">
        <v>0</v>
      </c>
      <c r="I1730" s="19" t="e">
        <f>I1729 + (D1730-G1730)</f>
        <v>#VALUE!</v>
      </c>
      <c r="M1730">
        <v>123861</v>
      </c>
      <c r="N1730">
        <v>24</v>
      </c>
      <c r="O1730" t="s">
        <v>68</v>
      </c>
      <c r="P1730">
        <v>1</v>
      </c>
      <c r="R1730">
        <v>335</v>
      </c>
      <c r="S1730" s="17">
        <v>42146</v>
      </c>
      <c r="T1730" s="17">
        <v>42146</v>
      </c>
      <c r="W1730">
        <v>2015</v>
      </c>
      <c r="X1730">
        <v>24</v>
      </c>
      <c r="AC1730" t="s">
        <v>222</v>
      </c>
      <c r="AD1730" t="s">
        <v>301</v>
      </c>
      <c r="AE1730" t="s">
        <v>46</v>
      </c>
      <c r="AG1730">
        <v>8</v>
      </c>
      <c r="AH1730">
        <v>9</v>
      </c>
      <c r="AI1730" t="s">
        <v>54</v>
      </c>
      <c r="AK1730">
        <v>0</v>
      </c>
      <c r="AM1730">
        <v>0</v>
      </c>
      <c r="AP1730" t="s">
        <v>1201</v>
      </c>
    </row>
    <row r="1731" spans="1:42" customFormat="1">
      <c r="A1731">
        <v>270697</v>
      </c>
      <c r="B1731" t="s">
        <v>3973</v>
      </c>
      <c r="C1731" t="s">
        <v>3974</v>
      </c>
      <c r="D1731" s="22">
        <v>0</v>
      </c>
      <c r="E1731" s="17">
        <v>42145</v>
      </c>
      <c r="F1731" s="18">
        <v>0.39405092592592594</v>
      </c>
      <c r="G1731" s="22">
        <v>163.31</v>
      </c>
      <c r="H1731">
        <v>0</v>
      </c>
      <c r="I1731" s="19" t="e">
        <f>I1730 + (D1731-G1731)</f>
        <v>#VALUE!</v>
      </c>
      <c r="M1731">
        <v>123857</v>
      </c>
      <c r="N1731">
        <v>24</v>
      </c>
      <c r="O1731" t="s">
        <v>68</v>
      </c>
      <c r="P1731">
        <v>1</v>
      </c>
      <c r="R1731">
        <v>335</v>
      </c>
      <c r="S1731" s="17">
        <v>42146</v>
      </c>
      <c r="T1731" s="17">
        <v>42146</v>
      </c>
      <c r="W1731">
        <v>2015</v>
      </c>
      <c r="X1731">
        <v>24</v>
      </c>
      <c r="AC1731" t="s">
        <v>222</v>
      </c>
      <c r="AD1731" t="s">
        <v>301</v>
      </c>
      <c r="AE1731" t="s">
        <v>46</v>
      </c>
      <c r="AG1731">
        <v>8</v>
      </c>
      <c r="AH1731">
        <v>9</v>
      </c>
      <c r="AI1731" t="s">
        <v>54</v>
      </c>
      <c r="AK1731">
        <v>0</v>
      </c>
      <c r="AM1731">
        <v>0</v>
      </c>
      <c r="AP1731" t="s">
        <v>1201</v>
      </c>
    </row>
    <row r="1732" spans="1:42" customFormat="1">
      <c r="A1732">
        <v>270700</v>
      </c>
      <c r="B1732" t="s">
        <v>3975</v>
      </c>
      <c r="C1732" t="s">
        <v>3976</v>
      </c>
      <c r="D1732" s="22">
        <v>0</v>
      </c>
      <c r="E1732" s="17">
        <v>42145</v>
      </c>
      <c r="F1732" s="18">
        <v>0.39405092592592594</v>
      </c>
      <c r="G1732" s="22">
        <v>166.18</v>
      </c>
      <c r="H1732">
        <v>0</v>
      </c>
      <c r="I1732" s="19" t="e">
        <f>I1731 + (D1732-G1732)</f>
        <v>#VALUE!</v>
      </c>
      <c r="M1732">
        <v>123858</v>
      </c>
      <c r="N1732">
        <v>24</v>
      </c>
      <c r="O1732" t="s">
        <v>68</v>
      </c>
      <c r="P1732">
        <v>1</v>
      </c>
      <c r="R1732">
        <v>335</v>
      </c>
      <c r="S1732" s="17">
        <v>42146</v>
      </c>
      <c r="T1732" s="17">
        <v>42146</v>
      </c>
      <c r="W1732">
        <v>2015</v>
      </c>
      <c r="X1732">
        <v>24</v>
      </c>
      <c r="AC1732" t="s">
        <v>222</v>
      </c>
      <c r="AD1732" t="s">
        <v>301</v>
      </c>
      <c r="AE1732" t="s">
        <v>46</v>
      </c>
      <c r="AG1732">
        <v>8</v>
      </c>
      <c r="AH1732">
        <v>9</v>
      </c>
      <c r="AI1732" t="s">
        <v>54</v>
      </c>
      <c r="AK1732">
        <v>0</v>
      </c>
      <c r="AM1732">
        <v>0</v>
      </c>
      <c r="AP1732" t="s">
        <v>1201</v>
      </c>
    </row>
    <row r="1733" spans="1:42" customFormat="1">
      <c r="A1733">
        <v>270703</v>
      </c>
      <c r="B1733" t="s">
        <v>3977</v>
      </c>
      <c r="C1733" t="s">
        <v>3978</v>
      </c>
      <c r="D1733" s="22">
        <v>0</v>
      </c>
      <c r="E1733" s="17">
        <v>42145</v>
      </c>
      <c r="F1733" s="18">
        <v>0.39405092592592594</v>
      </c>
      <c r="G1733" s="22">
        <v>153.6</v>
      </c>
      <c r="H1733">
        <v>0</v>
      </c>
      <c r="I1733" s="19" t="e">
        <f>I1732 + (D1733-G1733)</f>
        <v>#VALUE!</v>
      </c>
      <c r="M1733">
        <v>123859</v>
      </c>
      <c r="N1733">
        <v>24</v>
      </c>
      <c r="O1733" t="s">
        <v>68</v>
      </c>
      <c r="P1733">
        <v>1</v>
      </c>
      <c r="R1733">
        <v>335</v>
      </c>
      <c r="S1733" s="17">
        <v>42146</v>
      </c>
      <c r="T1733" s="17">
        <v>42146</v>
      </c>
      <c r="W1733">
        <v>2015</v>
      </c>
      <c r="X1733">
        <v>24</v>
      </c>
      <c r="AC1733" t="s">
        <v>222</v>
      </c>
      <c r="AD1733" t="s">
        <v>301</v>
      </c>
      <c r="AE1733" t="s">
        <v>46</v>
      </c>
      <c r="AG1733">
        <v>8</v>
      </c>
      <c r="AH1733">
        <v>9</v>
      </c>
      <c r="AI1733" t="s">
        <v>54</v>
      </c>
      <c r="AK1733">
        <v>0</v>
      </c>
      <c r="AM1733">
        <v>0</v>
      </c>
      <c r="AP1733" t="s">
        <v>1201</v>
      </c>
    </row>
    <row r="1734" spans="1:42" customFormat="1">
      <c r="A1734">
        <v>273043</v>
      </c>
      <c r="B1734" t="s">
        <v>5317</v>
      </c>
      <c r="C1734" t="s">
        <v>5318</v>
      </c>
      <c r="D1734" s="22">
        <v>0</v>
      </c>
      <c r="E1734" s="17">
        <v>42153</v>
      </c>
      <c r="F1734" s="18">
        <v>0.42842592592592593</v>
      </c>
      <c r="G1734" s="22">
        <v>1917.74</v>
      </c>
      <c r="H1734">
        <v>0</v>
      </c>
      <c r="I1734" s="19" t="e">
        <f>I1733 + (D1734-G1734)</f>
        <v>#VALUE!</v>
      </c>
      <c r="M1734">
        <v>124535</v>
      </c>
      <c r="N1734">
        <v>24</v>
      </c>
      <c r="O1734" t="s">
        <v>68</v>
      </c>
      <c r="P1734">
        <v>1</v>
      </c>
      <c r="R1734">
        <v>335</v>
      </c>
      <c r="S1734" s="17">
        <v>42167</v>
      </c>
      <c r="T1734" s="17">
        <v>42167</v>
      </c>
      <c r="W1734">
        <v>2015</v>
      </c>
      <c r="X1734">
        <v>24</v>
      </c>
      <c r="AC1734" t="s">
        <v>222</v>
      </c>
      <c r="AD1734" t="s">
        <v>301</v>
      </c>
      <c r="AE1734" t="s">
        <v>46</v>
      </c>
      <c r="AG1734">
        <v>5</v>
      </c>
      <c r="AH1734">
        <v>9</v>
      </c>
      <c r="AI1734" t="s">
        <v>54</v>
      </c>
      <c r="AK1734">
        <v>0</v>
      </c>
      <c r="AM1734">
        <v>0</v>
      </c>
      <c r="AP1734" t="s">
        <v>312</v>
      </c>
    </row>
    <row r="1735" spans="1:42" customFormat="1">
      <c r="A1735">
        <v>269766</v>
      </c>
      <c r="B1735" t="s">
        <v>1989</v>
      </c>
      <c r="C1735" t="s">
        <v>1990</v>
      </c>
      <c r="D1735" s="22">
        <v>0</v>
      </c>
      <c r="E1735" s="17">
        <v>42131</v>
      </c>
      <c r="F1735" s="18">
        <v>0.46921296296296294</v>
      </c>
      <c r="G1735" s="22">
        <v>1395</v>
      </c>
      <c r="H1735">
        <v>0</v>
      </c>
      <c r="I1735" s="19" t="e">
        <f>I1734 + (D1735-G1735)</f>
        <v>#VALUE!</v>
      </c>
      <c r="M1735">
        <v>123272</v>
      </c>
      <c r="N1735">
        <v>24</v>
      </c>
      <c r="O1735" t="s">
        <v>68</v>
      </c>
      <c r="P1735">
        <v>1</v>
      </c>
      <c r="R1735">
        <v>336</v>
      </c>
      <c r="S1735" s="17">
        <v>42137</v>
      </c>
      <c r="T1735" s="17">
        <v>42137</v>
      </c>
      <c r="W1735">
        <v>2015</v>
      </c>
      <c r="X1735">
        <v>24</v>
      </c>
      <c r="AC1735" t="s">
        <v>257</v>
      </c>
      <c r="AD1735" t="s">
        <v>301</v>
      </c>
      <c r="AE1735" t="s">
        <v>46</v>
      </c>
      <c r="AG1735">
        <v>56</v>
      </c>
      <c r="AH1735">
        <v>1</v>
      </c>
      <c r="AI1735" t="s">
        <v>58</v>
      </c>
      <c r="AK1735">
        <v>0</v>
      </c>
      <c r="AM1735">
        <v>0</v>
      </c>
      <c r="AP1735" t="s">
        <v>59</v>
      </c>
    </row>
    <row r="1736" spans="1:42" customFormat="1">
      <c r="A1736">
        <v>269763</v>
      </c>
      <c r="B1736" t="s">
        <v>2191</v>
      </c>
      <c r="C1736" t="s">
        <v>2192</v>
      </c>
      <c r="D1736" s="22">
        <v>0</v>
      </c>
      <c r="E1736" s="17">
        <v>42132</v>
      </c>
      <c r="F1736" s="18">
        <v>0.46412037037037041</v>
      </c>
      <c r="G1736" s="22">
        <v>90</v>
      </c>
      <c r="H1736">
        <v>0</v>
      </c>
      <c r="I1736" s="19" t="e">
        <f>I1735 + (D1736-G1736)</f>
        <v>#VALUE!</v>
      </c>
      <c r="M1736">
        <v>123268</v>
      </c>
      <c r="N1736">
        <v>24</v>
      </c>
      <c r="O1736" t="s">
        <v>68</v>
      </c>
      <c r="P1736">
        <v>1</v>
      </c>
      <c r="R1736">
        <v>336</v>
      </c>
      <c r="S1736" s="17">
        <v>42137</v>
      </c>
      <c r="T1736" s="17">
        <v>42137</v>
      </c>
      <c r="W1736">
        <v>2015</v>
      </c>
      <c r="X1736">
        <v>24</v>
      </c>
      <c r="AC1736" t="s">
        <v>257</v>
      </c>
      <c r="AD1736" t="s">
        <v>301</v>
      </c>
      <c r="AE1736" t="s">
        <v>46</v>
      </c>
      <c r="AG1736">
        <v>56</v>
      </c>
      <c r="AH1736">
        <v>1</v>
      </c>
      <c r="AI1736" t="s">
        <v>58</v>
      </c>
      <c r="AK1736">
        <v>0</v>
      </c>
      <c r="AM1736">
        <v>0</v>
      </c>
      <c r="AP1736" t="s">
        <v>59</v>
      </c>
    </row>
    <row r="1737" spans="1:42" customFormat="1">
      <c r="A1737">
        <v>270459</v>
      </c>
      <c r="B1737" t="s">
        <v>2946</v>
      </c>
      <c r="C1737" t="s">
        <v>2947</v>
      </c>
      <c r="D1737" s="22">
        <v>0</v>
      </c>
      <c r="E1737" s="17">
        <v>42137</v>
      </c>
      <c r="F1737" s="18">
        <v>0.37468750000000001</v>
      </c>
      <c r="G1737" s="22">
        <v>1100</v>
      </c>
      <c r="H1737">
        <v>0</v>
      </c>
      <c r="I1737" s="19" t="e">
        <f>I1736 + (D1737-G1737)</f>
        <v>#VALUE!</v>
      </c>
      <c r="M1737">
        <v>122932</v>
      </c>
      <c r="N1737">
        <v>24</v>
      </c>
      <c r="O1737" t="s">
        <v>68</v>
      </c>
      <c r="P1737">
        <v>1</v>
      </c>
      <c r="R1737">
        <v>336</v>
      </c>
      <c r="S1737" s="17">
        <v>42145</v>
      </c>
      <c r="T1737" s="17">
        <v>42145</v>
      </c>
      <c r="W1737">
        <v>2015</v>
      </c>
      <c r="X1737">
        <v>24</v>
      </c>
      <c r="AC1737" t="s">
        <v>257</v>
      </c>
      <c r="AD1737" t="s">
        <v>301</v>
      </c>
      <c r="AE1737" t="s">
        <v>46</v>
      </c>
      <c r="AG1737">
        <v>52</v>
      </c>
      <c r="AH1737">
        <v>2</v>
      </c>
      <c r="AI1737" t="s">
        <v>50</v>
      </c>
      <c r="AK1737">
        <v>0</v>
      </c>
      <c r="AM1737">
        <v>0</v>
      </c>
      <c r="AP1737" t="s">
        <v>325</v>
      </c>
    </row>
    <row r="1738" spans="1:42" customFormat="1">
      <c r="A1738">
        <v>270211</v>
      </c>
      <c r="B1738" t="s">
        <v>3481</v>
      </c>
      <c r="C1738" t="s">
        <v>3482</v>
      </c>
      <c r="D1738" s="22">
        <v>0</v>
      </c>
      <c r="E1738" s="17">
        <v>42139</v>
      </c>
      <c r="F1738" s="18">
        <v>0.66398148148148151</v>
      </c>
      <c r="G1738" s="22">
        <v>1170</v>
      </c>
      <c r="H1738">
        <v>0</v>
      </c>
      <c r="I1738" s="19" t="e">
        <f>I1737 + (D1738-G1738)</f>
        <v>#VALUE!</v>
      </c>
      <c r="M1738">
        <v>123559</v>
      </c>
      <c r="N1738">
        <v>24</v>
      </c>
      <c r="O1738" t="s">
        <v>68</v>
      </c>
      <c r="P1738">
        <v>1</v>
      </c>
      <c r="R1738">
        <v>336</v>
      </c>
      <c r="S1738" s="17">
        <v>42142</v>
      </c>
      <c r="T1738" s="17">
        <v>42142</v>
      </c>
      <c r="W1738">
        <v>2015</v>
      </c>
      <c r="X1738">
        <v>24</v>
      </c>
      <c r="AC1738" t="s">
        <v>257</v>
      </c>
      <c r="AD1738" t="s">
        <v>301</v>
      </c>
      <c r="AE1738" t="s">
        <v>46</v>
      </c>
      <c r="AG1738">
        <v>56</v>
      </c>
      <c r="AH1738">
        <v>1</v>
      </c>
      <c r="AI1738" t="s">
        <v>58</v>
      </c>
      <c r="AK1738">
        <v>0</v>
      </c>
      <c r="AM1738">
        <v>0</v>
      </c>
      <c r="AP1738" t="s">
        <v>59</v>
      </c>
    </row>
    <row r="1739" spans="1:42" customFormat="1">
      <c r="A1739">
        <v>270954</v>
      </c>
      <c r="B1739" t="s">
        <v>4137</v>
      </c>
      <c r="C1739" t="s">
        <v>4138</v>
      </c>
      <c r="D1739" s="22">
        <v>0</v>
      </c>
      <c r="E1739" s="17">
        <v>42146</v>
      </c>
      <c r="F1739" s="18">
        <v>0.42322916666666671</v>
      </c>
      <c r="G1739" s="22">
        <v>1260</v>
      </c>
      <c r="H1739">
        <v>0</v>
      </c>
      <c r="I1739" s="19" t="e">
        <f>I1738 + (D1739-G1739)</f>
        <v>#VALUE!</v>
      </c>
      <c r="M1739">
        <v>123998</v>
      </c>
      <c r="N1739">
        <v>24</v>
      </c>
      <c r="O1739" t="s">
        <v>68</v>
      </c>
      <c r="P1739">
        <v>1</v>
      </c>
      <c r="R1739">
        <v>336</v>
      </c>
      <c r="S1739" s="17">
        <v>42149</v>
      </c>
      <c r="T1739" s="17">
        <v>42149</v>
      </c>
      <c r="W1739">
        <v>2015</v>
      </c>
      <c r="X1739">
        <v>24</v>
      </c>
      <c r="AC1739" t="s">
        <v>257</v>
      </c>
      <c r="AD1739" t="s">
        <v>301</v>
      </c>
      <c r="AE1739" t="s">
        <v>46</v>
      </c>
      <c r="AG1739">
        <v>56</v>
      </c>
      <c r="AH1739">
        <v>1</v>
      </c>
      <c r="AI1739" t="s">
        <v>58</v>
      </c>
      <c r="AK1739">
        <v>0</v>
      </c>
      <c r="AM1739">
        <v>0</v>
      </c>
      <c r="AP1739" t="s">
        <v>59</v>
      </c>
    </row>
    <row r="1740" spans="1:42" customFormat="1">
      <c r="A1740">
        <v>271521</v>
      </c>
      <c r="B1740" t="s">
        <v>5171</v>
      </c>
      <c r="C1740" t="s">
        <v>5172</v>
      </c>
      <c r="D1740" s="22">
        <v>0</v>
      </c>
      <c r="E1740" s="17">
        <v>42152</v>
      </c>
      <c r="F1740" s="18">
        <v>0.71756944444444448</v>
      </c>
      <c r="G1740" s="22">
        <v>1305</v>
      </c>
      <c r="H1740">
        <v>0</v>
      </c>
      <c r="I1740" s="19" t="e">
        <f>I1739 + (D1740-G1740)</f>
        <v>#VALUE!</v>
      </c>
      <c r="M1740">
        <v>124355</v>
      </c>
      <c r="N1740">
        <v>24</v>
      </c>
      <c r="O1740" t="s">
        <v>68</v>
      </c>
      <c r="P1740">
        <v>1</v>
      </c>
      <c r="R1740">
        <v>336</v>
      </c>
      <c r="S1740" s="17">
        <v>42156</v>
      </c>
      <c r="T1740" s="17">
        <v>42156</v>
      </c>
      <c r="W1740">
        <v>2015</v>
      </c>
      <c r="X1740">
        <v>24</v>
      </c>
      <c r="AC1740" t="s">
        <v>257</v>
      </c>
      <c r="AD1740" t="s">
        <v>301</v>
      </c>
      <c r="AE1740" t="s">
        <v>46</v>
      </c>
      <c r="AG1740">
        <v>56</v>
      </c>
      <c r="AH1740">
        <v>1</v>
      </c>
      <c r="AI1740" t="s">
        <v>58</v>
      </c>
      <c r="AK1740">
        <v>0</v>
      </c>
      <c r="AM1740">
        <v>0</v>
      </c>
      <c r="AP1740" t="s">
        <v>59</v>
      </c>
    </row>
    <row r="1741" spans="1:42" customFormat="1">
      <c r="A1741">
        <v>267671</v>
      </c>
      <c r="B1741" t="s">
        <v>1605</v>
      </c>
      <c r="C1741" t="s">
        <v>1606</v>
      </c>
      <c r="D1741" s="22">
        <v>0</v>
      </c>
      <c r="E1741" s="17">
        <v>42129</v>
      </c>
      <c r="F1741" s="18">
        <v>0.75048611111111108</v>
      </c>
      <c r="G1741" s="22">
        <v>46</v>
      </c>
      <c r="H1741">
        <v>0</v>
      </c>
      <c r="I1741" s="19" t="e">
        <f>I1740 + (D1741-G1741)</f>
        <v>#VALUE!</v>
      </c>
      <c r="M1741">
        <v>122379</v>
      </c>
      <c r="N1741">
        <v>24</v>
      </c>
      <c r="O1741" t="s">
        <v>68</v>
      </c>
      <c r="P1741">
        <v>1</v>
      </c>
      <c r="R1741">
        <v>341</v>
      </c>
      <c r="S1741" s="17">
        <v>42129</v>
      </c>
      <c r="T1741" s="17">
        <v>42129</v>
      </c>
      <c r="W1741">
        <v>2015</v>
      </c>
      <c r="X1741">
        <v>24</v>
      </c>
      <c r="AC1741" t="s">
        <v>261</v>
      </c>
      <c r="AD1741" t="s">
        <v>301</v>
      </c>
      <c r="AE1741" t="s">
        <v>46</v>
      </c>
      <c r="AG1741">
        <v>4</v>
      </c>
      <c r="AH1741">
        <v>9</v>
      </c>
      <c r="AI1741" t="s">
        <v>54</v>
      </c>
      <c r="AK1741">
        <v>0</v>
      </c>
      <c r="AM1741">
        <v>0</v>
      </c>
      <c r="AP1741" t="s">
        <v>389</v>
      </c>
    </row>
    <row r="1742" spans="1:42" customFormat="1">
      <c r="A1742">
        <v>271540</v>
      </c>
      <c r="B1742" t="s">
        <v>5240</v>
      </c>
      <c r="C1742" t="s">
        <v>5241</v>
      </c>
      <c r="D1742" s="22">
        <v>0</v>
      </c>
      <c r="E1742" s="17">
        <v>42153</v>
      </c>
      <c r="F1742" s="18">
        <v>0.4001851851851852</v>
      </c>
      <c r="G1742" s="22">
        <v>538.19000000000005</v>
      </c>
      <c r="H1742">
        <v>0</v>
      </c>
      <c r="I1742" s="19" t="e">
        <f>I1741 + (D1742-G1742)</f>
        <v>#VALUE!</v>
      </c>
      <c r="M1742">
        <v>124382</v>
      </c>
      <c r="N1742">
        <v>24</v>
      </c>
      <c r="O1742" t="s">
        <v>68</v>
      </c>
      <c r="P1742">
        <v>1</v>
      </c>
      <c r="R1742">
        <v>341</v>
      </c>
      <c r="S1742" s="17">
        <v>42157</v>
      </c>
      <c r="T1742" s="17">
        <v>42157</v>
      </c>
      <c r="W1742">
        <v>2015</v>
      </c>
      <c r="X1742">
        <v>24</v>
      </c>
      <c r="AC1742" t="s">
        <v>261</v>
      </c>
      <c r="AD1742" t="s">
        <v>301</v>
      </c>
      <c r="AE1742" t="s">
        <v>46</v>
      </c>
      <c r="AG1742">
        <v>4</v>
      </c>
      <c r="AH1742">
        <v>9</v>
      </c>
      <c r="AI1742" t="s">
        <v>54</v>
      </c>
      <c r="AK1742">
        <v>0</v>
      </c>
      <c r="AM1742">
        <v>0</v>
      </c>
      <c r="AP1742" t="s">
        <v>389</v>
      </c>
    </row>
    <row r="1743" spans="1:42" customFormat="1">
      <c r="A1743">
        <v>269749</v>
      </c>
      <c r="B1743" t="s">
        <v>2346</v>
      </c>
      <c r="C1743" t="s">
        <v>2347</v>
      </c>
      <c r="D1743" s="22">
        <v>0</v>
      </c>
      <c r="E1743" s="17">
        <v>42134</v>
      </c>
      <c r="F1743" s="18">
        <v>0.44259259259259259</v>
      </c>
      <c r="G1743" s="22">
        <v>150</v>
      </c>
      <c r="H1743">
        <v>0</v>
      </c>
      <c r="I1743" s="19" t="e">
        <f>I1742 + (D1743-G1743)</f>
        <v>#VALUE!</v>
      </c>
      <c r="M1743">
        <v>123249</v>
      </c>
      <c r="N1743">
        <v>24</v>
      </c>
      <c r="O1743" t="s">
        <v>68</v>
      </c>
      <c r="P1743">
        <v>1</v>
      </c>
      <c r="R1743">
        <v>352</v>
      </c>
      <c r="S1743" s="17">
        <v>42137</v>
      </c>
      <c r="T1743" s="17">
        <v>42137</v>
      </c>
      <c r="W1743">
        <v>2015</v>
      </c>
      <c r="X1743">
        <v>24</v>
      </c>
      <c r="AC1743" t="s">
        <v>2348</v>
      </c>
      <c r="AD1743" t="s">
        <v>301</v>
      </c>
      <c r="AE1743" t="s">
        <v>46</v>
      </c>
      <c r="AG1743">
        <v>56</v>
      </c>
      <c r="AH1743">
        <v>1</v>
      </c>
      <c r="AI1743" t="s">
        <v>58</v>
      </c>
      <c r="AK1743">
        <v>0</v>
      </c>
      <c r="AM1743">
        <v>0</v>
      </c>
      <c r="AP1743" t="s">
        <v>59</v>
      </c>
    </row>
    <row r="1744" spans="1:42" customFormat="1">
      <c r="A1744">
        <v>267691</v>
      </c>
      <c r="B1744" t="s">
        <v>1269</v>
      </c>
      <c r="C1744" t="s">
        <v>1270</v>
      </c>
      <c r="D1744" s="22">
        <v>0</v>
      </c>
      <c r="E1744" s="17">
        <v>42128</v>
      </c>
      <c r="F1744" s="18">
        <v>0.75873842592592589</v>
      </c>
      <c r="G1744" s="22">
        <v>96</v>
      </c>
      <c r="H1744">
        <v>0</v>
      </c>
      <c r="I1744" s="19" t="e">
        <f>I1743 + (D1744-G1744)</f>
        <v>#VALUE!</v>
      </c>
      <c r="M1744">
        <v>119616</v>
      </c>
      <c r="N1744">
        <v>24</v>
      </c>
      <c r="O1744" t="s">
        <v>68</v>
      </c>
      <c r="P1744">
        <v>1</v>
      </c>
      <c r="R1744">
        <v>354</v>
      </c>
      <c r="S1744" s="17">
        <v>42129</v>
      </c>
      <c r="T1744" s="17">
        <v>42129</v>
      </c>
      <c r="W1744">
        <v>2015</v>
      </c>
      <c r="X1744">
        <v>24</v>
      </c>
      <c r="AC1744" t="s">
        <v>271</v>
      </c>
      <c r="AD1744" t="s">
        <v>301</v>
      </c>
      <c r="AE1744" t="s">
        <v>46</v>
      </c>
      <c r="AG1744">
        <v>26</v>
      </c>
      <c r="AH1744">
        <v>9</v>
      </c>
      <c r="AI1744" t="s">
        <v>54</v>
      </c>
      <c r="AK1744">
        <v>0</v>
      </c>
      <c r="AM1744">
        <v>0</v>
      </c>
      <c r="AP1744" t="s">
        <v>501</v>
      </c>
    </row>
    <row r="1745" spans="1:42" customFormat="1">
      <c r="A1745">
        <v>269767</v>
      </c>
      <c r="B1745" t="s">
        <v>1681</v>
      </c>
      <c r="C1745" t="s">
        <v>1682</v>
      </c>
      <c r="D1745" s="22">
        <v>0</v>
      </c>
      <c r="E1745" s="17">
        <v>42130</v>
      </c>
      <c r="F1745" s="18">
        <v>0.47046296296296292</v>
      </c>
      <c r="G1745" s="22">
        <v>902.4</v>
      </c>
      <c r="H1745">
        <v>0</v>
      </c>
      <c r="I1745" s="19" t="e">
        <f>I1744 + (D1745-G1745)</f>
        <v>#VALUE!</v>
      </c>
      <c r="M1745">
        <v>119668</v>
      </c>
      <c r="N1745">
        <v>24</v>
      </c>
      <c r="O1745" t="s">
        <v>68</v>
      </c>
      <c r="P1745">
        <v>1</v>
      </c>
      <c r="R1745">
        <v>354</v>
      </c>
      <c r="S1745" s="17">
        <v>42137</v>
      </c>
      <c r="T1745" s="17">
        <v>42137</v>
      </c>
      <c r="W1745">
        <v>2015</v>
      </c>
      <c r="X1745">
        <v>24</v>
      </c>
      <c r="AC1745" t="s">
        <v>271</v>
      </c>
      <c r="AD1745" t="s">
        <v>301</v>
      </c>
      <c r="AE1745" t="s">
        <v>46</v>
      </c>
      <c r="AG1745">
        <v>4</v>
      </c>
      <c r="AH1745">
        <v>9</v>
      </c>
      <c r="AI1745" t="s">
        <v>54</v>
      </c>
      <c r="AK1745">
        <v>0</v>
      </c>
      <c r="AM1745">
        <v>0</v>
      </c>
      <c r="AP1745" t="s">
        <v>389</v>
      </c>
    </row>
    <row r="1746" spans="1:42" customFormat="1">
      <c r="A1746">
        <v>270208</v>
      </c>
      <c r="B1746" t="s">
        <v>3479</v>
      </c>
      <c r="C1746" t="s">
        <v>3480</v>
      </c>
      <c r="D1746" s="22">
        <v>0</v>
      </c>
      <c r="E1746" s="17">
        <v>42139</v>
      </c>
      <c r="F1746" s="18">
        <v>0.66122685185185182</v>
      </c>
      <c r="G1746" s="22">
        <v>263.20999999999998</v>
      </c>
      <c r="H1746">
        <v>0</v>
      </c>
      <c r="I1746" s="19" t="e">
        <f>I1745 + (D1746-G1746)</f>
        <v>#VALUE!</v>
      </c>
      <c r="M1746">
        <v>119701</v>
      </c>
      <c r="N1746">
        <v>24</v>
      </c>
      <c r="O1746" t="s">
        <v>68</v>
      </c>
      <c r="P1746">
        <v>1</v>
      </c>
      <c r="R1746">
        <v>354</v>
      </c>
      <c r="S1746" s="17">
        <v>42142</v>
      </c>
      <c r="T1746" s="17">
        <v>42142</v>
      </c>
      <c r="W1746">
        <v>2015</v>
      </c>
      <c r="X1746">
        <v>24</v>
      </c>
      <c r="AC1746" t="s">
        <v>271</v>
      </c>
      <c r="AD1746" t="s">
        <v>301</v>
      </c>
      <c r="AE1746" t="s">
        <v>46</v>
      </c>
      <c r="AG1746">
        <v>4</v>
      </c>
      <c r="AH1746">
        <v>9</v>
      </c>
      <c r="AI1746" t="s">
        <v>54</v>
      </c>
      <c r="AK1746">
        <v>0</v>
      </c>
      <c r="AM1746">
        <v>0</v>
      </c>
      <c r="AP1746" t="s">
        <v>389</v>
      </c>
    </row>
    <row r="1747" spans="1:42" customFormat="1">
      <c r="A1747">
        <v>271407</v>
      </c>
      <c r="B1747" t="s">
        <v>4723</v>
      </c>
      <c r="C1747" t="s">
        <v>4724</v>
      </c>
      <c r="D1747" s="22">
        <v>0</v>
      </c>
      <c r="E1747" s="17">
        <v>42150</v>
      </c>
      <c r="F1747" s="18">
        <v>0.38437499999999997</v>
      </c>
      <c r="G1747" s="22">
        <v>150</v>
      </c>
      <c r="H1747">
        <v>0</v>
      </c>
      <c r="I1747" s="19" t="e">
        <f>I1746 + (D1747-G1747)</f>
        <v>#VALUE!</v>
      </c>
      <c r="M1747">
        <v>119752</v>
      </c>
      <c r="N1747">
        <v>24</v>
      </c>
      <c r="O1747" t="s">
        <v>68</v>
      </c>
      <c r="P1747">
        <v>1</v>
      </c>
      <c r="R1747">
        <v>354</v>
      </c>
      <c r="S1747" s="17">
        <v>42152</v>
      </c>
      <c r="T1747" s="17">
        <v>42152</v>
      </c>
      <c r="W1747">
        <v>2015</v>
      </c>
      <c r="X1747">
        <v>24</v>
      </c>
      <c r="AC1747" t="s">
        <v>271</v>
      </c>
      <c r="AD1747" t="s">
        <v>301</v>
      </c>
      <c r="AE1747" t="s">
        <v>46</v>
      </c>
      <c r="AG1747">
        <v>26</v>
      </c>
      <c r="AH1747">
        <v>9</v>
      </c>
      <c r="AI1747" t="s">
        <v>54</v>
      </c>
      <c r="AK1747">
        <v>0</v>
      </c>
      <c r="AM1747">
        <v>0</v>
      </c>
      <c r="AP1747" t="s">
        <v>501</v>
      </c>
    </row>
    <row r="1748" spans="1:42" customFormat="1">
      <c r="A1748">
        <v>271447</v>
      </c>
      <c r="B1748" t="s">
        <v>4768</v>
      </c>
      <c r="C1748" t="s">
        <v>4769</v>
      </c>
      <c r="D1748" s="22">
        <v>0</v>
      </c>
      <c r="E1748" s="17">
        <v>42150</v>
      </c>
      <c r="F1748" s="18">
        <v>0.45113425925925926</v>
      </c>
      <c r="G1748" s="22">
        <v>158.29</v>
      </c>
      <c r="H1748">
        <v>0</v>
      </c>
      <c r="I1748" s="19" t="e">
        <f>I1747 + (D1748-G1748)</f>
        <v>#VALUE!</v>
      </c>
      <c r="M1748">
        <v>122239</v>
      </c>
      <c r="N1748">
        <v>24</v>
      </c>
      <c r="O1748" t="s">
        <v>68</v>
      </c>
      <c r="P1748">
        <v>1</v>
      </c>
      <c r="R1748">
        <v>354</v>
      </c>
      <c r="S1748" s="17">
        <v>42152</v>
      </c>
      <c r="T1748" s="17">
        <v>42152</v>
      </c>
      <c r="W1748">
        <v>2015</v>
      </c>
      <c r="X1748">
        <v>24</v>
      </c>
      <c r="AC1748" t="s">
        <v>271</v>
      </c>
      <c r="AD1748" t="s">
        <v>301</v>
      </c>
      <c r="AE1748" t="s">
        <v>46</v>
      </c>
      <c r="AG1748">
        <v>8</v>
      </c>
      <c r="AH1748">
        <v>9</v>
      </c>
      <c r="AI1748" t="s">
        <v>54</v>
      </c>
      <c r="AK1748">
        <v>0</v>
      </c>
      <c r="AM1748">
        <v>0</v>
      </c>
      <c r="AP1748" t="s">
        <v>1201</v>
      </c>
    </row>
    <row r="1749" spans="1:42" customFormat="1">
      <c r="A1749">
        <v>273069</v>
      </c>
      <c r="B1749" t="s">
        <v>5149</v>
      </c>
      <c r="C1749" t="s">
        <v>5150</v>
      </c>
      <c r="D1749" s="22">
        <v>0</v>
      </c>
      <c r="E1749" s="17">
        <v>42152</v>
      </c>
      <c r="F1749" s="18">
        <v>0.65136574074074072</v>
      </c>
      <c r="G1749" s="22">
        <v>332.21</v>
      </c>
      <c r="H1749">
        <v>0</v>
      </c>
      <c r="I1749" s="19" t="e">
        <f>I1748 + (D1749-G1749)</f>
        <v>#VALUE!</v>
      </c>
      <c r="M1749">
        <v>120156</v>
      </c>
      <c r="N1749">
        <v>24</v>
      </c>
      <c r="O1749" t="s">
        <v>68</v>
      </c>
      <c r="P1749">
        <v>1</v>
      </c>
      <c r="R1749">
        <v>354</v>
      </c>
      <c r="S1749" s="17">
        <v>42170</v>
      </c>
      <c r="T1749" s="17">
        <v>42170</v>
      </c>
      <c r="W1749">
        <v>2015</v>
      </c>
      <c r="X1749">
        <v>24</v>
      </c>
      <c r="AC1749" t="s">
        <v>271</v>
      </c>
      <c r="AD1749" t="s">
        <v>301</v>
      </c>
      <c r="AE1749" t="s">
        <v>46</v>
      </c>
      <c r="AG1749">
        <v>8</v>
      </c>
      <c r="AH1749">
        <v>9</v>
      </c>
      <c r="AI1749" t="s">
        <v>54</v>
      </c>
      <c r="AK1749">
        <v>0</v>
      </c>
      <c r="AM1749">
        <v>0</v>
      </c>
      <c r="AP1749" t="s">
        <v>1201</v>
      </c>
    </row>
    <row r="1750" spans="1:42" customFormat="1">
      <c r="A1750">
        <v>267659</v>
      </c>
      <c r="B1750" t="s">
        <v>1219</v>
      </c>
      <c r="C1750" t="s">
        <v>1220</v>
      </c>
      <c r="D1750" s="22">
        <v>0</v>
      </c>
      <c r="E1750" s="17">
        <v>42128</v>
      </c>
      <c r="F1750" s="18">
        <v>0.73351851851851846</v>
      </c>
      <c r="G1750" s="22">
        <v>7356.16</v>
      </c>
      <c r="H1750">
        <v>0</v>
      </c>
      <c r="I1750" s="19" t="e">
        <f>I1749 + (D1750-G1750)</f>
        <v>#VALUE!</v>
      </c>
      <c r="M1750">
        <v>119065</v>
      </c>
      <c r="N1750">
        <v>24</v>
      </c>
      <c r="O1750" t="s">
        <v>68</v>
      </c>
      <c r="P1750">
        <v>1</v>
      </c>
      <c r="R1750">
        <v>1624</v>
      </c>
      <c r="S1750" s="17">
        <v>42129</v>
      </c>
      <c r="T1750" s="17">
        <v>42129</v>
      </c>
      <c r="W1750">
        <v>2015</v>
      </c>
      <c r="X1750">
        <v>24</v>
      </c>
      <c r="AC1750" t="s">
        <v>1221</v>
      </c>
      <c r="AD1750" t="s">
        <v>301</v>
      </c>
      <c r="AE1750" t="s">
        <v>46</v>
      </c>
      <c r="AG1750">
        <v>26</v>
      </c>
      <c r="AH1750">
        <v>8</v>
      </c>
      <c r="AI1750" t="s">
        <v>52</v>
      </c>
      <c r="AK1750">
        <v>0</v>
      </c>
      <c r="AM1750">
        <v>0</v>
      </c>
      <c r="AP1750" t="s">
        <v>501</v>
      </c>
    </row>
    <row r="1751" spans="1:42" customFormat="1">
      <c r="A1751">
        <v>268545</v>
      </c>
      <c r="B1751" t="s">
        <v>1569</v>
      </c>
      <c r="C1751" t="s">
        <v>1570</v>
      </c>
      <c r="D1751" s="22">
        <v>0</v>
      </c>
      <c r="E1751" s="17">
        <v>42129</v>
      </c>
      <c r="F1751" s="18">
        <v>0.69737268518518514</v>
      </c>
      <c r="G1751" s="22">
        <v>92.1</v>
      </c>
      <c r="H1751">
        <v>0</v>
      </c>
      <c r="I1751" s="19" t="e">
        <f>I1750 + (D1751-G1751)</f>
        <v>#VALUE!</v>
      </c>
      <c r="M1751">
        <v>119637</v>
      </c>
      <c r="N1751">
        <v>7</v>
      </c>
      <c r="O1751" t="s">
        <v>44</v>
      </c>
      <c r="P1751">
        <v>1</v>
      </c>
      <c r="R1751">
        <v>1624</v>
      </c>
      <c r="S1751" s="17">
        <v>42130</v>
      </c>
      <c r="T1751" s="17">
        <v>42130</v>
      </c>
      <c r="W1751">
        <v>2015</v>
      </c>
      <c r="X1751">
        <v>7</v>
      </c>
      <c r="AC1751" t="s">
        <v>1221</v>
      </c>
      <c r="AD1751" t="s">
        <v>301</v>
      </c>
      <c r="AE1751" t="s">
        <v>46</v>
      </c>
      <c r="AG1751">
        <v>26</v>
      </c>
      <c r="AH1751">
        <v>9</v>
      </c>
      <c r="AI1751" t="s">
        <v>54</v>
      </c>
      <c r="AK1751">
        <v>0</v>
      </c>
      <c r="AM1751">
        <v>0</v>
      </c>
      <c r="AP1751" t="s">
        <v>501</v>
      </c>
    </row>
    <row r="1752" spans="1:42" customFormat="1">
      <c r="A1752">
        <v>270212</v>
      </c>
      <c r="B1752" t="s">
        <v>3203</v>
      </c>
      <c r="C1752" t="s">
        <v>3204</v>
      </c>
      <c r="D1752" s="22">
        <v>0</v>
      </c>
      <c r="E1752" s="17">
        <v>42138</v>
      </c>
      <c r="F1752" s="18">
        <v>0.66443287037037035</v>
      </c>
      <c r="G1752" s="22">
        <v>947.73</v>
      </c>
      <c r="H1752">
        <v>0</v>
      </c>
      <c r="I1752" s="19" t="e">
        <f>I1751 + (D1752-G1752)</f>
        <v>#VALUE!</v>
      </c>
      <c r="M1752">
        <v>119491</v>
      </c>
      <c r="N1752">
        <v>24</v>
      </c>
      <c r="O1752" t="s">
        <v>68</v>
      </c>
      <c r="P1752">
        <v>1</v>
      </c>
      <c r="R1752">
        <v>1624</v>
      </c>
      <c r="S1752" s="17">
        <v>42142</v>
      </c>
      <c r="T1752" s="17">
        <v>42142</v>
      </c>
      <c r="W1752">
        <v>2015</v>
      </c>
      <c r="X1752">
        <v>24</v>
      </c>
      <c r="AC1752" t="s">
        <v>1221</v>
      </c>
      <c r="AD1752" t="s">
        <v>301</v>
      </c>
      <c r="AE1752" t="s">
        <v>46</v>
      </c>
      <c r="AG1752">
        <v>26</v>
      </c>
      <c r="AH1752">
        <v>9</v>
      </c>
      <c r="AI1752" t="s">
        <v>54</v>
      </c>
      <c r="AK1752">
        <v>0</v>
      </c>
      <c r="AM1752">
        <v>0</v>
      </c>
      <c r="AP1752" t="s">
        <v>501</v>
      </c>
    </row>
    <row r="1753" spans="1:42" customFormat="1">
      <c r="A1753">
        <v>270205</v>
      </c>
      <c r="B1753" t="s">
        <v>3474</v>
      </c>
      <c r="C1753" t="s">
        <v>3475</v>
      </c>
      <c r="D1753" s="22">
        <v>0</v>
      </c>
      <c r="E1753" s="17">
        <v>42139</v>
      </c>
      <c r="F1753" s="18">
        <v>0.63697916666666665</v>
      </c>
      <c r="G1753" s="22">
        <v>7356.16</v>
      </c>
      <c r="H1753">
        <v>0</v>
      </c>
      <c r="I1753" s="19" t="e">
        <f>I1752 + (D1753-G1753)</f>
        <v>#VALUE!</v>
      </c>
      <c r="M1753">
        <v>119066</v>
      </c>
      <c r="N1753">
        <v>24</v>
      </c>
      <c r="O1753" t="s">
        <v>68</v>
      </c>
      <c r="P1753">
        <v>1</v>
      </c>
      <c r="R1753">
        <v>1624</v>
      </c>
      <c r="S1753" s="17">
        <v>42142</v>
      </c>
      <c r="T1753" s="17">
        <v>42142</v>
      </c>
      <c r="W1753">
        <v>2015</v>
      </c>
      <c r="X1753">
        <v>24</v>
      </c>
      <c r="AC1753" t="s">
        <v>1221</v>
      </c>
      <c r="AD1753" t="s">
        <v>301</v>
      </c>
      <c r="AE1753" t="s">
        <v>46</v>
      </c>
      <c r="AG1753">
        <v>4</v>
      </c>
      <c r="AH1753">
        <v>9</v>
      </c>
      <c r="AI1753" t="s">
        <v>54</v>
      </c>
      <c r="AK1753">
        <v>0</v>
      </c>
      <c r="AM1753">
        <v>0</v>
      </c>
      <c r="AP1753" t="s">
        <v>389</v>
      </c>
    </row>
    <row r="1754" spans="1:42" customFormat="1">
      <c r="A1754">
        <v>271400</v>
      </c>
      <c r="B1754" t="s">
        <v>4703</v>
      </c>
      <c r="C1754" t="s">
        <v>4704</v>
      </c>
      <c r="D1754" s="22">
        <v>0</v>
      </c>
      <c r="E1754" s="17">
        <v>42150</v>
      </c>
      <c r="F1754" s="18">
        <v>0.38078703703703703</v>
      </c>
      <c r="G1754" s="22">
        <v>1338.18</v>
      </c>
      <c r="H1754">
        <v>0</v>
      </c>
      <c r="I1754" s="19" t="e">
        <f>I1753 + (D1754-G1754)</f>
        <v>#VALUE!</v>
      </c>
      <c r="M1754">
        <v>117834</v>
      </c>
      <c r="N1754">
        <v>24</v>
      </c>
      <c r="O1754" t="s">
        <v>68</v>
      </c>
      <c r="P1754">
        <v>1</v>
      </c>
      <c r="R1754">
        <v>359</v>
      </c>
      <c r="S1754" s="17">
        <v>42152</v>
      </c>
      <c r="T1754" s="17">
        <v>42152</v>
      </c>
      <c r="W1754">
        <v>2015</v>
      </c>
      <c r="X1754">
        <v>24</v>
      </c>
      <c r="AC1754" t="s">
        <v>149</v>
      </c>
      <c r="AD1754" t="s">
        <v>301</v>
      </c>
      <c r="AE1754" t="s">
        <v>46</v>
      </c>
      <c r="AG1754">
        <v>2</v>
      </c>
      <c r="AH1754">
        <v>9</v>
      </c>
      <c r="AI1754" t="s">
        <v>54</v>
      </c>
      <c r="AK1754">
        <v>0</v>
      </c>
      <c r="AM1754">
        <v>0</v>
      </c>
      <c r="AP1754" t="s">
        <v>2544</v>
      </c>
    </row>
    <row r="1755" spans="1:42" customFormat="1">
      <c r="A1755">
        <v>269881</v>
      </c>
      <c r="B1755" t="s">
        <v>2093</v>
      </c>
      <c r="C1755" t="s">
        <v>2094</v>
      </c>
      <c r="D1755" s="22">
        <v>0</v>
      </c>
      <c r="E1755" s="17">
        <v>42132</v>
      </c>
      <c r="F1755" s="18">
        <v>0.40077546296296296</v>
      </c>
      <c r="G1755" s="22">
        <v>87814.12</v>
      </c>
      <c r="H1755">
        <v>0</v>
      </c>
      <c r="I1755" s="19" t="e">
        <f>I1754 + (D1755-G1755)</f>
        <v>#VALUE!</v>
      </c>
      <c r="M1755">
        <v>121399</v>
      </c>
      <c r="N1755">
        <v>12</v>
      </c>
      <c r="O1755" t="s">
        <v>214</v>
      </c>
      <c r="P1755">
        <v>1</v>
      </c>
      <c r="R1755">
        <v>314</v>
      </c>
      <c r="S1755" s="17">
        <v>42138</v>
      </c>
      <c r="T1755" s="17">
        <v>42138</v>
      </c>
      <c r="W1755">
        <v>2015</v>
      </c>
      <c r="X1755">
        <v>12</v>
      </c>
      <c r="AC1755" t="s">
        <v>166</v>
      </c>
      <c r="AD1755" t="s">
        <v>301</v>
      </c>
      <c r="AE1755" t="s">
        <v>46</v>
      </c>
      <c r="AG1755">
        <v>12</v>
      </c>
      <c r="AH1755">
        <v>9</v>
      </c>
      <c r="AI1755" t="s">
        <v>54</v>
      </c>
      <c r="AK1755">
        <v>0</v>
      </c>
      <c r="AM1755">
        <v>0</v>
      </c>
      <c r="AP1755" t="s">
        <v>392</v>
      </c>
    </row>
    <row r="1756" spans="1:42" customFormat="1">
      <c r="A1756">
        <v>270175</v>
      </c>
      <c r="B1756" t="s">
        <v>2377</v>
      </c>
      <c r="C1756" t="s">
        <v>2378</v>
      </c>
      <c r="D1756" s="22">
        <v>0</v>
      </c>
      <c r="E1756" s="17">
        <v>42135</v>
      </c>
      <c r="F1756" s="18">
        <v>0.3979166666666667</v>
      </c>
      <c r="G1756" s="22">
        <v>4628.66</v>
      </c>
      <c r="H1756">
        <v>0</v>
      </c>
      <c r="I1756" s="19" t="e">
        <f>I1755 + (D1756-G1756)</f>
        <v>#VALUE!</v>
      </c>
      <c r="M1756">
        <v>123418</v>
      </c>
      <c r="N1756">
        <v>24</v>
      </c>
      <c r="O1756" t="s">
        <v>68</v>
      </c>
      <c r="P1756">
        <v>1</v>
      </c>
      <c r="R1756">
        <v>314</v>
      </c>
      <c r="S1756" s="17">
        <v>42142</v>
      </c>
      <c r="T1756" s="17">
        <v>42142</v>
      </c>
      <c r="W1756">
        <v>2015</v>
      </c>
      <c r="X1756">
        <v>24</v>
      </c>
      <c r="AC1756" t="s">
        <v>166</v>
      </c>
      <c r="AD1756" t="s">
        <v>301</v>
      </c>
      <c r="AE1756" t="s">
        <v>46</v>
      </c>
      <c r="AG1756">
        <v>12</v>
      </c>
      <c r="AH1756">
        <v>2</v>
      </c>
      <c r="AI1756" t="s">
        <v>50</v>
      </c>
      <c r="AK1756">
        <v>0</v>
      </c>
      <c r="AM1756">
        <v>0</v>
      </c>
      <c r="AP1756" t="s">
        <v>392</v>
      </c>
    </row>
    <row r="1757" spans="1:42" customFormat="1">
      <c r="A1757">
        <v>270176</v>
      </c>
      <c r="B1757" t="s">
        <v>2379</v>
      </c>
      <c r="C1757" t="s">
        <v>2380</v>
      </c>
      <c r="D1757" s="22">
        <v>0</v>
      </c>
      <c r="E1757" s="17">
        <v>42135</v>
      </c>
      <c r="F1757" s="18">
        <v>0.3981365740740741</v>
      </c>
      <c r="G1757" s="22">
        <v>5120.32</v>
      </c>
      <c r="H1757">
        <v>0</v>
      </c>
      <c r="I1757" s="19" t="e">
        <f>I1756 + (D1757-G1757)</f>
        <v>#VALUE!</v>
      </c>
      <c r="M1757">
        <v>123446</v>
      </c>
      <c r="N1757">
        <v>24</v>
      </c>
      <c r="O1757" t="s">
        <v>68</v>
      </c>
      <c r="P1757">
        <v>1</v>
      </c>
      <c r="R1757">
        <v>314</v>
      </c>
      <c r="S1757" s="17">
        <v>42142</v>
      </c>
      <c r="T1757" s="17">
        <v>42142</v>
      </c>
      <c r="W1757">
        <v>2015</v>
      </c>
      <c r="X1757">
        <v>24</v>
      </c>
      <c r="AC1757" t="s">
        <v>166</v>
      </c>
      <c r="AD1757" t="s">
        <v>301</v>
      </c>
      <c r="AE1757" t="s">
        <v>46</v>
      </c>
      <c r="AG1757">
        <v>12</v>
      </c>
      <c r="AH1757">
        <v>2</v>
      </c>
      <c r="AI1757" t="s">
        <v>50</v>
      </c>
      <c r="AK1757">
        <v>0</v>
      </c>
      <c r="AM1757">
        <v>0</v>
      </c>
      <c r="AP1757" t="s">
        <v>392</v>
      </c>
    </row>
    <row r="1758" spans="1:42" customFormat="1">
      <c r="A1758">
        <v>270177</v>
      </c>
      <c r="B1758" t="s">
        <v>2381</v>
      </c>
      <c r="C1758" t="s">
        <v>2382</v>
      </c>
      <c r="D1758" s="22">
        <v>0</v>
      </c>
      <c r="E1758" s="17">
        <v>42135</v>
      </c>
      <c r="F1758" s="18">
        <v>0.39836805555555554</v>
      </c>
      <c r="G1758" s="22">
        <v>1650.77</v>
      </c>
      <c r="H1758">
        <v>0</v>
      </c>
      <c r="I1758" s="19" t="e">
        <f>I1757 + (D1758-G1758)</f>
        <v>#VALUE!</v>
      </c>
      <c r="M1758">
        <v>123460</v>
      </c>
      <c r="N1758">
        <v>24</v>
      </c>
      <c r="O1758" t="s">
        <v>68</v>
      </c>
      <c r="P1758">
        <v>1</v>
      </c>
      <c r="R1758">
        <v>314</v>
      </c>
      <c r="S1758" s="17">
        <v>42142</v>
      </c>
      <c r="T1758" s="17">
        <v>42142</v>
      </c>
      <c r="W1758">
        <v>2015</v>
      </c>
      <c r="X1758">
        <v>24</v>
      </c>
      <c r="AC1758" t="s">
        <v>166</v>
      </c>
      <c r="AD1758" t="s">
        <v>301</v>
      </c>
      <c r="AE1758" t="s">
        <v>46</v>
      </c>
      <c r="AG1758">
        <v>12</v>
      </c>
      <c r="AH1758">
        <v>2</v>
      </c>
      <c r="AI1758" t="s">
        <v>50</v>
      </c>
      <c r="AK1758">
        <v>0</v>
      </c>
      <c r="AM1758">
        <v>0</v>
      </c>
      <c r="AP1758" t="s">
        <v>392</v>
      </c>
    </row>
    <row r="1759" spans="1:42" customFormat="1">
      <c r="A1759">
        <v>270178</v>
      </c>
      <c r="B1759" t="s">
        <v>2383</v>
      </c>
      <c r="C1759" t="s">
        <v>2384</v>
      </c>
      <c r="D1759" s="22">
        <v>0</v>
      </c>
      <c r="E1759" s="17">
        <v>42135</v>
      </c>
      <c r="F1759" s="18">
        <v>0.39857638888888891</v>
      </c>
      <c r="G1759" s="22">
        <v>2225.37</v>
      </c>
      <c r="H1759">
        <v>0</v>
      </c>
      <c r="I1759" s="19" t="e">
        <f>I1758 + (D1759-G1759)</f>
        <v>#VALUE!</v>
      </c>
      <c r="M1759">
        <v>123462</v>
      </c>
      <c r="N1759">
        <v>24</v>
      </c>
      <c r="O1759" t="s">
        <v>68</v>
      </c>
      <c r="P1759">
        <v>1</v>
      </c>
      <c r="R1759">
        <v>314</v>
      </c>
      <c r="S1759" s="17">
        <v>42142</v>
      </c>
      <c r="T1759" s="17">
        <v>42142</v>
      </c>
      <c r="W1759">
        <v>2015</v>
      </c>
      <c r="X1759">
        <v>24</v>
      </c>
      <c r="AC1759" t="s">
        <v>166</v>
      </c>
      <c r="AD1759" t="s">
        <v>301</v>
      </c>
      <c r="AE1759" t="s">
        <v>46</v>
      </c>
      <c r="AG1759">
        <v>12</v>
      </c>
      <c r="AH1759">
        <v>2</v>
      </c>
      <c r="AI1759" t="s">
        <v>50</v>
      </c>
      <c r="AK1759">
        <v>0</v>
      </c>
      <c r="AM1759">
        <v>0</v>
      </c>
      <c r="AP1759" t="s">
        <v>392</v>
      </c>
    </row>
    <row r="1760" spans="1:42" customFormat="1">
      <c r="A1760">
        <v>270179</v>
      </c>
      <c r="B1760" t="s">
        <v>2387</v>
      </c>
      <c r="C1760" t="s">
        <v>2388</v>
      </c>
      <c r="D1760" s="22">
        <v>0</v>
      </c>
      <c r="E1760" s="17">
        <v>42135</v>
      </c>
      <c r="F1760" s="18">
        <v>0.40262731481481479</v>
      </c>
      <c r="G1760" s="22">
        <v>5709.52</v>
      </c>
      <c r="H1760">
        <v>0</v>
      </c>
      <c r="I1760" s="19" t="e">
        <f>I1759 + (D1760-G1760)</f>
        <v>#VALUE!</v>
      </c>
      <c r="M1760">
        <v>123423</v>
      </c>
      <c r="N1760">
        <v>24</v>
      </c>
      <c r="O1760" t="s">
        <v>68</v>
      </c>
      <c r="P1760">
        <v>1</v>
      </c>
      <c r="R1760">
        <v>314</v>
      </c>
      <c r="S1760" s="17">
        <v>42142</v>
      </c>
      <c r="T1760" s="17">
        <v>42142</v>
      </c>
      <c r="W1760">
        <v>2015</v>
      </c>
      <c r="X1760">
        <v>24</v>
      </c>
      <c r="AC1760" t="s">
        <v>166</v>
      </c>
      <c r="AD1760" t="s">
        <v>301</v>
      </c>
      <c r="AE1760" t="s">
        <v>46</v>
      </c>
      <c r="AG1760">
        <v>12</v>
      </c>
      <c r="AH1760">
        <v>2</v>
      </c>
      <c r="AI1760" t="s">
        <v>50</v>
      </c>
      <c r="AK1760">
        <v>0</v>
      </c>
      <c r="AM1760">
        <v>0</v>
      </c>
      <c r="AP1760" t="s">
        <v>392</v>
      </c>
    </row>
    <row r="1761" spans="1:42" customFormat="1">
      <c r="A1761">
        <v>270180</v>
      </c>
      <c r="B1761" t="s">
        <v>2389</v>
      </c>
      <c r="C1761" t="s">
        <v>2390</v>
      </c>
      <c r="D1761" s="22">
        <v>0</v>
      </c>
      <c r="E1761" s="17">
        <v>42135</v>
      </c>
      <c r="F1761" s="18">
        <v>0.40278935185185188</v>
      </c>
      <c r="G1761" s="22">
        <v>1923.08</v>
      </c>
      <c r="H1761">
        <v>0</v>
      </c>
      <c r="I1761" s="19" t="e">
        <f>I1760 + (D1761-G1761)</f>
        <v>#VALUE!</v>
      </c>
      <c r="M1761">
        <v>123425</v>
      </c>
      <c r="N1761">
        <v>24</v>
      </c>
      <c r="O1761" t="s">
        <v>68</v>
      </c>
      <c r="P1761">
        <v>1</v>
      </c>
      <c r="R1761">
        <v>314</v>
      </c>
      <c r="S1761" s="17">
        <v>42142</v>
      </c>
      <c r="T1761" s="17">
        <v>42142</v>
      </c>
      <c r="W1761">
        <v>2015</v>
      </c>
      <c r="X1761">
        <v>24</v>
      </c>
      <c r="AC1761" t="s">
        <v>166</v>
      </c>
      <c r="AD1761" t="s">
        <v>301</v>
      </c>
      <c r="AE1761" t="s">
        <v>46</v>
      </c>
      <c r="AG1761">
        <v>12</v>
      </c>
      <c r="AH1761">
        <v>2</v>
      </c>
      <c r="AI1761" t="s">
        <v>50</v>
      </c>
      <c r="AK1761">
        <v>0</v>
      </c>
      <c r="AM1761">
        <v>0</v>
      </c>
      <c r="AP1761" t="s">
        <v>392</v>
      </c>
    </row>
    <row r="1762" spans="1:42" customFormat="1">
      <c r="A1762">
        <v>270181</v>
      </c>
      <c r="B1762" t="s">
        <v>2391</v>
      </c>
      <c r="C1762" t="s">
        <v>2392</v>
      </c>
      <c r="D1762" s="22">
        <v>0</v>
      </c>
      <c r="E1762" s="17">
        <v>42135</v>
      </c>
      <c r="F1762" s="18">
        <v>0.40293981481481483</v>
      </c>
      <c r="G1762" s="22">
        <v>5717.85</v>
      </c>
      <c r="H1762">
        <v>0</v>
      </c>
      <c r="I1762" s="19" t="e">
        <f>I1761 + (D1762-G1762)</f>
        <v>#VALUE!</v>
      </c>
      <c r="M1762">
        <v>123427</v>
      </c>
      <c r="N1762">
        <v>24</v>
      </c>
      <c r="O1762" t="s">
        <v>68</v>
      </c>
      <c r="P1762">
        <v>1</v>
      </c>
      <c r="R1762">
        <v>314</v>
      </c>
      <c r="S1762" s="17">
        <v>42142</v>
      </c>
      <c r="T1762" s="17">
        <v>42142</v>
      </c>
      <c r="W1762">
        <v>2015</v>
      </c>
      <c r="X1762">
        <v>24</v>
      </c>
      <c r="AC1762" t="s">
        <v>166</v>
      </c>
      <c r="AD1762" t="s">
        <v>301</v>
      </c>
      <c r="AE1762" t="s">
        <v>46</v>
      </c>
      <c r="AG1762">
        <v>12</v>
      </c>
      <c r="AH1762">
        <v>2</v>
      </c>
      <c r="AI1762" t="s">
        <v>50</v>
      </c>
      <c r="AK1762">
        <v>0</v>
      </c>
      <c r="AM1762">
        <v>0</v>
      </c>
      <c r="AP1762" t="s">
        <v>392</v>
      </c>
    </row>
    <row r="1763" spans="1:42" customFormat="1">
      <c r="A1763">
        <v>270182</v>
      </c>
      <c r="B1763" t="s">
        <v>2393</v>
      </c>
      <c r="C1763" t="s">
        <v>2394</v>
      </c>
      <c r="D1763" s="22">
        <v>0</v>
      </c>
      <c r="E1763" s="17">
        <v>42135</v>
      </c>
      <c r="F1763" s="18">
        <v>0.40310185185185188</v>
      </c>
      <c r="G1763" s="22">
        <v>7937.8</v>
      </c>
      <c r="H1763">
        <v>0</v>
      </c>
      <c r="I1763" s="19" t="e">
        <f>I1762 + (D1763-G1763)</f>
        <v>#VALUE!</v>
      </c>
      <c r="M1763">
        <v>123438</v>
      </c>
      <c r="N1763">
        <v>24</v>
      </c>
      <c r="O1763" t="s">
        <v>68</v>
      </c>
      <c r="P1763">
        <v>1</v>
      </c>
      <c r="R1763">
        <v>314</v>
      </c>
      <c r="S1763" s="17">
        <v>42142</v>
      </c>
      <c r="T1763" s="17">
        <v>42142</v>
      </c>
      <c r="W1763">
        <v>2015</v>
      </c>
      <c r="X1763">
        <v>24</v>
      </c>
      <c r="AC1763" t="s">
        <v>166</v>
      </c>
      <c r="AD1763" t="s">
        <v>301</v>
      </c>
      <c r="AE1763" t="s">
        <v>46</v>
      </c>
      <c r="AG1763">
        <v>12</v>
      </c>
      <c r="AH1763">
        <v>2</v>
      </c>
      <c r="AI1763" t="s">
        <v>50</v>
      </c>
      <c r="AK1763">
        <v>0</v>
      </c>
      <c r="AM1763">
        <v>0</v>
      </c>
      <c r="AP1763" t="s">
        <v>392</v>
      </c>
    </row>
    <row r="1764" spans="1:42" customFormat="1">
      <c r="A1764">
        <v>270183</v>
      </c>
      <c r="B1764" t="s">
        <v>2395</v>
      </c>
      <c r="C1764" t="s">
        <v>2396</v>
      </c>
      <c r="D1764" s="22">
        <v>0</v>
      </c>
      <c r="E1764" s="17">
        <v>42135</v>
      </c>
      <c r="F1764" s="18">
        <v>0.403287037037037</v>
      </c>
      <c r="G1764" s="22">
        <v>1944.45</v>
      </c>
      <c r="H1764">
        <v>0</v>
      </c>
      <c r="I1764" s="19" t="e">
        <f>I1763 + (D1764-G1764)</f>
        <v>#VALUE!</v>
      </c>
      <c r="M1764">
        <v>123444</v>
      </c>
      <c r="N1764">
        <v>24</v>
      </c>
      <c r="O1764" t="s">
        <v>68</v>
      </c>
      <c r="P1764">
        <v>1</v>
      </c>
      <c r="R1764">
        <v>314</v>
      </c>
      <c r="S1764" s="17">
        <v>42142</v>
      </c>
      <c r="T1764" s="17">
        <v>42142</v>
      </c>
      <c r="W1764">
        <v>2015</v>
      </c>
      <c r="X1764">
        <v>24</v>
      </c>
      <c r="AC1764" t="s">
        <v>166</v>
      </c>
      <c r="AD1764" t="s">
        <v>301</v>
      </c>
      <c r="AE1764" t="s">
        <v>46</v>
      </c>
      <c r="AG1764">
        <v>12</v>
      </c>
      <c r="AH1764">
        <v>2</v>
      </c>
      <c r="AI1764" t="s">
        <v>50</v>
      </c>
      <c r="AK1764">
        <v>0</v>
      </c>
      <c r="AM1764">
        <v>0</v>
      </c>
      <c r="AP1764" t="s">
        <v>392</v>
      </c>
    </row>
    <row r="1765" spans="1:42" customFormat="1">
      <c r="A1765">
        <v>270184</v>
      </c>
      <c r="B1765" t="s">
        <v>2397</v>
      </c>
      <c r="C1765" t="s">
        <v>2398</v>
      </c>
      <c r="D1765" s="22">
        <v>0</v>
      </c>
      <c r="E1765" s="17">
        <v>42135</v>
      </c>
      <c r="F1765" s="18">
        <v>0.40346064814814814</v>
      </c>
      <c r="G1765" s="22">
        <v>4769.17</v>
      </c>
      <c r="H1765">
        <v>0</v>
      </c>
      <c r="I1765" s="19" t="e">
        <f>I1764 + (D1765-G1765)</f>
        <v>#VALUE!</v>
      </c>
      <c r="M1765">
        <v>123448</v>
      </c>
      <c r="N1765">
        <v>24</v>
      </c>
      <c r="O1765" t="s">
        <v>68</v>
      </c>
      <c r="P1765">
        <v>1</v>
      </c>
      <c r="R1765">
        <v>314</v>
      </c>
      <c r="S1765" s="17">
        <v>42142</v>
      </c>
      <c r="T1765" s="17">
        <v>42142</v>
      </c>
      <c r="W1765">
        <v>2015</v>
      </c>
      <c r="X1765">
        <v>24</v>
      </c>
      <c r="AC1765" t="s">
        <v>166</v>
      </c>
      <c r="AD1765" t="s">
        <v>301</v>
      </c>
      <c r="AE1765" t="s">
        <v>46</v>
      </c>
      <c r="AG1765">
        <v>12</v>
      </c>
      <c r="AH1765">
        <v>2</v>
      </c>
      <c r="AI1765" t="s">
        <v>50</v>
      </c>
      <c r="AK1765">
        <v>0</v>
      </c>
      <c r="AM1765">
        <v>0</v>
      </c>
      <c r="AP1765" t="s">
        <v>392</v>
      </c>
    </row>
    <row r="1766" spans="1:42" customFormat="1">
      <c r="A1766">
        <v>270185</v>
      </c>
      <c r="B1766" t="s">
        <v>2399</v>
      </c>
      <c r="C1766" t="s">
        <v>2400</v>
      </c>
      <c r="D1766" s="22">
        <v>0</v>
      </c>
      <c r="E1766" s="17">
        <v>42135</v>
      </c>
      <c r="F1766" s="18">
        <v>0.40363425925925928</v>
      </c>
      <c r="G1766" s="22">
        <v>3535</v>
      </c>
      <c r="H1766">
        <v>0</v>
      </c>
      <c r="I1766" s="19" t="e">
        <f>I1765 + (D1766-G1766)</f>
        <v>#VALUE!</v>
      </c>
      <c r="M1766">
        <v>123450</v>
      </c>
      <c r="N1766">
        <v>24</v>
      </c>
      <c r="O1766" t="s">
        <v>68</v>
      </c>
      <c r="P1766">
        <v>1</v>
      </c>
      <c r="R1766">
        <v>314</v>
      </c>
      <c r="S1766" s="17">
        <v>42142</v>
      </c>
      <c r="T1766" s="17">
        <v>42142</v>
      </c>
      <c r="W1766">
        <v>2015</v>
      </c>
      <c r="X1766">
        <v>24</v>
      </c>
      <c r="AC1766" t="s">
        <v>166</v>
      </c>
      <c r="AD1766" t="s">
        <v>301</v>
      </c>
      <c r="AE1766" t="s">
        <v>46</v>
      </c>
      <c r="AG1766">
        <v>12</v>
      </c>
      <c r="AH1766">
        <v>2</v>
      </c>
      <c r="AI1766" t="s">
        <v>50</v>
      </c>
      <c r="AK1766">
        <v>0</v>
      </c>
      <c r="AM1766">
        <v>0</v>
      </c>
      <c r="AP1766" t="s">
        <v>392</v>
      </c>
    </row>
    <row r="1767" spans="1:42" customFormat="1">
      <c r="A1767">
        <v>270186</v>
      </c>
      <c r="B1767" t="s">
        <v>2401</v>
      </c>
      <c r="C1767" t="s">
        <v>2402</v>
      </c>
      <c r="D1767" s="22">
        <v>0</v>
      </c>
      <c r="E1767" s="17">
        <v>42135</v>
      </c>
      <c r="F1767" s="18">
        <v>0.40491898148148148</v>
      </c>
      <c r="G1767" s="22">
        <v>9999.2000000000007</v>
      </c>
      <c r="H1767">
        <v>0</v>
      </c>
      <c r="I1767" s="19" t="e">
        <f>I1766 + (D1767-G1767)</f>
        <v>#VALUE!</v>
      </c>
      <c r="M1767">
        <v>123457</v>
      </c>
      <c r="N1767">
        <v>24</v>
      </c>
      <c r="O1767" t="s">
        <v>68</v>
      </c>
      <c r="P1767">
        <v>1</v>
      </c>
      <c r="R1767">
        <v>314</v>
      </c>
      <c r="S1767" s="17">
        <v>42142</v>
      </c>
      <c r="T1767" s="17">
        <v>42142</v>
      </c>
      <c r="W1767">
        <v>2015</v>
      </c>
      <c r="X1767">
        <v>24</v>
      </c>
      <c r="AC1767" t="s">
        <v>166</v>
      </c>
      <c r="AD1767" t="s">
        <v>301</v>
      </c>
      <c r="AE1767" t="s">
        <v>46</v>
      </c>
      <c r="AG1767">
        <v>12</v>
      </c>
      <c r="AH1767">
        <v>2</v>
      </c>
      <c r="AI1767" t="s">
        <v>50</v>
      </c>
      <c r="AK1767">
        <v>0</v>
      </c>
      <c r="AM1767">
        <v>0</v>
      </c>
      <c r="AP1767" t="s">
        <v>392</v>
      </c>
    </row>
    <row r="1768" spans="1:42" customFormat="1">
      <c r="A1768">
        <v>270187</v>
      </c>
      <c r="B1768" t="s">
        <v>2403</v>
      </c>
      <c r="C1768" t="s">
        <v>2404</v>
      </c>
      <c r="D1768" s="22">
        <v>0</v>
      </c>
      <c r="E1768" s="17">
        <v>42135</v>
      </c>
      <c r="F1768" s="18">
        <v>0.40512731481481484</v>
      </c>
      <c r="G1768" s="22">
        <v>846.15</v>
      </c>
      <c r="H1768">
        <v>0</v>
      </c>
      <c r="I1768" s="19" t="e">
        <f>I1767 + (D1768-G1768)</f>
        <v>#VALUE!</v>
      </c>
      <c r="M1768">
        <v>123459</v>
      </c>
      <c r="N1768">
        <v>24</v>
      </c>
      <c r="O1768" t="s">
        <v>68</v>
      </c>
      <c r="P1768">
        <v>1</v>
      </c>
      <c r="R1768">
        <v>314</v>
      </c>
      <c r="S1768" s="17">
        <v>42142</v>
      </c>
      <c r="T1768" s="17">
        <v>42142</v>
      </c>
      <c r="W1768">
        <v>2015</v>
      </c>
      <c r="X1768">
        <v>24</v>
      </c>
      <c r="AC1768" t="s">
        <v>166</v>
      </c>
      <c r="AD1768" t="s">
        <v>301</v>
      </c>
      <c r="AE1768" t="s">
        <v>46</v>
      </c>
      <c r="AG1768">
        <v>12</v>
      </c>
      <c r="AH1768">
        <v>2</v>
      </c>
      <c r="AI1768" t="s">
        <v>50</v>
      </c>
      <c r="AK1768">
        <v>0</v>
      </c>
      <c r="AM1768">
        <v>0</v>
      </c>
      <c r="AP1768" t="s">
        <v>392</v>
      </c>
    </row>
    <row r="1769" spans="1:42" customFormat="1">
      <c r="A1769">
        <v>270188</v>
      </c>
      <c r="B1769" t="s">
        <v>2405</v>
      </c>
      <c r="C1769" t="s">
        <v>2406</v>
      </c>
      <c r="D1769" s="22">
        <v>0</v>
      </c>
      <c r="E1769" s="17">
        <v>42135</v>
      </c>
      <c r="F1769" s="18">
        <v>0.40532407407407406</v>
      </c>
      <c r="G1769" s="22">
        <v>11645.23</v>
      </c>
      <c r="H1769">
        <v>0</v>
      </c>
      <c r="I1769" s="19" t="e">
        <f>I1768 + (D1769-G1769)</f>
        <v>#VALUE!</v>
      </c>
      <c r="M1769">
        <v>123461</v>
      </c>
      <c r="N1769">
        <v>24</v>
      </c>
      <c r="O1769" t="s">
        <v>68</v>
      </c>
      <c r="P1769">
        <v>1</v>
      </c>
      <c r="R1769">
        <v>314</v>
      </c>
      <c r="S1769" s="17">
        <v>42142</v>
      </c>
      <c r="T1769" s="17">
        <v>42142</v>
      </c>
      <c r="W1769">
        <v>2015</v>
      </c>
      <c r="X1769">
        <v>24</v>
      </c>
      <c r="AC1769" t="s">
        <v>166</v>
      </c>
      <c r="AD1769" t="s">
        <v>301</v>
      </c>
      <c r="AE1769" t="s">
        <v>46</v>
      </c>
      <c r="AG1769">
        <v>12</v>
      </c>
      <c r="AH1769">
        <v>2</v>
      </c>
      <c r="AI1769" t="s">
        <v>50</v>
      </c>
      <c r="AK1769">
        <v>0</v>
      </c>
      <c r="AM1769">
        <v>0</v>
      </c>
      <c r="AP1769" t="s">
        <v>392</v>
      </c>
    </row>
    <row r="1770" spans="1:42" customFormat="1">
      <c r="A1770">
        <v>270189</v>
      </c>
      <c r="B1770" t="s">
        <v>2407</v>
      </c>
      <c r="C1770" t="s">
        <v>2408</v>
      </c>
      <c r="D1770" s="22">
        <v>0</v>
      </c>
      <c r="E1770" s="17">
        <v>42135</v>
      </c>
      <c r="F1770" s="18">
        <v>0.40548611111111116</v>
      </c>
      <c r="G1770" s="22">
        <v>2090.75</v>
      </c>
      <c r="H1770">
        <v>0</v>
      </c>
      <c r="I1770" s="19" t="e">
        <f>I1769 + (D1770-G1770)</f>
        <v>#VALUE!</v>
      </c>
      <c r="M1770">
        <v>123464</v>
      </c>
      <c r="N1770">
        <v>24</v>
      </c>
      <c r="O1770" t="s">
        <v>68</v>
      </c>
      <c r="P1770">
        <v>1</v>
      </c>
      <c r="R1770">
        <v>314</v>
      </c>
      <c r="S1770" s="17">
        <v>42142</v>
      </c>
      <c r="T1770" s="17">
        <v>42142</v>
      </c>
      <c r="W1770">
        <v>2015</v>
      </c>
      <c r="X1770">
        <v>24</v>
      </c>
      <c r="AC1770" t="s">
        <v>166</v>
      </c>
      <c r="AD1770" t="s">
        <v>301</v>
      </c>
      <c r="AE1770" t="s">
        <v>46</v>
      </c>
      <c r="AG1770">
        <v>12</v>
      </c>
      <c r="AH1770">
        <v>2</v>
      </c>
      <c r="AI1770" t="s">
        <v>50</v>
      </c>
      <c r="AK1770">
        <v>0</v>
      </c>
      <c r="AM1770">
        <v>0</v>
      </c>
      <c r="AP1770" t="s">
        <v>392</v>
      </c>
    </row>
    <row r="1771" spans="1:42" customFormat="1">
      <c r="A1771">
        <v>270190</v>
      </c>
      <c r="B1771" t="s">
        <v>2409</v>
      </c>
      <c r="C1771" t="s">
        <v>2410</v>
      </c>
      <c r="D1771" s="22">
        <v>0</v>
      </c>
      <c r="E1771" s="17">
        <v>42135</v>
      </c>
      <c r="F1771" s="18">
        <v>0.40565972222222224</v>
      </c>
      <c r="G1771" s="22">
        <v>3221.27</v>
      </c>
      <c r="H1771">
        <v>0</v>
      </c>
      <c r="I1771" s="19" t="e">
        <f>I1770 + (D1771-G1771)</f>
        <v>#VALUE!</v>
      </c>
      <c r="M1771">
        <v>123470</v>
      </c>
      <c r="N1771">
        <v>24</v>
      </c>
      <c r="O1771" t="s">
        <v>68</v>
      </c>
      <c r="P1771">
        <v>1</v>
      </c>
      <c r="R1771">
        <v>314</v>
      </c>
      <c r="S1771" s="17">
        <v>42142</v>
      </c>
      <c r="T1771" s="17">
        <v>42142</v>
      </c>
      <c r="W1771">
        <v>2015</v>
      </c>
      <c r="X1771">
        <v>24</v>
      </c>
      <c r="AC1771" t="s">
        <v>166</v>
      </c>
      <c r="AD1771" t="s">
        <v>301</v>
      </c>
      <c r="AE1771" t="s">
        <v>46</v>
      </c>
      <c r="AG1771">
        <v>12</v>
      </c>
      <c r="AH1771">
        <v>2</v>
      </c>
      <c r="AI1771" t="s">
        <v>50</v>
      </c>
      <c r="AK1771">
        <v>0</v>
      </c>
      <c r="AM1771">
        <v>0</v>
      </c>
      <c r="AP1771" t="s">
        <v>392</v>
      </c>
    </row>
    <row r="1772" spans="1:42" customFormat="1">
      <c r="A1772">
        <v>270191</v>
      </c>
      <c r="B1772" t="s">
        <v>2411</v>
      </c>
      <c r="C1772" t="s">
        <v>2412</v>
      </c>
      <c r="D1772" s="22">
        <v>0</v>
      </c>
      <c r="E1772" s="17">
        <v>42135</v>
      </c>
      <c r="F1772" s="18">
        <v>0.40583333333333332</v>
      </c>
      <c r="G1772" s="22">
        <v>5285.21</v>
      </c>
      <c r="H1772">
        <v>0</v>
      </c>
      <c r="I1772" s="19" t="e">
        <f>I1771 + (D1772-G1772)</f>
        <v>#VALUE!</v>
      </c>
      <c r="M1772">
        <v>123505</v>
      </c>
      <c r="N1772">
        <v>24</v>
      </c>
      <c r="O1772" t="s">
        <v>68</v>
      </c>
      <c r="P1772">
        <v>1</v>
      </c>
      <c r="R1772">
        <v>314</v>
      </c>
      <c r="S1772" s="17">
        <v>42142</v>
      </c>
      <c r="T1772" s="17">
        <v>42142</v>
      </c>
      <c r="W1772">
        <v>2015</v>
      </c>
      <c r="X1772">
        <v>24</v>
      </c>
      <c r="AC1772" t="s">
        <v>166</v>
      </c>
      <c r="AD1772" t="s">
        <v>301</v>
      </c>
      <c r="AE1772" t="s">
        <v>46</v>
      </c>
      <c r="AG1772">
        <v>12</v>
      </c>
      <c r="AH1772">
        <v>2</v>
      </c>
      <c r="AI1772" t="s">
        <v>50</v>
      </c>
      <c r="AK1772">
        <v>0</v>
      </c>
      <c r="AM1772">
        <v>0</v>
      </c>
      <c r="AP1772" t="s">
        <v>392</v>
      </c>
    </row>
    <row r="1773" spans="1:42" customFormat="1">
      <c r="A1773">
        <v>270192</v>
      </c>
      <c r="B1773" t="s">
        <v>2413</v>
      </c>
      <c r="C1773" t="s">
        <v>2414</v>
      </c>
      <c r="D1773" s="22">
        <v>0</v>
      </c>
      <c r="E1773" s="17">
        <v>42135</v>
      </c>
      <c r="F1773" s="18">
        <v>0.4060300925925926</v>
      </c>
      <c r="G1773" s="22">
        <v>2149.8200000000002</v>
      </c>
      <c r="H1773">
        <v>0</v>
      </c>
      <c r="I1773" s="19" t="e">
        <f>I1772 + (D1773-G1773)</f>
        <v>#VALUE!</v>
      </c>
      <c r="M1773">
        <v>123506</v>
      </c>
      <c r="N1773">
        <v>24</v>
      </c>
      <c r="O1773" t="s">
        <v>68</v>
      </c>
      <c r="P1773">
        <v>1</v>
      </c>
      <c r="R1773">
        <v>314</v>
      </c>
      <c r="S1773" s="17">
        <v>42142</v>
      </c>
      <c r="T1773" s="17">
        <v>42142</v>
      </c>
      <c r="W1773">
        <v>2015</v>
      </c>
      <c r="X1773">
        <v>24</v>
      </c>
      <c r="AC1773" t="s">
        <v>166</v>
      </c>
      <c r="AD1773" t="s">
        <v>301</v>
      </c>
      <c r="AE1773" t="s">
        <v>46</v>
      </c>
      <c r="AG1773">
        <v>12</v>
      </c>
      <c r="AH1773">
        <v>2</v>
      </c>
      <c r="AI1773" t="s">
        <v>50</v>
      </c>
      <c r="AK1773">
        <v>0</v>
      </c>
      <c r="AM1773">
        <v>0</v>
      </c>
      <c r="AP1773" t="s">
        <v>392</v>
      </c>
    </row>
    <row r="1774" spans="1:42" customFormat="1">
      <c r="A1774">
        <v>270193</v>
      </c>
      <c r="B1774" t="s">
        <v>2415</v>
      </c>
      <c r="C1774" t="s">
        <v>2416</v>
      </c>
      <c r="D1774" s="22">
        <v>0</v>
      </c>
      <c r="E1774" s="17">
        <v>42135</v>
      </c>
      <c r="F1774" s="18">
        <v>0.40619212962962964</v>
      </c>
      <c r="G1774" s="22">
        <v>4095.44</v>
      </c>
      <c r="H1774">
        <v>0</v>
      </c>
      <c r="I1774" s="19" t="e">
        <f>I1773 + (D1774-G1774)</f>
        <v>#VALUE!</v>
      </c>
      <c r="M1774">
        <v>123507</v>
      </c>
      <c r="N1774">
        <v>24</v>
      </c>
      <c r="O1774" t="s">
        <v>68</v>
      </c>
      <c r="P1774">
        <v>1</v>
      </c>
      <c r="R1774">
        <v>314</v>
      </c>
      <c r="S1774" s="17">
        <v>42142</v>
      </c>
      <c r="T1774" s="17">
        <v>42142</v>
      </c>
      <c r="W1774">
        <v>2015</v>
      </c>
      <c r="X1774">
        <v>24</v>
      </c>
      <c r="AC1774" t="s">
        <v>166</v>
      </c>
      <c r="AD1774" t="s">
        <v>301</v>
      </c>
      <c r="AE1774" t="s">
        <v>46</v>
      </c>
      <c r="AG1774">
        <v>12</v>
      </c>
      <c r="AH1774">
        <v>2</v>
      </c>
      <c r="AI1774" t="s">
        <v>50</v>
      </c>
      <c r="AK1774">
        <v>0</v>
      </c>
      <c r="AM1774">
        <v>0</v>
      </c>
      <c r="AP1774" t="s">
        <v>392</v>
      </c>
    </row>
    <row r="1775" spans="1:42" customFormat="1">
      <c r="A1775">
        <v>270194</v>
      </c>
      <c r="B1775" t="s">
        <v>2417</v>
      </c>
      <c r="C1775" t="s">
        <v>2418</v>
      </c>
      <c r="D1775" s="22">
        <v>0</v>
      </c>
      <c r="E1775" s="17">
        <v>42135</v>
      </c>
      <c r="F1775" s="18">
        <v>0.40659722222222222</v>
      </c>
      <c r="G1775" s="22">
        <v>2786.28</v>
      </c>
      <c r="H1775">
        <v>0</v>
      </c>
      <c r="I1775" s="19" t="e">
        <f>I1774 + (D1775-G1775)</f>
        <v>#VALUE!</v>
      </c>
      <c r="M1775">
        <v>123509</v>
      </c>
      <c r="N1775">
        <v>24</v>
      </c>
      <c r="O1775" t="s">
        <v>68</v>
      </c>
      <c r="P1775">
        <v>1</v>
      </c>
      <c r="R1775">
        <v>314</v>
      </c>
      <c r="S1775" s="17">
        <v>42142</v>
      </c>
      <c r="T1775" s="17">
        <v>42142</v>
      </c>
      <c r="W1775">
        <v>2015</v>
      </c>
      <c r="X1775">
        <v>24</v>
      </c>
      <c r="AC1775" t="s">
        <v>166</v>
      </c>
      <c r="AD1775" t="s">
        <v>301</v>
      </c>
      <c r="AE1775" t="s">
        <v>46</v>
      </c>
      <c r="AG1775">
        <v>12</v>
      </c>
      <c r="AH1775">
        <v>2</v>
      </c>
      <c r="AI1775" t="s">
        <v>50</v>
      </c>
      <c r="AK1775">
        <v>0</v>
      </c>
      <c r="AM1775">
        <v>0</v>
      </c>
      <c r="AP1775" t="s">
        <v>392</v>
      </c>
    </row>
    <row r="1776" spans="1:42" customFormat="1">
      <c r="A1776">
        <v>270195</v>
      </c>
      <c r="B1776" t="s">
        <v>2419</v>
      </c>
      <c r="C1776" t="s">
        <v>2420</v>
      </c>
      <c r="D1776" s="22">
        <v>0</v>
      </c>
      <c r="E1776" s="17">
        <v>42135</v>
      </c>
      <c r="F1776" s="18">
        <v>0.4067708333333333</v>
      </c>
      <c r="G1776" s="22">
        <v>5728.28</v>
      </c>
      <c r="H1776">
        <v>0</v>
      </c>
      <c r="I1776" s="19" t="e">
        <f>I1775 + (D1776-G1776)</f>
        <v>#VALUE!</v>
      </c>
      <c r="M1776">
        <v>123510</v>
      </c>
      <c r="N1776">
        <v>24</v>
      </c>
      <c r="O1776" t="s">
        <v>68</v>
      </c>
      <c r="P1776">
        <v>1</v>
      </c>
      <c r="R1776">
        <v>314</v>
      </c>
      <c r="S1776" s="17">
        <v>42142</v>
      </c>
      <c r="T1776" s="17">
        <v>42142</v>
      </c>
      <c r="W1776">
        <v>2015</v>
      </c>
      <c r="X1776">
        <v>24</v>
      </c>
      <c r="AC1776" t="s">
        <v>166</v>
      </c>
      <c r="AD1776" t="s">
        <v>301</v>
      </c>
      <c r="AE1776" t="s">
        <v>46</v>
      </c>
      <c r="AG1776">
        <v>12</v>
      </c>
      <c r="AH1776">
        <v>2</v>
      </c>
      <c r="AI1776" t="s">
        <v>50</v>
      </c>
      <c r="AK1776">
        <v>0</v>
      </c>
      <c r="AM1776">
        <v>0</v>
      </c>
      <c r="AP1776" t="s">
        <v>392</v>
      </c>
    </row>
    <row r="1777" spans="1:42" customFormat="1">
      <c r="A1777">
        <v>270196</v>
      </c>
      <c r="B1777" t="s">
        <v>2421</v>
      </c>
      <c r="C1777" t="s">
        <v>2422</v>
      </c>
      <c r="D1777" s="22">
        <v>0</v>
      </c>
      <c r="E1777" s="17">
        <v>42135</v>
      </c>
      <c r="F1777" s="18">
        <v>0.4069444444444445</v>
      </c>
      <c r="G1777" s="22">
        <v>2525.9899999999998</v>
      </c>
      <c r="H1777">
        <v>0</v>
      </c>
      <c r="I1777" s="19" t="e">
        <f>I1776 + (D1777-G1777)</f>
        <v>#VALUE!</v>
      </c>
      <c r="M1777">
        <v>123511</v>
      </c>
      <c r="N1777">
        <v>24</v>
      </c>
      <c r="O1777" t="s">
        <v>68</v>
      </c>
      <c r="P1777">
        <v>1</v>
      </c>
      <c r="R1777">
        <v>314</v>
      </c>
      <c r="S1777" s="17">
        <v>42142</v>
      </c>
      <c r="T1777" s="17">
        <v>42142</v>
      </c>
      <c r="W1777">
        <v>2015</v>
      </c>
      <c r="X1777">
        <v>24</v>
      </c>
      <c r="AC1777" t="s">
        <v>166</v>
      </c>
      <c r="AD1777" t="s">
        <v>301</v>
      </c>
      <c r="AE1777" t="s">
        <v>46</v>
      </c>
      <c r="AG1777">
        <v>12</v>
      </c>
      <c r="AH1777">
        <v>2</v>
      </c>
      <c r="AI1777" t="s">
        <v>50</v>
      </c>
      <c r="AK1777">
        <v>0</v>
      </c>
      <c r="AM1777">
        <v>0</v>
      </c>
      <c r="AP1777" t="s">
        <v>392</v>
      </c>
    </row>
    <row r="1778" spans="1:42" customFormat="1">
      <c r="A1778">
        <v>270329</v>
      </c>
      <c r="B1778" t="s">
        <v>2425</v>
      </c>
      <c r="C1778" t="s">
        <v>2426</v>
      </c>
      <c r="D1778" s="22">
        <v>0</v>
      </c>
      <c r="E1778" s="17">
        <v>42135</v>
      </c>
      <c r="F1778" s="18">
        <v>0.41450231481481481</v>
      </c>
      <c r="G1778" s="22">
        <v>2225.37</v>
      </c>
      <c r="H1778">
        <v>0</v>
      </c>
      <c r="I1778" s="19" t="e">
        <f>I1777 + (D1778-G1778)</f>
        <v>#VALUE!</v>
      </c>
      <c r="M1778">
        <v>123517</v>
      </c>
      <c r="N1778">
        <v>24</v>
      </c>
      <c r="O1778" t="s">
        <v>68</v>
      </c>
      <c r="P1778">
        <v>1</v>
      </c>
      <c r="R1778">
        <v>314</v>
      </c>
      <c r="S1778" s="17">
        <v>42144</v>
      </c>
      <c r="T1778" s="17">
        <v>42144</v>
      </c>
      <c r="W1778">
        <v>2015</v>
      </c>
      <c r="X1778">
        <v>24</v>
      </c>
      <c r="AC1778" t="s">
        <v>166</v>
      </c>
      <c r="AD1778" t="s">
        <v>301</v>
      </c>
      <c r="AE1778" t="s">
        <v>46</v>
      </c>
      <c r="AG1778">
        <v>12</v>
      </c>
      <c r="AH1778">
        <v>2</v>
      </c>
      <c r="AI1778" t="s">
        <v>50</v>
      </c>
      <c r="AK1778">
        <v>0</v>
      </c>
      <c r="AM1778">
        <v>0</v>
      </c>
      <c r="AP1778" t="s">
        <v>392</v>
      </c>
    </row>
    <row r="1779" spans="1:42" customFormat="1">
      <c r="A1779">
        <v>270331</v>
      </c>
      <c r="B1779" t="s">
        <v>2427</v>
      </c>
      <c r="C1779" t="s">
        <v>2428</v>
      </c>
      <c r="D1779" s="22">
        <v>0</v>
      </c>
      <c r="E1779" s="17">
        <v>42135</v>
      </c>
      <c r="F1779" s="18">
        <v>0.41766203703703703</v>
      </c>
      <c r="G1779" s="22">
        <v>3446.3</v>
      </c>
      <c r="H1779">
        <v>0</v>
      </c>
      <c r="I1779" s="19" t="e">
        <f>I1778 + (D1779-G1779)</f>
        <v>#VALUE!</v>
      </c>
      <c r="M1779">
        <v>123519</v>
      </c>
      <c r="N1779">
        <v>24</v>
      </c>
      <c r="O1779" t="s">
        <v>68</v>
      </c>
      <c r="P1779">
        <v>1</v>
      </c>
      <c r="R1779">
        <v>314</v>
      </c>
      <c r="S1779" s="17">
        <v>42144</v>
      </c>
      <c r="T1779" s="17">
        <v>42144</v>
      </c>
      <c r="W1779">
        <v>2015</v>
      </c>
      <c r="X1779">
        <v>24</v>
      </c>
      <c r="AC1779" t="s">
        <v>166</v>
      </c>
      <c r="AD1779" t="s">
        <v>301</v>
      </c>
      <c r="AE1779" t="s">
        <v>46</v>
      </c>
      <c r="AG1779">
        <v>12</v>
      </c>
      <c r="AH1779">
        <v>2</v>
      </c>
      <c r="AI1779" t="s">
        <v>50</v>
      </c>
      <c r="AK1779">
        <v>0</v>
      </c>
      <c r="AM1779">
        <v>0</v>
      </c>
      <c r="AP1779" t="s">
        <v>392</v>
      </c>
    </row>
    <row r="1780" spans="1:42" customFormat="1">
      <c r="A1780">
        <v>270332</v>
      </c>
      <c r="B1780" t="s">
        <v>2429</v>
      </c>
      <c r="C1780" t="s">
        <v>2430</v>
      </c>
      <c r="D1780" s="22">
        <v>0</v>
      </c>
      <c r="E1780" s="17">
        <v>42135</v>
      </c>
      <c r="F1780" s="18">
        <v>0.41789351851851847</v>
      </c>
      <c r="G1780" s="22">
        <v>855.96</v>
      </c>
      <c r="H1780">
        <v>0</v>
      </c>
      <c r="I1780" s="19" t="e">
        <f>I1779 + (D1780-G1780)</f>
        <v>#VALUE!</v>
      </c>
      <c r="M1780">
        <v>123552</v>
      </c>
      <c r="N1780">
        <v>24</v>
      </c>
      <c r="O1780" t="s">
        <v>68</v>
      </c>
      <c r="P1780">
        <v>1</v>
      </c>
      <c r="R1780">
        <v>314</v>
      </c>
      <c r="S1780" s="17">
        <v>42144</v>
      </c>
      <c r="T1780" s="17">
        <v>42144</v>
      </c>
      <c r="W1780">
        <v>2015</v>
      </c>
      <c r="X1780">
        <v>24</v>
      </c>
      <c r="AC1780" t="s">
        <v>166</v>
      </c>
      <c r="AD1780" t="s">
        <v>301</v>
      </c>
      <c r="AE1780" t="s">
        <v>46</v>
      </c>
      <c r="AG1780">
        <v>12</v>
      </c>
      <c r="AH1780">
        <v>2</v>
      </c>
      <c r="AI1780" t="s">
        <v>50</v>
      </c>
      <c r="AK1780">
        <v>0</v>
      </c>
      <c r="AM1780">
        <v>0</v>
      </c>
      <c r="AP1780" t="s">
        <v>392</v>
      </c>
    </row>
    <row r="1781" spans="1:42" customFormat="1">
      <c r="A1781">
        <v>270333</v>
      </c>
      <c r="B1781" t="s">
        <v>2431</v>
      </c>
      <c r="C1781" t="s">
        <v>2432</v>
      </c>
      <c r="D1781" s="22">
        <v>0</v>
      </c>
      <c r="E1781" s="17">
        <v>42135</v>
      </c>
      <c r="F1781" s="18">
        <v>0.41840277777777773</v>
      </c>
      <c r="G1781" s="22">
        <v>3396.58</v>
      </c>
      <c r="H1781">
        <v>0</v>
      </c>
      <c r="I1781" s="19" t="e">
        <f>I1780 + (D1781-G1781)</f>
        <v>#VALUE!</v>
      </c>
      <c r="M1781">
        <v>123561</v>
      </c>
      <c r="N1781">
        <v>24</v>
      </c>
      <c r="O1781" t="s">
        <v>68</v>
      </c>
      <c r="P1781">
        <v>1</v>
      </c>
      <c r="R1781">
        <v>314</v>
      </c>
      <c r="S1781" s="17">
        <v>42144</v>
      </c>
      <c r="T1781" s="17">
        <v>42144</v>
      </c>
      <c r="W1781">
        <v>2015</v>
      </c>
      <c r="X1781">
        <v>24</v>
      </c>
      <c r="AC1781" t="s">
        <v>166</v>
      </c>
      <c r="AD1781" t="s">
        <v>301</v>
      </c>
      <c r="AE1781" t="s">
        <v>46</v>
      </c>
      <c r="AG1781">
        <v>12</v>
      </c>
      <c r="AH1781">
        <v>2</v>
      </c>
      <c r="AI1781" t="s">
        <v>50</v>
      </c>
      <c r="AK1781">
        <v>0</v>
      </c>
      <c r="AM1781">
        <v>0</v>
      </c>
      <c r="AP1781" t="s">
        <v>392</v>
      </c>
    </row>
    <row r="1782" spans="1:42" customFormat="1">
      <c r="A1782">
        <v>270334</v>
      </c>
      <c r="B1782" t="s">
        <v>2433</v>
      </c>
      <c r="C1782" t="s">
        <v>2434</v>
      </c>
      <c r="D1782" s="22">
        <v>0</v>
      </c>
      <c r="E1782" s="17">
        <v>42135</v>
      </c>
      <c r="F1782" s="18">
        <v>0.41878472222222224</v>
      </c>
      <c r="G1782" s="22">
        <v>6068.32</v>
      </c>
      <c r="H1782">
        <v>0</v>
      </c>
      <c r="I1782" s="19" t="e">
        <f>I1781 + (D1782-G1782)</f>
        <v>#VALUE!</v>
      </c>
      <c r="M1782">
        <v>123512</v>
      </c>
      <c r="N1782">
        <v>24</v>
      </c>
      <c r="O1782" t="s">
        <v>68</v>
      </c>
      <c r="P1782">
        <v>1</v>
      </c>
      <c r="R1782">
        <v>314</v>
      </c>
      <c r="S1782" s="17">
        <v>42144</v>
      </c>
      <c r="T1782" s="17">
        <v>42144</v>
      </c>
      <c r="W1782">
        <v>2015</v>
      </c>
      <c r="X1782">
        <v>24</v>
      </c>
      <c r="AC1782" t="s">
        <v>166</v>
      </c>
      <c r="AD1782" t="s">
        <v>301</v>
      </c>
      <c r="AE1782" t="s">
        <v>46</v>
      </c>
      <c r="AG1782">
        <v>12</v>
      </c>
      <c r="AH1782">
        <v>2</v>
      </c>
      <c r="AI1782" t="s">
        <v>50</v>
      </c>
      <c r="AK1782">
        <v>0</v>
      </c>
      <c r="AM1782">
        <v>0</v>
      </c>
      <c r="AP1782" t="s">
        <v>392</v>
      </c>
    </row>
    <row r="1783" spans="1:42" customFormat="1">
      <c r="A1783">
        <v>270335</v>
      </c>
      <c r="B1783" t="s">
        <v>2435</v>
      </c>
      <c r="C1783" t="s">
        <v>2436</v>
      </c>
      <c r="D1783" s="22">
        <v>0</v>
      </c>
      <c r="E1783" s="17">
        <v>42135</v>
      </c>
      <c r="F1783" s="18">
        <v>0.41903935185185182</v>
      </c>
      <c r="G1783" s="22">
        <v>4155.58</v>
      </c>
      <c r="H1783">
        <v>0</v>
      </c>
      <c r="I1783" s="19" t="e">
        <f>I1782 + (D1783-G1783)</f>
        <v>#VALUE!</v>
      </c>
      <c r="M1783">
        <v>123513</v>
      </c>
      <c r="N1783">
        <v>24</v>
      </c>
      <c r="O1783" t="s">
        <v>68</v>
      </c>
      <c r="P1783">
        <v>1</v>
      </c>
      <c r="R1783">
        <v>314</v>
      </c>
      <c r="S1783" s="17">
        <v>42144</v>
      </c>
      <c r="T1783" s="17">
        <v>42144</v>
      </c>
      <c r="W1783">
        <v>2015</v>
      </c>
      <c r="X1783">
        <v>24</v>
      </c>
      <c r="AC1783" t="s">
        <v>166</v>
      </c>
      <c r="AD1783" t="s">
        <v>301</v>
      </c>
      <c r="AE1783" t="s">
        <v>46</v>
      </c>
      <c r="AG1783">
        <v>12</v>
      </c>
      <c r="AH1783">
        <v>2</v>
      </c>
      <c r="AI1783" t="s">
        <v>50</v>
      </c>
      <c r="AK1783">
        <v>0</v>
      </c>
      <c r="AM1783">
        <v>0</v>
      </c>
      <c r="AP1783" t="s">
        <v>392</v>
      </c>
    </row>
    <row r="1784" spans="1:42" customFormat="1">
      <c r="A1784">
        <v>270338</v>
      </c>
      <c r="B1784" t="s">
        <v>2437</v>
      </c>
      <c r="C1784" t="s">
        <v>2438</v>
      </c>
      <c r="D1784" s="22">
        <v>0</v>
      </c>
      <c r="E1784" s="17">
        <v>42135</v>
      </c>
      <c r="F1784" s="18">
        <v>0.41938657407407409</v>
      </c>
      <c r="G1784" s="22">
        <v>3535</v>
      </c>
      <c r="H1784">
        <v>0</v>
      </c>
      <c r="I1784" s="19" t="e">
        <f>I1783 + (D1784-G1784)</f>
        <v>#VALUE!</v>
      </c>
      <c r="M1784">
        <v>123514</v>
      </c>
      <c r="N1784">
        <v>24</v>
      </c>
      <c r="O1784" t="s">
        <v>68</v>
      </c>
      <c r="P1784">
        <v>1</v>
      </c>
      <c r="R1784">
        <v>314</v>
      </c>
      <c r="S1784" s="17">
        <v>42144</v>
      </c>
      <c r="T1784" s="17">
        <v>42144</v>
      </c>
      <c r="W1784">
        <v>2015</v>
      </c>
      <c r="X1784">
        <v>24</v>
      </c>
      <c r="AC1784" t="s">
        <v>166</v>
      </c>
      <c r="AD1784" t="s">
        <v>301</v>
      </c>
      <c r="AE1784" t="s">
        <v>46</v>
      </c>
      <c r="AG1784">
        <v>12</v>
      </c>
      <c r="AH1784">
        <v>2</v>
      </c>
      <c r="AI1784" t="s">
        <v>50</v>
      </c>
      <c r="AK1784">
        <v>0</v>
      </c>
      <c r="AM1784">
        <v>0</v>
      </c>
      <c r="AP1784" t="s">
        <v>392</v>
      </c>
    </row>
    <row r="1785" spans="1:42" customFormat="1">
      <c r="A1785">
        <v>270339</v>
      </c>
      <c r="B1785" t="s">
        <v>2439</v>
      </c>
      <c r="C1785" t="s">
        <v>2440</v>
      </c>
      <c r="D1785" s="22">
        <v>0</v>
      </c>
      <c r="E1785" s="17">
        <v>42135</v>
      </c>
      <c r="F1785" s="18">
        <v>0.41958333333333336</v>
      </c>
      <c r="G1785" s="22">
        <v>4161.42</v>
      </c>
      <c r="H1785">
        <v>0</v>
      </c>
      <c r="I1785" s="19" t="e">
        <f>I1784 + (D1785-G1785)</f>
        <v>#VALUE!</v>
      </c>
      <c r="M1785">
        <v>123516</v>
      </c>
      <c r="N1785">
        <v>24</v>
      </c>
      <c r="O1785" t="s">
        <v>68</v>
      </c>
      <c r="P1785">
        <v>1</v>
      </c>
      <c r="R1785">
        <v>314</v>
      </c>
      <c r="S1785" s="17">
        <v>42144</v>
      </c>
      <c r="T1785" s="17">
        <v>42144</v>
      </c>
      <c r="W1785">
        <v>2015</v>
      </c>
      <c r="X1785">
        <v>24</v>
      </c>
      <c r="AC1785" t="s">
        <v>166</v>
      </c>
      <c r="AD1785" t="s">
        <v>301</v>
      </c>
      <c r="AE1785" t="s">
        <v>46</v>
      </c>
      <c r="AG1785">
        <v>12</v>
      </c>
      <c r="AH1785">
        <v>2</v>
      </c>
      <c r="AI1785" t="s">
        <v>50</v>
      </c>
      <c r="AK1785">
        <v>0</v>
      </c>
      <c r="AM1785">
        <v>0</v>
      </c>
      <c r="AP1785" t="s">
        <v>392</v>
      </c>
    </row>
    <row r="1786" spans="1:42" customFormat="1">
      <c r="A1786">
        <v>270340</v>
      </c>
      <c r="B1786" t="s">
        <v>2441</v>
      </c>
      <c r="C1786" t="s">
        <v>2442</v>
      </c>
      <c r="D1786" s="22">
        <v>0</v>
      </c>
      <c r="E1786" s="17">
        <v>42135</v>
      </c>
      <c r="F1786" s="18">
        <v>0.42004629629629631</v>
      </c>
      <c r="G1786" s="22">
        <v>1277.8499999999999</v>
      </c>
      <c r="H1786">
        <v>0</v>
      </c>
      <c r="I1786" s="19" t="e">
        <f>I1785 + (D1786-G1786)</f>
        <v>#VALUE!</v>
      </c>
      <c r="M1786">
        <v>123520</v>
      </c>
      <c r="N1786">
        <v>24</v>
      </c>
      <c r="O1786" t="s">
        <v>68</v>
      </c>
      <c r="P1786">
        <v>1</v>
      </c>
      <c r="R1786">
        <v>314</v>
      </c>
      <c r="S1786" s="17">
        <v>42144</v>
      </c>
      <c r="T1786" s="17">
        <v>42144</v>
      </c>
      <c r="W1786">
        <v>2015</v>
      </c>
      <c r="X1786">
        <v>24</v>
      </c>
      <c r="AC1786" t="s">
        <v>166</v>
      </c>
      <c r="AD1786" t="s">
        <v>301</v>
      </c>
      <c r="AE1786" t="s">
        <v>46</v>
      </c>
      <c r="AG1786">
        <v>12</v>
      </c>
      <c r="AH1786">
        <v>2</v>
      </c>
      <c r="AI1786" t="s">
        <v>50</v>
      </c>
      <c r="AK1786">
        <v>0</v>
      </c>
      <c r="AM1786">
        <v>0</v>
      </c>
      <c r="AP1786" t="s">
        <v>392</v>
      </c>
    </row>
    <row r="1787" spans="1:42" customFormat="1">
      <c r="A1787">
        <v>270341</v>
      </c>
      <c r="B1787" t="s">
        <v>2443</v>
      </c>
      <c r="C1787" t="s">
        <v>2444</v>
      </c>
      <c r="D1787" s="22">
        <v>0</v>
      </c>
      <c r="E1787" s="17">
        <v>42135</v>
      </c>
      <c r="F1787" s="18">
        <v>0.42030092592592588</v>
      </c>
      <c r="G1787" s="22">
        <v>9265.52</v>
      </c>
      <c r="H1787">
        <v>0</v>
      </c>
      <c r="I1787" s="19" t="e">
        <f>I1786 + (D1787-G1787)</f>
        <v>#VALUE!</v>
      </c>
      <c r="M1787">
        <v>123521</v>
      </c>
      <c r="N1787">
        <v>24</v>
      </c>
      <c r="O1787" t="s">
        <v>68</v>
      </c>
      <c r="P1787">
        <v>1</v>
      </c>
      <c r="R1787">
        <v>314</v>
      </c>
      <c r="S1787" s="17">
        <v>42144</v>
      </c>
      <c r="T1787" s="17">
        <v>42144</v>
      </c>
      <c r="W1787">
        <v>2015</v>
      </c>
      <c r="X1787">
        <v>24</v>
      </c>
      <c r="AC1787" t="s">
        <v>166</v>
      </c>
      <c r="AD1787" t="s">
        <v>301</v>
      </c>
      <c r="AE1787" t="s">
        <v>46</v>
      </c>
      <c r="AG1787">
        <v>12</v>
      </c>
      <c r="AH1787">
        <v>2</v>
      </c>
      <c r="AI1787" t="s">
        <v>50</v>
      </c>
      <c r="AK1787">
        <v>0</v>
      </c>
      <c r="AM1787">
        <v>0</v>
      </c>
      <c r="AP1787" t="s">
        <v>392</v>
      </c>
    </row>
    <row r="1788" spans="1:42" customFormat="1">
      <c r="A1788">
        <v>270342</v>
      </c>
      <c r="B1788" t="s">
        <v>2445</v>
      </c>
      <c r="C1788" t="s">
        <v>2446</v>
      </c>
      <c r="D1788" s="22">
        <v>0</v>
      </c>
      <c r="E1788" s="17">
        <v>42135</v>
      </c>
      <c r="F1788" s="18">
        <v>0.42049768518518515</v>
      </c>
      <c r="G1788" s="22">
        <v>2486.2600000000002</v>
      </c>
      <c r="H1788">
        <v>0</v>
      </c>
      <c r="I1788" s="19" t="e">
        <f>I1787 + (D1788-G1788)</f>
        <v>#VALUE!</v>
      </c>
      <c r="M1788">
        <v>123525</v>
      </c>
      <c r="N1788">
        <v>24</v>
      </c>
      <c r="O1788" t="s">
        <v>68</v>
      </c>
      <c r="P1788">
        <v>1</v>
      </c>
      <c r="R1788">
        <v>314</v>
      </c>
      <c r="S1788" s="17">
        <v>42144</v>
      </c>
      <c r="T1788" s="17">
        <v>42144</v>
      </c>
      <c r="W1788">
        <v>2015</v>
      </c>
      <c r="X1788">
        <v>24</v>
      </c>
      <c r="AC1788" t="s">
        <v>166</v>
      </c>
      <c r="AD1788" t="s">
        <v>301</v>
      </c>
      <c r="AE1788" t="s">
        <v>46</v>
      </c>
      <c r="AG1788">
        <v>12</v>
      </c>
      <c r="AH1788">
        <v>2</v>
      </c>
      <c r="AI1788" t="s">
        <v>50</v>
      </c>
      <c r="AK1788">
        <v>0</v>
      </c>
      <c r="AM1788">
        <v>0</v>
      </c>
      <c r="AP1788" t="s">
        <v>392</v>
      </c>
    </row>
    <row r="1789" spans="1:42" customFormat="1">
      <c r="A1789">
        <v>270343</v>
      </c>
      <c r="B1789" t="s">
        <v>2447</v>
      </c>
      <c r="C1789" t="s">
        <v>2448</v>
      </c>
      <c r="D1789" s="22">
        <v>0</v>
      </c>
      <c r="E1789" s="17">
        <v>42135</v>
      </c>
      <c r="F1789" s="18">
        <v>0.42071759259259256</v>
      </c>
      <c r="G1789" s="22">
        <v>4000.58</v>
      </c>
      <c r="H1789">
        <v>0</v>
      </c>
      <c r="I1789" s="19" t="e">
        <f>I1788 + (D1789-G1789)</f>
        <v>#VALUE!</v>
      </c>
      <c r="M1789">
        <v>123529</v>
      </c>
      <c r="N1789">
        <v>24</v>
      </c>
      <c r="O1789" t="s">
        <v>68</v>
      </c>
      <c r="P1789">
        <v>1</v>
      </c>
      <c r="R1789">
        <v>314</v>
      </c>
      <c r="S1789" s="17">
        <v>42144</v>
      </c>
      <c r="T1789" s="17">
        <v>42144</v>
      </c>
      <c r="W1789">
        <v>2015</v>
      </c>
      <c r="X1789">
        <v>24</v>
      </c>
      <c r="AC1789" t="s">
        <v>166</v>
      </c>
      <c r="AD1789" t="s">
        <v>301</v>
      </c>
      <c r="AE1789" t="s">
        <v>46</v>
      </c>
      <c r="AG1789">
        <v>12</v>
      </c>
      <c r="AH1789">
        <v>2</v>
      </c>
      <c r="AI1789" t="s">
        <v>50</v>
      </c>
      <c r="AK1789">
        <v>0</v>
      </c>
      <c r="AM1789">
        <v>0</v>
      </c>
      <c r="AP1789" t="s">
        <v>392</v>
      </c>
    </row>
    <row r="1790" spans="1:42" customFormat="1">
      <c r="A1790">
        <v>270344</v>
      </c>
      <c r="B1790" t="s">
        <v>2449</v>
      </c>
      <c r="C1790" t="s">
        <v>2450</v>
      </c>
      <c r="D1790" s="22">
        <v>0</v>
      </c>
      <c r="E1790" s="17">
        <v>42135</v>
      </c>
      <c r="F1790" s="18">
        <v>0.42097222222222225</v>
      </c>
      <c r="G1790" s="22">
        <v>6377.83</v>
      </c>
      <c r="H1790">
        <v>0</v>
      </c>
      <c r="I1790" s="19" t="e">
        <f>I1789 + (D1790-G1790)</f>
        <v>#VALUE!</v>
      </c>
      <c r="M1790">
        <v>123531</v>
      </c>
      <c r="N1790">
        <v>24</v>
      </c>
      <c r="O1790" t="s">
        <v>68</v>
      </c>
      <c r="P1790">
        <v>1</v>
      </c>
      <c r="R1790">
        <v>314</v>
      </c>
      <c r="S1790" s="17">
        <v>42144</v>
      </c>
      <c r="T1790" s="17">
        <v>42144</v>
      </c>
      <c r="W1790">
        <v>2015</v>
      </c>
      <c r="X1790">
        <v>24</v>
      </c>
      <c r="AC1790" t="s">
        <v>166</v>
      </c>
      <c r="AD1790" t="s">
        <v>301</v>
      </c>
      <c r="AE1790" t="s">
        <v>46</v>
      </c>
      <c r="AG1790">
        <v>12</v>
      </c>
      <c r="AH1790">
        <v>2</v>
      </c>
      <c r="AI1790" t="s">
        <v>50</v>
      </c>
      <c r="AK1790">
        <v>0</v>
      </c>
      <c r="AM1790">
        <v>0</v>
      </c>
      <c r="AP1790" t="s">
        <v>392</v>
      </c>
    </row>
    <row r="1791" spans="1:42" customFormat="1">
      <c r="A1791">
        <v>270346</v>
      </c>
      <c r="B1791" t="s">
        <v>2451</v>
      </c>
      <c r="C1791" t="s">
        <v>2452</v>
      </c>
      <c r="D1791" s="22">
        <v>0</v>
      </c>
      <c r="E1791" s="17">
        <v>42135</v>
      </c>
      <c r="F1791" s="18">
        <v>0.42160879629629627</v>
      </c>
      <c r="G1791" s="22">
        <v>7307.63</v>
      </c>
      <c r="H1791">
        <v>0</v>
      </c>
      <c r="I1791" s="19" t="e">
        <f>I1790 + (D1791-G1791)</f>
        <v>#VALUE!</v>
      </c>
      <c r="M1791">
        <v>123536</v>
      </c>
      <c r="N1791">
        <v>24</v>
      </c>
      <c r="O1791" t="s">
        <v>68</v>
      </c>
      <c r="P1791">
        <v>1</v>
      </c>
      <c r="R1791">
        <v>314</v>
      </c>
      <c r="S1791" s="17">
        <v>42144</v>
      </c>
      <c r="T1791" s="17">
        <v>42144</v>
      </c>
      <c r="W1791">
        <v>2015</v>
      </c>
      <c r="X1791">
        <v>24</v>
      </c>
      <c r="AC1791" t="s">
        <v>166</v>
      </c>
      <c r="AD1791" t="s">
        <v>301</v>
      </c>
      <c r="AE1791" t="s">
        <v>46</v>
      </c>
      <c r="AG1791">
        <v>12</v>
      </c>
      <c r="AH1791">
        <v>2</v>
      </c>
      <c r="AI1791" t="s">
        <v>50</v>
      </c>
      <c r="AK1791">
        <v>0</v>
      </c>
      <c r="AM1791">
        <v>0</v>
      </c>
      <c r="AP1791" t="s">
        <v>392</v>
      </c>
    </row>
    <row r="1792" spans="1:42" customFormat="1">
      <c r="A1792">
        <v>270347</v>
      </c>
      <c r="B1792" t="s">
        <v>2453</v>
      </c>
      <c r="C1792" t="s">
        <v>2454</v>
      </c>
      <c r="D1792" s="22">
        <v>0</v>
      </c>
      <c r="E1792" s="17">
        <v>42135</v>
      </c>
      <c r="F1792" s="18">
        <v>0.42180555555555554</v>
      </c>
      <c r="G1792" s="22">
        <v>3301.62</v>
      </c>
      <c r="H1792">
        <v>0</v>
      </c>
      <c r="I1792" s="19" t="e">
        <f>I1791 + (D1792-G1792)</f>
        <v>#VALUE!</v>
      </c>
      <c r="M1792">
        <v>123538</v>
      </c>
      <c r="N1792">
        <v>24</v>
      </c>
      <c r="O1792" t="s">
        <v>68</v>
      </c>
      <c r="P1792">
        <v>1</v>
      </c>
      <c r="R1792">
        <v>314</v>
      </c>
      <c r="S1792" s="17">
        <v>42144</v>
      </c>
      <c r="T1792" s="17">
        <v>42144</v>
      </c>
      <c r="W1792">
        <v>2015</v>
      </c>
      <c r="X1792">
        <v>24</v>
      </c>
      <c r="AC1792" t="s">
        <v>166</v>
      </c>
      <c r="AD1792" t="s">
        <v>301</v>
      </c>
      <c r="AE1792" t="s">
        <v>46</v>
      </c>
      <c r="AG1792">
        <v>12</v>
      </c>
      <c r="AH1792">
        <v>2</v>
      </c>
      <c r="AI1792" t="s">
        <v>50</v>
      </c>
      <c r="AK1792">
        <v>0</v>
      </c>
      <c r="AM1792">
        <v>0</v>
      </c>
      <c r="AP1792" t="s">
        <v>392</v>
      </c>
    </row>
    <row r="1793" spans="1:42" customFormat="1">
      <c r="A1793">
        <v>270348</v>
      </c>
      <c r="B1793" t="s">
        <v>2455</v>
      </c>
      <c r="C1793" t="s">
        <v>2456</v>
      </c>
      <c r="D1793" s="22">
        <v>0</v>
      </c>
      <c r="E1793" s="17">
        <v>42135</v>
      </c>
      <c r="F1793" s="18">
        <v>0.42200231481481482</v>
      </c>
      <c r="G1793" s="22">
        <v>8392.0499999999993</v>
      </c>
      <c r="H1793">
        <v>0</v>
      </c>
      <c r="I1793" s="19" t="e">
        <f>I1792 + (D1793-G1793)</f>
        <v>#VALUE!</v>
      </c>
      <c r="M1793">
        <v>123539</v>
      </c>
      <c r="N1793">
        <v>24</v>
      </c>
      <c r="O1793" t="s">
        <v>68</v>
      </c>
      <c r="P1793">
        <v>1</v>
      </c>
      <c r="R1793">
        <v>314</v>
      </c>
      <c r="S1793" s="17">
        <v>42144</v>
      </c>
      <c r="T1793" s="17">
        <v>42144</v>
      </c>
      <c r="W1793">
        <v>2015</v>
      </c>
      <c r="X1793">
        <v>24</v>
      </c>
      <c r="AC1793" t="s">
        <v>166</v>
      </c>
      <c r="AD1793" t="s">
        <v>301</v>
      </c>
      <c r="AE1793" t="s">
        <v>46</v>
      </c>
      <c r="AG1793">
        <v>12</v>
      </c>
      <c r="AH1793">
        <v>2</v>
      </c>
      <c r="AI1793" t="s">
        <v>50</v>
      </c>
      <c r="AK1793">
        <v>0</v>
      </c>
      <c r="AM1793">
        <v>0</v>
      </c>
      <c r="AP1793" t="s">
        <v>392</v>
      </c>
    </row>
    <row r="1794" spans="1:42" customFormat="1">
      <c r="A1794">
        <v>270349</v>
      </c>
      <c r="B1794" t="s">
        <v>2457</v>
      </c>
      <c r="C1794" t="s">
        <v>2458</v>
      </c>
      <c r="D1794" s="22">
        <v>0</v>
      </c>
      <c r="E1794" s="17">
        <v>42135</v>
      </c>
      <c r="F1794" s="18">
        <v>0.42223379629629632</v>
      </c>
      <c r="G1794" s="22">
        <v>8508.49</v>
      </c>
      <c r="H1794">
        <v>0</v>
      </c>
      <c r="I1794" s="19" t="e">
        <f>I1793 + (D1794-G1794)</f>
        <v>#VALUE!</v>
      </c>
      <c r="M1794">
        <v>123541</v>
      </c>
      <c r="N1794">
        <v>24</v>
      </c>
      <c r="O1794" t="s">
        <v>68</v>
      </c>
      <c r="P1794">
        <v>1</v>
      </c>
      <c r="R1794">
        <v>314</v>
      </c>
      <c r="S1794" s="17">
        <v>42144</v>
      </c>
      <c r="T1794" s="17">
        <v>42144</v>
      </c>
      <c r="W1794">
        <v>2015</v>
      </c>
      <c r="X1794">
        <v>24</v>
      </c>
      <c r="AC1794" t="s">
        <v>166</v>
      </c>
      <c r="AD1794" t="s">
        <v>301</v>
      </c>
      <c r="AE1794" t="s">
        <v>46</v>
      </c>
      <c r="AG1794">
        <v>12</v>
      </c>
      <c r="AH1794">
        <v>2</v>
      </c>
      <c r="AI1794" t="s">
        <v>50</v>
      </c>
      <c r="AK1794">
        <v>0</v>
      </c>
      <c r="AM1794">
        <v>0</v>
      </c>
      <c r="AP1794" t="s">
        <v>392</v>
      </c>
    </row>
    <row r="1795" spans="1:42" customFormat="1">
      <c r="A1795">
        <v>270350</v>
      </c>
      <c r="B1795" t="s">
        <v>2459</v>
      </c>
      <c r="C1795" t="s">
        <v>2460</v>
      </c>
      <c r="D1795" s="22">
        <v>0</v>
      </c>
      <c r="E1795" s="17">
        <v>42135</v>
      </c>
      <c r="F1795" s="18">
        <v>0.42241898148148144</v>
      </c>
      <c r="G1795" s="22">
        <v>5141.1000000000004</v>
      </c>
      <c r="H1795">
        <v>0</v>
      </c>
      <c r="I1795" s="19" t="e">
        <f>I1794 + (D1795-G1795)</f>
        <v>#VALUE!</v>
      </c>
      <c r="M1795">
        <v>123542</v>
      </c>
      <c r="N1795">
        <v>24</v>
      </c>
      <c r="O1795" t="s">
        <v>68</v>
      </c>
      <c r="P1795">
        <v>1</v>
      </c>
      <c r="R1795">
        <v>314</v>
      </c>
      <c r="S1795" s="17">
        <v>42144</v>
      </c>
      <c r="T1795" s="17">
        <v>42144</v>
      </c>
      <c r="W1795">
        <v>2015</v>
      </c>
      <c r="X1795">
        <v>24</v>
      </c>
      <c r="AC1795" t="s">
        <v>166</v>
      </c>
      <c r="AD1795" t="s">
        <v>301</v>
      </c>
      <c r="AE1795" t="s">
        <v>46</v>
      </c>
      <c r="AG1795">
        <v>12</v>
      </c>
      <c r="AH1795">
        <v>2</v>
      </c>
      <c r="AI1795" t="s">
        <v>50</v>
      </c>
      <c r="AK1795">
        <v>0</v>
      </c>
      <c r="AM1795">
        <v>0</v>
      </c>
      <c r="AP1795" t="s">
        <v>392</v>
      </c>
    </row>
    <row r="1796" spans="1:42" customFormat="1">
      <c r="A1796">
        <v>270352</v>
      </c>
      <c r="B1796" t="s">
        <v>2461</v>
      </c>
      <c r="C1796" t="s">
        <v>2462</v>
      </c>
      <c r="D1796" s="22">
        <v>0</v>
      </c>
      <c r="E1796" s="17">
        <v>42135</v>
      </c>
      <c r="F1796" s="18">
        <v>0.42260416666666667</v>
      </c>
      <c r="G1796" s="22">
        <v>3828.66</v>
      </c>
      <c r="H1796">
        <v>0</v>
      </c>
      <c r="I1796" s="19" t="e">
        <f>I1795 + (D1796-G1796)</f>
        <v>#VALUE!</v>
      </c>
      <c r="M1796">
        <v>123544</v>
      </c>
      <c r="N1796">
        <v>24</v>
      </c>
      <c r="O1796" t="s">
        <v>68</v>
      </c>
      <c r="P1796">
        <v>1</v>
      </c>
      <c r="R1796">
        <v>314</v>
      </c>
      <c r="S1796" s="17">
        <v>42144</v>
      </c>
      <c r="T1796" s="17">
        <v>42144</v>
      </c>
      <c r="W1796">
        <v>2015</v>
      </c>
      <c r="X1796">
        <v>24</v>
      </c>
      <c r="AC1796" t="s">
        <v>166</v>
      </c>
      <c r="AD1796" t="s">
        <v>301</v>
      </c>
      <c r="AE1796" t="s">
        <v>46</v>
      </c>
      <c r="AG1796">
        <v>12</v>
      </c>
      <c r="AH1796">
        <v>2</v>
      </c>
      <c r="AI1796" t="s">
        <v>50</v>
      </c>
      <c r="AK1796">
        <v>0</v>
      </c>
      <c r="AM1796">
        <v>0</v>
      </c>
      <c r="AP1796" t="s">
        <v>392</v>
      </c>
    </row>
    <row r="1797" spans="1:42" customFormat="1">
      <c r="A1797">
        <v>270353</v>
      </c>
      <c r="B1797" t="s">
        <v>2463</v>
      </c>
      <c r="C1797" t="s">
        <v>2464</v>
      </c>
      <c r="D1797" s="22">
        <v>0</v>
      </c>
      <c r="E1797" s="17">
        <v>42135</v>
      </c>
      <c r="F1797" s="18">
        <v>0.42277777777777775</v>
      </c>
      <c r="G1797" s="22">
        <v>3428.23</v>
      </c>
      <c r="H1797">
        <v>0</v>
      </c>
      <c r="I1797" s="19" t="e">
        <f>I1796 + (D1797-G1797)</f>
        <v>#VALUE!</v>
      </c>
      <c r="M1797">
        <v>123545</v>
      </c>
      <c r="N1797">
        <v>24</v>
      </c>
      <c r="O1797" t="s">
        <v>68</v>
      </c>
      <c r="P1797">
        <v>1</v>
      </c>
      <c r="R1797">
        <v>314</v>
      </c>
      <c r="S1797" s="17">
        <v>42144</v>
      </c>
      <c r="T1797" s="17">
        <v>42144</v>
      </c>
      <c r="W1797">
        <v>2015</v>
      </c>
      <c r="X1797">
        <v>24</v>
      </c>
      <c r="AC1797" t="s">
        <v>166</v>
      </c>
      <c r="AD1797" t="s">
        <v>301</v>
      </c>
      <c r="AE1797" t="s">
        <v>46</v>
      </c>
      <c r="AG1797">
        <v>12</v>
      </c>
      <c r="AH1797">
        <v>2</v>
      </c>
      <c r="AI1797" t="s">
        <v>50</v>
      </c>
      <c r="AK1797">
        <v>0</v>
      </c>
      <c r="AM1797">
        <v>0</v>
      </c>
      <c r="AP1797" t="s">
        <v>392</v>
      </c>
    </row>
    <row r="1798" spans="1:42" customFormat="1">
      <c r="A1798">
        <v>270354</v>
      </c>
      <c r="B1798" t="s">
        <v>2465</v>
      </c>
      <c r="C1798" t="s">
        <v>2466</v>
      </c>
      <c r="D1798" s="22">
        <v>0</v>
      </c>
      <c r="E1798" s="17">
        <v>42135</v>
      </c>
      <c r="F1798" s="18">
        <v>0.42296296296296299</v>
      </c>
      <c r="G1798" s="22">
        <v>4364.62</v>
      </c>
      <c r="H1798">
        <v>0</v>
      </c>
      <c r="I1798" s="19" t="e">
        <f>I1797 + (D1798-G1798)</f>
        <v>#VALUE!</v>
      </c>
      <c r="M1798">
        <v>123547</v>
      </c>
      <c r="N1798">
        <v>24</v>
      </c>
      <c r="O1798" t="s">
        <v>68</v>
      </c>
      <c r="P1798">
        <v>1</v>
      </c>
      <c r="R1798">
        <v>314</v>
      </c>
      <c r="S1798" s="17">
        <v>42144</v>
      </c>
      <c r="T1798" s="17">
        <v>42144</v>
      </c>
      <c r="W1798">
        <v>2015</v>
      </c>
      <c r="X1798">
        <v>24</v>
      </c>
      <c r="AC1798" t="s">
        <v>166</v>
      </c>
      <c r="AD1798" t="s">
        <v>301</v>
      </c>
      <c r="AE1798" t="s">
        <v>46</v>
      </c>
      <c r="AG1798">
        <v>12</v>
      </c>
      <c r="AH1798">
        <v>2</v>
      </c>
      <c r="AI1798" t="s">
        <v>50</v>
      </c>
      <c r="AK1798">
        <v>0</v>
      </c>
      <c r="AM1798">
        <v>0</v>
      </c>
      <c r="AP1798" t="s">
        <v>392</v>
      </c>
    </row>
    <row r="1799" spans="1:42" customFormat="1">
      <c r="A1799">
        <v>270356</v>
      </c>
      <c r="B1799" t="s">
        <v>2467</v>
      </c>
      <c r="C1799" t="s">
        <v>2468</v>
      </c>
      <c r="D1799" s="22">
        <v>0</v>
      </c>
      <c r="E1799" s="17">
        <v>42135</v>
      </c>
      <c r="F1799" s="18">
        <v>0.42313657407407407</v>
      </c>
      <c r="G1799" s="22">
        <v>4564.1899999999996</v>
      </c>
      <c r="H1799">
        <v>0</v>
      </c>
      <c r="I1799" s="19" t="e">
        <f>I1798 + (D1799-G1799)</f>
        <v>#VALUE!</v>
      </c>
      <c r="M1799">
        <v>123548</v>
      </c>
      <c r="N1799">
        <v>24</v>
      </c>
      <c r="O1799" t="s">
        <v>68</v>
      </c>
      <c r="P1799">
        <v>1</v>
      </c>
      <c r="R1799">
        <v>314</v>
      </c>
      <c r="S1799" s="17">
        <v>42144</v>
      </c>
      <c r="T1799" s="17">
        <v>42144</v>
      </c>
      <c r="W1799">
        <v>2015</v>
      </c>
      <c r="X1799">
        <v>24</v>
      </c>
      <c r="AC1799" t="s">
        <v>166</v>
      </c>
      <c r="AD1799" t="s">
        <v>301</v>
      </c>
      <c r="AE1799" t="s">
        <v>46</v>
      </c>
      <c r="AG1799">
        <v>12</v>
      </c>
      <c r="AH1799">
        <v>2</v>
      </c>
      <c r="AI1799" t="s">
        <v>50</v>
      </c>
      <c r="AK1799">
        <v>0</v>
      </c>
      <c r="AM1799">
        <v>0</v>
      </c>
      <c r="AP1799" t="s">
        <v>392</v>
      </c>
    </row>
    <row r="1800" spans="1:42" customFormat="1">
      <c r="A1800">
        <v>270357</v>
      </c>
      <c r="B1800" t="s">
        <v>2469</v>
      </c>
      <c r="C1800" t="s">
        <v>2470</v>
      </c>
      <c r="D1800" s="22">
        <v>0</v>
      </c>
      <c r="E1800" s="17">
        <v>42135</v>
      </c>
      <c r="F1800" s="18">
        <v>0.42332175925925924</v>
      </c>
      <c r="G1800" s="22">
        <v>5074.7299999999996</v>
      </c>
      <c r="H1800">
        <v>0</v>
      </c>
      <c r="I1800" s="19" t="e">
        <f>I1799 + (D1800-G1800)</f>
        <v>#VALUE!</v>
      </c>
      <c r="M1800">
        <v>123549</v>
      </c>
      <c r="N1800">
        <v>24</v>
      </c>
      <c r="O1800" t="s">
        <v>68</v>
      </c>
      <c r="P1800">
        <v>1</v>
      </c>
      <c r="R1800">
        <v>314</v>
      </c>
      <c r="S1800" s="17">
        <v>42144</v>
      </c>
      <c r="T1800" s="17">
        <v>42144</v>
      </c>
      <c r="W1800">
        <v>2015</v>
      </c>
      <c r="X1800">
        <v>24</v>
      </c>
      <c r="AC1800" t="s">
        <v>166</v>
      </c>
      <c r="AD1800" t="s">
        <v>301</v>
      </c>
      <c r="AE1800" t="s">
        <v>46</v>
      </c>
      <c r="AG1800">
        <v>12</v>
      </c>
      <c r="AH1800">
        <v>2</v>
      </c>
      <c r="AI1800" t="s">
        <v>50</v>
      </c>
      <c r="AK1800">
        <v>0</v>
      </c>
      <c r="AM1800">
        <v>0</v>
      </c>
      <c r="AP1800" t="s">
        <v>392</v>
      </c>
    </row>
    <row r="1801" spans="1:42" customFormat="1">
      <c r="A1801">
        <v>270358</v>
      </c>
      <c r="B1801" t="s">
        <v>2471</v>
      </c>
      <c r="C1801" t="s">
        <v>2472</v>
      </c>
      <c r="D1801" s="22">
        <v>0</v>
      </c>
      <c r="E1801" s="17">
        <v>42135</v>
      </c>
      <c r="F1801" s="18">
        <v>0.42350694444444442</v>
      </c>
      <c r="G1801" s="22">
        <v>2610.36</v>
      </c>
      <c r="H1801">
        <v>0</v>
      </c>
      <c r="I1801" s="19" t="e">
        <f>I1800 + (D1801-G1801)</f>
        <v>#VALUE!</v>
      </c>
      <c r="M1801">
        <v>123551</v>
      </c>
      <c r="N1801">
        <v>24</v>
      </c>
      <c r="O1801" t="s">
        <v>68</v>
      </c>
      <c r="P1801">
        <v>1</v>
      </c>
      <c r="R1801">
        <v>314</v>
      </c>
      <c r="S1801" s="17">
        <v>42144</v>
      </c>
      <c r="T1801" s="17">
        <v>42144</v>
      </c>
      <c r="W1801">
        <v>2015</v>
      </c>
      <c r="X1801">
        <v>24</v>
      </c>
      <c r="AC1801" t="s">
        <v>166</v>
      </c>
      <c r="AD1801" t="s">
        <v>301</v>
      </c>
      <c r="AE1801" t="s">
        <v>46</v>
      </c>
      <c r="AG1801">
        <v>12</v>
      </c>
      <c r="AH1801">
        <v>2</v>
      </c>
      <c r="AI1801" t="s">
        <v>50</v>
      </c>
      <c r="AK1801">
        <v>0</v>
      </c>
      <c r="AM1801">
        <v>0</v>
      </c>
      <c r="AP1801" t="s">
        <v>392</v>
      </c>
    </row>
    <row r="1802" spans="1:42" customFormat="1">
      <c r="A1802">
        <v>270360</v>
      </c>
      <c r="B1802" t="s">
        <v>2473</v>
      </c>
      <c r="C1802" t="s">
        <v>2474</v>
      </c>
      <c r="D1802" s="22">
        <v>0</v>
      </c>
      <c r="E1802" s="17">
        <v>42135</v>
      </c>
      <c r="F1802" s="18">
        <v>0.42368055555555556</v>
      </c>
      <c r="G1802" s="22">
        <v>3610.86</v>
      </c>
      <c r="H1802">
        <v>0</v>
      </c>
      <c r="I1802" s="19" t="e">
        <f>I1801 + (D1802-G1802)</f>
        <v>#VALUE!</v>
      </c>
      <c r="M1802">
        <v>123553</v>
      </c>
      <c r="N1802">
        <v>24</v>
      </c>
      <c r="O1802" t="s">
        <v>68</v>
      </c>
      <c r="P1802">
        <v>1</v>
      </c>
      <c r="R1802">
        <v>314</v>
      </c>
      <c r="S1802" s="17">
        <v>42144</v>
      </c>
      <c r="T1802" s="17">
        <v>42144</v>
      </c>
      <c r="W1802">
        <v>2015</v>
      </c>
      <c r="X1802">
        <v>24</v>
      </c>
      <c r="AC1802" t="s">
        <v>166</v>
      </c>
      <c r="AD1802" t="s">
        <v>301</v>
      </c>
      <c r="AE1802" t="s">
        <v>46</v>
      </c>
      <c r="AG1802">
        <v>12</v>
      </c>
      <c r="AH1802">
        <v>2</v>
      </c>
      <c r="AI1802" t="s">
        <v>50</v>
      </c>
      <c r="AK1802">
        <v>0</v>
      </c>
      <c r="AM1802">
        <v>0</v>
      </c>
      <c r="AP1802" t="s">
        <v>392</v>
      </c>
    </row>
    <row r="1803" spans="1:42" customFormat="1">
      <c r="A1803">
        <v>270361</v>
      </c>
      <c r="B1803" t="s">
        <v>2475</v>
      </c>
      <c r="C1803" t="s">
        <v>2476</v>
      </c>
      <c r="D1803" s="22">
        <v>0</v>
      </c>
      <c r="E1803" s="17">
        <v>42135</v>
      </c>
      <c r="F1803" s="18">
        <v>0.42387731481481478</v>
      </c>
      <c r="G1803" s="22">
        <v>5348.23</v>
      </c>
      <c r="H1803">
        <v>0</v>
      </c>
      <c r="I1803" s="19" t="e">
        <f>I1802 + (D1803-G1803)</f>
        <v>#VALUE!</v>
      </c>
      <c r="M1803">
        <v>123558</v>
      </c>
      <c r="N1803">
        <v>24</v>
      </c>
      <c r="O1803" t="s">
        <v>68</v>
      </c>
      <c r="P1803">
        <v>1</v>
      </c>
      <c r="R1803">
        <v>314</v>
      </c>
      <c r="S1803" s="17">
        <v>42144</v>
      </c>
      <c r="T1803" s="17">
        <v>42144</v>
      </c>
      <c r="W1803">
        <v>2015</v>
      </c>
      <c r="X1803">
        <v>24</v>
      </c>
      <c r="AC1803" t="s">
        <v>166</v>
      </c>
      <c r="AD1803" t="s">
        <v>301</v>
      </c>
      <c r="AE1803" t="s">
        <v>46</v>
      </c>
      <c r="AG1803">
        <v>12</v>
      </c>
      <c r="AH1803">
        <v>2</v>
      </c>
      <c r="AI1803" t="s">
        <v>50</v>
      </c>
      <c r="AK1803">
        <v>0</v>
      </c>
      <c r="AM1803">
        <v>0</v>
      </c>
      <c r="AP1803" t="s">
        <v>392</v>
      </c>
    </row>
    <row r="1804" spans="1:42" customFormat="1">
      <c r="A1804">
        <v>270369</v>
      </c>
      <c r="B1804" t="s">
        <v>2477</v>
      </c>
      <c r="C1804" t="s">
        <v>2478</v>
      </c>
      <c r="D1804" s="22">
        <v>0</v>
      </c>
      <c r="E1804" s="17">
        <v>42135</v>
      </c>
      <c r="F1804" s="18">
        <v>0.42458333333333331</v>
      </c>
      <c r="G1804" s="22">
        <v>4155.58</v>
      </c>
      <c r="H1804">
        <v>0</v>
      </c>
      <c r="I1804" s="19" t="e">
        <f>I1803 + (D1804-G1804)</f>
        <v>#VALUE!</v>
      </c>
      <c r="M1804">
        <v>123562</v>
      </c>
      <c r="N1804">
        <v>24</v>
      </c>
      <c r="O1804" t="s">
        <v>68</v>
      </c>
      <c r="P1804">
        <v>1</v>
      </c>
      <c r="R1804">
        <v>314</v>
      </c>
      <c r="S1804" s="17">
        <v>42144</v>
      </c>
      <c r="T1804" s="17">
        <v>42144</v>
      </c>
      <c r="W1804">
        <v>2015</v>
      </c>
      <c r="X1804">
        <v>24</v>
      </c>
      <c r="AC1804" t="s">
        <v>166</v>
      </c>
      <c r="AD1804" t="s">
        <v>301</v>
      </c>
      <c r="AE1804" t="s">
        <v>46</v>
      </c>
      <c r="AG1804">
        <v>12</v>
      </c>
      <c r="AH1804">
        <v>2</v>
      </c>
      <c r="AI1804" t="s">
        <v>50</v>
      </c>
      <c r="AK1804">
        <v>0</v>
      </c>
      <c r="AM1804">
        <v>0</v>
      </c>
      <c r="AP1804" t="s">
        <v>392</v>
      </c>
    </row>
    <row r="1805" spans="1:42" customFormat="1">
      <c r="A1805">
        <v>270370</v>
      </c>
      <c r="B1805" t="s">
        <v>2479</v>
      </c>
      <c r="C1805" t="s">
        <v>2480</v>
      </c>
      <c r="D1805" s="22">
        <v>0</v>
      </c>
      <c r="E1805" s="17">
        <v>42135</v>
      </c>
      <c r="F1805" s="18">
        <v>0.42493055555555559</v>
      </c>
      <c r="G1805" s="22">
        <v>4530</v>
      </c>
      <c r="H1805">
        <v>0</v>
      </c>
      <c r="I1805" s="19" t="e">
        <f>I1804 + (D1805-G1805)</f>
        <v>#VALUE!</v>
      </c>
      <c r="M1805">
        <v>123568</v>
      </c>
      <c r="N1805">
        <v>24</v>
      </c>
      <c r="O1805" t="s">
        <v>68</v>
      </c>
      <c r="P1805">
        <v>1</v>
      </c>
      <c r="R1805">
        <v>314</v>
      </c>
      <c r="S1805" s="17">
        <v>42144</v>
      </c>
      <c r="T1805" s="17">
        <v>42144</v>
      </c>
      <c r="W1805">
        <v>2015</v>
      </c>
      <c r="X1805">
        <v>24</v>
      </c>
      <c r="AC1805" t="s">
        <v>166</v>
      </c>
      <c r="AD1805" t="s">
        <v>301</v>
      </c>
      <c r="AE1805" t="s">
        <v>46</v>
      </c>
      <c r="AG1805">
        <v>12</v>
      </c>
      <c r="AH1805">
        <v>2</v>
      </c>
      <c r="AI1805" t="s">
        <v>50</v>
      </c>
      <c r="AK1805">
        <v>0</v>
      </c>
      <c r="AM1805">
        <v>0</v>
      </c>
      <c r="AP1805" t="s">
        <v>392</v>
      </c>
    </row>
    <row r="1806" spans="1:42" customFormat="1">
      <c r="A1806">
        <v>270371</v>
      </c>
      <c r="B1806" t="s">
        <v>2481</v>
      </c>
      <c r="C1806" t="s">
        <v>2482</v>
      </c>
      <c r="D1806" s="22">
        <v>0</v>
      </c>
      <c r="E1806" s="17">
        <v>42135</v>
      </c>
      <c r="F1806" s="18">
        <v>0.4251388888888889</v>
      </c>
      <c r="G1806" s="22">
        <v>7927.29</v>
      </c>
      <c r="H1806">
        <v>0</v>
      </c>
      <c r="I1806" s="19" t="e">
        <f>I1805 + (D1806-G1806)</f>
        <v>#VALUE!</v>
      </c>
      <c r="M1806">
        <v>123567</v>
      </c>
      <c r="N1806">
        <v>24</v>
      </c>
      <c r="O1806" t="s">
        <v>68</v>
      </c>
      <c r="P1806">
        <v>1</v>
      </c>
      <c r="R1806">
        <v>314</v>
      </c>
      <c r="S1806" s="17">
        <v>42144</v>
      </c>
      <c r="T1806" s="17">
        <v>42144</v>
      </c>
      <c r="W1806">
        <v>2015</v>
      </c>
      <c r="X1806">
        <v>24</v>
      </c>
      <c r="AC1806" t="s">
        <v>166</v>
      </c>
      <c r="AD1806" t="s">
        <v>301</v>
      </c>
      <c r="AE1806" t="s">
        <v>46</v>
      </c>
      <c r="AG1806">
        <v>12</v>
      </c>
      <c r="AH1806">
        <v>2</v>
      </c>
      <c r="AI1806" t="s">
        <v>50</v>
      </c>
      <c r="AK1806">
        <v>0</v>
      </c>
      <c r="AM1806">
        <v>0</v>
      </c>
      <c r="AP1806" t="s">
        <v>392</v>
      </c>
    </row>
    <row r="1807" spans="1:42" customFormat="1">
      <c r="A1807">
        <v>270372</v>
      </c>
      <c r="B1807" t="s">
        <v>2483</v>
      </c>
      <c r="C1807" t="s">
        <v>2484</v>
      </c>
      <c r="D1807" s="22">
        <v>0</v>
      </c>
      <c r="E1807" s="17">
        <v>42135</v>
      </c>
      <c r="F1807" s="18">
        <v>0.42533564814814812</v>
      </c>
      <c r="G1807" s="22">
        <v>2089.9299999999998</v>
      </c>
      <c r="H1807">
        <v>0</v>
      </c>
      <c r="I1807" s="19" t="e">
        <f>I1806 + (D1807-G1807)</f>
        <v>#VALUE!</v>
      </c>
      <c r="M1807">
        <v>123570</v>
      </c>
      <c r="N1807">
        <v>24</v>
      </c>
      <c r="O1807" t="s">
        <v>68</v>
      </c>
      <c r="P1807">
        <v>1</v>
      </c>
      <c r="R1807">
        <v>314</v>
      </c>
      <c r="S1807" s="17">
        <v>42144</v>
      </c>
      <c r="T1807" s="17">
        <v>42144</v>
      </c>
      <c r="W1807">
        <v>2015</v>
      </c>
      <c r="X1807">
        <v>24</v>
      </c>
      <c r="AC1807" t="s">
        <v>166</v>
      </c>
      <c r="AD1807" t="s">
        <v>301</v>
      </c>
      <c r="AE1807" t="s">
        <v>46</v>
      </c>
      <c r="AG1807">
        <v>12</v>
      </c>
      <c r="AH1807">
        <v>2</v>
      </c>
      <c r="AI1807" t="s">
        <v>50</v>
      </c>
      <c r="AK1807">
        <v>0</v>
      </c>
      <c r="AM1807">
        <v>0</v>
      </c>
      <c r="AP1807" t="s">
        <v>392</v>
      </c>
    </row>
    <row r="1808" spans="1:42" customFormat="1">
      <c r="A1808">
        <v>270373</v>
      </c>
      <c r="B1808" t="s">
        <v>2485</v>
      </c>
      <c r="C1808" t="s">
        <v>2486</v>
      </c>
      <c r="D1808" s="22">
        <v>0</v>
      </c>
      <c r="E1808" s="17">
        <v>42135</v>
      </c>
      <c r="F1808" s="18">
        <v>0.42552083333333335</v>
      </c>
      <c r="G1808" s="22">
        <v>2486.2600000000002</v>
      </c>
      <c r="H1808">
        <v>0</v>
      </c>
      <c r="I1808" s="19" t="e">
        <f>I1807 + (D1808-G1808)</f>
        <v>#VALUE!</v>
      </c>
      <c r="M1808">
        <v>123571</v>
      </c>
      <c r="N1808">
        <v>24</v>
      </c>
      <c r="O1808" t="s">
        <v>68</v>
      </c>
      <c r="P1808">
        <v>1</v>
      </c>
      <c r="R1808">
        <v>314</v>
      </c>
      <c r="S1808" s="17">
        <v>42144</v>
      </c>
      <c r="T1808" s="17">
        <v>42144</v>
      </c>
      <c r="W1808">
        <v>2015</v>
      </c>
      <c r="X1808">
        <v>24</v>
      </c>
      <c r="AC1808" t="s">
        <v>166</v>
      </c>
      <c r="AD1808" t="s">
        <v>301</v>
      </c>
      <c r="AE1808" t="s">
        <v>46</v>
      </c>
      <c r="AG1808">
        <v>12</v>
      </c>
      <c r="AH1808">
        <v>2</v>
      </c>
      <c r="AI1808" t="s">
        <v>50</v>
      </c>
      <c r="AK1808">
        <v>0</v>
      </c>
      <c r="AM1808">
        <v>0</v>
      </c>
      <c r="AP1808" t="s">
        <v>392</v>
      </c>
    </row>
    <row r="1809" spans="1:42" customFormat="1">
      <c r="A1809">
        <v>270374</v>
      </c>
      <c r="B1809" t="s">
        <v>2487</v>
      </c>
      <c r="C1809" t="s">
        <v>2488</v>
      </c>
      <c r="D1809" s="22">
        <v>0</v>
      </c>
      <c r="E1809" s="17">
        <v>42135</v>
      </c>
      <c r="F1809" s="18">
        <v>0.42571759259259262</v>
      </c>
      <c r="G1809" s="22">
        <v>4450.17</v>
      </c>
      <c r="H1809">
        <v>0</v>
      </c>
      <c r="I1809" s="19" t="e">
        <f>I1808 + (D1809-G1809)</f>
        <v>#VALUE!</v>
      </c>
      <c r="M1809">
        <v>123572</v>
      </c>
      <c r="N1809">
        <v>24</v>
      </c>
      <c r="O1809" t="s">
        <v>68</v>
      </c>
      <c r="P1809">
        <v>1</v>
      </c>
      <c r="R1809">
        <v>314</v>
      </c>
      <c r="S1809" s="17">
        <v>42144</v>
      </c>
      <c r="T1809" s="17">
        <v>42144</v>
      </c>
      <c r="W1809">
        <v>2015</v>
      </c>
      <c r="X1809">
        <v>24</v>
      </c>
      <c r="AC1809" t="s">
        <v>166</v>
      </c>
      <c r="AD1809" t="s">
        <v>301</v>
      </c>
      <c r="AE1809" t="s">
        <v>46</v>
      </c>
      <c r="AG1809">
        <v>12</v>
      </c>
      <c r="AH1809">
        <v>2</v>
      </c>
      <c r="AI1809" t="s">
        <v>50</v>
      </c>
      <c r="AK1809">
        <v>0</v>
      </c>
      <c r="AM1809">
        <v>0</v>
      </c>
      <c r="AP1809" t="s">
        <v>392</v>
      </c>
    </row>
    <row r="1810" spans="1:42" customFormat="1">
      <c r="A1810">
        <v>270375</v>
      </c>
      <c r="B1810" t="s">
        <v>2489</v>
      </c>
      <c r="C1810" t="s">
        <v>2490</v>
      </c>
      <c r="D1810" s="22">
        <v>0</v>
      </c>
      <c r="E1810" s="17">
        <v>42135</v>
      </c>
      <c r="F1810" s="18">
        <v>0.42587962962962966</v>
      </c>
      <c r="G1810" s="22">
        <v>6171.61</v>
      </c>
      <c r="H1810">
        <v>0</v>
      </c>
      <c r="I1810" s="19" t="e">
        <f>I1809 + (D1810-G1810)</f>
        <v>#VALUE!</v>
      </c>
      <c r="M1810">
        <v>123574</v>
      </c>
      <c r="N1810">
        <v>24</v>
      </c>
      <c r="O1810" t="s">
        <v>68</v>
      </c>
      <c r="P1810">
        <v>1</v>
      </c>
      <c r="R1810">
        <v>314</v>
      </c>
      <c r="S1810" s="17">
        <v>42144</v>
      </c>
      <c r="T1810" s="17">
        <v>42144</v>
      </c>
      <c r="W1810">
        <v>2015</v>
      </c>
      <c r="X1810">
        <v>24</v>
      </c>
      <c r="AC1810" t="s">
        <v>166</v>
      </c>
      <c r="AD1810" t="s">
        <v>301</v>
      </c>
      <c r="AE1810" t="s">
        <v>46</v>
      </c>
      <c r="AG1810">
        <v>12</v>
      </c>
      <c r="AH1810">
        <v>2</v>
      </c>
      <c r="AI1810" t="s">
        <v>50</v>
      </c>
      <c r="AK1810">
        <v>0</v>
      </c>
      <c r="AM1810">
        <v>0</v>
      </c>
      <c r="AP1810" t="s">
        <v>392</v>
      </c>
    </row>
    <row r="1811" spans="1:42" customFormat="1">
      <c r="A1811">
        <v>270016</v>
      </c>
      <c r="B1811" t="s">
        <v>2672</v>
      </c>
      <c r="C1811" t="s">
        <v>2673</v>
      </c>
      <c r="D1811" s="22">
        <v>0</v>
      </c>
      <c r="E1811" s="17">
        <v>42135</v>
      </c>
      <c r="F1811" s="18">
        <v>0.61184027777777772</v>
      </c>
      <c r="G1811" s="22">
        <v>6366.55</v>
      </c>
      <c r="H1811">
        <v>0</v>
      </c>
      <c r="I1811" s="19" t="e">
        <f>I1810 + (D1811-G1811)</f>
        <v>#VALUE!</v>
      </c>
      <c r="M1811">
        <v>123407</v>
      </c>
      <c r="N1811">
        <v>24</v>
      </c>
      <c r="O1811" t="s">
        <v>68</v>
      </c>
      <c r="P1811">
        <v>1</v>
      </c>
      <c r="R1811">
        <v>314</v>
      </c>
      <c r="S1811" s="17">
        <v>42139</v>
      </c>
      <c r="T1811" s="17">
        <v>42139</v>
      </c>
      <c r="W1811">
        <v>2015</v>
      </c>
      <c r="X1811">
        <v>24</v>
      </c>
      <c r="AC1811" t="s">
        <v>166</v>
      </c>
      <c r="AD1811" t="s">
        <v>301</v>
      </c>
      <c r="AE1811" t="s">
        <v>46</v>
      </c>
      <c r="AG1811">
        <v>12</v>
      </c>
      <c r="AH1811">
        <v>2</v>
      </c>
      <c r="AI1811" t="s">
        <v>50</v>
      </c>
      <c r="AK1811">
        <v>0</v>
      </c>
      <c r="AM1811">
        <v>0</v>
      </c>
      <c r="AP1811" t="s">
        <v>392</v>
      </c>
    </row>
    <row r="1812" spans="1:42" customFormat="1">
      <c r="A1812">
        <v>270017</v>
      </c>
      <c r="B1812" t="s">
        <v>2674</v>
      </c>
      <c r="C1812" t="s">
        <v>2675</v>
      </c>
      <c r="D1812" s="22">
        <v>0</v>
      </c>
      <c r="E1812" s="17">
        <v>42135</v>
      </c>
      <c r="F1812" s="18">
        <v>0.61200231481481482</v>
      </c>
      <c r="G1812" s="22">
        <v>4829</v>
      </c>
      <c r="H1812">
        <v>0</v>
      </c>
      <c r="I1812" s="19" t="e">
        <f>I1811 + (D1812-G1812)</f>
        <v>#VALUE!</v>
      </c>
      <c r="M1812">
        <v>123412</v>
      </c>
      <c r="N1812">
        <v>24</v>
      </c>
      <c r="O1812" t="s">
        <v>68</v>
      </c>
      <c r="P1812">
        <v>1</v>
      </c>
      <c r="R1812">
        <v>314</v>
      </c>
      <c r="S1812" s="17">
        <v>42139</v>
      </c>
      <c r="T1812" s="17">
        <v>42139</v>
      </c>
      <c r="W1812">
        <v>2015</v>
      </c>
      <c r="X1812">
        <v>24</v>
      </c>
      <c r="AC1812" t="s">
        <v>166</v>
      </c>
      <c r="AD1812" t="s">
        <v>301</v>
      </c>
      <c r="AE1812" t="s">
        <v>46</v>
      </c>
      <c r="AG1812">
        <v>12</v>
      </c>
      <c r="AH1812">
        <v>2</v>
      </c>
      <c r="AI1812" t="s">
        <v>50</v>
      </c>
      <c r="AK1812">
        <v>0</v>
      </c>
      <c r="AM1812">
        <v>0</v>
      </c>
      <c r="AP1812" t="s">
        <v>392</v>
      </c>
    </row>
    <row r="1813" spans="1:42" customFormat="1">
      <c r="A1813">
        <v>270018</v>
      </c>
      <c r="B1813" t="s">
        <v>2676</v>
      </c>
      <c r="C1813" t="s">
        <v>2677</v>
      </c>
      <c r="D1813" s="22">
        <v>0</v>
      </c>
      <c r="E1813" s="17">
        <v>42135</v>
      </c>
      <c r="F1813" s="18">
        <v>0.6124074074074074</v>
      </c>
      <c r="G1813" s="22">
        <v>5991.4</v>
      </c>
      <c r="H1813">
        <v>0</v>
      </c>
      <c r="I1813" s="19" t="e">
        <f>I1812 + (D1813-G1813)</f>
        <v>#VALUE!</v>
      </c>
      <c r="M1813">
        <v>123416</v>
      </c>
      <c r="N1813">
        <v>24</v>
      </c>
      <c r="O1813" t="s">
        <v>68</v>
      </c>
      <c r="P1813">
        <v>1</v>
      </c>
      <c r="R1813">
        <v>314</v>
      </c>
      <c r="S1813" s="17">
        <v>42139</v>
      </c>
      <c r="T1813" s="17">
        <v>42139</v>
      </c>
      <c r="W1813">
        <v>2015</v>
      </c>
      <c r="X1813">
        <v>24</v>
      </c>
      <c r="AC1813" t="s">
        <v>166</v>
      </c>
      <c r="AD1813" t="s">
        <v>301</v>
      </c>
      <c r="AE1813" t="s">
        <v>46</v>
      </c>
      <c r="AG1813">
        <v>12</v>
      </c>
      <c r="AH1813">
        <v>2</v>
      </c>
      <c r="AI1813" t="s">
        <v>50</v>
      </c>
      <c r="AK1813">
        <v>0</v>
      </c>
      <c r="AM1813">
        <v>0</v>
      </c>
      <c r="AP1813" t="s">
        <v>392</v>
      </c>
    </row>
    <row r="1814" spans="1:42" customFormat="1">
      <c r="A1814">
        <v>270019</v>
      </c>
      <c r="B1814" t="s">
        <v>2678</v>
      </c>
      <c r="C1814" t="s">
        <v>2679</v>
      </c>
      <c r="D1814" s="22">
        <v>0</v>
      </c>
      <c r="E1814" s="17">
        <v>42135</v>
      </c>
      <c r="F1814" s="18">
        <v>0.61259259259259258</v>
      </c>
      <c r="G1814" s="22">
        <v>5810.1</v>
      </c>
      <c r="H1814">
        <v>0</v>
      </c>
      <c r="I1814" s="19" t="e">
        <f>I1813 + (D1814-G1814)</f>
        <v>#VALUE!</v>
      </c>
      <c r="M1814">
        <v>123420</v>
      </c>
      <c r="N1814">
        <v>24</v>
      </c>
      <c r="O1814" t="s">
        <v>68</v>
      </c>
      <c r="P1814">
        <v>1</v>
      </c>
      <c r="R1814">
        <v>314</v>
      </c>
      <c r="S1814" s="17">
        <v>42139</v>
      </c>
      <c r="T1814" s="17">
        <v>42139</v>
      </c>
      <c r="W1814">
        <v>2015</v>
      </c>
      <c r="X1814">
        <v>24</v>
      </c>
      <c r="AC1814" t="s">
        <v>166</v>
      </c>
      <c r="AD1814" t="s">
        <v>301</v>
      </c>
      <c r="AE1814" t="s">
        <v>46</v>
      </c>
      <c r="AG1814">
        <v>12</v>
      </c>
      <c r="AH1814">
        <v>2</v>
      </c>
      <c r="AI1814" t="s">
        <v>50</v>
      </c>
      <c r="AK1814">
        <v>0</v>
      </c>
      <c r="AM1814">
        <v>0</v>
      </c>
      <c r="AP1814" t="s">
        <v>392</v>
      </c>
    </row>
    <row r="1815" spans="1:42" customFormat="1">
      <c r="A1815">
        <v>270020</v>
      </c>
      <c r="B1815" t="s">
        <v>2680</v>
      </c>
      <c r="C1815" t="s">
        <v>2681</v>
      </c>
      <c r="D1815" s="22">
        <v>0</v>
      </c>
      <c r="E1815" s="17">
        <v>42135</v>
      </c>
      <c r="F1815" s="18">
        <v>0.61276620370370372</v>
      </c>
      <c r="G1815" s="22">
        <v>2225.37</v>
      </c>
      <c r="H1815">
        <v>0</v>
      </c>
      <c r="I1815" s="19" t="e">
        <f>I1814 + (D1815-G1815)</f>
        <v>#VALUE!</v>
      </c>
      <c r="M1815">
        <v>123421</v>
      </c>
      <c r="N1815">
        <v>24</v>
      </c>
      <c r="O1815" t="s">
        <v>68</v>
      </c>
      <c r="P1815">
        <v>1</v>
      </c>
      <c r="R1815">
        <v>314</v>
      </c>
      <c r="S1815" s="17">
        <v>42139</v>
      </c>
      <c r="T1815" s="17">
        <v>42139</v>
      </c>
      <c r="W1815">
        <v>2015</v>
      </c>
      <c r="X1815">
        <v>24</v>
      </c>
      <c r="AC1815" t="s">
        <v>166</v>
      </c>
      <c r="AD1815" t="s">
        <v>301</v>
      </c>
      <c r="AE1815" t="s">
        <v>46</v>
      </c>
      <c r="AG1815">
        <v>12</v>
      </c>
      <c r="AH1815">
        <v>2</v>
      </c>
      <c r="AI1815" t="s">
        <v>50</v>
      </c>
      <c r="AK1815">
        <v>0</v>
      </c>
      <c r="AM1815">
        <v>0</v>
      </c>
      <c r="AP1815" t="s">
        <v>392</v>
      </c>
    </row>
    <row r="1816" spans="1:42" customFormat="1">
      <c r="A1816">
        <v>270197</v>
      </c>
      <c r="B1816" t="s">
        <v>2865</v>
      </c>
      <c r="C1816" t="s">
        <v>2866</v>
      </c>
      <c r="D1816" s="22">
        <v>0</v>
      </c>
      <c r="E1816" s="17">
        <v>42136</v>
      </c>
      <c r="F1816" s="18">
        <v>0.40942129629629626</v>
      </c>
      <c r="G1816" s="22">
        <v>5983.5</v>
      </c>
      <c r="H1816">
        <v>0</v>
      </c>
      <c r="I1816" s="19" t="e">
        <f>I1815 + (D1816-G1816)</f>
        <v>#VALUE!</v>
      </c>
      <c r="M1816">
        <v>123453</v>
      </c>
      <c r="N1816">
        <v>24</v>
      </c>
      <c r="O1816" t="s">
        <v>68</v>
      </c>
      <c r="P1816">
        <v>1</v>
      </c>
      <c r="R1816">
        <v>314</v>
      </c>
      <c r="S1816" s="17">
        <v>42142</v>
      </c>
      <c r="T1816" s="17">
        <v>42142</v>
      </c>
      <c r="W1816">
        <v>2015</v>
      </c>
      <c r="X1816">
        <v>24</v>
      </c>
      <c r="AC1816" t="s">
        <v>166</v>
      </c>
      <c r="AD1816" t="s">
        <v>301</v>
      </c>
      <c r="AE1816" t="s">
        <v>46</v>
      </c>
      <c r="AG1816">
        <v>12</v>
      </c>
      <c r="AH1816">
        <v>2</v>
      </c>
      <c r="AI1816" t="s">
        <v>50</v>
      </c>
      <c r="AK1816">
        <v>0</v>
      </c>
      <c r="AM1816">
        <v>0</v>
      </c>
      <c r="AP1816" t="s">
        <v>392</v>
      </c>
    </row>
    <row r="1817" spans="1:42" customFormat="1">
      <c r="A1817">
        <v>270198</v>
      </c>
      <c r="B1817" t="s">
        <v>2867</v>
      </c>
      <c r="C1817" t="s">
        <v>2868</v>
      </c>
      <c r="D1817" s="22">
        <v>0</v>
      </c>
      <c r="E1817" s="17">
        <v>42136</v>
      </c>
      <c r="F1817" s="18">
        <v>0.40965277777777781</v>
      </c>
      <c r="G1817" s="22">
        <v>6068.32</v>
      </c>
      <c r="H1817">
        <v>0</v>
      </c>
      <c r="I1817" s="19" t="e">
        <f>I1816 + (D1817-G1817)</f>
        <v>#VALUE!</v>
      </c>
      <c r="M1817">
        <v>123508</v>
      </c>
      <c r="N1817">
        <v>24</v>
      </c>
      <c r="O1817" t="s">
        <v>68</v>
      </c>
      <c r="P1817">
        <v>1</v>
      </c>
      <c r="R1817">
        <v>314</v>
      </c>
      <c r="S1817" s="17">
        <v>42142</v>
      </c>
      <c r="T1817" s="17">
        <v>42142</v>
      </c>
      <c r="W1817">
        <v>2015</v>
      </c>
      <c r="X1817">
        <v>24</v>
      </c>
      <c r="AC1817" t="s">
        <v>166</v>
      </c>
      <c r="AD1817" t="s">
        <v>301</v>
      </c>
      <c r="AE1817" t="s">
        <v>46</v>
      </c>
      <c r="AG1817">
        <v>12</v>
      </c>
      <c r="AH1817">
        <v>2</v>
      </c>
      <c r="AI1817" t="s">
        <v>50</v>
      </c>
      <c r="AK1817">
        <v>0</v>
      </c>
      <c r="AM1817">
        <v>0</v>
      </c>
      <c r="AP1817" t="s">
        <v>392</v>
      </c>
    </row>
    <row r="1818" spans="1:42" customFormat="1">
      <c r="A1818">
        <v>274243</v>
      </c>
      <c r="B1818" t="s">
        <v>3781</v>
      </c>
      <c r="C1818" t="s">
        <v>3782</v>
      </c>
      <c r="D1818" s="22">
        <v>0</v>
      </c>
      <c r="E1818" s="17">
        <v>42143</v>
      </c>
      <c r="F1818" s="18">
        <v>0.60101851851851851</v>
      </c>
      <c r="G1818" s="22">
        <v>6552.93</v>
      </c>
      <c r="H1818">
        <v>0</v>
      </c>
      <c r="I1818" s="19" t="e">
        <f>I1817 + (D1818-G1818)</f>
        <v>#VALUE!</v>
      </c>
      <c r="M1818">
        <v>127446</v>
      </c>
      <c r="N1818">
        <v>25</v>
      </c>
      <c r="O1818" t="s">
        <v>71</v>
      </c>
      <c r="P1818">
        <v>1</v>
      </c>
      <c r="R1818">
        <v>314</v>
      </c>
      <c r="S1818" s="17">
        <v>42181</v>
      </c>
      <c r="T1818" s="17">
        <v>42181</v>
      </c>
      <c r="W1818">
        <v>2015</v>
      </c>
      <c r="X1818">
        <v>25</v>
      </c>
      <c r="AC1818" t="s">
        <v>166</v>
      </c>
      <c r="AD1818" t="s">
        <v>301</v>
      </c>
      <c r="AE1818" t="s">
        <v>46</v>
      </c>
      <c r="AG1818">
        <v>26</v>
      </c>
      <c r="AH1818">
        <v>9</v>
      </c>
      <c r="AI1818" t="s">
        <v>54</v>
      </c>
      <c r="AK1818">
        <v>0</v>
      </c>
      <c r="AM1818">
        <v>0</v>
      </c>
      <c r="AP1818" t="s">
        <v>501</v>
      </c>
    </row>
    <row r="1819" spans="1:42" customFormat="1">
      <c r="A1819">
        <v>274244</v>
      </c>
      <c r="B1819" t="s">
        <v>3783</v>
      </c>
      <c r="C1819" t="s">
        <v>3784</v>
      </c>
      <c r="D1819" s="22">
        <v>0</v>
      </c>
      <c r="E1819" s="17">
        <v>42143</v>
      </c>
      <c r="F1819" s="18">
        <v>0.60184027777777771</v>
      </c>
      <c r="G1819" s="22">
        <v>4273.5</v>
      </c>
      <c r="H1819">
        <v>0</v>
      </c>
      <c r="I1819" s="19" t="e">
        <f>I1818 + (D1819-G1819)</f>
        <v>#VALUE!</v>
      </c>
      <c r="M1819">
        <v>124462</v>
      </c>
      <c r="N1819">
        <v>25</v>
      </c>
      <c r="O1819" t="s">
        <v>71</v>
      </c>
      <c r="P1819">
        <v>1</v>
      </c>
      <c r="R1819">
        <v>314</v>
      </c>
      <c r="S1819" s="17">
        <v>42181</v>
      </c>
      <c r="T1819" s="17">
        <v>42181</v>
      </c>
      <c r="W1819">
        <v>2015</v>
      </c>
      <c r="X1819">
        <v>25</v>
      </c>
      <c r="AC1819" t="s">
        <v>166</v>
      </c>
      <c r="AD1819" t="s">
        <v>301</v>
      </c>
      <c r="AE1819" t="s">
        <v>46</v>
      </c>
      <c r="AG1819">
        <v>26</v>
      </c>
      <c r="AH1819">
        <v>9</v>
      </c>
      <c r="AI1819" t="s">
        <v>54</v>
      </c>
      <c r="AK1819">
        <v>0</v>
      </c>
      <c r="AM1819">
        <v>0</v>
      </c>
      <c r="AP1819" t="s">
        <v>501</v>
      </c>
    </row>
    <row r="1820" spans="1:42" customFormat="1">
      <c r="A1820">
        <v>270693</v>
      </c>
      <c r="B1820" t="s">
        <v>3611</v>
      </c>
      <c r="C1820" t="s">
        <v>3612</v>
      </c>
      <c r="D1820" s="22">
        <v>0</v>
      </c>
      <c r="E1820" s="17">
        <v>42143</v>
      </c>
      <c r="F1820" s="18">
        <v>0.38209490740740742</v>
      </c>
      <c r="G1820" s="22">
        <v>18577.400000000001</v>
      </c>
      <c r="H1820">
        <v>0</v>
      </c>
      <c r="I1820" s="19" t="e">
        <f>I1819 + (D1820-G1820)</f>
        <v>#VALUE!</v>
      </c>
      <c r="M1820">
        <v>109189</v>
      </c>
      <c r="N1820">
        <v>24</v>
      </c>
      <c r="O1820" t="s">
        <v>68</v>
      </c>
      <c r="P1820">
        <v>1</v>
      </c>
      <c r="R1820">
        <v>388</v>
      </c>
      <c r="S1820" s="17">
        <v>42146</v>
      </c>
      <c r="T1820" s="17">
        <v>42146</v>
      </c>
      <c r="W1820">
        <v>2015</v>
      </c>
      <c r="X1820">
        <v>24</v>
      </c>
      <c r="AC1820" t="s">
        <v>198</v>
      </c>
      <c r="AD1820" t="s">
        <v>301</v>
      </c>
      <c r="AE1820" t="s">
        <v>46</v>
      </c>
      <c r="AG1820">
        <v>4</v>
      </c>
      <c r="AH1820">
        <v>9</v>
      </c>
      <c r="AI1820" t="s">
        <v>54</v>
      </c>
      <c r="AK1820">
        <v>0</v>
      </c>
      <c r="AM1820">
        <v>0</v>
      </c>
      <c r="AP1820" t="s">
        <v>389</v>
      </c>
    </row>
    <row r="1821" spans="1:42" customFormat="1">
      <c r="A1821">
        <v>270682</v>
      </c>
      <c r="B1821" t="s">
        <v>3892</v>
      </c>
      <c r="C1821" t="s">
        <v>3893</v>
      </c>
      <c r="D1821" s="22">
        <v>0</v>
      </c>
      <c r="E1821" s="17">
        <v>42144</v>
      </c>
      <c r="F1821" s="18">
        <v>0.71167824074074071</v>
      </c>
      <c r="G1821" s="22">
        <v>1354.45</v>
      </c>
      <c r="H1821">
        <v>0</v>
      </c>
      <c r="I1821" s="19" t="e">
        <f>I1820 + (D1821-G1821)</f>
        <v>#VALUE!</v>
      </c>
      <c r="M1821">
        <v>109201</v>
      </c>
      <c r="N1821">
        <v>24</v>
      </c>
      <c r="O1821" t="s">
        <v>68</v>
      </c>
      <c r="P1821">
        <v>1</v>
      </c>
      <c r="R1821">
        <v>388</v>
      </c>
      <c r="S1821" s="17">
        <v>42145</v>
      </c>
      <c r="T1821" s="17">
        <v>42145</v>
      </c>
      <c r="W1821">
        <v>2015</v>
      </c>
      <c r="X1821">
        <v>24</v>
      </c>
      <c r="AC1821" t="s">
        <v>198</v>
      </c>
      <c r="AD1821" t="s">
        <v>301</v>
      </c>
      <c r="AE1821" t="s">
        <v>46</v>
      </c>
      <c r="AG1821">
        <v>4</v>
      </c>
      <c r="AH1821">
        <v>9</v>
      </c>
      <c r="AI1821" t="s">
        <v>54</v>
      </c>
      <c r="AK1821">
        <v>0</v>
      </c>
      <c r="AM1821">
        <v>0</v>
      </c>
      <c r="AP1821" t="s">
        <v>389</v>
      </c>
    </row>
    <row r="1822" spans="1:42" customFormat="1">
      <c r="A1822">
        <v>271411</v>
      </c>
      <c r="B1822" t="s">
        <v>4517</v>
      </c>
      <c r="C1822" t="s">
        <v>4518</v>
      </c>
      <c r="D1822" s="22">
        <v>0</v>
      </c>
      <c r="E1822" s="17">
        <v>42149</v>
      </c>
      <c r="F1822" s="18">
        <v>0.38868055555555553</v>
      </c>
      <c r="G1822" s="22">
        <v>2107.6</v>
      </c>
      <c r="H1822">
        <v>0</v>
      </c>
      <c r="I1822" s="19" t="e">
        <f>I1821 + (D1822-G1822)</f>
        <v>#VALUE!</v>
      </c>
      <c r="M1822">
        <v>119195</v>
      </c>
      <c r="N1822">
        <v>24</v>
      </c>
      <c r="O1822" t="s">
        <v>68</v>
      </c>
      <c r="P1822">
        <v>1</v>
      </c>
      <c r="R1822">
        <v>365</v>
      </c>
      <c r="S1822" s="17">
        <v>42152</v>
      </c>
      <c r="T1822" s="17">
        <v>42152</v>
      </c>
      <c r="W1822">
        <v>2015</v>
      </c>
      <c r="X1822">
        <v>24</v>
      </c>
      <c r="AC1822" t="s">
        <v>143</v>
      </c>
      <c r="AD1822" t="s">
        <v>301</v>
      </c>
      <c r="AE1822" t="s">
        <v>46</v>
      </c>
      <c r="AG1822">
        <v>26</v>
      </c>
      <c r="AH1822">
        <v>9</v>
      </c>
      <c r="AI1822" t="s">
        <v>54</v>
      </c>
      <c r="AK1822">
        <v>0</v>
      </c>
      <c r="AM1822">
        <v>0</v>
      </c>
      <c r="AP1822" t="s">
        <v>501</v>
      </c>
    </row>
    <row r="1823" spans="1:42" customFormat="1">
      <c r="A1823">
        <v>271405</v>
      </c>
      <c r="B1823" t="s">
        <v>4719</v>
      </c>
      <c r="C1823" t="s">
        <v>4720</v>
      </c>
      <c r="D1823" s="22">
        <v>0</v>
      </c>
      <c r="E1823" s="17">
        <v>42150</v>
      </c>
      <c r="F1823" s="18">
        <v>0.38320601851851849</v>
      </c>
      <c r="G1823" s="22">
        <v>684.65</v>
      </c>
      <c r="H1823">
        <v>0</v>
      </c>
      <c r="I1823" s="19" t="e">
        <f>I1822 + (D1823-G1823)</f>
        <v>#VALUE!</v>
      </c>
      <c r="M1823">
        <v>119196</v>
      </c>
      <c r="N1823">
        <v>24</v>
      </c>
      <c r="O1823" t="s">
        <v>68</v>
      </c>
      <c r="P1823">
        <v>1</v>
      </c>
      <c r="R1823">
        <v>365</v>
      </c>
      <c r="S1823" s="17">
        <v>42152</v>
      </c>
      <c r="T1823" s="17">
        <v>42152</v>
      </c>
      <c r="W1823">
        <v>2015</v>
      </c>
      <c r="X1823">
        <v>24</v>
      </c>
      <c r="AC1823" t="s">
        <v>143</v>
      </c>
      <c r="AD1823" t="s">
        <v>301</v>
      </c>
      <c r="AE1823" t="s">
        <v>46</v>
      </c>
      <c r="AG1823">
        <v>8</v>
      </c>
      <c r="AH1823">
        <v>9</v>
      </c>
      <c r="AI1823" t="s">
        <v>54</v>
      </c>
      <c r="AK1823">
        <v>0</v>
      </c>
      <c r="AM1823">
        <v>0</v>
      </c>
      <c r="AP1823" t="s">
        <v>1201</v>
      </c>
    </row>
    <row r="1824" spans="1:42" customFormat="1">
      <c r="A1824">
        <v>267668</v>
      </c>
      <c r="B1824" t="s">
        <v>1240</v>
      </c>
      <c r="C1824" t="s">
        <v>1241</v>
      </c>
      <c r="D1824" s="22">
        <v>0</v>
      </c>
      <c r="E1824" s="17">
        <v>42128</v>
      </c>
      <c r="F1824" s="18">
        <v>0.74775462962962969</v>
      </c>
      <c r="G1824" s="22">
        <v>85.05</v>
      </c>
      <c r="H1824">
        <v>0</v>
      </c>
      <c r="I1824" s="19" t="e">
        <f>I1823 + (D1824-G1824)</f>
        <v>#VALUE!</v>
      </c>
      <c r="M1824">
        <v>118061</v>
      </c>
      <c r="N1824">
        <v>24</v>
      </c>
      <c r="O1824" t="s">
        <v>68</v>
      </c>
      <c r="P1824">
        <v>1</v>
      </c>
      <c r="R1824">
        <v>366</v>
      </c>
      <c r="S1824" s="17">
        <v>42129</v>
      </c>
      <c r="T1824" s="17">
        <v>42129</v>
      </c>
      <c r="W1824">
        <v>2015</v>
      </c>
      <c r="X1824">
        <v>24</v>
      </c>
      <c r="AC1824" t="s">
        <v>1242</v>
      </c>
      <c r="AD1824" t="s">
        <v>301</v>
      </c>
      <c r="AE1824" t="s">
        <v>46</v>
      </c>
      <c r="AG1824">
        <v>26</v>
      </c>
      <c r="AH1824">
        <v>9</v>
      </c>
      <c r="AI1824" t="s">
        <v>54</v>
      </c>
      <c r="AK1824">
        <v>0</v>
      </c>
      <c r="AM1824">
        <v>0</v>
      </c>
      <c r="AP1824" t="s">
        <v>501</v>
      </c>
    </row>
    <row r="1825" spans="1:42" customFormat="1">
      <c r="A1825">
        <v>272346</v>
      </c>
      <c r="B1825" t="s">
        <v>2869</v>
      </c>
      <c r="C1825" t="s">
        <v>2870</v>
      </c>
      <c r="D1825" s="22">
        <v>0</v>
      </c>
      <c r="E1825" s="17">
        <v>42136</v>
      </c>
      <c r="F1825" s="18">
        <v>0.4178587962962963</v>
      </c>
      <c r="G1825" s="22">
        <v>244.55</v>
      </c>
      <c r="H1825">
        <v>0</v>
      </c>
      <c r="I1825" s="19" t="e">
        <f>I1824 + (D1825-G1825)</f>
        <v>#VALUE!</v>
      </c>
      <c r="M1825">
        <v>124925</v>
      </c>
      <c r="N1825">
        <v>25</v>
      </c>
      <c r="O1825" t="s">
        <v>71</v>
      </c>
      <c r="P1825">
        <v>1</v>
      </c>
      <c r="R1825">
        <v>371</v>
      </c>
      <c r="S1825" s="17">
        <v>42164</v>
      </c>
      <c r="T1825" s="17">
        <v>42164</v>
      </c>
      <c r="W1825">
        <v>2015</v>
      </c>
      <c r="X1825">
        <v>25</v>
      </c>
      <c r="AC1825" t="s">
        <v>210</v>
      </c>
      <c r="AD1825" t="s">
        <v>301</v>
      </c>
      <c r="AE1825" t="s">
        <v>46</v>
      </c>
      <c r="AG1825">
        <v>56</v>
      </c>
      <c r="AH1825">
        <v>1</v>
      </c>
      <c r="AI1825" t="s">
        <v>58</v>
      </c>
      <c r="AK1825">
        <v>0</v>
      </c>
      <c r="AM1825">
        <v>0</v>
      </c>
      <c r="AP1825" t="s">
        <v>59</v>
      </c>
    </row>
    <row r="1826" spans="1:42" customFormat="1">
      <c r="A1826">
        <v>273095</v>
      </c>
      <c r="B1826" t="s">
        <v>4500</v>
      </c>
      <c r="C1826" t="s">
        <v>4501</v>
      </c>
      <c r="D1826" s="22">
        <v>0</v>
      </c>
      <c r="E1826" s="17">
        <v>42146</v>
      </c>
      <c r="F1826" s="18">
        <v>0.75776620370370373</v>
      </c>
      <c r="G1826" s="22">
        <v>20000</v>
      </c>
      <c r="H1826">
        <v>0</v>
      </c>
      <c r="I1826" s="19" t="e">
        <f>I1825 + (D1826-G1826)</f>
        <v>#VALUE!</v>
      </c>
      <c r="M1826">
        <v>124612</v>
      </c>
      <c r="N1826">
        <v>24</v>
      </c>
      <c r="O1826" t="s">
        <v>68</v>
      </c>
      <c r="P1826">
        <v>1</v>
      </c>
      <c r="R1826">
        <v>371</v>
      </c>
      <c r="S1826" s="17">
        <v>42170</v>
      </c>
      <c r="T1826" s="17">
        <v>42170</v>
      </c>
      <c r="W1826">
        <v>2015</v>
      </c>
      <c r="X1826">
        <v>24</v>
      </c>
      <c r="AC1826" t="s">
        <v>210</v>
      </c>
      <c r="AD1826" t="s">
        <v>301</v>
      </c>
      <c r="AE1826" t="s">
        <v>46</v>
      </c>
      <c r="AG1826">
        <v>2</v>
      </c>
      <c r="AH1826">
        <v>2</v>
      </c>
      <c r="AI1826" t="s">
        <v>50</v>
      </c>
      <c r="AK1826">
        <v>0</v>
      </c>
      <c r="AM1826">
        <v>0</v>
      </c>
      <c r="AP1826" t="s">
        <v>2544</v>
      </c>
    </row>
    <row r="1827" spans="1:42" customFormat="1">
      <c r="A1827">
        <v>273101</v>
      </c>
      <c r="B1827" t="s">
        <v>4685</v>
      </c>
      <c r="C1827" t="s">
        <v>4686</v>
      </c>
      <c r="D1827" s="22">
        <v>0</v>
      </c>
      <c r="E1827" s="17">
        <v>42150</v>
      </c>
      <c r="F1827" s="18">
        <v>0.37659722222222225</v>
      </c>
      <c r="G1827" s="22">
        <v>10000</v>
      </c>
      <c r="H1827">
        <v>0</v>
      </c>
      <c r="I1827" s="19" t="e">
        <f>I1826 + (D1827-G1827)</f>
        <v>#VALUE!</v>
      </c>
      <c r="M1827">
        <v>124538</v>
      </c>
      <c r="N1827">
        <v>24</v>
      </c>
      <c r="O1827" t="s">
        <v>68</v>
      </c>
      <c r="P1827">
        <v>1</v>
      </c>
      <c r="R1827">
        <v>371</v>
      </c>
      <c r="S1827" s="17">
        <v>42171</v>
      </c>
      <c r="T1827" s="17">
        <v>42171</v>
      </c>
      <c r="W1827">
        <v>2015</v>
      </c>
      <c r="X1827">
        <v>24</v>
      </c>
      <c r="AC1827" t="s">
        <v>210</v>
      </c>
      <c r="AD1827" t="s">
        <v>301</v>
      </c>
      <c r="AE1827" t="s">
        <v>46</v>
      </c>
      <c r="AG1827">
        <v>2</v>
      </c>
      <c r="AH1827">
        <v>9</v>
      </c>
      <c r="AI1827" t="s">
        <v>54</v>
      </c>
      <c r="AK1827">
        <v>0</v>
      </c>
      <c r="AM1827">
        <v>0</v>
      </c>
      <c r="AP1827" t="s">
        <v>2544</v>
      </c>
    </row>
    <row r="1828" spans="1:42" customFormat="1">
      <c r="A1828">
        <v>272071</v>
      </c>
      <c r="B1828" t="s">
        <v>4839</v>
      </c>
      <c r="C1828" t="s">
        <v>4840</v>
      </c>
      <c r="D1828" s="22">
        <v>0</v>
      </c>
      <c r="E1828" s="17">
        <v>42150</v>
      </c>
      <c r="F1828" s="18">
        <v>0.59333333333333338</v>
      </c>
      <c r="G1828" s="22">
        <v>243.04</v>
      </c>
      <c r="H1828">
        <v>0</v>
      </c>
      <c r="I1828" s="19" t="e">
        <f>I1827 + (D1828-G1828)</f>
        <v>#VALUE!</v>
      </c>
      <c r="M1828">
        <v>58505</v>
      </c>
      <c r="N1828">
        <v>24</v>
      </c>
      <c r="O1828" t="s">
        <v>68</v>
      </c>
      <c r="P1828">
        <v>1</v>
      </c>
      <c r="R1828">
        <v>377</v>
      </c>
      <c r="S1828" s="17">
        <v>42160</v>
      </c>
      <c r="T1828" s="17">
        <v>42160</v>
      </c>
      <c r="W1828">
        <v>2015</v>
      </c>
      <c r="X1828">
        <v>24</v>
      </c>
      <c r="AC1828" t="s">
        <v>213</v>
      </c>
      <c r="AD1828" t="s">
        <v>301</v>
      </c>
      <c r="AE1828" t="s">
        <v>46</v>
      </c>
      <c r="AG1828">
        <v>26</v>
      </c>
      <c r="AH1828">
        <v>9</v>
      </c>
      <c r="AI1828" t="s">
        <v>54</v>
      </c>
      <c r="AK1828">
        <v>0</v>
      </c>
      <c r="AM1828">
        <v>0</v>
      </c>
      <c r="AP1828" t="s">
        <v>501</v>
      </c>
    </row>
    <row r="1829" spans="1:42" customFormat="1">
      <c r="A1829">
        <v>272074</v>
      </c>
      <c r="B1829" t="s">
        <v>4993</v>
      </c>
      <c r="C1829" t="s">
        <v>4994</v>
      </c>
      <c r="D1829" s="22">
        <v>0</v>
      </c>
      <c r="E1829" s="17">
        <v>42151</v>
      </c>
      <c r="F1829" s="18">
        <v>0.59660879629629626</v>
      </c>
      <c r="G1829" s="22">
        <v>760.59</v>
      </c>
      <c r="H1829">
        <v>0</v>
      </c>
      <c r="I1829" s="19" t="e">
        <f>I1828 + (D1829-G1829)</f>
        <v>#VALUE!</v>
      </c>
      <c r="M1829">
        <v>110789</v>
      </c>
      <c r="N1829">
        <v>24</v>
      </c>
      <c r="O1829" t="s">
        <v>68</v>
      </c>
      <c r="P1829">
        <v>1</v>
      </c>
      <c r="R1829">
        <v>1563</v>
      </c>
      <c r="S1829" s="17">
        <v>42160</v>
      </c>
      <c r="T1829" s="17">
        <v>42160</v>
      </c>
      <c r="W1829">
        <v>2015</v>
      </c>
      <c r="X1829">
        <v>24</v>
      </c>
      <c r="AC1829" t="s">
        <v>197</v>
      </c>
      <c r="AD1829" t="s">
        <v>301</v>
      </c>
      <c r="AE1829" t="s">
        <v>46</v>
      </c>
      <c r="AG1829">
        <v>2</v>
      </c>
      <c r="AH1829">
        <v>9</v>
      </c>
      <c r="AI1829" t="s">
        <v>54</v>
      </c>
      <c r="AK1829">
        <v>0</v>
      </c>
      <c r="AM1829">
        <v>0</v>
      </c>
      <c r="AP1829" t="s">
        <v>2544</v>
      </c>
    </row>
    <row r="1830" spans="1:42" customFormat="1">
      <c r="A1830">
        <v>270210</v>
      </c>
      <c r="B1830" t="s">
        <v>3091</v>
      </c>
      <c r="C1830" t="s">
        <v>3092</v>
      </c>
      <c r="D1830" s="22">
        <v>0</v>
      </c>
      <c r="E1830" s="17">
        <v>42137</v>
      </c>
      <c r="F1830" s="18">
        <v>0.66317129629629623</v>
      </c>
      <c r="G1830" s="22">
        <v>59.9</v>
      </c>
      <c r="H1830">
        <v>0</v>
      </c>
      <c r="I1830" s="19" t="e">
        <f>I1829 + (D1830-G1830)</f>
        <v>#VALUE!</v>
      </c>
      <c r="M1830">
        <v>123557</v>
      </c>
      <c r="N1830">
        <v>24</v>
      </c>
      <c r="O1830" t="s">
        <v>68</v>
      </c>
      <c r="P1830">
        <v>1</v>
      </c>
      <c r="R1830">
        <v>383</v>
      </c>
      <c r="S1830" s="17">
        <v>42142</v>
      </c>
      <c r="T1830" s="17">
        <v>42142</v>
      </c>
      <c r="W1830">
        <v>2015</v>
      </c>
      <c r="X1830">
        <v>24</v>
      </c>
      <c r="AC1830" t="s">
        <v>268</v>
      </c>
      <c r="AD1830" t="s">
        <v>301</v>
      </c>
      <c r="AE1830" t="s">
        <v>46</v>
      </c>
      <c r="AG1830">
        <v>56</v>
      </c>
      <c r="AH1830">
        <v>1</v>
      </c>
      <c r="AI1830" t="s">
        <v>58</v>
      </c>
      <c r="AK1830">
        <v>0</v>
      </c>
      <c r="AM1830">
        <v>0</v>
      </c>
      <c r="AP1830" t="s">
        <v>59</v>
      </c>
    </row>
    <row r="1831" spans="1:42" customFormat="1">
      <c r="A1831">
        <v>271397</v>
      </c>
      <c r="B1831" t="s">
        <v>4681</v>
      </c>
      <c r="C1831" t="s">
        <v>4682</v>
      </c>
      <c r="D1831" s="22">
        <v>0</v>
      </c>
      <c r="E1831" s="17">
        <v>42150</v>
      </c>
      <c r="F1831" s="18">
        <v>0.37199074074074073</v>
      </c>
      <c r="G1831" s="22">
        <v>352.74</v>
      </c>
      <c r="H1831">
        <v>0</v>
      </c>
      <c r="I1831" s="19" t="e">
        <f>I1830 + (D1831-G1831)</f>
        <v>#VALUE!</v>
      </c>
      <c r="M1831">
        <v>122149</v>
      </c>
      <c r="N1831">
        <v>24</v>
      </c>
      <c r="O1831" t="s">
        <v>68</v>
      </c>
      <c r="P1831">
        <v>1</v>
      </c>
      <c r="R1831">
        <v>383</v>
      </c>
      <c r="S1831" s="17">
        <v>42152</v>
      </c>
      <c r="T1831" s="17">
        <v>42152</v>
      </c>
      <c r="W1831">
        <v>2015</v>
      </c>
      <c r="X1831">
        <v>24</v>
      </c>
      <c r="AC1831" t="s">
        <v>268</v>
      </c>
      <c r="AD1831" t="s">
        <v>301</v>
      </c>
      <c r="AE1831" t="s">
        <v>46</v>
      </c>
      <c r="AG1831">
        <v>26</v>
      </c>
      <c r="AH1831">
        <v>9</v>
      </c>
      <c r="AI1831" t="s">
        <v>54</v>
      </c>
      <c r="AK1831">
        <v>0</v>
      </c>
      <c r="AM1831">
        <v>0</v>
      </c>
      <c r="AP1831" t="s">
        <v>501</v>
      </c>
    </row>
    <row r="1832" spans="1:42" customFormat="1">
      <c r="A1832">
        <v>270905</v>
      </c>
      <c r="B1832" t="s">
        <v>3815</v>
      </c>
      <c r="C1832" t="s">
        <v>3816</v>
      </c>
      <c r="D1832" s="22">
        <v>0</v>
      </c>
      <c r="E1832" s="17">
        <v>42143</v>
      </c>
      <c r="F1832" s="18">
        <v>0.70434027777777775</v>
      </c>
      <c r="G1832" s="22">
        <v>39.799999999999997</v>
      </c>
      <c r="H1832">
        <v>0</v>
      </c>
      <c r="I1832" s="19" t="e">
        <f>I1831 + (D1832-G1832)</f>
        <v>#VALUE!</v>
      </c>
      <c r="M1832">
        <v>123953</v>
      </c>
      <c r="N1832">
        <v>24</v>
      </c>
      <c r="O1832" t="s">
        <v>68</v>
      </c>
      <c r="P1832">
        <v>1</v>
      </c>
      <c r="R1832">
        <v>384</v>
      </c>
      <c r="S1832" s="17">
        <v>42146</v>
      </c>
      <c r="T1832" s="17">
        <v>42146</v>
      </c>
      <c r="W1832">
        <v>2015</v>
      </c>
      <c r="X1832">
        <v>24</v>
      </c>
      <c r="AC1832" t="s">
        <v>233</v>
      </c>
      <c r="AD1832" t="s">
        <v>301</v>
      </c>
      <c r="AE1832" t="s">
        <v>46</v>
      </c>
      <c r="AG1832">
        <v>4</v>
      </c>
      <c r="AH1832">
        <v>9</v>
      </c>
      <c r="AI1832" t="s">
        <v>54</v>
      </c>
      <c r="AK1832">
        <v>0</v>
      </c>
      <c r="AM1832">
        <v>0</v>
      </c>
      <c r="AP1832" t="s">
        <v>389</v>
      </c>
    </row>
    <row r="1833" spans="1:42" customFormat="1">
      <c r="A1833">
        <v>271557</v>
      </c>
      <c r="B1833" t="s">
        <v>5036</v>
      </c>
      <c r="C1833" t="s">
        <v>5037</v>
      </c>
      <c r="D1833" s="22">
        <v>0</v>
      </c>
      <c r="E1833" s="17">
        <v>42152</v>
      </c>
      <c r="F1833" s="18">
        <v>0.4135300925925926</v>
      </c>
      <c r="G1833" s="22">
        <v>1080.8800000000001</v>
      </c>
      <c r="H1833">
        <v>0</v>
      </c>
      <c r="I1833" s="19" t="e">
        <f>I1832 + (D1833-G1833)</f>
        <v>#VALUE!</v>
      </c>
      <c r="M1833">
        <v>110542</v>
      </c>
      <c r="N1833">
        <v>24</v>
      </c>
      <c r="O1833" t="s">
        <v>68</v>
      </c>
      <c r="P1833">
        <v>1</v>
      </c>
      <c r="R1833">
        <v>384</v>
      </c>
      <c r="S1833" s="17">
        <v>42157</v>
      </c>
      <c r="T1833" s="17">
        <v>42157</v>
      </c>
      <c r="W1833">
        <v>2015</v>
      </c>
      <c r="X1833">
        <v>24</v>
      </c>
      <c r="AC1833" t="s">
        <v>233</v>
      </c>
      <c r="AD1833" t="s">
        <v>301</v>
      </c>
      <c r="AE1833" t="s">
        <v>46</v>
      </c>
      <c r="AG1833">
        <v>4</v>
      </c>
      <c r="AH1833">
        <v>9</v>
      </c>
      <c r="AI1833" t="s">
        <v>54</v>
      </c>
      <c r="AK1833">
        <v>0</v>
      </c>
      <c r="AM1833">
        <v>0</v>
      </c>
      <c r="AP1833" t="s">
        <v>389</v>
      </c>
    </row>
    <row r="1834" spans="1:42" customFormat="1">
      <c r="A1834">
        <v>268624</v>
      </c>
      <c r="B1834">
        <v>215279</v>
      </c>
      <c r="C1834" t="s">
        <v>324</v>
      </c>
      <c r="D1834" s="22">
        <v>697.56</v>
      </c>
      <c r="E1834" s="17">
        <v>42128</v>
      </c>
      <c r="F1834" s="18">
        <v>0.36537037037037035</v>
      </c>
      <c r="G1834" s="22">
        <v>0</v>
      </c>
      <c r="H1834">
        <v>0</v>
      </c>
      <c r="I1834" s="19" t="e">
        <f>I1833 + (D1834-G1834)</f>
        <v>#VALUE!</v>
      </c>
      <c r="L1834">
        <v>215279</v>
      </c>
      <c r="N1834">
        <v>60</v>
      </c>
      <c r="O1834" t="s">
        <v>60</v>
      </c>
      <c r="P1834">
        <v>1</v>
      </c>
      <c r="R1834">
        <v>2</v>
      </c>
      <c r="S1834" s="17">
        <v>42131</v>
      </c>
      <c r="T1834" s="17">
        <v>42131</v>
      </c>
      <c r="W1834">
        <v>2015</v>
      </c>
      <c r="X1834">
        <v>60</v>
      </c>
      <c r="AC1834" t="s">
        <v>49</v>
      </c>
      <c r="AD1834" t="s">
        <v>301</v>
      </c>
      <c r="AE1834" t="s">
        <v>46</v>
      </c>
      <c r="AG1834">
        <v>52</v>
      </c>
      <c r="AH1834">
        <v>2</v>
      </c>
      <c r="AI1834" t="s">
        <v>50</v>
      </c>
      <c r="AK1834">
        <v>0</v>
      </c>
      <c r="AM1834">
        <v>0</v>
      </c>
      <c r="AP1834" t="s">
        <v>325</v>
      </c>
    </row>
    <row r="1835" spans="1:42" customFormat="1">
      <c r="A1835">
        <v>267740</v>
      </c>
      <c r="B1835">
        <v>189800</v>
      </c>
      <c r="C1835" t="s">
        <v>430</v>
      </c>
      <c r="D1835" s="22">
        <v>1504.42</v>
      </c>
      <c r="E1835" s="17">
        <v>42128</v>
      </c>
      <c r="F1835" s="18">
        <v>0.46342592592592591</v>
      </c>
      <c r="G1835" s="22">
        <v>0</v>
      </c>
      <c r="H1835">
        <v>0</v>
      </c>
      <c r="I1835" s="19" t="e">
        <f>I1834 + (D1835-G1835)</f>
        <v>#VALUE!</v>
      </c>
      <c r="L1835">
        <v>189800</v>
      </c>
      <c r="N1835">
        <v>1</v>
      </c>
      <c r="O1835" t="s">
        <v>77</v>
      </c>
      <c r="P1835">
        <v>1</v>
      </c>
      <c r="R1835">
        <v>2</v>
      </c>
      <c r="S1835" s="17">
        <v>42130</v>
      </c>
      <c r="T1835" s="17">
        <v>42130</v>
      </c>
      <c r="U1835">
        <v>27828</v>
      </c>
      <c r="V1835">
        <v>20150504</v>
      </c>
      <c r="W1835">
        <v>2015</v>
      </c>
      <c r="X1835">
        <v>1</v>
      </c>
      <c r="AC1835" t="s">
        <v>49</v>
      </c>
      <c r="AD1835" t="s">
        <v>301</v>
      </c>
      <c r="AE1835" t="s">
        <v>46</v>
      </c>
      <c r="AG1835">
        <v>12</v>
      </c>
      <c r="AH1835">
        <v>4</v>
      </c>
      <c r="AI1835" t="s">
        <v>78</v>
      </c>
      <c r="AM1835">
        <v>0</v>
      </c>
      <c r="AP1835" t="s">
        <v>392</v>
      </c>
    </row>
    <row r="1836" spans="1:42" customFormat="1">
      <c r="A1836">
        <v>267739</v>
      </c>
      <c r="B1836">
        <v>190002</v>
      </c>
      <c r="C1836" t="s">
        <v>431</v>
      </c>
      <c r="D1836" s="22">
        <v>1226</v>
      </c>
      <c r="E1836" s="17">
        <v>42128</v>
      </c>
      <c r="F1836" s="18">
        <v>0.46342592592592591</v>
      </c>
      <c r="G1836" s="22">
        <v>0</v>
      </c>
      <c r="H1836">
        <v>0</v>
      </c>
      <c r="I1836" s="19" t="e">
        <f>I1835 + (D1836-G1836)</f>
        <v>#VALUE!</v>
      </c>
      <c r="L1836">
        <v>190002</v>
      </c>
      <c r="N1836">
        <v>1</v>
      </c>
      <c r="O1836" t="s">
        <v>77</v>
      </c>
      <c r="P1836">
        <v>1</v>
      </c>
      <c r="R1836">
        <v>2</v>
      </c>
      <c r="S1836" s="17">
        <v>42130</v>
      </c>
      <c r="T1836" s="17">
        <v>42130</v>
      </c>
      <c r="U1836">
        <v>27827</v>
      </c>
      <c r="V1836">
        <v>20150504</v>
      </c>
      <c r="W1836">
        <v>2015</v>
      </c>
      <c r="X1836">
        <v>1</v>
      </c>
      <c r="AC1836" t="s">
        <v>49</v>
      </c>
      <c r="AD1836" t="s">
        <v>301</v>
      </c>
      <c r="AE1836" t="s">
        <v>46</v>
      </c>
      <c r="AG1836">
        <v>12</v>
      </c>
      <c r="AH1836">
        <v>4</v>
      </c>
      <c r="AI1836" t="s">
        <v>78</v>
      </c>
      <c r="AM1836">
        <v>0</v>
      </c>
      <c r="AP1836" t="s">
        <v>392</v>
      </c>
    </row>
    <row r="1837" spans="1:42" customFormat="1">
      <c r="A1837">
        <v>267741</v>
      </c>
      <c r="B1837">
        <v>190065</v>
      </c>
      <c r="C1837" t="s">
        <v>432</v>
      </c>
      <c r="D1837" s="22">
        <v>1504.42</v>
      </c>
      <c r="E1837" s="17">
        <v>42128</v>
      </c>
      <c r="F1837" s="18">
        <v>0.46342592592592591</v>
      </c>
      <c r="G1837" s="22">
        <v>0</v>
      </c>
      <c r="H1837">
        <v>0</v>
      </c>
      <c r="I1837" s="19" t="e">
        <f>I1836 + (D1837-G1837)</f>
        <v>#VALUE!</v>
      </c>
      <c r="L1837">
        <v>190065</v>
      </c>
      <c r="N1837">
        <v>1</v>
      </c>
      <c r="O1837" t="s">
        <v>77</v>
      </c>
      <c r="P1837">
        <v>1</v>
      </c>
      <c r="R1837">
        <v>2</v>
      </c>
      <c r="S1837" s="17">
        <v>42130</v>
      </c>
      <c r="T1837" s="17">
        <v>42130</v>
      </c>
      <c r="U1837">
        <v>27829</v>
      </c>
      <c r="V1837">
        <v>20150504</v>
      </c>
      <c r="W1837">
        <v>2015</v>
      </c>
      <c r="X1837">
        <v>1</v>
      </c>
      <c r="AC1837" t="s">
        <v>49</v>
      </c>
      <c r="AD1837" t="s">
        <v>301</v>
      </c>
      <c r="AE1837" t="s">
        <v>46</v>
      </c>
      <c r="AG1837">
        <v>12</v>
      </c>
      <c r="AH1837">
        <v>4</v>
      </c>
      <c r="AI1837" t="s">
        <v>78</v>
      </c>
      <c r="AM1837">
        <v>0</v>
      </c>
      <c r="AP1837" t="s">
        <v>392</v>
      </c>
    </row>
    <row r="1838" spans="1:42" customFormat="1">
      <c r="A1838">
        <v>267743</v>
      </c>
      <c r="B1838">
        <v>189898</v>
      </c>
      <c r="C1838" t="s">
        <v>433</v>
      </c>
      <c r="D1838" s="22">
        <v>1504.42</v>
      </c>
      <c r="E1838" s="17">
        <v>42128</v>
      </c>
      <c r="F1838" s="18">
        <v>0.4634375</v>
      </c>
      <c r="G1838" s="22">
        <v>0</v>
      </c>
      <c r="H1838">
        <v>0</v>
      </c>
      <c r="I1838" s="19" t="e">
        <f>I1837 + (D1838-G1838)</f>
        <v>#VALUE!</v>
      </c>
      <c r="L1838">
        <v>189898</v>
      </c>
      <c r="N1838">
        <v>1</v>
      </c>
      <c r="O1838" t="s">
        <v>77</v>
      </c>
      <c r="P1838">
        <v>1</v>
      </c>
      <c r="R1838">
        <v>2</v>
      </c>
      <c r="S1838" s="17">
        <v>42130</v>
      </c>
      <c r="T1838" s="17">
        <v>42130</v>
      </c>
      <c r="U1838">
        <v>27831</v>
      </c>
      <c r="V1838">
        <v>20150504</v>
      </c>
      <c r="W1838">
        <v>2015</v>
      </c>
      <c r="X1838">
        <v>1</v>
      </c>
      <c r="AC1838" t="s">
        <v>49</v>
      </c>
      <c r="AD1838" t="s">
        <v>301</v>
      </c>
      <c r="AE1838" t="s">
        <v>46</v>
      </c>
      <c r="AG1838">
        <v>12</v>
      </c>
      <c r="AH1838">
        <v>4</v>
      </c>
      <c r="AI1838" t="s">
        <v>78</v>
      </c>
      <c r="AM1838">
        <v>0</v>
      </c>
      <c r="AP1838" t="s">
        <v>392</v>
      </c>
    </row>
    <row r="1839" spans="1:42" customFormat="1">
      <c r="A1839">
        <v>267745</v>
      </c>
      <c r="B1839">
        <v>191295</v>
      </c>
      <c r="C1839" t="s">
        <v>434</v>
      </c>
      <c r="D1839" s="22">
        <v>1473</v>
      </c>
      <c r="E1839" s="17">
        <v>42128</v>
      </c>
      <c r="F1839" s="18">
        <v>0.4634375</v>
      </c>
      <c r="G1839" s="22">
        <v>0</v>
      </c>
      <c r="H1839">
        <v>0</v>
      </c>
      <c r="I1839" s="19" t="e">
        <f>I1838 + (D1839-G1839)</f>
        <v>#VALUE!</v>
      </c>
      <c r="L1839">
        <v>191295</v>
      </c>
      <c r="N1839">
        <v>1</v>
      </c>
      <c r="O1839" t="s">
        <v>77</v>
      </c>
      <c r="P1839">
        <v>1</v>
      </c>
      <c r="R1839">
        <v>2</v>
      </c>
      <c r="S1839" s="17">
        <v>42130</v>
      </c>
      <c r="T1839" s="17">
        <v>42130</v>
      </c>
      <c r="U1839">
        <v>27833</v>
      </c>
      <c r="V1839">
        <v>20150504</v>
      </c>
      <c r="W1839">
        <v>2015</v>
      </c>
      <c r="X1839">
        <v>1</v>
      </c>
      <c r="AC1839" t="s">
        <v>49</v>
      </c>
      <c r="AD1839" t="s">
        <v>301</v>
      </c>
      <c r="AE1839" t="s">
        <v>46</v>
      </c>
      <c r="AG1839">
        <v>12</v>
      </c>
      <c r="AH1839">
        <v>4</v>
      </c>
      <c r="AI1839" t="s">
        <v>78</v>
      </c>
      <c r="AM1839">
        <v>0</v>
      </c>
      <c r="AP1839" t="s">
        <v>392</v>
      </c>
    </row>
    <row r="1840" spans="1:42" customFormat="1">
      <c r="A1840">
        <v>267742</v>
      </c>
      <c r="B1840">
        <v>190166</v>
      </c>
      <c r="C1840" t="s">
        <v>435</v>
      </c>
      <c r="D1840" s="22">
        <v>1504.42</v>
      </c>
      <c r="E1840" s="17">
        <v>42128</v>
      </c>
      <c r="F1840" s="18">
        <v>0.4634375</v>
      </c>
      <c r="G1840" s="22">
        <v>0</v>
      </c>
      <c r="H1840">
        <v>0</v>
      </c>
      <c r="I1840" s="19" t="e">
        <f>I1839 + (D1840-G1840)</f>
        <v>#VALUE!</v>
      </c>
      <c r="L1840">
        <v>190166</v>
      </c>
      <c r="N1840">
        <v>1</v>
      </c>
      <c r="O1840" t="s">
        <v>77</v>
      </c>
      <c r="P1840">
        <v>1</v>
      </c>
      <c r="R1840">
        <v>2</v>
      </c>
      <c r="S1840" s="17">
        <v>42130</v>
      </c>
      <c r="T1840" s="17">
        <v>42130</v>
      </c>
      <c r="U1840">
        <v>27830</v>
      </c>
      <c r="V1840">
        <v>20150504</v>
      </c>
      <c r="W1840">
        <v>2015</v>
      </c>
      <c r="X1840">
        <v>1</v>
      </c>
      <c r="AC1840" t="s">
        <v>49</v>
      </c>
      <c r="AD1840" t="s">
        <v>301</v>
      </c>
      <c r="AE1840" t="s">
        <v>46</v>
      </c>
      <c r="AG1840">
        <v>12</v>
      </c>
      <c r="AH1840">
        <v>4</v>
      </c>
      <c r="AI1840" t="s">
        <v>78</v>
      </c>
      <c r="AM1840">
        <v>0</v>
      </c>
      <c r="AP1840" t="s">
        <v>392</v>
      </c>
    </row>
    <row r="1841" spans="1:42" customFormat="1">
      <c r="A1841">
        <v>267746</v>
      </c>
      <c r="B1841">
        <v>191247</v>
      </c>
      <c r="C1841" t="s">
        <v>436</v>
      </c>
      <c r="D1841" s="22">
        <v>1504.42</v>
      </c>
      <c r="E1841" s="17">
        <v>42128</v>
      </c>
      <c r="F1841" s="18">
        <v>0.4634375</v>
      </c>
      <c r="G1841" s="22">
        <v>0</v>
      </c>
      <c r="H1841">
        <v>0</v>
      </c>
      <c r="I1841" s="19" t="e">
        <f>I1840 + (D1841-G1841)</f>
        <v>#VALUE!</v>
      </c>
      <c r="L1841">
        <v>191247</v>
      </c>
      <c r="N1841">
        <v>1</v>
      </c>
      <c r="O1841" t="s">
        <v>77</v>
      </c>
      <c r="P1841">
        <v>1</v>
      </c>
      <c r="R1841">
        <v>2</v>
      </c>
      <c r="S1841" s="17">
        <v>42130</v>
      </c>
      <c r="T1841" s="17">
        <v>42130</v>
      </c>
      <c r="U1841">
        <v>27834</v>
      </c>
      <c r="V1841">
        <v>20150504</v>
      </c>
      <c r="W1841">
        <v>2015</v>
      </c>
      <c r="X1841">
        <v>1</v>
      </c>
      <c r="AC1841" t="s">
        <v>49</v>
      </c>
      <c r="AD1841" t="s">
        <v>301</v>
      </c>
      <c r="AE1841" t="s">
        <v>46</v>
      </c>
      <c r="AG1841">
        <v>12</v>
      </c>
      <c r="AH1841">
        <v>4</v>
      </c>
      <c r="AI1841" t="s">
        <v>78</v>
      </c>
      <c r="AM1841">
        <v>0</v>
      </c>
      <c r="AP1841" t="s">
        <v>392</v>
      </c>
    </row>
    <row r="1842" spans="1:42" customFormat="1">
      <c r="A1842">
        <v>267744</v>
      </c>
      <c r="B1842">
        <v>194399</v>
      </c>
      <c r="C1842" t="s">
        <v>437</v>
      </c>
      <c r="D1842" s="22">
        <v>1504.42</v>
      </c>
      <c r="E1842" s="17">
        <v>42128</v>
      </c>
      <c r="F1842" s="18">
        <v>0.4634375</v>
      </c>
      <c r="G1842" s="22">
        <v>0</v>
      </c>
      <c r="H1842">
        <v>0</v>
      </c>
      <c r="I1842" s="19" t="e">
        <f>I1841 + (D1842-G1842)</f>
        <v>#VALUE!</v>
      </c>
      <c r="L1842">
        <v>194399</v>
      </c>
      <c r="N1842">
        <v>1</v>
      </c>
      <c r="O1842" t="s">
        <v>77</v>
      </c>
      <c r="P1842">
        <v>1</v>
      </c>
      <c r="R1842">
        <v>2</v>
      </c>
      <c r="S1842" s="17">
        <v>42130</v>
      </c>
      <c r="T1842" s="17">
        <v>42130</v>
      </c>
      <c r="U1842">
        <v>27832</v>
      </c>
      <c r="V1842">
        <v>20150504</v>
      </c>
      <c r="W1842">
        <v>2015</v>
      </c>
      <c r="X1842">
        <v>1</v>
      </c>
      <c r="AC1842" t="s">
        <v>49</v>
      </c>
      <c r="AD1842" t="s">
        <v>301</v>
      </c>
      <c r="AE1842" t="s">
        <v>46</v>
      </c>
      <c r="AG1842">
        <v>12</v>
      </c>
      <c r="AH1842">
        <v>4</v>
      </c>
      <c r="AI1842" t="s">
        <v>78</v>
      </c>
      <c r="AM1842">
        <v>0</v>
      </c>
      <c r="AP1842" t="s">
        <v>392</v>
      </c>
    </row>
    <row r="1843" spans="1:42" customFormat="1">
      <c r="A1843">
        <v>269612</v>
      </c>
      <c r="B1843">
        <v>204810</v>
      </c>
      <c r="C1843" t="s">
        <v>460</v>
      </c>
      <c r="D1843" s="22">
        <v>1724</v>
      </c>
      <c r="E1843" s="17">
        <v>42128</v>
      </c>
      <c r="F1843" s="18">
        <v>0.5</v>
      </c>
      <c r="G1843" s="22">
        <v>0</v>
      </c>
      <c r="H1843">
        <v>0</v>
      </c>
      <c r="I1843" s="19" t="e">
        <f>I1842 + (D1843-G1843)</f>
        <v>#VALUE!</v>
      </c>
      <c r="L1843">
        <v>204810</v>
      </c>
      <c r="N1843">
        <v>1</v>
      </c>
      <c r="O1843" t="s">
        <v>77</v>
      </c>
      <c r="P1843">
        <v>1</v>
      </c>
      <c r="R1843">
        <v>2</v>
      </c>
      <c r="S1843" s="17">
        <v>42136</v>
      </c>
      <c r="T1843" s="17">
        <v>42136</v>
      </c>
      <c r="U1843">
        <v>28422</v>
      </c>
      <c r="W1843">
        <v>2015</v>
      </c>
      <c r="X1843">
        <v>1</v>
      </c>
      <c r="AC1843" t="s">
        <v>49</v>
      </c>
      <c r="AD1843" t="s">
        <v>301</v>
      </c>
      <c r="AE1843" t="s">
        <v>46</v>
      </c>
      <c r="AG1843">
        <v>69</v>
      </c>
      <c r="AH1843">
        <v>4</v>
      </c>
      <c r="AI1843" t="s">
        <v>78</v>
      </c>
      <c r="AM1843">
        <v>0</v>
      </c>
      <c r="AP1843" t="s">
        <v>339</v>
      </c>
    </row>
    <row r="1844" spans="1:42" customFormat="1">
      <c r="A1844">
        <v>269613</v>
      </c>
      <c r="B1844">
        <v>205121</v>
      </c>
      <c r="C1844" t="s">
        <v>461</v>
      </c>
      <c r="D1844" s="22">
        <v>1473</v>
      </c>
      <c r="E1844" s="17">
        <v>42128</v>
      </c>
      <c r="F1844" s="18">
        <v>0.5</v>
      </c>
      <c r="G1844" s="22">
        <v>0</v>
      </c>
      <c r="H1844">
        <v>0</v>
      </c>
      <c r="I1844" s="19" t="e">
        <f>I1843 + (D1844-G1844)</f>
        <v>#VALUE!</v>
      </c>
      <c r="L1844">
        <v>205121</v>
      </c>
      <c r="N1844">
        <v>1</v>
      </c>
      <c r="O1844" t="s">
        <v>77</v>
      </c>
      <c r="P1844">
        <v>1</v>
      </c>
      <c r="R1844">
        <v>2</v>
      </c>
      <c r="S1844" s="17">
        <v>42136</v>
      </c>
      <c r="T1844" s="17">
        <v>42136</v>
      </c>
      <c r="U1844">
        <v>28423</v>
      </c>
      <c r="W1844">
        <v>2015</v>
      </c>
      <c r="X1844">
        <v>1</v>
      </c>
      <c r="AC1844" t="s">
        <v>49</v>
      </c>
      <c r="AD1844" t="s">
        <v>301</v>
      </c>
      <c r="AE1844" t="s">
        <v>46</v>
      </c>
      <c r="AG1844">
        <v>69</v>
      </c>
      <c r="AH1844">
        <v>4</v>
      </c>
      <c r="AI1844" t="s">
        <v>78</v>
      </c>
      <c r="AM1844">
        <v>0</v>
      </c>
      <c r="AP1844" t="s">
        <v>339</v>
      </c>
    </row>
    <row r="1845" spans="1:42" customFormat="1">
      <c r="A1845">
        <v>269584</v>
      </c>
      <c r="B1845">
        <v>204641</v>
      </c>
      <c r="C1845" t="s">
        <v>462</v>
      </c>
      <c r="D1845" s="22">
        <v>1724</v>
      </c>
      <c r="E1845" s="17">
        <v>42128</v>
      </c>
      <c r="F1845" s="18">
        <v>0.5</v>
      </c>
      <c r="G1845" s="22">
        <v>0</v>
      </c>
      <c r="H1845">
        <v>0</v>
      </c>
      <c r="I1845" s="19" t="e">
        <f>I1844 + (D1845-G1845)</f>
        <v>#VALUE!</v>
      </c>
      <c r="L1845">
        <v>204641</v>
      </c>
      <c r="N1845">
        <v>1</v>
      </c>
      <c r="O1845" t="s">
        <v>77</v>
      </c>
      <c r="P1845">
        <v>1</v>
      </c>
      <c r="R1845">
        <v>2</v>
      </c>
      <c r="S1845" s="17">
        <v>42136</v>
      </c>
      <c r="T1845" s="17">
        <v>42136</v>
      </c>
      <c r="U1845">
        <v>28394</v>
      </c>
      <c r="W1845">
        <v>2015</v>
      </c>
      <c r="X1845">
        <v>1</v>
      </c>
      <c r="AC1845" t="s">
        <v>49</v>
      </c>
      <c r="AD1845" t="s">
        <v>301</v>
      </c>
      <c r="AE1845" t="s">
        <v>46</v>
      </c>
      <c r="AG1845">
        <v>69</v>
      </c>
      <c r="AH1845">
        <v>4</v>
      </c>
      <c r="AI1845" t="s">
        <v>78</v>
      </c>
      <c r="AM1845">
        <v>0</v>
      </c>
      <c r="AP1845" t="s">
        <v>339</v>
      </c>
    </row>
    <row r="1846" spans="1:42" customFormat="1">
      <c r="A1846">
        <v>269609</v>
      </c>
      <c r="B1846">
        <v>204822</v>
      </c>
      <c r="C1846" t="s">
        <v>463</v>
      </c>
      <c r="D1846" s="22">
        <v>1724</v>
      </c>
      <c r="E1846" s="17">
        <v>42128</v>
      </c>
      <c r="F1846" s="18">
        <v>0.5</v>
      </c>
      <c r="G1846" s="22">
        <v>0</v>
      </c>
      <c r="H1846">
        <v>0</v>
      </c>
      <c r="I1846" s="19" t="e">
        <f>I1845 + (D1846-G1846)</f>
        <v>#VALUE!</v>
      </c>
      <c r="L1846">
        <v>204822</v>
      </c>
      <c r="N1846">
        <v>1</v>
      </c>
      <c r="O1846" t="s">
        <v>77</v>
      </c>
      <c r="P1846">
        <v>1</v>
      </c>
      <c r="R1846">
        <v>2</v>
      </c>
      <c r="S1846" s="17">
        <v>42136</v>
      </c>
      <c r="T1846" s="17">
        <v>42136</v>
      </c>
      <c r="U1846">
        <v>28419</v>
      </c>
      <c r="W1846">
        <v>2015</v>
      </c>
      <c r="X1846">
        <v>1</v>
      </c>
      <c r="AC1846" t="s">
        <v>49</v>
      </c>
      <c r="AD1846" t="s">
        <v>301</v>
      </c>
      <c r="AE1846" t="s">
        <v>46</v>
      </c>
      <c r="AG1846">
        <v>69</v>
      </c>
      <c r="AH1846">
        <v>4</v>
      </c>
      <c r="AI1846" t="s">
        <v>78</v>
      </c>
      <c r="AM1846">
        <v>0</v>
      </c>
      <c r="AP1846" t="s">
        <v>339</v>
      </c>
    </row>
    <row r="1847" spans="1:42" customFormat="1">
      <c r="A1847">
        <v>269599</v>
      </c>
      <c r="B1847">
        <v>205103</v>
      </c>
      <c r="C1847" t="s">
        <v>464</v>
      </c>
      <c r="D1847" s="22">
        <v>1473</v>
      </c>
      <c r="E1847" s="17">
        <v>42128</v>
      </c>
      <c r="F1847" s="18">
        <v>0.5</v>
      </c>
      <c r="G1847" s="22">
        <v>0</v>
      </c>
      <c r="H1847">
        <v>0</v>
      </c>
      <c r="I1847" s="19" t="e">
        <f>I1846 + (D1847-G1847)</f>
        <v>#VALUE!</v>
      </c>
      <c r="L1847">
        <v>205103</v>
      </c>
      <c r="N1847">
        <v>1</v>
      </c>
      <c r="O1847" t="s">
        <v>77</v>
      </c>
      <c r="P1847">
        <v>1</v>
      </c>
      <c r="R1847">
        <v>2</v>
      </c>
      <c r="S1847" s="17">
        <v>42136</v>
      </c>
      <c r="T1847" s="17">
        <v>42136</v>
      </c>
      <c r="U1847">
        <v>28409</v>
      </c>
      <c r="W1847">
        <v>2015</v>
      </c>
      <c r="X1847">
        <v>1</v>
      </c>
      <c r="AC1847" t="s">
        <v>49</v>
      </c>
      <c r="AD1847" t="s">
        <v>301</v>
      </c>
      <c r="AE1847" t="s">
        <v>46</v>
      </c>
      <c r="AG1847">
        <v>69</v>
      </c>
      <c r="AH1847">
        <v>4</v>
      </c>
      <c r="AI1847" t="s">
        <v>78</v>
      </c>
      <c r="AM1847">
        <v>0</v>
      </c>
      <c r="AP1847" t="s">
        <v>339</v>
      </c>
    </row>
    <row r="1848" spans="1:42" customFormat="1">
      <c r="A1848">
        <v>269610</v>
      </c>
      <c r="B1848">
        <v>205033</v>
      </c>
      <c r="C1848" t="s">
        <v>465</v>
      </c>
      <c r="D1848" s="22">
        <v>1473</v>
      </c>
      <c r="E1848" s="17">
        <v>42128</v>
      </c>
      <c r="F1848" s="18">
        <v>0.5</v>
      </c>
      <c r="G1848" s="22">
        <v>0</v>
      </c>
      <c r="H1848">
        <v>0</v>
      </c>
      <c r="I1848" s="19" t="e">
        <f>I1847 + (D1848-G1848)</f>
        <v>#VALUE!</v>
      </c>
      <c r="L1848">
        <v>205033</v>
      </c>
      <c r="N1848">
        <v>1</v>
      </c>
      <c r="O1848" t="s">
        <v>77</v>
      </c>
      <c r="P1848">
        <v>1</v>
      </c>
      <c r="R1848">
        <v>2</v>
      </c>
      <c r="S1848" s="17">
        <v>42136</v>
      </c>
      <c r="T1848" s="17">
        <v>42136</v>
      </c>
      <c r="U1848">
        <v>28420</v>
      </c>
      <c r="W1848">
        <v>2015</v>
      </c>
      <c r="X1848">
        <v>1</v>
      </c>
      <c r="AC1848" t="s">
        <v>49</v>
      </c>
      <c r="AD1848" t="s">
        <v>301</v>
      </c>
      <c r="AE1848" t="s">
        <v>46</v>
      </c>
      <c r="AG1848">
        <v>69</v>
      </c>
      <c r="AH1848">
        <v>4</v>
      </c>
      <c r="AI1848" t="s">
        <v>78</v>
      </c>
      <c r="AM1848">
        <v>0</v>
      </c>
      <c r="AP1848" t="s">
        <v>339</v>
      </c>
    </row>
    <row r="1849" spans="1:42" customFormat="1">
      <c r="A1849">
        <v>269592</v>
      </c>
      <c r="B1849">
        <v>205115</v>
      </c>
      <c r="C1849" t="s">
        <v>466</v>
      </c>
      <c r="D1849" s="22">
        <v>1473</v>
      </c>
      <c r="E1849" s="17">
        <v>42128</v>
      </c>
      <c r="F1849" s="18">
        <v>0.5</v>
      </c>
      <c r="G1849" s="22">
        <v>0</v>
      </c>
      <c r="H1849">
        <v>0</v>
      </c>
      <c r="I1849" s="19" t="e">
        <f>I1848 + (D1849-G1849)</f>
        <v>#VALUE!</v>
      </c>
      <c r="L1849">
        <v>205115</v>
      </c>
      <c r="N1849">
        <v>1</v>
      </c>
      <c r="O1849" t="s">
        <v>77</v>
      </c>
      <c r="P1849">
        <v>1</v>
      </c>
      <c r="R1849">
        <v>2</v>
      </c>
      <c r="S1849" s="17">
        <v>42136</v>
      </c>
      <c r="T1849" s="17">
        <v>42136</v>
      </c>
      <c r="U1849">
        <v>28402</v>
      </c>
      <c r="W1849">
        <v>2015</v>
      </c>
      <c r="X1849">
        <v>1</v>
      </c>
      <c r="AC1849" t="s">
        <v>49</v>
      </c>
      <c r="AD1849" t="s">
        <v>301</v>
      </c>
      <c r="AE1849" t="s">
        <v>46</v>
      </c>
      <c r="AG1849">
        <v>69</v>
      </c>
      <c r="AH1849">
        <v>4</v>
      </c>
      <c r="AI1849" t="s">
        <v>78</v>
      </c>
      <c r="AM1849">
        <v>0</v>
      </c>
      <c r="AP1849" t="s">
        <v>339</v>
      </c>
    </row>
    <row r="1850" spans="1:42" customFormat="1">
      <c r="A1850">
        <v>269597</v>
      </c>
      <c r="B1850">
        <v>205055</v>
      </c>
      <c r="C1850" t="s">
        <v>467</v>
      </c>
      <c r="D1850" s="22">
        <v>1473</v>
      </c>
      <c r="E1850" s="17">
        <v>42128</v>
      </c>
      <c r="F1850" s="18">
        <v>0.5</v>
      </c>
      <c r="G1850" s="22">
        <v>0</v>
      </c>
      <c r="H1850">
        <v>0</v>
      </c>
      <c r="I1850" s="19" t="e">
        <f>I1849 + (D1850-G1850)</f>
        <v>#VALUE!</v>
      </c>
      <c r="L1850">
        <v>205055</v>
      </c>
      <c r="N1850">
        <v>1</v>
      </c>
      <c r="O1850" t="s">
        <v>77</v>
      </c>
      <c r="P1850">
        <v>1</v>
      </c>
      <c r="R1850">
        <v>2</v>
      </c>
      <c r="S1850" s="17">
        <v>42136</v>
      </c>
      <c r="T1850" s="17">
        <v>42136</v>
      </c>
      <c r="U1850">
        <v>28407</v>
      </c>
      <c r="W1850">
        <v>2015</v>
      </c>
      <c r="X1850">
        <v>1</v>
      </c>
      <c r="AC1850" t="s">
        <v>49</v>
      </c>
      <c r="AD1850" t="s">
        <v>301</v>
      </c>
      <c r="AE1850" t="s">
        <v>46</v>
      </c>
      <c r="AG1850">
        <v>69</v>
      </c>
      <c r="AH1850">
        <v>4</v>
      </c>
      <c r="AI1850" t="s">
        <v>78</v>
      </c>
      <c r="AM1850">
        <v>0</v>
      </c>
      <c r="AP1850" t="s">
        <v>339</v>
      </c>
    </row>
    <row r="1851" spans="1:42" customFormat="1">
      <c r="A1851">
        <v>269586</v>
      </c>
      <c r="B1851">
        <v>205085</v>
      </c>
      <c r="C1851" t="s">
        <v>468</v>
      </c>
      <c r="D1851" s="22">
        <v>1473</v>
      </c>
      <c r="E1851" s="17">
        <v>42128</v>
      </c>
      <c r="F1851" s="18">
        <v>0.5</v>
      </c>
      <c r="G1851" s="22">
        <v>0</v>
      </c>
      <c r="H1851">
        <v>0</v>
      </c>
      <c r="I1851" s="19" t="e">
        <f>I1850 + (D1851-G1851)</f>
        <v>#VALUE!</v>
      </c>
      <c r="L1851">
        <v>205085</v>
      </c>
      <c r="N1851">
        <v>1</v>
      </c>
      <c r="O1851" t="s">
        <v>77</v>
      </c>
      <c r="P1851">
        <v>1</v>
      </c>
      <c r="R1851">
        <v>2</v>
      </c>
      <c r="S1851" s="17">
        <v>42136</v>
      </c>
      <c r="T1851" s="17">
        <v>42136</v>
      </c>
      <c r="U1851">
        <v>28396</v>
      </c>
      <c r="W1851">
        <v>2015</v>
      </c>
      <c r="X1851">
        <v>1</v>
      </c>
      <c r="AC1851" t="s">
        <v>49</v>
      </c>
      <c r="AD1851" t="s">
        <v>301</v>
      </c>
      <c r="AE1851" t="s">
        <v>46</v>
      </c>
      <c r="AG1851">
        <v>69</v>
      </c>
      <c r="AH1851">
        <v>4</v>
      </c>
      <c r="AI1851" t="s">
        <v>78</v>
      </c>
      <c r="AM1851">
        <v>0</v>
      </c>
      <c r="AP1851" t="s">
        <v>339</v>
      </c>
    </row>
    <row r="1852" spans="1:42" customFormat="1">
      <c r="A1852">
        <v>269591</v>
      </c>
      <c r="B1852">
        <v>205185</v>
      </c>
      <c r="C1852" t="s">
        <v>469</v>
      </c>
      <c r="D1852" s="22">
        <v>1473</v>
      </c>
      <c r="E1852" s="17">
        <v>42128</v>
      </c>
      <c r="F1852" s="18">
        <v>0.5</v>
      </c>
      <c r="G1852" s="22">
        <v>0</v>
      </c>
      <c r="H1852">
        <v>0</v>
      </c>
      <c r="I1852" s="19" t="e">
        <f>I1851 + (D1852-G1852)</f>
        <v>#VALUE!</v>
      </c>
      <c r="L1852">
        <v>205185</v>
      </c>
      <c r="N1852">
        <v>1</v>
      </c>
      <c r="O1852" t="s">
        <v>77</v>
      </c>
      <c r="P1852">
        <v>1</v>
      </c>
      <c r="R1852">
        <v>2</v>
      </c>
      <c r="S1852" s="17">
        <v>42136</v>
      </c>
      <c r="T1852" s="17">
        <v>42136</v>
      </c>
      <c r="U1852">
        <v>28401</v>
      </c>
      <c r="W1852">
        <v>2015</v>
      </c>
      <c r="X1852">
        <v>1</v>
      </c>
      <c r="AC1852" t="s">
        <v>49</v>
      </c>
      <c r="AD1852" t="s">
        <v>301</v>
      </c>
      <c r="AE1852" t="s">
        <v>46</v>
      </c>
      <c r="AG1852">
        <v>69</v>
      </c>
      <c r="AH1852">
        <v>4</v>
      </c>
      <c r="AI1852" t="s">
        <v>78</v>
      </c>
      <c r="AM1852">
        <v>0</v>
      </c>
      <c r="AP1852" t="s">
        <v>339</v>
      </c>
    </row>
    <row r="1853" spans="1:42" customFormat="1">
      <c r="A1853">
        <v>269602</v>
      </c>
      <c r="B1853">
        <v>204736</v>
      </c>
      <c r="C1853" t="s">
        <v>470</v>
      </c>
      <c r="D1853" s="22">
        <v>1724</v>
      </c>
      <c r="E1853" s="17">
        <v>42128</v>
      </c>
      <c r="F1853" s="18">
        <v>0.5</v>
      </c>
      <c r="G1853" s="22">
        <v>0</v>
      </c>
      <c r="H1853">
        <v>0</v>
      </c>
      <c r="I1853" s="19" t="e">
        <f>I1852 + (D1853-G1853)</f>
        <v>#VALUE!</v>
      </c>
      <c r="L1853">
        <v>204736</v>
      </c>
      <c r="N1853">
        <v>1</v>
      </c>
      <c r="O1853" t="s">
        <v>77</v>
      </c>
      <c r="P1853">
        <v>1</v>
      </c>
      <c r="R1853">
        <v>2</v>
      </c>
      <c r="S1853" s="17">
        <v>42136</v>
      </c>
      <c r="T1853" s="17">
        <v>42136</v>
      </c>
      <c r="U1853">
        <v>28412</v>
      </c>
      <c r="W1853">
        <v>2015</v>
      </c>
      <c r="X1853">
        <v>1</v>
      </c>
      <c r="AC1853" t="s">
        <v>49</v>
      </c>
      <c r="AD1853" t="s">
        <v>301</v>
      </c>
      <c r="AE1853" t="s">
        <v>46</v>
      </c>
      <c r="AG1853">
        <v>69</v>
      </c>
      <c r="AH1853">
        <v>4</v>
      </c>
      <c r="AI1853" t="s">
        <v>78</v>
      </c>
      <c r="AM1853">
        <v>0</v>
      </c>
      <c r="AP1853" t="s">
        <v>339</v>
      </c>
    </row>
    <row r="1854" spans="1:42" customFormat="1">
      <c r="A1854">
        <v>269605</v>
      </c>
      <c r="B1854">
        <v>205166</v>
      </c>
      <c r="C1854" t="s">
        <v>471</v>
      </c>
      <c r="D1854" s="22">
        <v>1473</v>
      </c>
      <c r="E1854" s="17">
        <v>42128</v>
      </c>
      <c r="F1854" s="18">
        <v>0.5</v>
      </c>
      <c r="G1854" s="22">
        <v>0</v>
      </c>
      <c r="H1854">
        <v>0</v>
      </c>
      <c r="I1854" s="19" t="e">
        <f>I1853 + (D1854-G1854)</f>
        <v>#VALUE!</v>
      </c>
      <c r="L1854">
        <v>205166</v>
      </c>
      <c r="N1854">
        <v>1</v>
      </c>
      <c r="O1854" t="s">
        <v>77</v>
      </c>
      <c r="P1854">
        <v>1</v>
      </c>
      <c r="R1854">
        <v>2</v>
      </c>
      <c r="S1854" s="17">
        <v>42136</v>
      </c>
      <c r="T1854" s="17">
        <v>42136</v>
      </c>
      <c r="U1854">
        <v>28415</v>
      </c>
      <c r="W1854">
        <v>2015</v>
      </c>
      <c r="X1854">
        <v>1</v>
      </c>
      <c r="AC1854" t="s">
        <v>49</v>
      </c>
      <c r="AD1854" t="s">
        <v>301</v>
      </c>
      <c r="AE1854" t="s">
        <v>46</v>
      </c>
      <c r="AG1854">
        <v>69</v>
      </c>
      <c r="AH1854">
        <v>4</v>
      </c>
      <c r="AI1854" t="s">
        <v>78</v>
      </c>
      <c r="AM1854">
        <v>0</v>
      </c>
      <c r="AP1854" t="s">
        <v>339</v>
      </c>
    </row>
    <row r="1855" spans="1:42" customFormat="1">
      <c r="A1855">
        <v>269596</v>
      </c>
      <c r="B1855">
        <v>204647</v>
      </c>
      <c r="C1855" t="s">
        <v>472</v>
      </c>
      <c r="D1855" s="22">
        <v>1724</v>
      </c>
      <c r="E1855" s="17">
        <v>42128</v>
      </c>
      <c r="F1855" s="18">
        <v>0.5</v>
      </c>
      <c r="G1855" s="22">
        <v>0</v>
      </c>
      <c r="H1855">
        <v>0</v>
      </c>
      <c r="I1855" s="19" t="e">
        <f>I1854 + (D1855-G1855)</f>
        <v>#VALUE!</v>
      </c>
      <c r="L1855">
        <v>204647</v>
      </c>
      <c r="N1855">
        <v>1</v>
      </c>
      <c r="O1855" t="s">
        <v>77</v>
      </c>
      <c r="P1855">
        <v>1</v>
      </c>
      <c r="R1855">
        <v>2</v>
      </c>
      <c r="S1855" s="17">
        <v>42136</v>
      </c>
      <c r="T1855" s="17">
        <v>42136</v>
      </c>
      <c r="U1855">
        <v>28406</v>
      </c>
      <c r="W1855">
        <v>2015</v>
      </c>
      <c r="X1855">
        <v>1</v>
      </c>
      <c r="AC1855" t="s">
        <v>49</v>
      </c>
      <c r="AD1855" t="s">
        <v>301</v>
      </c>
      <c r="AE1855" t="s">
        <v>46</v>
      </c>
      <c r="AG1855">
        <v>69</v>
      </c>
      <c r="AH1855">
        <v>4</v>
      </c>
      <c r="AI1855" t="s">
        <v>78</v>
      </c>
      <c r="AM1855">
        <v>0</v>
      </c>
      <c r="AP1855" t="s">
        <v>339</v>
      </c>
    </row>
    <row r="1856" spans="1:42" customFormat="1">
      <c r="A1856">
        <v>269604</v>
      </c>
      <c r="B1856">
        <v>205067</v>
      </c>
      <c r="C1856" t="s">
        <v>473</v>
      </c>
      <c r="D1856" s="22">
        <v>1473</v>
      </c>
      <c r="E1856" s="17">
        <v>42128</v>
      </c>
      <c r="F1856" s="18">
        <v>0.5</v>
      </c>
      <c r="G1856" s="22">
        <v>0</v>
      </c>
      <c r="H1856">
        <v>0</v>
      </c>
      <c r="I1856" s="19" t="e">
        <f>I1855 + (D1856-G1856)</f>
        <v>#VALUE!</v>
      </c>
      <c r="L1856">
        <v>205067</v>
      </c>
      <c r="N1856">
        <v>1</v>
      </c>
      <c r="O1856" t="s">
        <v>77</v>
      </c>
      <c r="P1856">
        <v>1</v>
      </c>
      <c r="R1856">
        <v>2</v>
      </c>
      <c r="S1856" s="17">
        <v>42136</v>
      </c>
      <c r="T1856" s="17">
        <v>42136</v>
      </c>
      <c r="U1856">
        <v>28414</v>
      </c>
      <c r="W1856">
        <v>2015</v>
      </c>
      <c r="X1856">
        <v>1</v>
      </c>
      <c r="AC1856" t="s">
        <v>49</v>
      </c>
      <c r="AD1856" t="s">
        <v>301</v>
      </c>
      <c r="AE1856" t="s">
        <v>46</v>
      </c>
      <c r="AG1856">
        <v>69</v>
      </c>
      <c r="AH1856">
        <v>4</v>
      </c>
      <c r="AI1856" t="s">
        <v>78</v>
      </c>
      <c r="AM1856">
        <v>0</v>
      </c>
      <c r="AP1856" t="s">
        <v>339</v>
      </c>
    </row>
    <row r="1857" spans="1:42" customFormat="1">
      <c r="A1857">
        <v>269607</v>
      </c>
      <c r="B1857">
        <v>205109</v>
      </c>
      <c r="C1857" t="s">
        <v>474</v>
      </c>
      <c r="D1857" s="22">
        <v>1473</v>
      </c>
      <c r="E1857" s="17">
        <v>42128</v>
      </c>
      <c r="F1857" s="18">
        <v>0.5</v>
      </c>
      <c r="G1857" s="22">
        <v>0</v>
      </c>
      <c r="H1857">
        <v>0</v>
      </c>
      <c r="I1857" s="19" t="e">
        <f>I1856 + (D1857-G1857)</f>
        <v>#VALUE!</v>
      </c>
      <c r="L1857">
        <v>205109</v>
      </c>
      <c r="N1857">
        <v>1</v>
      </c>
      <c r="O1857" t="s">
        <v>77</v>
      </c>
      <c r="P1857">
        <v>1</v>
      </c>
      <c r="R1857">
        <v>2</v>
      </c>
      <c r="S1857" s="17">
        <v>42136</v>
      </c>
      <c r="T1857" s="17">
        <v>42136</v>
      </c>
      <c r="U1857">
        <v>28417</v>
      </c>
      <c r="W1857">
        <v>2015</v>
      </c>
      <c r="X1857">
        <v>1</v>
      </c>
      <c r="AC1857" t="s">
        <v>49</v>
      </c>
      <c r="AD1857" t="s">
        <v>301</v>
      </c>
      <c r="AE1857" t="s">
        <v>46</v>
      </c>
      <c r="AG1857">
        <v>69</v>
      </c>
      <c r="AH1857">
        <v>4</v>
      </c>
      <c r="AI1857" t="s">
        <v>78</v>
      </c>
      <c r="AM1857">
        <v>0</v>
      </c>
      <c r="AP1857" t="s">
        <v>339</v>
      </c>
    </row>
    <row r="1858" spans="1:42" customFormat="1">
      <c r="A1858">
        <v>269603</v>
      </c>
      <c r="B1858">
        <v>205049</v>
      </c>
      <c r="C1858" t="s">
        <v>475</v>
      </c>
      <c r="D1858" s="22">
        <v>1473</v>
      </c>
      <c r="E1858" s="17">
        <v>42128</v>
      </c>
      <c r="F1858" s="18">
        <v>0.5</v>
      </c>
      <c r="G1858" s="22">
        <v>0</v>
      </c>
      <c r="H1858">
        <v>0</v>
      </c>
      <c r="I1858" s="19" t="e">
        <f>I1857 + (D1858-G1858)</f>
        <v>#VALUE!</v>
      </c>
      <c r="L1858">
        <v>205049</v>
      </c>
      <c r="N1858">
        <v>1</v>
      </c>
      <c r="O1858" t="s">
        <v>77</v>
      </c>
      <c r="P1858">
        <v>1</v>
      </c>
      <c r="R1858">
        <v>2</v>
      </c>
      <c r="S1858" s="17">
        <v>42136</v>
      </c>
      <c r="T1858" s="17">
        <v>42136</v>
      </c>
      <c r="U1858">
        <v>28413</v>
      </c>
      <c r="W1858">
        <v>2015</v>
      </c>
      <c r="X1858">
        <v>1</v>
      </c>
      <c r="AC1858" t="s">
        <v>49</v>
      </c>
      <c r="AD1858" t="s">
        <v>301</v>
      </c>
      <c r="AE1858" t="s">
        <v>46</v>
      </c>
      <c r="AG1858">
        <v>69</v>
      </c>
      <c r="AH1858">
        <v>4</v>
      </c>
      <c r="AI1858" t="s">
        <v>78</v>
      </c>
      <c r="AM1858">
        <v>0</v>
      </c>
      <c r="AP1858" t="s">
        <v>339</v>
      </c>
    </row>
    <row r="1859" spans="1:42" customFormat="1">
      <c r="A1859">
        <v>269594</v>
      </c>
      <c r="B1859">
        <v>191230</v>
      </c>
      <c r="C1859" t="s">
        <v>476</v>
      </c>
      <c r="D1859" s="22">
        <v>1473</v>
      </c>
      <c r="E1859" s="17">
        <v>42128</v>
      </c>
      <c r="F1859" s="18">
        <v>0.5</v>
      </c>
      <c r="G1859" s="22">
        <v>0</v>
      </c>
      <c r="H1859">
        <v>0</v>
      </c>
      <c r="I1859" s="19" t="e">
        <f>I1858 + (D1859-G1859)</f>
        <v>#VALUE!</v>
      </c>
      <c r="L1859">
        <v>191230</v>
      </c>
      <c r="N1859">
        <v>1</v>
      </c>
      <c r="O1859" t="s">
        <v>77</v>
      </c>
      <c r="P1859">
        <v>1</v>
      </c>
      <c r="R1859">
        <v>2</v>
      </c>
      <c r="S1859" s="17">
        <v>42136</v>
      </c>
      <c r="T1859" s="17">
        <v>42136</v>
      </c>
      <c r="U1859">
        <v>28404</v>
      </c>
      <c r="W1859">
        <v>2015</v>
      </c>
      <c r="X1859">
        <v>1</v>
      </c>
      <c r="AC1859" t="s">
        <v>49</v>
      </c>
      <c r="AD1859" t="s">
        <v>301</v>
      </c>
      <c r="AE1859" t="s">
        <v>46</v>
      </c>
      <c r="AG1859">
        <v>69</v>
      </c>
      <c r="AH1859">
        <v>4</v>
      </c>
      <c r="AI1859" t="s">
        <v>78</v>
      </c>
      <c r="AM1859">
        <v>0</v>
      </c>
      <c r="AP1859" t="s">
        <v>339</v>
      </c>
    </row>
    <row r="1860" spans="1:42" customFormat="1">
      <c r="A1860">
        <v>269611</v>
      </c>
      <c r="B1860">
        <v>191860</v>
      </c>
      <c r="C1860" t="s">
        <v>477</v>
      </c>
      <c r="D1860" s="22">
        <v>1724</v>
      </c>
      <c r="E1860" s="17">
        <v>42128</v>
      </c>
      <c r="F1860" s="18">
        <v>0.5</v>
      </c>
      <c r="G1860" s="22">
        <v>0</v>
      </c>
      <c r="H1860">
        <v>0</v>
      </c>
      <c r="I1860" s="19" t="e">
        <f>I1859 + (D1860-G1860)</f>
        <v>#VALUE!</v>
      </c>
      <c r="L1860">
        <v>191860</v>
      </c>
      <c r="N1860">
        <v>1</v>
      </c>
      <c r="O1860" t="s">
        <v>77</v>
      </c>
      <c r="P1860">
        <v>1</v>
      </c>
      <c r="R1860">
        <v>2</v>
      </c>
      <c r="S1860" s="17">
        <v>42136</v>
      </c>
      <c r="T1860" s="17">
        <v>42136</v>
      </c>
      <c r="U1860">
        <v>28421</v>
      </c>
      <c r="W1860">
        <v>2015</v>
      </c>
      <c r="X1860">
        <v>1</v>
      </c>
      <c r="AC1860" t="s">
        <v>49</v>
      </c>
      <c r="AD1860" t="s">
        <v>301</v>
      </c>
      <c r="AE1860" t="s">
        <v>46</v>
      </c>
      <c r="AG1860">
        <v>69</v>
      </c>
      <c r="AH1860">
        <v>4</v>
      </c>
      <c r="AI1860" t="s">
        <v>78</v>
      </c>
      <c r="AM1860">
        <v>0</v>
      </c>
      <c r="AP1860" t="s">
        <v>339</v>
      </c>
    </row>
    <row r="1861" spans="1:42" customFormat="1">
      <c r="A1861">
        <v>269614</v>
      </c>
      <c r="B1861">
        <v>192190</v>
      </c>
      <c r="C1861" t="s">
        <v>478</v>
      </c>
      <c r="D1861" s="22">
        <v>1724</v>
      </c>
      <c r="E1861" s="17">
        <v>42128</v>
      </c>
      <c r="F1861" s="18">
        <v>0.5</v>
      </c>
      <c r="G1861" s="22">
        <v>0</v>
      </c>
      <c r="H1861">
        <v>0</v>
      </c>
      <c r="I1861" s="19" t="e">
        <f>I1860 + (D1861-G1861)</f>
        <v>#VALUE!</v>
      </c>
      <c r="L1861">
        <v>192190</v>
      </c>
      <c r="N1861">
        <v>1</v>
      </c>
      <c r="O1861" t="s">
        <v>77</v>
      </c>
      <c r="P1861">
        <v>1</v>
      </c>
      <c r="R1861">
        <v>2</v>
      </c>
      <c r="S1861" s="17">
        <v>42136</v>
      </c>
      <c r="T1861" s="17">
        <v>42136</v>
      </c>
      <c r="U1861">
        <v>28424</v>
      </c>
      <c r="W1861">
        <v>2015</v>
      </c>
      <c r="X1861">
        <v>1</v>
      </c>
      <c r="AC1861" t="s">
        <v>49</v>
      </c>
      <c r="AD1861" t="s">
        <v>301</v>
      </c>
      <c r="AE1861" t="s">
        <v>46</v>
      </c>
      <c r="AG1861">
        <v>69</v>
      </c>
      <c r="AH1861">
        <v>4</v>
      </c>
      <c r="AI1861" t="s">
        <v>78</v>
      </c>
      <c r="AM1861">
        <v>0</v>
      </c>
      <c r="AP1861" t="s">
        <v>339</v>
      </c>
    </row>
    <row r="1862" spans="1:42" customFormat="1">
      <c r="A1862">
        <v>269598</v>
      </c>
      <c r="B1862">
        <v>192061</v>
      </c>
      <c r="C1862" t="s">
        <v>479</v>
      </c>
      <c r="D1862" s="22">
        <v>1724</v>
      </c>
      <c r="E1862" s="17">
        <v>42128</v>
      </c>
      <c r="F1862" s="18">
        <v>0.5</v>
      </c>
      <c r="G1862" s="22">
        <v>0</v>
      </c>
      <c r="H1862">
        <v>0</v>
      </c>
      <c r="I1862" s="19" t="e">
        <f>I1861 + (D1862-G1862)</f>
        <v>#VALUE!</v>
      </c>
      <c r="L1862">
        <v>192061</v>
      </c>
      <c r="N1862">
        <v>1</v>
      </c>
      <c r="O1862" t="s">
        <v>77</v>
      </c>
      <c r="P1862">
        <v>1</v>
      </c>
      <c r="R1862">
        <v>2</v>
      </c>
      <c r="S1862" s="17">
        <v>42136</v>
      </c>
      <c r="T1862" s="17">
        <v>42136</v>
      </c>
      <c r="U1862">
        <v>28408</v>
      </c>
      <c r="W1862">
        <v>2015</v>
      </c>
      <c r="X1862">
        <v>1</v>
      </c>
      <c r="AC1862" t="s">
        <v>49</v>
      </c>
      <c r="AD1862" t="s">
        <v>301</v>
      </c>
      <c r="AE1862" t="s">
        <v>46</v>
      </c>
      <c r="AG1862">
        <v>69</v>
      </c>
      <c r="AH1862">
        <v>4</v>
      </c>
      <c r="AI1862" t="s">
        <v>78</v>
      </c>
      <c r="AM1862">
        <v>0</v>
      </c>
      <c r="AP1862" t="s">
        <v>339</v>
      </c>
    </row>
    <row r="1863" spans="1:42" customFormat="1">
      <c r="A1863">
        <v>269585</v>
      </c>
      <c r="B1863">
        <v>191223</v>
      </c>
      <c r="C1863" t="s">
        <v>480</v>
      </c>
      <c r="D1863" s="22">
        <v>1473</v>
      </c>
      <c r="E1863" s="17">
        <v>42128</v>
      </c>
      <c r="F1863" s="18">
        <v>0.5</v>
      </c>
      <c r="G1863" s="22">
        <v>0</v>
      </c>
      <c r="H1863">
        <v>0</v>
      </c>
      <c r="I1863" s="19" t="e">
        <f>I1862 + (D1863-G1863)</f>
        <v>#VALUE!</v>
      </c>
      <c r="L1863">
        <v>191223</v>
      </c>
      <c r="N1863">
        <v>1</v>
      </c>
      <c r="O1863" t="s">
        <v>77</v>
      </c>
      <c r="P1863">
        <v>1</v>
      </c>
      <c r="R1863">
        <v>2</v>
      </c>
      <c r="S1863" s="17">
        <v>42136</v>
      </c>
      <c r="T1863" s="17">
        <v>42136</v>
      </c>
      <c r="U1863">
        <v>28395</v>
      </c>
      <c r="W1863">
        <v>2015</v>
      </c>
      <c r="X1863">
        <v>1</v>
      </c>
      <c r="AC1863" t="s">
        <v>49</v>
      </c>
      <c r="AD1863" t="s">
        <v>301</v>
      </c>
      <c r="AE1863" t="s">
        <v>46</v>
      </c>
      <c r="AG1863">
        <v>69</v>
      </c>
      <c r="AH1863">
        <v>4</v>
      </c>
      <c r="AI1863" t="s">
        <v>78</v>
      </c>
      <c r="AM1863">
        <v>0</v>
      </c>
      <c r="AP1863" t="s">
        <v>339</v>
      </c>
    </row>
    <row r="1864" spans="1:42" customFormat="1">
      <c r="A1864">
        <v>269595</v>
      </c>
      <c r="B1864">
        <v>191233</v>
      </c>
      <c r="C1864" t="s">
        <v>481</v>
      </c>
      <c r="D1864" s="22">
        <v>1473</v>
      </c>
      <c r="E1864" s="17">
        <v>42128</v>
      </c>
      <c r="F1864" s="18">
        <v>0.5</v>
      </c>
      <c r="G1864" s="22">
        <v>0</v>
      </c>
      <c r="H1864">
        <v>0</v>
      </c>
      <c r="I1864" s="19" t="e">
        <f>I1863 + (D1864-G1864)</f>
        <v>#VALUE!</v>
      </c>
      <c r="L1864">
        <v>191233</v>
      </c>
      <c r="N1864">
        <v>1</v>
      </c>
      <c r="O1864" t="s">
        <v>77</v>
      </c>
      <c r="P1864">
        <v>1</v>
      </c>
      <c r="R1864">
        <v>2</v>
      </c>
      <c r="S1864" s="17">
        <v>42136</v>
      </c>
      <c r="T1864" s="17">
        <v>42136</v>
      </c>
      <c r="U1864">
        <v>28405</v>
      </c>
      <c r="W1864">
        <v>2015</v>
      </c>
      <c r="X1864">
        <v>1</v>
      </c>
      <c r="AC1864" t="s">
        <v>49</v>
      </c>
      <c r="AD1864" t="s">
        <v>301</v>
      </c>
      <c r="AE1864" t="s">
        <v>46</v>
      </c>
      <c r="AG1864">
        <v>69</v>
      </c>
      <c r="AH1864">
        <v>4</v>
      </c>
      <c r="AI1864" t="s">
        <v>78</v>
      </c>
      <c r="AM1864">
        <v>0</v>
      </c>
      <c r="AP1864" t="s">
        <v>339</v>
      </c>
    </row>
    <row r="1865" spans="1:42" customFormat="1">
      <c r="A1865">
        <v>269588</v>
      </c>
      <c r="B1865">
        <v>191653</v>
      </c>
      <c r="C1865" t="s">
        <v>482</v>
      </c>
      <c r="D1865" s="22">
        <v>1724</v>
      </c>
      <c r="E1865" s="17">
        <v>42128</v>
      </c>
      <c r="F1865" s="18">
        <v>0.5</v>
      </c>
      <c r="G1865" s="22">
        <v>0</v>
      </c>
      <c r="H1865">
        <v>0</v>
      </c>
      <c r="I1865" s="19" t="e">
        <f>I1864 + (D1865-G1865)</f>
        <v>#VALUE!</v>
      </c>
      <c r="L1865">
        <v>191653</v>
      </c>
      <c r="N1865">
        <v>1</v>
      </c>
      <c r="O1865" t="s">
        <v>77</v>
      </c>
      <c r="P1865">
        <v>1</v>
      </c>
      <c r="R1865">
        <v>2</v>
      </c>
      <c r="S1865" s="17">
        <v>42136</v>
      </c>
      <c r="T1865" s="17">
        <v>42136</v>
      </c>
      <c r="U1865">
        <v>28398</v>
      </c>
      <c r="W1865">
        <v>2015</v>
      </c>
      <c r="X1865">
        <v>1</v>
      </c>
      <c r="AC1865" t="s">
        <v>49</v>
      </c>
      <c r="AD1865" t="s">
        <v>301</v>
      </c>
      <c r="AE1865" t="s">
        <v>46</v>
      </c>
      <c r="AG1865">
        <v>69</v>
      </c>
      <c r="AH1865">
        <v>4</v>
      </c>
      <c r="AI1865" t="s">
        <v>78</v>
      </c>
      <c r="AM1865">
        <v>0</v>
      </c>
      <c r="AP1865" t="s">
        <v>339</v>
      </c>
    </row>
    <row r="1866" spans="1:42" customFormat="1">
      <c r="A1866">
        <v>269601</v>
      </c>
      <c r="B1866">
        <v>192463</v>
      </c>
      <c r="C1866" t="s">
        <v>483</v>
      </c>
      <c r="D1866" s="22">
        <v>1724</v>
      </c>
      <c r="E1866" s="17">
        <v>42128</v>
      </c>
      <c r="F1866" s="18">
        <v>0.5</v>
      </c>
      <c r="G1866" s="22">
        <v>0</v>
      </c>
      <c r="H1866">
        <v>0</v>
      </c>
      <c r="I1866" s="19" t="e">
        <f>I1865 + (D1866-G1866)</f>
        <v>#VALUE!</v>
      </c>
      <c r="L1866">
        <v>192463</v>
      </c>
      <c r="N1866">
        <v>1</v>
      </c>
      <c r="O1866" t="s">
        <v>77</v>
      </c>
      <c r="P1866">
        <v>1</v>
      </c>
      <c r="R1866">
        <v>2</v>
      </c>
      <c r="S1866" s="17">
        <v>42136</v>
      </c>
      <c r="T1866" s="17">
        <v>42136</v>
      </c>
      <c r="U1866">
        <v>28411</v>
      </c>
      <c r="W1866">
        <v>2015</v>
      </c>
      <c r="X1866">
        <v>1</v>
      </c>
      <c r="AC1866" t="s">
        <v>49</v>
      </c>
      <c r="AD1866" t="s">
        <v>301</v>
      </c>
      <c r="AE1866" t="s">
        <v>46</v>
      </c>
      <c r="AG1866">
        <v>69</v>
      </c>
      <c r="AH1866">
        <v>4</v>
      </c>
      <c r="AI1866" t="s">
        <v>78</v>
      </c>
      <c r="AM1866">
        <v>0</v>
      </c>
      <c r="AP1866" t="s">
        <v>339</v>
      </c>
    </row>
    <row r="1867" spans="1:42" customFormat="1">
      <c r="A1867">
        <v>269583</v>
      </c>
      <c r="B1867">
        <v>192073</v>
      </c>
      <c r="C1867" t="s">
        <v>484</v>
      </c>
      <c r="D1867" s="22">
        <v>1724</v>
      </c>
      <c r="E1867" s="17">
        <v>42128</v>
      </c>
      <c r="F1867" s="18">
        <v>0.5</v>
      </c>
      <c r="G1867" s="22">
        <v>0</v>
      </c>
      <c r="H1867">
        <v>0</v>
      </c>
      <c r="I1867" s="19" t="e">
        <f>I1866 + (D1867-G1867)</f>
        <v>#VALUE!</v>
      </c>
      <c r="L1867">
        <v>192073</v>
      </c>
      <c r="N1867">
        <v>1</v>
      </c>
      <c r="O1867" t="s">
        <v>77</v>
      </c>
      <c r="P1867">
        <v>1</v>
      </c>
      <c r="R1867">
        <v>2</v>
      </c>
      <c r="S1867" s="17">
        <v>42136</v>
      </c>
      <c r="T1867" s="17">
        <v>42136</v>
      </c>
      <c r="U1867">
        <v>28393</v>
      </c>
      <c r="W1867">
        <v>2015</v>
      </c>
      <c r="X1867">
        <v>1</v>
      </c>
      <c r="AC1867" t="s">
        <v>49</v>
      </c>
      <c r="AD1867" t="s">
        <v>301</v>
      </c>
      <c r="AE1867" t="s">
        <v>46</v>
      </c>
      <c r="AG1867">
        <v>69</v>
      </c>
      <c r="AH1867">
        <v>4</v>
      </c>
      <c r="AI1867" t="s">
        <v>78</v>
      </c>
      <c r="AM1867">
        <v>0</v>
      </c>
      <c r="AP1867" t="s">
        <v>339</v>
      </c>
    </row>
    <row r="1868" spans="1:42" customFormat="1">
      <c r="A1868">
        <v>269593</v>
      </c>
      <c r="B1868">
        <v>192514</v>
      </c>
      <c r="C1868" t="s">
        <v>485</v>
      </c>
      <c r="D1868" s="22">
        <v>1724</v>
      </c>
      <c r="E1868" s="17">
        <v>42128</v>
      </c>
      <c r="F1868" s="18">
        <v>0.5</v>
      </c>
      <c r="G1868" s="22">
        <v>0</v>
      </c>
      <c r="H1868">
        <v>0</v>
      </c>
      <c r="I1868" s="19" t="e">
        <f>I1867 + (D1868-G1868)</f>
        <v>#VALUE!</v>
      </c>
      <c r="L1868">
        <v>192514</v>
      </c>
      <c r="N1868">
        <v>1</v>
      </c>
      <c r="O1868" t="s">
        <v>77</v>
      </c>
      <c r="P1868">
        <v>1</v>
      </c>
      <c r="R1868">
        <v>2</v>
      </c>
      <c r="S1868" s="17">
        <v>42136</v>
      </c>
      <c r="T1868" s="17">
        <v>42136</v>
      </c>
      <c r="U1868">
        <v>28403</v>
      </c>
      <c r="W1868">
        <v>2015</v>
      </c>
      <c r="X1868">
        <v>1</v>
      </c>
      <c r="AC1868" t="s">
        <v>49</v>
      </c>
      <c r="AD1868" t="s">
        <v>301</v>
      </c>
      <c r="AE1868" t="s">
        <v>46</v>
      </c>
      <c r="AG1868">
        <v>69</v>
      </c>
      <c r="AH1868">
        <v>4</v>
      </c>
      <c r="AI1868" t="s">
        <v>78</v>
      </c>
      <c r="AM1868">
        <v>0</v>
      </c>
      <c r="AP1868" t="s">
        <v>339</v>
      </c>
    </row>
    <row r="1869" spans="1:42" customFormat="1">
      <c r="A1869">
        <v>269615</v>
      </c>
      <c r="B1869">
        <v>191234</v>
      </c>
      <c r="C1869" t="s">
        <v>486</v>
      </c>
      <c r="D1869" s="22">
        <v>1473</v>
      </c>
      <c r="E1869" s="17">
        <v>42128</v>
      </c>
      <c r="F1869" s="18">
        <v>0.5</v>
      </c>
      <c r="G1869" s="22">
        <v>0</v>
      </c>
      <c r="H1869">
        <v>0</v>
      </c>
      <c r="I1869" s="19" t="e">
        <f>I1868 + (D1869-G1869)</f>
        <v>#VALUE!</v>
      </c>
      <c r="L1869">
        <v>191234</v>
      </c>
      <c r="N1869">
        <v>1</v>
      </c>
      <c r="O1869" t="s">
        <v>77</v>
      </c>
      <c r="P1869">
        <v>1</v>
      </c>
      <c r="R1869">
        <v>2</v>
      </c>
      <c r="S1869" s="17">
        <v>42136</v>
      </c>
      <c r="T1869" s="17">
        <v>42136</v>
      </c>
      <c r="U1869">
        <v>28425</v>
      </c>
      <c r="W1869">
        <v>2015</v>
      </c>
      <c r="X1869">
        <v>1</v>
      </c>
      <c r="AC1869" t="s">
        <v>49</v>
      </c>
      <c r="AD1869" t="s">
        <v>301</v>
      </c>
      <c r="AE1869" t="s">
        <v>46</v>
      </c>
      <c r="AG1869">
        <v>69</v>
      </c>
      <c r="AH1869">
        <v>4</v>
      </c>
      <c r="AI1869" t="s">
        <v>78</v>
      </c>
      <c r="AM1869">
        <v>0</v>
      </c>
      <c r="AP1869" t="s">
        <v>339</v>
      </c>
    </row>
    <row r="1870" spans="1:42" customFormat="1">
      <c r="A1870">
        <v>269589</v>
      </c>
      <c r="B1870">
        <v>192427</v>
      </c>
      <c r="C1870" t="s">
        <v>487</v>
      </c>
      <c r="D1870" s="22">
        <v>1724</v>
      </c>
      <c r="E1870" s="17">
        <v>42128</v>
      </c>
      <c r="F1870" s="18">
        <v>0.5</v>
      </c>
      <c r="G1870" s="22">
        <v>0</v>
      </c>
      <c r="H1870">
        <v>0</v>
      </c>
      <c r="I1870" s="19" t="e">
        <f>I1869 + (D1870-G1870)</f>
        <v>#VALUE!</v>
      </c>
      <c r="L1870">
        <v>192427</v>
      </c>
      <c r="N1870">
        <v>1</v>
      </c>
      <c r="O1870" t="s">
        <v>77</v>
      </c>
      <c r="P1870">
        <v>1</v>
      </c>
      <c r="R1870">
        <v>2</v>
      </c>
      <c r="S1870" s="17">
        <v>42136</v>
      </c>
      <c r="T1870" s="17">
        <v>42136</v>
      </c>
      <c r="U1870">
        <v>28399</v>
      </c>
      <c r="W1870">
        <v>2015</v>
      </c>
      <c r="X1870">
        <v>1</v>
      </c>
      <c r="AC1870" t="s">
        <v>49</v>
      </c>
      <c r="AD1870" t="s">
        <v>301</v>
      </c>
      <c r="AE1870" t="s">
        <v>46</v>
      </c>
      <c r="AG1870">
        <v>69</v>
      </c>
      <c r="AH1870">
        <v>4</v>
      </c>
      <c r="AI1870" t="s">
        <v>78</v>
      </c>
      <c r="AM1870">
        <v>0</v>
      </c>
      <c r="AP1870" t="s">
        <v>339</v>
      </c>
    </row>
    <row r="1871" spans="1:42" customFormat="1">
      <c r="A1871">
        <v>269606</v>
      </c>
      <c r="B1871">
        <v>192508</v>
      </c>
      <c r="C1871" t="s">
        <v>488</v>
      </c>
      <c r="D1871" s="22">
        <v>1724</v>
      </c>
      <c r="E1871" s="17">
        <v>42128</v>
      </c>
      <c r="F1871" s="18">
        <v>0.5</v>
      </c>
      <c r="G1871" s="22">
        <v>0</v>
      </c>
      <c r="H1871">
        <v>0</v>
      </c>
      <c r="I1871" s="19" t="e">
        <f>I1870 + (D1871-G1871)</f>
        <v>#VALUE!</v>
      </c>
      <c r="L1871">
        <v>192508</v>
      </c>
      <c r="N1871">
        <v>1</v>
      </c>
      <c r="O1871" t="s">
        <v>77</v>
      </c>
      <c r="P1871">
        <v>1</v>
      </c>
      <c r="R1871">
        <v>2</v>
      </c>
      <c r="S1871" s="17">
        <v>42136</v>
      </c>
      <c r="T1871" s="17">
        <v>42136</v>
      </c>
      <c r="U1871">
        <v>28416</v>
      </c>
      <c r="W1871">
        <v>2015</v>
      </c>
      <c r="X1871">
        <v>1</v>
      </c>
      <c r="AC1871" t="s">
        <v>49</v>
      </c>
      <c r="AD1871" t="s">
        <v>301</v>
      </c>
      <c r="AE1871" t="s">
        <v>46</v>
      </c>
      <c r="AG1871">
        <v>69</v>
      </c>
      <c r="AH1871">
        <v>4</v>
      </c>
      <c r="AI1871" t="s">
        <v>78</v>
      </c>
      <c r="AM1871">
        <v>0</v>
      </c>
      <c r="AP1871" t="s">
        <v>339</v>
      </c>
    </row>
    <row r="1872" spans="1:42" customFormat="1">
      <c r="A1872">
        <v>269587</v>
      </c>
      <c r="B1872">
        <v>191818</v>
      </c>
      <c r="C1872" t="s">
        <v>489</v>
      </c>
      <c r="D1872" s="22">
        <v>1724</v>
      </c>
      <c r="E1872" s="17">
        <v>42128</v>
      </c>
      <c r="F1872" s="18">
        <v>0.5</v>
      </c>
      <c r="G1872" s="22">
        <v>0</v>
      </c>
      <c r="H1872">
        <v>0</v>
      </c>
      <c r="I1872" s="19" t="e">
        <f>I1871 + (D1872-G1872)</f>
        <v>#VALUE!</v>
      </c>
      <c r="L1872">
        <v>191818</v>
      </c>
      <c r="N1872">
        <v>1</v>
      </c>
      <c r="O1872" t="s">
        <v>77</v>
      </c>
      <c r="P1872">
        <v>1</v>
      </c>
      <c r="R1872">
        <v>2</v>
      </c>
      <c r="S1872" s="17">
        <v>42136</v>
      </c>
      <c r="T1872" s="17">
        <v>42136</v>
      </c>
      <c r="U1872">
        <v>28397</v>
      </c>
      <c r="W1872">
        <v>2015</v>
      </c>
      <c r="X1872">
        <v>1</v>
      </c>
      <c r="AC1872" t="s">
        <v>49</v>
      </c>
      <c r="AD1872" t="s">
        <v>301</v>
      </c>
      <c r="AE1872" t="s">
        <v>46</v>
      </c>
      <c r="AG1872">
        <v>69</v>
      </c>
      <c r="AH1872">
        <v>4</v>
      </c>
      <c r="AI1872" t="s">
        <v>78</v>
      </c>
      <c r="AM1872">
        <v>0</v>
      </c>
      <c r="AP1872" t="s">
        <v>339</v>
      </c>
    </row>
    <row r="1873" spans="1:42" customFormat="1">
      <c r="A1873">
        <v>269590</v>
      </c>
      <c r="B1873">
        <v>192409</v>
      </c>
      <c r="C1873" t="s">
        <v>490</v>
      </c>
      <c r="D1873" s="22">
        <v>1724</v>
      </c>
      <c r="E1873" s="17">
        <v>42128</v>
      </c>
      <c r="F1873" s="18">
        <v>0.5</v>
      </c>
      <c r="G1873" s="22">
        <v>0</v>
      </c>
      <c r="H1873">
        <v>0</v>
      </c>
      <c r="I1873" s="19" t="e">
        <f>I1872 + (D1873-G1873)</f>
        <v>#VALUE!</v>
      </c>
      <c r="L1873">
        <v>192409</v>
      </c>
      <c r="N1873">
        <v>1</v>
      </c>
      <c r="O1873" t="s">
        <v>77</v>
      </c>
      <c r="P1873">
        <v>1</v>
      </c>
      <c r="R1873">
        <v>2</v>
      </c>
      <c r="S1873" s="17">
        <v>42136</v>
      </c>
      <c r="T1873" s="17">
        <v>42136</v>
      </c>
      <c r="U1873">
        <v>28400</v>
      </c>
      <c r="W1873">
        <v>2015</v>
      </c>
      <c r="X1873">
        <v>1</v>
      </c>
      <c r="AC1873" t="s">
        <v>49</v>
      </c>
      <c r="AD1873" t="s">
        <v>301</v>
      </c>
      <c r="AE1873" t="s">
        <v>46</v>
      </c>
      <c r="AG1873">
        <v>69</v>
      </c>
      <c r="AH1873">
        <v>4</v>
      </c>
      <c r="AI1873" t="s">
        <v>78</v>
      </c>
      <c r="AM1873">
        <v>0</v>
      </c>
      <c r="AP1873" t="s">
        <v>339</v>
      </c>
    </row>
    <row r="1874" spans="1:42" customFormat="1">
      <c r="A1874">
        <v>269600</v>
      </c>
      <c r="B1874">
        <v>191229</v>
      </c>
      <c r="C1874" t="s">
        <v>491</v>
      </c>
      <c r="D1874" s="22">
        <v>1473</v>
      </c>
      <c r="E1874" s="17">
        <v>42128</v>
      </c>
      <c r="F1874" s="18">
        <v>0.5</v>
      </c>
      <c r="G1874" s="22">
        <v>0</v>
      </c>
      <c r="H1874">
        <v>0</v>
      </c>
      <c r="I1874" s="19" t="e">
        <f>I1873 + (D1874-G1874)</f>
        <v>#VALUE!</v>
      </c>
      <c r="L1874">
        <v>191229</v>
      </c>
      <c r="N1874">
        <v>1</v>
      </c>
      <c r="O1874" t="s">
        <v>77</v>
      </c>
      <c r="P1874">
        <v>1</v>
      </c>
      <c r="R1874">
        <v>2</v>
      </c>
      <c r="S1874" s="17">
        <v>42136</v>
      </c>
      <c r="T1874" s="17">
        <v>42136</v>
      </c>
      <c r="U1874">
        <v>28410</v>
      </c>
      <c r="W1874">
        <v>2015</v>
      </c>
      <c r="X1874">
        <v>1</v>
      </c>
      <c r="AC1874" t="s">
        <v>49</v>
      </c>
      <c r="AD1874" t="s">
        <v>301</v>
      </c>
      <c r="AE1874" t="s">
        <v>46</v>
      </c>
      <c r="AG1874">
        <v>69</v>
      </c>
      <c r="AH1874">
        <v>4</v>
      </c>
      <c r="AI1874" t="s">
        <v>78</v>
      </c>
      <c r="AM1874">
        <v>0</v>
      </c>
      <c r="AP1874" t="s">
        <v>339</v>
      </c>
    </row>
    <row r="1875" spans="1:42" customFormat="1">
      <c r="A1875">
        <v>269608</v>
      </c>
      <c r="B1875">
        <v>192259</v>
      </c>
      <c r="C1875" t="s">
        <v>492</v>
      </c>
      <c r="D1875" s="22">
        <v>1724</v>
      </c>
      <c r="E1875" s="17">
        <v>42128</v>
      </c>
      <c r="F1875" s="18">
        <v>0.5</v>
      </c>
      <c r="G1875" s="22">
        <v>0</v>
      </c>
      <c r="H1875">
        <v>0</v>
      </c>
      <c r="I1875" s="19" t="e">
        <f>I1874 + (D1875-G1875)</f>
        <v>#VALUE!</v>
      </c>
      <c r="L1875">
        <v>192259</v>
      </c>
      <c r="N1875">
        <v>1</v>
      </c>
      <c r="O1875" t="s">
        <v>77</v>
      </c>
      <c r="P1875">
        <v>1</v>
      </c>
      <c r="R1875">
        <v>2</v>
      </c>
      <c r="S1875" s="17">
        <v>42136</v>
      </c>
      <c r="T1875" s="17">
        <v>42136</v>
      </c>
      <c r="U1875">
        <v>28418</v>
      </c>
      <c r="W1875">
        <v>2015</v>
      </c>
      <c r="X1875">
        <v>1</v>
      </c>
      <c r="AC1875" t="s">
        <v>49</v>
      </c>
      <c r="AD1875" t="s">
        <v>301</v>
      </c>
      <c r="AE1875" t="s">
        <v>46</v>
      </c>
      <c r="AG1875">
        <v>69</v>
      </c>
      <c r="AH1875">
        <v>4</v>
      </c>
      <c r="AI1875" t="s">
        <v>78</v>
      </c>
      <c r="AM1875">
        <v>0</v>
      </c>
      <c r="AP1875" t="s">
        <v>339</v>
      </c>
    </row>
    <row r="1876" spans="1:42" customFormat="1">
      <c r="A1876">
        <v>269701</v>
      </c>
      <c r="B1876">
        <v>197030</v>
      </c>
      <c r="C1876" t="s">
        <v>493</v>
      </c>
      <c r="D1876" s="22">
        <v>1724</v>
      </c>
      <c r="E1876" s="17">
        <v>42128</v>
      </c>
      <c r="F1876" s="18">
        <v>0.5</v>
      </c>
      <c r="G1876" s="22">
        <v>0</v>
      </c>
      <c r="H1876">
        <v>0</v>
      </c>
      <c r="I1876" s="19" t="e">
        <f>I1875 + (D1876-G1876)</f>
        <v>#VALUE!</v>
      </c>
      <c r="L1876">
        <v>197030</v>
      </c>
      <c r="N1876">
        <v>1</v>
      </c>
      <c r="O1876" t="s">
        <v>77</v>
      </c>
      <c r="P1876">
        <v>1</v>
      </c>
      <c r="R1876">
        <v>2</v>
      </c>
      <c r="S1876" s="17">
        <v>42136</v>
      </c>
      <c r="T1876" s="17">
        <v>42136</v>
      </c>
      <c r="U1876">
        <v>28483</v>
      </c>
      <c r="W1876">
        <v>2015</v>
      </c>
      <c r="X1876">
        <v>1</v>
      </c>
      <c r="AC1876" t="s">
        <v>49</v>
      </c>
      <c r="AD1876" t="s">
        <v>301</v>
      </c>
      <c r="AE1876" t="s">
        <v>46</v>
      </c>
      <c r="AG1876">
        <v>3</v>
      </c>
      <c r="AH1876">
        <v>4</v>
      </c>
      <c r="AI1876" t="s">
        <v>78</v>
      </c>
      <c r="AM1876">
        <v>0</v>
      </c>
      <c r="AP1876" t="s">
        <v>80</v>
      </c>
    </row>
    <row r="1877" spans="1:42" customFormat="1">
      <c r="A1877">
        <v>267008</v>
      </c>
      <c r="B1877">
        <v>191755</v>
      </c>
      <c r="C1877" t="s">
        <v>897</v>
      </c>
      <c r="D1877" s="22">
        <v>1724</v>
      </c>
      <c r="E1877" s="17">
        <v>42128</v>
      </c>
      <c r="F1877" s="18">
        <v>0.64988425925925919</v>
      </c>
      <c r="G1877" s="22">
        <v>0</v>
      </c>
      <c r="H1877">
        <v>0</v>
      </c>
      <c r="I1877" s="19" t="e">
        <f>I1876 + (D1877-G1877)</f>
        <v>#VALUE!</v>
      </c>
      <c r="L1877">
        <v>191755</v>
      </c>
      <c r="N1877">
        <v>1</v>
      </c>
      <c r="O1877" t="s">
        <v>77</v>
      </c>
      <c r="P1877">
        <v>1</v>
      </c>
      <c r="R1877">
        <v>2</v>
      </c>
      <c r="S1877" s="17">
        <v>42128</v>
      </c>
      <c r="T1877" s="17">
        <v>42128</v>
      </c>
      <c r="U1877">
        <v>27812</v>
      </c>
      <c r="V1877">
        <v>24</v>
      </c>
      <c r="W1877">
        <v>2015</v>
      </c>
      <c r="X1877">
        <v>1</v>
      </c>
      <c r="AC1877" t="s">
        <v>49</v>
      </c>
      <c r="AD1877" t="s">
        <v>301</v>
      </c>
      <c r="AE1877" t="s">
        <v>46</v>
      </c>
      <c r="AG1877">
        <v>114</v>
      </c>
      <c r="AH1877">
        <v>4</v>
      </c>
      <c r="AI1877" t="s">
        <v>78</v>
      </c>
      <c r="AM1877">
        <v>0</v>
      </c>
      <c r="AP1877" t="s">
        <v>898</v>
      </c>
    </row>
    <row r="1878" spans="1:42" customFormat="1">
      <c r="A1878">
        <v>267010</v>
      </c>
      <c r="B1878">
        <v>192148</v>
      </c>
      <c r="C1878" t="s">
        <v>899</v>
      </c>
      <c r="D1878" s="22">
        <v>1724</v>
      </c>
      <c r="E1878" s="17">
        <v>42128</v>
      </c>
      <c r="F1878" s="18">
        <v>0.64988425925925919</v>
      </c>
      <c r="G1878" s="22">
        <v>0</v>
      </c>
      <c r="H1878">
        <v>0</v>
      </c>
      <c r="I1878" s="19" t="e">
        <f>I1877 + (D1878-G1878)</f>
        <v>#VALUE!</v>
      </c>
      <c r="L1878">
        <v>192148</v>
      </c>
      <c r="N1878">
        <v>1</v>
      </c>
      <c r="O1878" t="s">
        <v>77</v>
      </c>
      <c r="P1878">
        <v>1</v>
      </c>
      <c r="R1878">
        <v>2</v>
      </c>
      <c r="S1878" s="17">
        <v>42128</v>
      </c>
      <c r="T1878" s="17">
        <v>42128</v>
      </c>
      <c r="U1878">
        <v>27814</v>
      </c>
      <c r="V1878">
        <v>24</v>
      </c>
      <c r="W1878">
        <v>2015</v>
      </c>
      <c r="X1878">
        <v>1</v>
      </c>
      <c r="AC1878" t="s">
        <v>49</v>
      </c>
      <c r="AD1878" t="s">
        <v>301</v>
      </c>
      <c r="AE1878" t="s">
        <v>46</v>
      </c>
      <c r="AG1878">
        <v>114</v>
      </c>
      <c r="AH1878">
        <v>4</v>
      </c>
      <c r="AI1878" t="s">
        <v>78</v>
      </c>
      <c r="AM1878">
        <v>0</v>
      </c>
      <c r="AP1878" t="s">
        <v>898</v>
      </c>
    </row>
    <row r="1879" spans="1:42" customFormat="1">
      <c r="A1879">
        <v>267009</v>
      </c>
      <c r="B1879">
        <v>191839</v>
      </c>
      <c r="C1879" t="s">
        <v>900</v>
      </c>
      <c r="D1879" s="22">
        <v>1724</v>
      </c>
      <c r="E1879" s="17">
        <v>42128</v>
      </c>
      <c r="F1879" s="18">
        <v>0.64988425925925919</v>
      </c>
      <c r="G1879" s="22">
        <v>0</v>
      </c>
      <c r="H1879">
        <v>0</v>
      </c>
      <c r="I1879" s="19" t="e">
        <f>I1878 + (D1879-G1879)</f>
        <v>#VALUE!</v>
      </c>
      <c r="L1879">
        <v>191839</v>
      </c>
      <c r="N1879">
        <v>1</v>
      </c>
      <c r="O1879" t="s">
        <v>77</v>
      </c>
      <c r="P1879">
        <v>1</v>
      </c>
      <c r="R1879">
        <v>2</v>
      </c>
      <c r="S1879" s="17">
        <v>42128</v>
      </c>
      <c r="T1879" s="17">
        <v>42128</v>
      </c>
      <c r="U1879">
        <v>27813</v>
      </c>
      <c r="V1879">
        <v>24</v>
      </c>
      <c r="W1879">
        <v>2015</v>
      </c>
      <c r="X1879">
        <v>1</v>
      </c>
      <c r="AC1879" t="s">
        <v>49</v>
      </c>
      <c r="AD1879" t="s">
        <v>301</v>
      </c>
      <c r="AE1879" t="s">
        <v>46</v>
      </c>
      <c r="AG1879">
        <v>114</v>
      </c>
      <c r="AH1879">
        <v>4</v>
      </c>
      <c r="AI1879" t="s">
        <v>78</v>
      </c>
      <c r="AM1879">
        <v>0</v>
      </c>
      <c r="AP1879" t="s">
        <v>898</v>
      </c>
    </row>
    <row r="1880" spans="1:42" customFormat="1">
      <c r="A1880">
        <v>267011</v>
      </c>
      <c r="B1880">
        <v>191740</v>
      </c>
      <c r="C1880" t="s">
        <v>901</v>
      </c>
      <c r="D1880" s="22">
        <v>1724</v>
      </c>
      <c r="E1880" s="17">
        <v>42128</v>
      </c>
      <c r="F1880" s="18">
        <v>0.64989583333333334</v>
      </c>
      <c r="G1880" s="22">
        <v>0</v>
      </c>
      <c r="H1880">
        <v>0</v>
      </c>
      <c r="I1880" s="19" t="e">
        <f>I1879 + (D1880-G1880)</f>
        <v>#VALUE!</v>
      </c>
      <c r="L1880">
        <v>191740</v>
      </c>
      <c r="N1880">
        <v>1</v>
      </c>
      <c r="O1880" t="s">
        <v>77</v>
      </c>
      <c r="P1880">
        <v>1</v>
      </c>
      <c r="R1880">
        <v>2</v>
      </c>
      <c r="S1880" s="17">
        <v>42128</v>
      </c>
      <c r="T1880" s="17">
        <v>42128</v>
      </c>
      <c r="U1880">
        <v>27815</v>
      </c>
      <c r="V1880">
        <v>24</v>
      </c>
      <c r="W1880">
        <v>2015</v>
      </c>
      <c r="X1880">
        <v>1</v>
      </c>
      <c r="AC1880" t="s">
        <v>49</v>
      </c>
      <c r="AD1880" t="s">
        <v>301</v>
      </c>
      <c r="AE1880" t="s">
        <v>46</v>
      </c>
      <c r="AG1880">
        <v>114</v>
      </c>
      <c r="AH1880">
        <v>4</v>
      </c>
      <c r="AI1880" t="s">
        <v>78</v>
      </c>
      <c r="AM1880">
        <v>0</v>
      </c>
      <c r="AP1880" t="s">
        <v>898</v>
      </c>
    </row>
    <row r="1881" spans="1:42" customFormat="1">
      <c r="A1881">
        <v>271483</v>
      </c>
      <c r="B1881">
        <v>182276</v>
      </c>
      <c r="C1881" t="s">
        <v>1239</v>
      </c>
      <c r="D1881" s="22">
        <v>1648.2</v>
      </c>
      <c r="E1881" s="17">
        <v>42128</v>
      </c>
      <c r="F1881" s="18">
        <v>0.74471064814814814</v>
      </c>
      <c r="G1881" s="22">
        <v>0</v>
      </c>
      <c r="H1881">
        <v>0</v>
      </c>
      <c r="I1881" s="19" t="e">
        <f>I1880 + (D1881-G1881)</f>
        <v>#VALUE!</v>
      </c>
      <c r="L1881">
        <v>182276</v>
      </c>
      <c r="N1881">
        <v>8</v>
      </c>
      <c r="O1881" t="s">
        <v>63</v>
      </c>
      <c r="P1881">
        <v>1</v>
      </c>
      <c r="R1881">
        <v>2</v>
      </c>
      <c r="S1881" s="17">
        <v>42152</v>
      </c>
      <c r="T1881" s="17">
        <v>42152</v>
      </c>
      <c r="W1881">
        <v>2014</v>
      </c>
      <c r="X1881">
        <v>8</v>
      </c>
      <c r="AC1881" t="s">
        <v>49</v>
      </c>
      <c r="AD1881" t="s">
        <v>301</v>
      </c>
      <c r="AE1881" t="s">
        <v>46</v>
      </c>
      <c r="AG1881">
        <v>4</v>
      </c>
      <c r="AH1881">
        <v>3</v>
      </c>
      <c r="AI1881" t="s">
        <v>64</v>
      </c>
      <c r="AK1881">
        <v>0</v>
      </c>
      <c r="AM1881">
        <v>0</v>
      </c>
      <c r="AP1881" t="s">
        <v>389</v>
      </c>
    </row>
    <row r="1882" spans="1:42" customFormat="1">
      <c r="A1882">
        <v>267736</v>
      </c>
      <c r="B1882">
        <v>189874</v>
      </c>
      <c r="C1882" t="s">
        <v>1317</v>
      </c>
      <c r="D1882" s="22">
        <v>1504.91</v>
      </c>
      <c r="E1882" s="17">
        <v>42129</v>
      </c>
      <c r="F1882" s="18">
        <v>0.45890046296296294</v>
      </c>
      <c r="G1882" s="22">
        <v>0</v>
      </c>
      <c r="H1882">
        <v>0</v>
      </c>
      <c r="I1882" s="19" t="e">
        <f>I1881 + (D1882-G1882)</f>
        <v>#VALUE!</v>
      </c>
      <c r="L1882">
        <v>189874</v>
      </c>
      <c r="N1882">
        <v>1</v>
      </c>
      <c r="O1882" t="s">
        <v>77</v>
      </c>
      <c r="P1882">
        <v>1</v>
      </c>
      <c r="R1882">
        <v>2</v>
      </c>
      <c r="S1882" s="17">
        <v>42130</v>
      </c>
      <c r="T1882" s="17">
        <v>42130</v>
      </c>
      <c r="U1882">
        <v>27824</v>
      </c>
      <c r="V1882">
        <v>20150505</v>
      </c>
      <c r="W1882">
        <v>2015</v>
      </c>
      <c r="X1882">
        <v>1</v>
      </c>
      <c r="AC1882" t="s">
        <v>49</v>
      </c>
      <c r="AD1882" t="s">
        <v>301</v>
      </c>
      <c r="AE1882" t="s">
        <v>46</v>
      </c>
      <c r="AG1882">
        <v>12</v>
      </c>
      <c r="AH1882">
        <v>4</v>
      </c>
      <c r="AI1882" t="s">
        <v>78</v>
      </c>
      <c r="AM1882">
        <v>0</v>
      </c>
      <c r="AP1882" t="s">
        <v>392</v>
      </c>
    </row>
    <row r="1883" spans="1:42" customFormat="1">
      <c r="A1883">
        <v>267732</v>
      </c>
      <c r="B1883">
        <v>189975</v>
      </c>
      <c r="C1883" t="s">
        <v>1318</v>
      </c>
      <c r="D1883" s="22">
        <v>1504.91</v>
      </c>
      <c r="E1883" s="17">
        <v>42129</v>
      </c>
      <c r="F1883" s="18">
        <v>0.45890046296296294</v>
      </c>
      <c r="G1883" s="22">
        <v>0</v>
      </c>
      <c r="H1883">
        <v>0</v>
      </c>
      <c r="I1883" s="19" t="e">
        <f>I1882 + (D1883-G1883)</f>
        <v>#VALUE!</v>
      </c>
      <c r="L1883">
        <v>189975</v>
      </c>
      <c r="N1883">
        <v>1</v>
      </c>
      <c r="O1883" t="s">
        <v>77</v>
      </c>
      <c r="P1883">
        <v>1</v>
      </c>
      <c r="R1883">
        <v>2</v>
      </c>
      <c r="S1883" s="17">
        <v>42130</v>
      </c>
      <c r="T1883" s="17">
        <v>42130</v>
      </c>
      <c r="U1883">
        <v>27818</v>
      </c>
      <c r="V1883">
        <v>20150505</v>
      </c>
      <c r="W1883">
        <v>2015</v>
      </c>
      <c r="X1883">
        <v>1</v>
      </c>
      <c r="AC1883" t="s">
        <v>49</v>
      </c>
      <c r="AD1883" t="s">
        <v>301</v>
      </c>
      <c r="AE1883" t="s">
        <v>46</v>
      </c>
      <c r="AG1883">
        <v>12</v>
      </c>
      <c r="AH1883">
        <v>4</v>
      </c>
      <c r="AI1883" t="s">
        <v>78</v>
      </c>
      <c r="AM1883">
        <v>0</v>
      </c>
      <c r="AP1883" t="s">
        <v>392</v>
      </c>
    </row>
    <row r="1884" spans="1:42" customFormat="1">
      <c r="A1884">
        <v>267734</v>
      </c>
      <c r="B1884">
        <v>189787</v>
      </c>
      <c r="C1884" t="s">
        <v>1319</v>
      </c>
      <c r="D1884" s="22">
        <v>1504.91</v>
      </c>
      <c r="E1884" s="17">
        <v>42129</v>
      </c>
      <c r="F1884" s="18">
        <v>0.45890046296296294</v>
      </c>
      <c r="G1884" s="22">
        <v>0</v>
      </c>
      <c r="H1884">
        <v>0</v>
      </c>
      <c r="I1884" s="19" t="e">
        <f>I1883 + (D1884-G1884)</f>
        <v>#VALUE!</v>
      </c>
      <c r="L1884">
        <v>189787</v>
      </c>
      <c r="N1884">
        <v>1</v>
      </c>
      <c r="O1884" t="s">
        <v>77</v>
      </c>
      <c r="P1884">
        <v>1</v>
      </c>
      <c r="R1884">
        <v>2</v>
      </c>
      <c r="S1884" s="17">
        <v>42130</v>
      </c>
      <c r="T1884" s="17">
        <v>42130</v>
      </c>
      <c r="U1884">
        <v>27820</v>
      </c>
      <c r="V1884">
        <v>20150505</v>
      </c>
      <c r="W1884">
        <v>2015</v>
      </c>
      <c r="X1884">
        <v>1</v>
      </c>
      <c r="AC1884" t="s">
        <v>49</v>
      </c>
      <c r="AD1884" t="s">
        <v>301</v>
      </c>
      <c r="AE1884" t="s">
        <v>46</v>
      </c>
      <c r="AG1884">
        <v>12</v>
      </c>
      <c r="AH1884">
        <v>4</v>
      </c>
      <c r="AI1884" t="s">
        <v>78</v>
      </c>
      <c r="AM1884">
        <v>0</v>
      </c>
      <c r="AP1884" t="s">
        <v>392</v>
      </c>
    </row>
    <row r="1885" spans="1:42" customFormat="1">
      <c r="A1885">
        <v>267733</v>
      </c>
      <c r="B1885">
        <v>189929</v>
      </c>
      <c r="C1885" t="s">
        <v>1320</v>
      </c>
      <c r="D1885" s="22">
        <v>1504.91</v>
      </c>
      <c r="E1885" s="17">
        <v>42129</v>
      </c>
      <c r="F1885" s="18">
        <v>0.45890046296296294</v>
      </c>
      <c r="G1885" s="22">
        <v>0</v>
      </c>
      <c r="H1885">
        <v>0</v>
      </c>
      <c r="I1885" s="19" t="e">
        <f>I1884 + (D1885-G1885)</f>
        <v>#VALUE!</v>
      </c>
      <c r="L1885">
        <v>189929</v>
      </c>
      <c r="N1885">
        <v>1</v>
      </c>
      <c r="O1885" t="s">
        <v>77</v>
      </c>
      <c r="P1885">
        <v>1</v>
      </c>
      <c r="R1885">
        <v>2</v>
      </c>
      <c r="S1885" s="17">
        <v>42130</v>
      </c>
      <c r="T1885" s="17">
        <v>42130</v>
      </c>
      <c r="U1885">
        <v>27819</v>
      </c>
      <c r="V1885">
        <v>20150505</v>
      </c>
      <c r="W1885">
        <v>2015</v>
      </c>
      <c r="X1885">
        <v>1</v>
      </c>
      <c r="AC1885" t="s">
        <v>49</v>
      </c>
      <c r="AD1885" t="s">
        <v>301</v>
      </c>
      <c r="AE1885" t="s">
        <v>46</v>
      </c>
      <c r="AG1885">
        <v>12</v>
      </c>
      <c r="AH1885">
        <v>4</v>
      </c>
      <c r="AI1885" t="s">
        <v>78</v>
      </c>
      <c r="AM1885">
        <v>0</v>
      </c>
      <c r="AP1885" t="s">
        <v>392</v>
      </c>
    </row>
    <row r="1886" spans="1:42" customFormat="1">
      <c r="A1886">
        <v>267730</v>
      </c>
      <c r="B1886">
        <v>191190</v>
      </c>
      <c r="C1886" t="s">
        <v>1321</v>
      </c>
      <c r="D1886" s="22">
        <v>1504.91</v>
      </c>
      <c r="E1886" s="17">
        <v>42129</v>
      </c>
      <c r="F1886" s="18">
        <v>0.45890046296296294</v>
      </c>
      <c r="G1886" s="22">
        <v>0</v>
      </c>
      <c r="H1886">
        <v>0</v>
      </c>
      <c r="I1886" s="19" t="e">
        <f>I1885 + (D1886-G1886)</f>
        <v>#VALUE!</v>
      </c>
      <c r="L1886">
        <v>191190</v>
      </c>
      <c r="N1886">
        <v>1</v>
      </c>
      <c r="O1886" t="s">
        <v>77</v>
      </c>
      <c r="P1886">
        <v>1</v>
      </c>
      <c r="R1886">
        <v>2</v>
      </c>
      <c r="S1886" s="17">
        <v>42130</v>
      </c>
      <c r="T1886" s="17">
        <v>42130</v>
      </c>
      <c r="U1886">
        <v>27816</v>
      </c>
      <c r="V1886">
        <v>20150505</v>
      </c>
      <c r="W1886">
        <v>2015</v>
      </c>
      <c r="X1886">
        <v>1</v>
      </c>
      <c r="AC1886" t="s">
        <v>49</v>
      </c>
      <c r="AD1886" t="s">
        <v>301</v>
      </c>
      <c r="AE1886" t="s">
        <v>46</v>
      </c>
      <c r="AG1886">
        <v>12</v>
      </c>
      <c r="AH1886">
        <v>4</v>
      </c>
      <c r="AI1886" t="s">
        <v>78</v>
      </c>
      <c r="AM1886">
        <v>0</v>
      </c>
      <c r="AP1886" t="s">
        <v>392</v>
      </c>
    </row>
    <row r="1887" spans="1:42" customFormat="1">
      <c r="A1887">
        <v>267735</v>
      </c>
      <c r="B1887">
        <v>190015</v>
      </c>
      <c r="C1887" t="s">
        <v>1322</v>
      </c>
      <c r="D1887" s="22">
        <v>1504.91</v>
      </c>
      <c r="E1887" s="17">
        <v>42129</v>
      </c>
      <c r="F1887" s="18">
        <v>0.45890046296296294</v>
      </c>
      <c r="G1887" s="22">
        <v>0</v>
      </c>
      <c r="H1887">
        <v>0</v>
      </c>
      <c r="I1887" s="19" t="e">
        <f>I1886 + (D1887-G1887)</f>
        <v>#VALUE!</v>
      </c>
      <c r="L1887">
        <v>190015</v>
      </c>
      <c r="N1887">
        <v>1</v>
      </c>
      <c r="O1887" t="s">
        <v>77</v>
      </c>
      <c r="P1887">
        <v>1</v>
      </c>
      <c r="R1887">
        <v>2</v>
      </c>
      <c r="S1887" s="17">
        <v>42130</v>
      </c>
      <c r="T1887" s="17">
        <v>42130</v>
      </c>
      <c r="U1887">
        <v>27823</v>
      </c>
      <c r="V1887">
        <v>20150505</v>
      </c>
      <c r="W1887">
        <v>2015</v>
      </c>
      <c r="X1887">
        <v>1</v>
      </c>
      <c r="AC1887" t="s">
        <v>49</v>
      </c>
      <c r="AD1887" t="s">
        <v>301</v>
      </c>
      <c r="AE1887" t="s">
        <v>46</v>
      </c>
      <c r="AG1887">
        <v>12</v>
      </c>
      <c r="AH1887">
        <v>4</v>
      </c>
      <c r="AI1887" t="s">
        <v>78</v>
      </c>
      <c r="AM1887">
        <v>0</v>
      </c>
      <c r="AP1887" t="s">
        <v>392</v>
      </c>
    </row>
    <row r="1888" spans="1:42" customFormat="1">
      <c r="A1888">
        <v>267731</v>
      </c>
      <c r="B1888">
        <v>191337</v>
      </c>
      <c r="C1888" t="s">
        <v>1323</v>
      </c>
      <c r="D1888" s="22">
        <v>1504.9</v>
      </c>
      <c r="E1888" s="17">
        <v>42129</v>
      </c>
      <c r="F1888" s="18">
        <v>0.45890046296296294</v>
      </c>
      <c r="G1888" s="22">
        <v>0</v>
      </c>
      <c r="H1888">
        <v>0</v>
      </c>
      <c r="I1888" s="19" t="e">
        <f>I1887 + (D1888-G1888)</f>
        <v>#VALUE!</v>
      </c>
      <c r="L1888">
        <v>191337</v>
      </c>
      <c r="N1888">
        <v>1</v>
      </c>
      <c r="O1888" t="s">
        <v>77</v>
      </c>
      <c r="P1888">
        <v>1</v>
      </c>
      <c r="R1888">
        <v>2</v>
      </c>
      <c r="S1888" s="17">
        <v>42130</v>
      </c>
      <c r="T1888" s="17">
        <v>42130</v>
      </c>
      <c r="U1888">
        <v>27817</v>
      </c>
      <c r="V1888">
        <v>20150505</v>
      </c>
      <c r="W1888">
        <v>2015</v>
      </c>
      <c r="X1888">
        <v>1</v>
      </c>
      <c r="AC1888" t="s">
        <v>49</v>
      </c>
      <c r="AD1888" t="s">
        <v>301</v>
      </c>
      <c r="AE1888" t="s">
        <v>46</v>
      </c>
      <c r="AG1888">
        <v>12</v>
      </c>
      <c r="AH1888">
        <v>4</v>
      </c>
      <c r="AI1888" t="s">
        <v>78</v>
      </c>
      <c r="AM1888">
        <v>0</v>
      </c>
      <c r="AP1888" t="s">
        <v>392</v>
      </c>
    </row>
    <row r="1889" spans="1:42" customFormat="1">
      <c r="A1889">
        <v>267737</v>
      </c>
      <c r="B1889">
        <v>198858</v>
      </c>
      <c r="C1889" t="s">
        <v>1324</v>
      </c>
      <c r="D1889" s="22">
        <v>1473</v>
      </c>
      <c r="E1889" s="17">
        <v>42129</v>
      </c>
      <c r="F1889" s="18">
        <v>0.45890046296296294</v>
      </c>
      <c r="G1889" s="22">
        <v>0</v>
      </c>
      <c r="H1889">
        <v>0</v>
      </c>
      <c r="I1889" s="19" t="e">
        <f>I1888 + (D1889-G1889)</f>
        <v>#VALUE!</v>
      </c>
      <c r="L1889">
        <v>198858</v>
      </c>
      <c r="N1889">
        <v>1</v>
      </c>
      <c r="O1889" t="s">
        <v>77</v>
      </c>
      <c r="P1889">
        <v>1</v>
      </c>
      <c r="R1889">
        <v>2</v>
      </c>
      <c r="S1889" s="17">
        <v>42130</v>
      </c>
      <c r="T1889" s="17">
        <v>42130</v>
      </c>
      <c r="U1889">
        <v>27825</v>
      </c>
      <c r="V1889">
        <v>20150505</v>
      </c>
      <c r="W1889">
        <v>2015</v>
      </c>
      <c r="X1889">
        <v>1</v>
      </c>
      <c r="AC1889" t="s">
        <v>49</v>
      </c>
      <c r="AD1889" t="s">
        <v>301</v>
      </c>
      <c r="AE1889" t="s">
        <v>46</v>
      </c>
      <c r="AG1889">
        <v>12</v>
      </c>
      <c r="AH1889">
        <v>4</v>
      </c>
      <c r="AI1889" t="s">
        <v>78</v>
      </c>
      <c r="AM1889">
        <v>0</v>
      </c>
      <c r="AP1889" t="s">
        <v>392</v>
      </c>
    </row>
    <row r="1890" spans="1:42" customFormat="1">
      <c r="A1890">
        <v>267738</v>
      </c>
      <c r="B1890">
        <v>189896</v>
      </c>
      <c r="C1890" t="s">
        <v>1325</v>
      </c>
      <c r="D1890" s="22">
        <v>1504.91</v>
      </c>
      <c r="E1890" s="17">
        <v>42129</v>
      </c>
      <c r="F1890" s="18">
        <v>0.45891203703703703</v>
      </c>
      <c r="G1890" s="22">
        <v>0</v>
      </c>
      <c r="H1890">
        <v>0</v>
      </c>
      <c r="I1890" s="19" t="e">
        <f>I1889 + (D1890-G1890)</f>
        <v>#VALUE!</v>
      </c>
      <c r="L1890">
        <v>189896</v>
      </c>
      <c r="N1890">
        <v>1</v>
      </c>
      <c r="O1890" t="s">
        <v>77</v>
      </c>
      <c r="P1890">
        <v>1</v>
      </c>
      <c r="R1890">
        <v>2</v>
      </c>
      <c r="S1890" s="17">
        <v>42130</v>
      </c>
      <c r="T1890" s="17">
        <v>42130</v>
      </c>
      <c r="U1890">
        <v>27826</v>
      </c>
      <c r="V1890">
        <v>20150505</v>
      </c>
      <c r="W1890">
        <v>2015</v>
      </c>
      <c r="X1890">
        <v>1</v>
      </c>
      <c r="AC1890" t="s">
        <v>49</v>
      </c>
      <c r="AD1890" t="s">
        <v>301</v>
      </c>
      <c r="AE1890" t="s">
        <v>46</v>
      </c>
      <c r="AG1890">
        <v>12</v>
      </c>
      <c r="AH1890">
        <v>4</v>
      </c>
      <c r="AI1890" t="s">
        <v>78</v>
      </c>
      <c r="AM1890">
        <v>0</v>
      </c>
      <c r="AP1890" t="s">
        <v>392</v>
      </c>
    </row>
    <row r="1891" spans="1:42" customFormat="1">
      <c r="A1891">
        <v>269617</v>
      </c>
      <c r="B1891">
        <v>192487</v>
      </c>
      <c r="C1891" t="s">
        <v>1327</v>
      </c>
      <c r="D1891" s="22">
        <v>1760.76</v>
      </c>
      <c r="E1891" s="17">
        <v>42129</v>
      </c>
      <c r="F1891" s="18">
        <v>0.5</v>
      </c>
      <c r="G1891" s="22">
        <v>0</v>
      </c>
      <c r="H1891">
        <v>0</v>
      </c>
      <c r="I1891" s="19" t="e">
        <f>I1890 + (D1891-G1891)</f>
        <v>#VALUE!</v>
      </c>
      <c r="L1891">
        <v>192487</v>
      </c>
      <c r="N1891">
        <v>1</v>
      </c>
      <c r="O1891" t="s">
        <v>77</v>
      </c>
      <c r="P1891">
        <v>1</v>
      </c>
      <c r="R1891">
        <v>2</v>
      </c>
      <c r="S1891" s="17">
        <v>42136</v>
      </c>
      <c r="T1891" s="17">
        <v>42136</v>
      </c>
      <c r="U1891">
        <v>28427</v>
      </c>
      <c r="W1891">
        <v>2015</v>
      </c>
      <c r="X1891">
        <v>1</v>
      </c>
      <c r="AC1891" t="s">
        <v>49</v>
      </c>
      <c r="AD1891" t="s">
        <v>301</v>
      </c>
      <c r="AE1891" t="s">
        <v>46</v>
      </c>
      <c r="AG1891">
        <v>69</v>
      </c>
      <c r="AH1891">
        <v>4</v>
      </c>
      <c r="AI1891" t="s">
        <v>78</v>
      </c>
      <c r="AM1891">
        <v>0</v>
      </c>
      <c r="AP1891" t="s">
        <v>339</v>
      </c>
    </row>
    <row r="1892" spans="1:42" customFormat="1">
      <c r="A1892">
        <v>269616</v>
      </c>
      <c r="B1892">
        <v>192199</v>
      </c>
      <c r="C1892" t="s">
        <v>1328</v>
      </c>
      <c r="D1892" s="22">
        <v>1751.56</v>
      </c>
      <c r="E1892" s="17">
        <v>42129</v>
      </c>
      <c r="F1892" s="18">
        <v>0.5</v>
      </c>
      <c r="G1892" s="22">
        <v>0</v>
      </c>
      <c r="H1892">
        <v>0</v>
      </c>
      <c r="I1892" s="19" t="e">
        <f>I1891 + (D1892-G1892)</f>
        <v>#VALUE!</v>
      </c>
      <c r="L1892">
        <v>192199</v>
      </c>
      <c r="N1892">
        <v>1</v>
      </c>
      <c r="O1892" t="s">
        <v>77</v>
      </c>
      <c r="P1892">
        <v>1</v>
      </c>
      <c r="R1892">
        <v>2</v>
      </c>
      <c r="S1892" s="17">
        <v>42136</v>
      </c>
      <c r="T1892" s="17">
        <v>42136</v>
      </c>
      <c r="U1892">
        <v>28426</v>
      </c>
      <c r="W1892">
        <v>2015</v>
      </c>
      <c r="X1892">
        <v>1</v>
      </c>
      <c r="AC1892" t="s">
        <v>49</v>
      </c>
      <c r="AD1892" t="s">
        <v>301</v>
      </c>
      <c r="AE1892" t="s">
        <v>46</v>
      </c>
      <c r="AG1892">
        <v>69</v>
      </c>
      <c r="AH1892">
        <v>4</v>
      </c>
      <c r="AI1892" t="s">
        <v>78</v>
      </c>
      <c r="AM1892">
        <v>0</v>
      </c>
      <c r="AP1892" t="s">
        <v>339</v>
      </c>
    </row>
    <row r="1893" spans="1:42" customFormat="1">
      <c r="A1893">
        <v>269703</v>
      </c>
      <c r="B1893">
        <v>192163</v>
      </c>
      <c r="C1893" t="s">
        <v>1329</v>
      </c>
      <c r="D1893" s="22">
        <v>1787.21</v>
      </c>
      <c r="E1893" s="17">
        <v>42129</v>
      </c>
      <c r="F1893" s="18">
        <v>0.5</v>
      </c>
      <c r="G1893" s="22">
        <v>0</v>
      </c>
      <c r="H1893">
        <v>0</v>
      </c>
      <c r="I1893" s="19" t="e">
        <f>I1892 + (D1893-G1893)</f>
        <v>#VALUE!</v>
      </c>
      <c r="L1893">
        <v>192163</v>
      </c>
      <c r="N1893">
        <v>1</v>
      </c>
      <c r="O1893" t="s">
        <v>77</v>
      </c>
      <c r="P1893">
        <v>1</v>
      </c>
      <c r="R1893">
        <v>2</v>
      </c>
      <c r="S1893" s="17">
        <v>42136</v>
      </c>
      <c r="T1893" s="17">
        <v>42136</v>
      </c>
      <c r="U1893">
        <v>28485</v>
      </c>
      <c r="W1893">
        <v>2015</v>
      </c>
      <c r="X1893">
        <v>1</v>
      </c>
      <c r="AC1893" t="s">
        <v>49</v>
      </c>
      <c r="AD1893" t="s">
        <v>301</v>
      </c>
      <c r="AE1893" t="s">
        <v>46</v>
      </c>
      <c r="AG1893">
        <v>3</v>
      </c>
      <c r="AH1893">
        <v>4</v>
      </c>
      <c r="AI1893" t="s">
        <v>78</v>
      </c>
      <c r="AM1893">
        <v>0</v>
      </c>
      <c r="AP1893" t="s">
        <v>80</v>
      </c>
    </row>
    <row r="1894" spans="1:42" customFormat="1">
      <c r="A1894">
        <v>269704</v>
      </c>
      <c r="B1894">
        <v>191773</v>
      </c>
      <c r="C1894" t="s">
        <v>1330</v>
      </c>
      <c r="D1894" s="22">
        <v>1787.21</v>
      </c>
      <c r="E1894" s="17">
        <v>42129</v>
      </c>
      <c r="F1894" s="18">
        <v>0.5</v>
      </c>
      <c r="G1894" s="22">
        <v>0</v>
      </c>
      <c r="H1894">
        <v>0</v>
      </c>
      <c r="I1894" s="19" t="e">
        <f>I1893 + (D1894-G1894)</f>
        <v>#VALUE!</v>
      </c>
      <c r="L1894">
        <v>191773</v>
      </c>
      <c r="N1894">
        <v>1</v>
      </c>
      <c r="O1894" t="s">
        <v>77</v>
      </c>
      <c r="P1894">
        <v>1</v>
      </c>
      <c r="R1894">
        <v>2</v>
      </c>
      <c r="S1894" s="17">
        <v>42136</v>
      </c>
      <c r="T1894" s="17">
        <v>42136</v>
      </c>
      <c r="U1894">
        <v>28486</v>
      </c>
      <c r="W1894">
        <v>2015</v>
      </c>
      <c r="X1894">
        <v>1</v>
      </c>
      <c r="AC1894" t="s">
        <v>49</v>
      </c>
      <c r="AD1894" t="s">
        <v>301</v>
      </c>
      <c r="AE1894" t="s">
        <v>46</v>
      </c>
      <c r="AG1894">
        <v>3</v>
      </c>
      <c r="AH1894">
        <v>4</v>
      </c>
      <c r="AI1894" t="s">
        <v>78</v>
      </c>
      <c r="AM1894">
        <v>0</v>
      </c>
      <c r="AP1894" t="s">
        <v>80</v>
      </c>
    </row>
    <row r="1895" spans="1:42" customFormat="1">
      <c r="A1895">
        <v>269702</v>
      </c>
      <c r="B1895">
        <v>197424</v>
      </c>
      <c r="C1895" t="s">
        <v>1331</v>
      </c>
      <c r="D1895" s="22">
        <v>1527.01</v>
      </c>
      <c r="E1895" s="17">
        <v>42129</v>
      </c>
      <c r="F1895" s="18">
        <v>0.5</v>
      </c>
      <c r="G1895" s="22">
        <v>0</v>
      </c>
      <c r="H1895">
        <v>0</v>
      </c>
      <c r="I1895" s="19" t="e">
        <f>I1894 + (D1895-G1895)</f>
        <v>#VALUE!</v>
      </c>
      <c r="L1895">
        <v>197424</v>
      </c>
      <c r="N1895">
        <v>1</v>
      </c>
      <c r="O1895" t="s">
        <v>77</v>
      </c>
      <c r="P1895">
        <v>1</v>
      </c>
      <c r="R1895">
        <v>2</v>
      </c>
      <c r="S1895" s="17">
        <v>42136</v>
      </c>
      <c r="T1895" s="17">
        <v>42136</v>
      </c>
      <c r="U1895">
        <v>28484</v>
      </c>
      <c r="W1895">
        <v>2015</v>
      </c>
      <c r="X1895">
        <v>1</v>
      </c>
      <c r="AC1895" t="s">
        <v>49</v>
      </c>
      <c r="AD1895" t="s">
        <v>301</v>
      </c>
      <c r="AE1895" t="s">
        <v>46</v>
      </c>
      <c r="AG1895">
        <v>3</v>
      </c>
      <c r="AH1895">
        <v>4</v>
      </c>
      <c r="AI1895" t="s">
        <v>78</v>
      </c>
      <c r="AM1895">
        <v>0</v>
      </c>
      <c r="AP1895" t="s">
        <v>80</v>
      </c>
    </row>
    <row r="1896" spans="1:42" customFormat="1">
      <c r="A1896">
        <v>268756</v>
      </c>
      <c r="B1896">
        <v>191770</v>
      </c>
      <c r="C1896" t="s">
        <v>1358</v>
      </c>
      <c r="D1896" s="22">
        <v>1724</v>
      </c>
      <c r="E1896" s="17">
        <v>42129</v>
      </c>
      <c r="F1896" s="18">
        <v>0.63298611111111114</v>
      </c>
      <c r="G1896" s="22">
        <v>0</v>
      </c>
      <c r="H1896">
        <v>0</v>
      </c>
      <c r="I1896" s="19" t="e">
        <f>I1895 + (D1896-G1896)</f>
        <v>#VALUE!</v>
      </c>
      <c r="L1896">
        <v>191770</v>
      </c>
      <c r="N1896">
        <v>1</v>
      </c>
      <c r="O1896" t="s">
        <v>77</v>
      </c>
      <c r="P1896">
        <v>1</v>
      </c>
      <c r="R1896">
        <v>2</v>
      </c>
      <c r="S1896" s="17">
        <v>42131</v>
      </c>
      <c r="T1896" s="17">
        <v>42131</v>
      </c>
      <c r="U1896">
        <v>28200</v>
      </c>
      <c r="V1896">
        <v>25</v>
      </c>
      <c r="W1896">
        <v>2015</v>
      </c>
      <c r="X1896">
        <v>1</v>
      </c>
      <c r="AC1896" t="s">
        <v>49</v>
      </c>
      <c r="AD1896" t="s">
        <v>301</v>
      </c>
      <c r="AE1896" t="s">
        <v>46</v>
      </c>
      <c r="AG1896">
        <v>114</v>
      </c>
      <c r="AH1896">
        <v>4</v>
      </c>
      <c r="AI1896" t="s">
        <v>78</v>
      </c>
      <c r="AM1896">
        <v>0</v>
      </c>
      <c r="AP1896" t="s">
        <v>898</v>
      </c>
    </row>
    <row r="1897" spans="1:42" customFormat="1">
      <c r="A1897">
        <v>268757</v>
      </c>
      <c r="B1897">
        <v>191893</v>
      </c>
      <c r="C1897" t="s">
        <v>1359</v>
      </c>
      <c r="D1897" s="22">
        <v>1724</v>
      </c>
      <c r="E1897" s="17">
        <v>42129</v>
      </c>
      <c r="F1897" s="18">
        <v>0.63298611111111114</v>
      </c>
      <c r="G1897" s="22">
        <v>0</v>
      </c>
      <c r="H1897">
        <v>0</v>
      </c>
      <c r="I1897" s="19" t="e">
        <f>I1896 + (D1897-G1897)</f>
        <v>#VALUE!</v>
      </c>
      <c r="L1897">
        <v>191893</v>
      </c>
      <c r="N1897">
        <v>1</v>
      </c>
      <c r="O1897" t="s">
        <v>77</v>
      </c>
      <c r="P1897">
        <v>1</v>
      </c>
      <c r="R1897">
        <v>2</v>
      </c>
      <c r="S1897" s="17">
        <v>42131</v>
      </c>
      <c r="T1897" s="17">
        <v>42131</v>
      </c>
      <c r="U1897">
        <v>28201</v>
      </c>
      <c r="V1897">
        <v>25</v>
      </c>
      <c r="W1897">
        <v>2015</v>
      </c>
      <c r="X1897">
        <v>1</v>
      </c>
      <c r="AC1897" t="s">
        <v>49</v>
      </c>
      <c r="AD1897" t="s">
        <v>301</v>
      </c>
      <c r="AE1897" t="s">
        <v>46</v>
      </c>
      <c r="AG1897">
        <v>114</v>
      </c>
      <c r="AH1897">
        <v>4</v>
      </c>
      <c r="AI1897" t="s">
        <v>78</v>
      </c>
      <c r="AM1897">
        <v>0</v>
      </c>
      <c r="AP1897" t="s">
        <v>898</v>
      </c>
    </row>
    <row r="1898" spans="1:42" customFormat="1">
      <c r="A1898">
        <v>268758</v>
      </c>
      <c r="B1898">
        <v>191677</v>
      </c>
      <c r="C1898" t="s">
        <v>1360</v>
      </c>
      <c r="D1898" s="22">
        <v>1724</v>
      </c>
      <c r="E1898" s="17">
        <v>42129</v>
      </c>
      <c r="F1898" s="18">
        <v>0.63298611111111114</v>
      </c>
      <c r="G1898" s="22">
        <v>0</v>
      </c>
      <c r="H1898">
        <v>0</v>
      </c>
      <c r="I1898" s="19" t="e">
        <f>I1897 + (D1898-G1898)</f>
        <v>#VALUE!</v>
      </c>
      <c r="L1898">
        <v>191677</v>
      </c>
      <c r="N1898">
        <v>1</v>
      </c>
      <c r="O1898" t="s">
        <v>77</v>
      </c>
      <c r="P1898">
        <v>1</v>
      </c>
      <c r="R1898">
        <v>2</v>
      </c>
      <c r="S1898" s="17">
        <v>42131</v>
      </c>
      <c r="T1898" s="17">
        <v>42131</v>
      </c>
      <c r="U1898">
        <v>28202</v>
      </c>
      <c r="V1898">
        <v>25</v>
      </c>
      <c r="W1898">
        <v>2015</v>
      </c>
      <c r="X1898">
        <v>1</v>
      </c>
      <c r="AC1898" t="s">
        <v>49</v>
      </c>
      <c r="AD1898" t="s">
        <v>301</v>
      </c>
      <c r="AE1898" t="s">
        <v>46</v>
      </c>
      <c r="AG1898">
        <v>114</v>
      </c>
      <c r="AH1898">
        <v>4</v>
      </c>
      <c r="AI1898" t="s">
        <v>78</v>
      </c>
      <c r="AM1898">
        <v>0</v>
      </c>
      <c r="AP1898" t="s">
        <v>898</v>
      </c>
    </row>
    <row r="1899" spans="1:42" customFormat="1">
      <c r="A1899">
        <v>268759</v>
      </c>
      <c r="B1899">
        <v>191800</v>
      </c>
      <c r="C1899" t="s">
        <v>1361</v>
      </c>
      <c r="D1899" s="22">
        <v>1724</v>
      </c>
      <c r="E1899" s="17">
        <v>42129</v>
      </c>
      <c r="F1899" s="18">
        <v>0.63299768518518518</v>
      </c>
      <c r="G1899" s="22">
        <v>0</v>
      </c>
      <c r="H1899">
        <v>0</v>
      </c>
      <c r="I1899" s="19" t="e">
        <f>I1898 + (D1899-G1899)</f>
        <v>#VALUE!</v>
      </c>
      <c r="L1899">
        <v>191800</v>
      </c>
      <c r="N1899">
        <v>1</v>
      </c>
      <c r="O1899" t="s">
        <v>77</v>
      </c>
      <c r="P1899">
        <v>1</v>
      </c>
      <c r="R1899">
        <v>2</v>
      </c>
      <c r="S1899" s="17">
        <v>42131</v>
      </c>
      <c r="T1899" s="17">
        <v>42131</v>
      </c>
      <c r="U1899">
        <v>28203</v>
      </c>
      <c r="V1899">
        <v>25</v>
      </c>
      <c r="W1899">
        <v>2015</v>
      </c>
      <c r="X1899">
        <v>1</v>
      </c>
      <c r="AC1899" t="s">
        <v>49</v>
      </c>
      <c r="AD1899" t="s">
        <v>301</v>
      </c>
      <c r="AE1899" t="s">
        <v>46</v>
      </c>
      <c r="AG1899">
        <v>114</v>
      </c>
      <c r="AH1899">
        <v>4</v>
      </c>
      <c r="AI1899" t="s">
        <v>78</v>
      </c>
      <c r="AM1899">
        <v>0</v>
      </c>
      <c r="AP1899" t="s">
        <v>898</v>
      </c>
    </row>
    <row r="1900" spans="1:42" customFormat="1">
      <c r="A1900">
        <v>268762</v>
      </c>
      <c r="B1900">
        <v>191710</v>
      </c>
      <c r="C1900" t="s">
        <v>1362</v>
      </c>
      <c r="D1900" s="22">
        <v>1724</v>
      </c>
      <c r="E1900" s="17">
        <v>42129</v>
      </c>
      <c r="F1900" s="18">
        <v>0.63299768518518518</v>
      </c>
      <c r="G1900" s="22">
        <v>0</v>
      </c>
      <c r="H1900">
        <v>0</v>
      </c>
      <c r="I1900" s="19" t="e">
        <f>I1899 + (D1900-G1900)</f>
        <v>#VALUE!</v>
      </c>
      <c r="L1900">
        <v>191710</v>
      </c>
      <c r="N1900">
        <v>1</v>
      </c>
      <c r="O1900" t="s">
        <v>77</v>
      </c>
      <c r="P1900">
        <v>1</v>
      </c>
      <c r="R1900">
        <v>2</v>
      </c>
      <c r="S1900" s="17">
        <v>42131</v>
      </c>
      <c r="T1900" s="17">
        <v>42131</v>
      </c>
      <c r="U1900">
        <v>28206</v>
      </c>
      <c r="V1900">
        <v>25</v>
      </c>
      <c r="W1900">
        <v>2015</v>
      </c>
      <c r="X1900">
        <v>1</v>
      </c>
      <c r="AC1900" t="s">
        <v>49</v>
      </c>
      <c r="AD1900" t="s">
        <v>301</v>
      </c>
      <c r="AE1900" t="s">
        <v>46</v>
      </c>
      <c r="AG1900">
        <v>114</v>
      </c>
      <c r="AH1900">
        <v>4</v>
      </c>
      <c r="AI1900" t="s">
        <v>78</v>
      </c>
      <c r="AM1900">
        <v>0</v>
      </c>
      <c r="AP1900" t="s">
        <v>898</v>
      </c>
    </row>
    <row r="1901" spans="1:42" customFormat="1">
      <c r="A1901">
        <v>268766</v>
      </c>
      <c r="B1901">
        <v>192112</v>
      </c>
      <c r="C1901" t="s">
        <v>1363</v>
      </c>
      <c r="D1901" s="22">
        <v>1724</v>
      </c>
      <c r="E1901" s="17">
        <v>42129</v>
      </c>
      <c r="F1901" s="18">
        <v>0.63299768518518518</v>
      </c>
      <c r="G1901" s="22">
        <v>0</v>
      </c>
      <c r="H1901">
        <v>0</v>
      </c>
      <c r="I1901" s="19" t="e">
        <f>I1900 + (D1901-G1901)</f>
        <v>#VALUE!</v>
      </c>
      <c r="L1901">
        <v>192112</v>
      </c>
      <c r="N1901">
        <v>1</v>
      </c>
      <c r="O1901" t="s">
        <v>77</v>
      </c>
      <c r="P1901">
        <v>1</v>
      </c>
      <c r="R1901">
        <v>2</v>
      </c>
      <c r="S1901" s="17">
        <v>42131</v>
      </c>
      <c r="T1901" s="17">
        <v>42131</v>
      </c>
      <c r="U1901">
        <v>28210</v>
      </c>
      <c r="V1901">
        <v>25</v>
      </c>
      <c r="W1901">
        <v>2015</v>
      </c>
      <c r="X1901">
        <v>1</v>
      </c>
      <c r="AC1901" t="s">
        <v>49</v>
      </c>
      <c r="AD1901" t="s">
        <v>301</v>
      </c>
      <c r="AE1901" t="s">
        <v>46</v>
      </c>
      <c r="AG1901">
        <v>114</v>
      </c>
      <c r="AH1901">
        <v>4</v>
      </c>
      <c r="AI1901" t="s">
        <v>78</v>
      </c>
      <c r="AM1901">
        <v>0</v>
      </c>
      <c r="AP1901" t="s">
        <v>898</v>
      </c>
    </row>
    <row r="1902" spans="1:42" customFormat="1">
      <c r="A1902">
        <v>268765</v>
      </c>
      <c r="B1902">
        <v>191842</v>
      </c>
      <c r="C1902" t="s">
        <v>1364</v>
      </c>
      <c r="D1902" s="22">
        <v>1724</v>
      </c>
      <c r="E1902" s="17">
        <v>42129</v>
      </c>
      <c r="F1902" s="18">
        <v>0.63299768518518518</v>
      </c>
      <c r="G1902" s="22">
        <v>0</v>
      </c>
      <c r="H1902">
        <v>0</v>
      </c>
      <c r="I1902" s="19" t="e">
        <f>I1901 + (D1902-G1902)</f>
        <v>#VALUE!</v>
      </c>
      <c r="L1902">
        <v>191842</v>
      </c>
      <c r="N1902">
        <v>1</v>
      </c>
      <c r="O1902" t="s">
        <v>77</v>
      </c>
      <c r="P1902">
        <v>1</v>
      </c>
      <c r="R1902">
        <v>2</v>
      </c>
      <c r="S1902" s="17">
        <v>42131</v>
      </c>
      <c r="T1902" s="17">
        <v>42131</v>
      </c>
      <c r="U1902">
        <v>28209</v>
      </c>
      <c r="V1902">
        <v>25</v>
      </c>
      <c r="W1902">
        <v>2015</v>
      </c>
      <c r="X1902">
        <v>1</v>
      </c>
      <c r="AC1902" t="s">
        <v>49</v>
      </c>
      <c r="AD1902" t="s">
        <v>301</v>
      </c>
      <c r="AE1902" t="s">
        <v>46</v>
      </c>
      <c r="AG1902">
        <v>114</v>
      </c>
      <c r="AH1902">
        <v>4</v>
      </c>
      <c r="AI1902" t="s">
        <v>78</v>
      </c>
      <c r="AM1902">
        <v>0</v>
      </c>
      <c r="AP1902" t="s">
        <v>898</v>
      </c>
    </row>
    <row r="1903" spans="1:42" customFormat="1">
      <c r="A1903">
        <v>268767</v>
      </c>
      <c r="B1903">
        <v>192055</v>
      </c>
      <c r="C1903" t="s">
        <v>1365</v>
      </c>
      <c r="D1903" s="22">
        <v>1724</v>
      </c>
      <c r="E1903" s="17">
        <v>42129</v>
      </c>
      <c r="F1903" s="18">
        <v>0.63299768518518518</v>
      </c>
      <c r="G1903" s="22">
        <v>0</v>
      </c>
      <c r="H1903">
        <v>0</v>
      </c>
      <c r="I1903" s="19" t="e">
        <f>I1902 + (D1903-G1903)</f>
        <v>#VALUE!</v>
      </c>
      <c r="L1903">
        <v>192055</v>
      </c>
      <c r="N1903">
        <v>1</v>
      </c>
      <c r="O1903" t="s">
        <v>77</v>
      </c>
      <c r="P1903">
        <v>1</v>
      </c>
      <c r="R1903">
        <v>2</v>
      </c>
      <c r="S1903" s="17">
        <v>42131</v>
      </c>
      <c r="T1903" s="17">
        <v>42131</v>
      </c>
      <c r="U1903">
        <v>28212</v>
      </c>
      <c r="V1903">
        <v>25</v>
      </c>
      <c r="W1903">
        <v>2015</v>
      </c>
      <c r="X1903">
        <v>1</v>
      </c>
      <c r="AC1903" t="s">
        <v>49</v>
      </c>
      <c r="AD1903" t="s">
        <v>301</v>
      </c>
      <c r="AE1903" t="s">
        <v>46</v>
      </c>
      <c r="AG1903">
        <v>114</v>
      </c>
      <c r="AH1903">
        <v>4</v>
      </c>
      <c r="AI1903" t="s">
        <v>78</v>
      </c>
      <c r="AM1903">
        <v>0</v>
      </c>
      <c r="AP1903" t="s">
        <v>898</v>
      </c>
    </row>
    <row r="1904" spans="1:42" customFormat="1">
      <c r="A1904">
        <v>268768</v>
      </c>
      <c r="B1904">
        <v>192076</v>
      </c>
      <c r="C1904" t="s">
        <v>1366</v>
      </c>
      <c r="D1904" s="22">
        <v>1724</v>
      </c>
      <c r="E1904" s="17">
        <v>42129</v>
      </c>
      <c r="F1904" s="18">
        <v>0.63299768518518518</v>
      </c>
      <c r="G1904" s="22">
        <v>0</v>
      </c>
      <c r="H1904">
        <v>0</v>
      </c>
      <c r="I1904" s="19" t="e">
        <f>I1903 + (D1904-G1904)</f>
        <v>#VALUE!</v>
      </c>
      <c r="L1904">
        <v>192076</v>
      </c>
      <c r="N1904">
        <v>1</v>
      </c>
      <c r="O1904" t="s">
        <v>77</v>
      </c>
      <c r="P1904">
        <v>1</v>
      </c>
      <c r="R1904">
        <v>2</v>
      </c>
      <c r="S1904" s="17">
        <v>42131</v>
      </c>
      <c r="T1904" s="17">
        <v>42131</v>
      </c>
      <c r="U1904">
        <v>28213</v>
      </c>
      <c r="V1904">
        <v>25</v>
      </c>
      <c r="W1904">
        <v>2015</v>
      </c>
      <c r="X1904">
        <v>1</v>
      </c>
      <c r="AC1904" t="s">
        <v>49</v>
      </c>
      <c r="AD1904" t="s">
        <v>301</v>
      </c>
      <c r="AE1904" t="s">
        <v>46</v>
      </c>
      <c r="AG1904">
        <v>114</v>
      </c>
      <c r="AH1904">
        <v>4</v>
      </c>
      <c r="AI1904" t="s">
        <v>78</v>
      </c>
      <c r="AM1904">
        <v>0</v>
      </c>
      <c r="AP1904" t="s">
        <v>898</v>
      </c>
    </row>
    <row r="1905" spans="1:42" customFormat="1">
      <c r="A1905">
        <v>268763</v>
      </c>
      <c r="B1905">
        <v>191896</v>
      </c>
      <c r="C1905" t="s">
        <v>1367</v>
      </c>
      <c r="D1905" s="22">
        <v>1724</v>
      </c>
      <c r="E1905" s="17">
        <v>42129</v>
      </c>
      <c r="F1905" s="18">
        <v>0.63299768518518518</v>
      </c>
      <c r="G1905" s="22">
        <v>0</v>
      </c>
      <c r="H1905">
        <v>0</v>
      </c>
      <c r="I1905" s="19" t="e">
        <f>I1904 + (D1905-G1905)</f>
        <v>#VALUE!</v>
      </c>
      <c r="L1905">
        <v>191896</v>
      </c>
      <c r="N1905">
        <v>1</v>
      </c>
      <c r="O1905" t="s">
        <v>77</v>
      </c>
      <c r="P1905">
        <v>1</v>
      </c>
      <c r="R1905">
        <v>2</v>
      </c>
      <c r="S1905" s="17">
        <v>42131</v>
      </c>
      <c r="T1905" s="17">
        <v>42131</v>
      </c>
      <c r="U1905">
        <v>28207</v>
      </c>
      <c r="V1905">
        <v>25</v>
      </c>
      <c r="W1905">
        <v>2015</v>
      </c>
      <c r="X1905">
        <v>1</v>
      </c>
      <c r="AC1905" t="s">
        <v>49</v>
      </c>
      <c r="AD1905" t="s">
        <v>301</v>
      </c>
      <c r="AE1905" t="s">
        <v>46</v>
      </c>
      <c r="AG1905">
        <v>114</v>
      </c>
      <c r="AH1905">
        <v>4</v>
      </c>
      <c r="AI1905" t="s">
        <v>78</v>
      </c>
      <c r="AM1905">
        <v>0</v>
      </c>
      <c r="AP1905" t="s">
        <v>898</v>
      </c>
    </row>
    <row r="1906" spans="1:42" customFormat="1">
      <c r="A1906">
        <v>268760</v>
      </c>
      <c r="B1906">
        <v>192058</v>
      </c>
      <c r="C1906" t="s">
        <v>1368</v>
      </c>
      <c r="D1906" s="22">
        <v>1724</v>
      </c>
      <c r="E1906" s="17">
        <v>42129</v>
      </c>
      <c r="F1906" s="18">
        <v>0.63299768518518518</v>
      </c>
      <c r="G1906" s="22">
        <v>0</v>
      </c>
      <c r="H1906">
        <v>0</v>
      </c>
      <c r="I1906" s="19" t="e">
        <f>I1905 + (D1906-G1906)</f>
        <v>#VALUE!</v>
      </c>
      <c r="L1906">
        <v>192058</v>
      </c>
      <c r="N1906">
        <v>1</v>
      </c>
      <c r="O1906" t="s">
        <v>77</v>
      </c>
      <c r="P1906">
        <v>1</v>
      </c>
      <c r="R1906">
        <v>2</v>
      </c>
      <c r="S1906" s="17">
        <v>42131</v>
      </c>
      <c r="T1906" s="17">
        <v>42131</v>
      </c>
      <c r="U1906">
        <v>28204</v>
      </c>
      <c r="V1906">
        <v>25</v>
      </c>
      <c r="W1906">
        <v>2015</v>
      </c>
      <c r="X1906">
        <v>1</v>
      </c>
      <c r="AC1906" t="s">
        <v>49</v>
      </c>
      <c r="AD1906" t="s">
        <v>301</v>
      </c>
      <c r="AE1906" t="s">
        <v>46</v>
      </c>
      <c r="AG1906">
        <v>114</v>
      </c>
      <c r="AH1906">
        <v>4</v>
      </c>
      <c r="AI1906" t="s">
        <v>78</v>
      </c>
      <c r="AM1906">
        <v>0</v>
      </c>
      <c r="AP1906" t="s">
        <v>898</v>
      </c>
    </row>
    <row r="1907" spans="1:42" customFormat="1">
      <c r="A1907">
        <v>268764</v>
      </c>
      <c r="B1907">
        <v>192478</v>
      </c>
      <c r="C1907" t="s">
        <v>1369</v>
      </c>
      <c r="D1907" s="22">
        <v>1724</v>
      </c>
      <c r="E1907" s="17">
        <v>42129</v>
      </c>
      <c r="F1907" s="18">
        <v>0.63299768518518518</v>
      </c>
      <c r="G1907" s="22">
        <v>0</v>
      </c>
      <c r="H1907">
        <v>0</v>
      </c>
      <c r="I1907" s="19" t="e">
        <f>I1906 + (D1907-G1907)</f>
        <v>#VALUE!</v>
      </c>
      <c r="L1907">
        <v>192478</v>
      </c>
      <c r="N1907">
        <v>1</v>
      </c>
      <c r="O1907" t="s">
        <v>77</v>
      </c>
      <c r="P1907">
        <v>1</v>
      </c>
      <c r="R1907">
        <v>2</v>
      </c>
      <c r="S1907" s="17">
        <v>42131</v>
      </c>
      <c r="T1907" s="17">
        <v>42131</v>
      </c>
      <c r="U1907">
        <v>28208</v>
      </c>
      <c r="V1907">
        <v>25</v>
      </c>
      <c r="W1907">
        <v>2015</v>
      </c>
      <c r="X1907">
        <v>1</v>
      </c>
      <c r="AC1907" t="s">
        <v>49</v>
      </c>
      <c r="AD1907" t="s">
        <v>301</v>
      </c>
      <c r="AE1907" t="s">
        <v>46</v>
      </c>
      <c r="AG1907">
        <v>114</v>
      </c>
      <c r="AH1907">
        <v>4</v>
      </c>
      <c r="AI1907" t="s">
        <v>78</v>
      </c>
      <c r="AM1907">
        <v>0</v>
      </c>
      <c r="AP1907" t="s">
        <v>898</v>
      </c>
    </row>
    <row r="1908" spans="1:42" customFormat="1">
      <c r="A1908">
        <v>268761</v>
      </c>
      <c r="B1908">
        <v>192019</v>
      </c>
      <c r="C1908" t="s">
        <v>1370</v>
      </c>
      <c r="D1908" s="22">
        <v>1724</v>
      </c>
      <c r="E1908" s="17">
        <v>42129</v>
      </c>
      <c r="F1908" s="18">
        <v>0.63299768518518518</v>
      </c>
      <c r="G1908" s="22">
        <v>0</v>
      </c>
      <c r="H1908">
        <v>0</v>
      </c>
      <c r="I1908" s="19" t="e">
        <f>I1907 + (D1908-G1908)</f>
        <v>#VALUE!</v>
      </c>
      <c r="L1908">
        <v>192019</v>
      </c>
      <c r="N1908">
        <v>1</v>
      </c>
      <c r="O1908" t="s">
        <v>77</v>
      </c>
      <c r="P1908">
        <v>1</v>
      </c>
      <c r="R1908">
        <v>2</v>
      </c>
      <c r="S1908" s="17">
        <v>42131</v>
      </c>
      <c r="T1908" s="17">
        <v>42131</v>
      </c>
      <c r="U1908">
        <v>28205</v>
      </c>
      <c r="V1908">
        <v>25</v>
      </c>
      <c r="W1908">
        <v>2015</v>
      </c>
      <c r="X1908">
        <v>1</v>
      </c>
      <c r="AC1908" t="s">
        <v>49</v>
      </c>
      <c r="AD1908" t="s">
        <v>301</v>
      </c>
      <c r="AE1908" t="s">
        <v>46</v>
      </c>
      <c r="AG1908">
        <v>114</v>
      </c>
      <c r="AH1908">
        <v>4</v>
      </c>
      <c r="AI1908" t="s">
        <v>78</v>
      </c>
      <c r="AM1908">
        <v>0</v>
      </c>
      <c r="AP1908" t="s">
        <v>898</v>
      </c>
    </row>
    <row r="1909" spans="1:42" customFormat="1">
      <c r="A1909">
        <v>268769</v>
      </c>
      <c r="B1909">
        <v>204264</v>
      </c>
      <c r="C1909" t="s">
        <v>1371</v>
      </c>
      <c r="D1909" s="22">
        <v>1724</v>
      </c>
      <c r="E1909" s="17">
        <v>42129</v>
      </c>
      <c r="F1909" s="18">
        <v>0.63300925925925922</v>
      </c>
      <c r="G1909" s="22">
        <v>0</v>
      </c>
      <c r="H1909">
        <v>0</v>
      </c>
      <c r="I1909" s="19" t="e">
        <f>I1908 + (D1909-G1909)</f>
        <v>#VALUE!</v>
      </c>
      <c r="L1909">
        <v>204264</v>
      </c>
      <c r="N1909">
        <v>1</v>
      </c>
      <c r="O1909" t="s">
        <v>77</v>
      </c>
      <c r="P1909">
        <v>1</v>
      </c>
      <c r="R1909">
        <v>2</v>
      </c>
      <c r="S1909" s="17">
        <v>42131</v>
      </c>
      <c r="T1909" s="17">
        <v>42131</v>
      </c>
      <c r="U1909">
        <v>28214</v>
      </c>
      <c r="V1909">
        <v>25</v>
      </c>
      <c r="W1909">
        <v>2015</v>
      </c>
      <c r="X1909">
        <v>1</v>
      </c>
      <c r="AC1909" t="s">
        <v>49</v>
      </c>
      <c r="AD1909" t="s">
        <v>301</v>
      </c>
      <c r="AE1909" t="s">
        <v>46</v>
      </c>
      <c r="AG1909">
        <v>114</v>
      </c>
      <c r="AH1909">
        <v>4</v>
      </c>
      <c r="AI1909" t="s">
        <v>78</v>
      </c>
      <c r="AM1909">
        <v>0</v>
      </c>
      <c r="AP1909" t="s">
        <v>898</v>
      </c>
    </row>
    <row r="1910" spans="1:42" customFormat="1">
      <c r="A1910">
        <v>268772</v>
      </c>
      <c r="B1910">
        <v>205987</v>
      </c>
      <c r="C1910" t="s">
        <v>1372</v>
      </c>
      <c r="D1910" s="22">
        <v>1724</v>
      </c>
      <c r="E1910" s="17">
        <v>42129</v>
      </c>
      <c r="F1910" s="18">
        <v>0.63300925925925922</v>
      </c>
      <c r="G1910" s="22">
        <v>0</v>
      </c>
      <c r="H1910">
        <v>0</v>
      </c>
      <c r="I1910" s="19" t="e">
        <f>I1909 + (D1910-G1910)</f>
        <v>#VALUE!</v>
      </c>
      <c r="L1910">
        <v>205987</v>
      </c>
      <c r="N1910">
        <v>1</v>
      </c>
      <c r="O1910" t="s">
        <v>77</v>
      </c>
      <c r="P1910">
        <v>1</v>
      </c>
      <c r="R1910">
        <v>2</v>
      </c>
      <c r="S1910" s="17">
        <v>42131</v>
      </c>
      <c r="T1910" s="17">
        <v>42131</v>
      </c>
      <c r="U1910">
        <v>28217</v>
      </c>
      <c r="V1910">
        <v>25</v>
      </c>
      <c r="W1910">
        <v>2015</v>
      </c>
      <c r="X1910">
        <v>1</v>
      </c>
      <c r="AC1910" t="s">
        <v>49</v>
      </c>
      <c r="AD1910" t="s">
        <v>301</v>
      </c>
      <c r="AE1910" t="s">
        <v>46</v>
      </c>
      <c r="AG1910">
        <v>114</v>
      </c>
      <c r="AH1910">
        <v>4</v>
      </c>
      <c r="AI1910" t="s">
        <v>78</v>
      </c>
      <c r="AM1910">
        <v>0</v>
      </c>
      <c r="AP1910" t="s">
        <v>898</v>
      </c>
    </row>
    <row r="1911" spans="1:42" customFormat="1">
      <c r="A1911">
        <v>268773</v>
      </c>
      <c r="B1911">
        <v>192382</v>
      </c>
      <c r="C1911" t="s">
        <v>1373</v>
      </c>
      <c r="D1911" s="22">
        <v>1724</v>
      </c>
      <c r="E1911" s="17">
        <v>42129</v>
      </c>
      <c r="F1911" s="18">
        <v>0.63300925925925922</v>
      </c>
      <c r="G1911" s="22">
        <v>0</v>
      </c>
      <c r="H1911">
        <v>0</v>
      </c>
      <c r="I1911" s="19" t="e">
        <f>I1910 + (D1911-G1911)</f>
        <v>#VALUE!</v>
      </c>
      <c r="L1911">
        <v>192382</v>
      </c>
      <c r="N1911">
        <v>1</v>
      </c>
      <c r="O1911" t="s">
        <v>77</v>
      </c>
      <c r="P1911">
        <v>1</v>
      </c>
      <c r="R1911">
        <v>2</v>
      </c>
      <c r="S1911" s="17">
        <v>42131</v>
      </c>
      <c r="T1911" s="17">
        <v>42131</v>
      </c>
      <c r="U1911">
        <v>28218</v>
      </c>
      <c r="V1911">
        <v>25</v>
      </c>
      <c r="W1911">
        <v>2015</v>
      </c>
      <c r="X1911">
        <v>1</v>
      </c>
      <c r="AC1911" t="s">
        <v>49</v>
      </c>
      <c r="AD1911" t="s">
        <v>301</v>
      </c>
      <c r="AE1911" t="s">
        <v>46</v>
      </c>
      <c r="AG1911">
        <v>114</v>
      </c>
      <c r="AH1911">
        <v>4</v>
      </c>
      <c r="AI1911" t="s">
        <v>78</v>
      </c>
      <c r="AM1911">
        <v>0</v>
      </c>
      <c r="AP1911" t="s">
        <v>898</v>
      </c>
    </row>
    <row r="1912" spans="1:42" customFormat="1">
      <c r="A1912">
        <v>268771</v>
      </c>
      <c r="B1912">
        <v>192484</v>
      </c>
      <c r="C1912" t="s">
        <v>1374</v>
      </c>
      <c r="D1912" s="22">
        <v>1724</v>
      </c>
      <c r="E1912" s="17">
        <v>42129</v>
      </c>
      <c r="F1912" s="18">
        <v>0.63300925925925922</v>
      </c>
      <c r="G1912" s="22">
        <v>0</v>
      </c>
      <c r="H1912">
        <v>0</v>
      </c>
      <c r="I1912" s="19" t="e">
        <f>I1911 + (D1912-G1912)</f>
        <v>#VALUE!</v>
      </c>
      <c r="L1912">
        <v>192484</v>
      </c>
      <c r="N1912">
        <v>1</v>
      </c>
      <c r="O1912" t="s">
        <v>77</v>
      </c>
      <c r="P1912">
        <v>1</v>
      </c>
      <c r="R1912">
        <v>2</v>
      </c>
      <c r="S1912" s="17">
        <v>42131</v>
      </c>
      <c r="T1912" s="17">
        <v>42131</v>
      </c>
      <c r="U1912">
        <v>28216</v>
      </c>
      <c r="V1912">
        <v>25</v>
      </c>
      <c r="W1912">
        <v>2015</v>
      </c>
      <c r="X1912">
        <v>1</v>
      </c>
      <c r="AC1912" t="s">
        <v>49</v>
      </c>
      <c r="AD1912" t="s">
        <v>301</v>
      </c>
      <c r="AE1912" t="s">
        <v>46</v>
      </c>
      <c r="AG1912">
        <v>114</v>
      </c>
      <c r="AH1912">
        <v>4</v>
      </c>
      <c r="AI1912" t="s">
        <v>78</v>
      </c>
      <c r="AM1912">
        <v>0</v>
      </c>
      <c r="AP1912" t="s">
        <v>898</v>
      </c>
    </row>
    <row r="1913" spans="1:42" customFormat="1">
      <c r="A1913">
        <v>268770</v>
      </c>
      <c r="B1913">
        <v>191689</v>
      </c>
      <c r="C1913" t="s">
        <v>1375</v>
      </c>
      <c r="D1913" s="22">
        <v>1724</v>
      </c>
      <c r="E1913" s="17">
        <v>42129</v>
      </c>
      <c r="F1913" s="18">
        <v>0.63300925925925922</v>
      </c>
      <c r="G1913" s="22">
        <v>0</v>
      </c>
      <c r="H1913">
        <v>0</v>
      </c>
      <c r="I1913" s="19" t="e">
        <f>I1912 + (D1913-G1913)</f>
        <v>#VALUE!</v>
      </c>
      <c r="L1913">
        <v>191689</v>
      </c>
      <c r="N1913">
        <v>1</v>
      </c>
      <c r="O1913" t="s">
        <v>77</v>
      </c>
      <c r="P1913">
        <v>1</v>
      </c>
      <c r="R1913">
        <v>2</v>
      </c>
      <c r="S1913" s="17">
        <v>42131</v>
      </c>
      <c r="T1913" s="17">
        <v>42131</v>
      </c>
      <c r="U1913">
        <v>28215</v>
      </c>
      <c r="V1913">
        <v>25</v>
      </c>
      <c r="W1913">
        <v>2015</v>
      </c>
      <c r="X1913">
        <v>1</v>
      </c>
      <c r="AC1913" t="s">
        <v>49</v>
      </c>
      <c r="AD1913" t="s">
        <v>301</v>
      </c>
      <c r="AE1913" t="s">
        <v>46</v>
      </c>
      <c r="AG1913">
        <v>114</v>
      </c>
      <c r="AH1913">
        <v>4</v>
      </c>
      <c r="AI1913" t="s">
        <v>78</v>
      </c>
      <c r="AM1913">
        <v>0</v>
      </c>
      <c r="AP1913" t="s">
        <v>898</v>
      </c>
    </row>
    <row r="1914" spans="1:42" customFormat="1">
      <c r="A1914">
        <v>268813</v>
      </c>
      <c r="B1914">
        <v>192100</v>
      </c>
      <c r="C1914" t="s">
        <v>1376</v>
      </c>
      <c r="D1914" s="22">
        <v>1724</v>
      </c>
      <c r="E1914" s="17">
        <v>42129</v>
      </c>
      <c r="F1914" s="18">
        <v>0.63578703703703698</v>
      </c>
      <c r="G1914" s="22">
        <v>0</v>
      </c>
      <c r="H1914">
        <v>0</v>
      </c>
      <c r="I1914" s="19" t="e">
        <f>I1913 + (D1914-G1914)</f>
        <v>#VALUE!</v>
      </c>
      <c r="L1914">
        <v>192100</v>
      </c>
      <c r="N1914">
        <v>1</v>
      </c>
      <c r="O1914" t="s">
        <v>77</v>
      </c>
      <c r="P1914">
        <v>1</v>
      </c>
      <c r="R1914">
        <v>2</v>
      </c>
      <c r="S1914" s="17">
        <v>42132</v>
      </c>
      <c r="T1914" s="17">
        <v>42132</v>
      </c>
      <c r="U1914">
        <v>28286</v>
      </c>
      <c r="V1914">
        <v>21</v>
      </c>
      <c r="W1914">
        <v>2015</v>
      </c>
      <c r="X1914">
        <v>1</v>
      </c>
      <c r="AC1914" t="s">
        <v>49</v>
      </c>
      <c r="AD1914" t="s">
        <v>301</v>
      </c>
      <c r="AE1914" t="s">
        <v>46</v>
      </c>
      <c r="AG1914">
        <v>119</v>
      </c>
      <c r="AH1914">
        <v>4</v>
      </c>
      <c r="AI1914" t="s">
        <v>78</v>
      </c>
      <c r="AM1914">
        <v>0</v>
      </c>
      <c r="AP1914" t="s">
        <v>1377</v>
      </c>
    </row>
    <row r="1915" spans="1:42" customFormat="1">
      <c r="A1915">
        <v>269718</v>
      </c>
      <c r="B1915">
        <v>197349</v>
      </c>
      <c r="C1915" t="s">
        <v>1637</v>
      </c>
      <c r="D1915" s="22">
        <v>1848.15</v>
      </c>
      <c r="E1915" s="17">
        <v>42130</v>
      </c>
      <c r="F1915" s="18">
        <v>0.39631944444444445</v>
      </c>
      <c r="G1915" s="22">
        <v>0</v>
      </c>
      <c r="H1915">
        <v>0</v>
      </c>
      <c r="I1915" s="19" t="e">
        <f>I1914 + (D1915-G1915)</f>
        <v>#VALUE!</v>
      </c>
      <c r="L1915">
        <v>197349</v>
      </c>
      <c r="N1915">
        <v>8</v>
      </c>
      <c r="O1915" t="s">
        <v>63</v>
      </c>
      <c r="P1915">
        <v>1</v>
      </c>
      <c r="R1915">
        <v>2</v>
      </c>
      <c r="S1915" s="17">
        <v>42137</v>
      </c>
      <c r="T1915" s="17">
        <v>42137</v>
      </c>
      <c r="W1915">
        <v>2015</v>
      </c>
      <c r="X1915">
        <v>8</v>
      </c>
      <c r="AC1915" t="s">
        <v>49</v>
      </c>
      <c r="AD1915" t="s">
        <v>301</v>
      </c>
      <c r="AE1915" t="s">
        <v>46</v>
      </c>
      <c r="AG1915">
        <v>4</v>
      </c>
      <c r="AH1915">
        <v>3</v>
      </c>
      <c r="AI1915" t="s">
        <v>64</v>
      </c>
      <c r="AK1915">
        <v>0</v>
      </c>
      <c r="AM1915">
        <v>0</v>
      </c>
      <c r="AP1915" t="s">
        <v>389</v>
      </c>
    </row>
    <row r="1916" spans="1:42" customFormat="1">
      <c r="A1916">
        <v>269721</v>
      </c>
      <c r="B1916">
        <v>191323</v>
      </c>
      <c r="C1916" t="s">
        <v>1638</v>
      </c>
      <c r="D1916" s="22">
        <v>1595.74</v>
      </c>
      <c r="E1916" s="17">
        <v>42130</v>
      </c>
      <c r="F1916" s="18">
        <v>0.40061342592592591</v>
      </c>
      <c r="G1916" s="22">
        <v>0</v>
      </c>
      <c r="H1916">
        <v>0</v>
      </c>
      <c r="I1916" s="19" t="e">
        <f>I1915 + (D1916-G1916)</f>
        <v>#VALUE!</v>
      </c>
      <c r="L1916">
        <v>191323</v>
      </c>
      <c r="N1916">
        <v>8</v>
      </c>
      <c r="O1916" t="s">
        <v>63</v>
      </c>
      <c r="P1916">
        <v>1</v>
      </c>
      <c r="R1916">
        <v>2</v>
      </c>
      <c r="S1916" s="17">
        <v>42137</v>
      </c>
      <c r="T1916" s="17">
        <v>42137</v>
      </c>
      <c r="W1916">
        <v>2015</v>
      </c>
      <c r="X1916">
        <v>8</v>
      </c>
      <c r="AC1916" t="s">
        <v>49</v>
      </c>
      <c r="AD1916" t="s">
        <v>301</v>
      </c>
      <c r="AE1916" t="s">
        <v>46</v>
      </c>
      <c r="AG1916">
        <v>4</v>
      </c>
      <c r="AH1916">
        <v>3</v>
      </c>
      <c r="AI1916" t="s">
        <v>64</v>
      </c>
      <c r="AK1916">
        <v>0</v>
      </c>
      <c r="AM1916">
        <v>0</v>
      </c>
      <c r="AP1916" t="s">
        <v>389</v>
      </c>
    </row>
    <row r="1917" spans="1:42" customFormat="1">
      <c r="A1917">
        <v>269722</v>
      </c>
      <c r="B1917">
        <v>191324</v>
      </c>
      <c r="C1917" t="s">
        <v>1639</v>
      </c>
      <c r="D1917" s="22">
        <v>1580.56</v>
      </c>
      <c r="E1917" s="17">
        <v>42130</v>
      </c>
      <c r="F1917" s="18">
        <v>0.40061342592592591</v>
      </c>
      <c r="G1917" s="22">
        <v>0</v>
      </c>
      <c r="H1917">
        <v>0</v>
      </c>
      <c r="I1917" s="19" t="e">
        <f>I1916 + (D1917-G1917)</f>
        <v>#VALUE!</v>
      </c>
      <c r="L1917">
        <v>191324</v>
      </c>
      <c r="N1917">
        <v>8</v>
      </c>
      <c r="O1917" t="s">
        <v>63</v>
      </c>
      <c r="P1917">
        <v>1</v>
      </c>
      <c r="R1917">
        <v>2</v>
      </c>
      <c r="S1917" s="17">
        <v>42137</v>
      </c>
      <c r="T1917" s="17">
        <v>42137</v>
      </c>
      <c r="W1917">
        <v>2015</v>
      </c>
      <c r="X1917">
        <v>8</v>
      </c>
      <c r="AC1917" t="s">
        <v>49</v>
      </c>
      <c r="AD1917" t="s">
        <v>301</v>
      </c>
      <c r="AE1917" t="s">
        <v>46</v>
      </c>
      <c r="AG1917">
        <v>4</v>
      </c>
      <c r="AH1917">
        <v>3</v>
      </c>
      <c r="AI1917" t="s">
        <v>64</v>
      </c>
      <c r="AK1917">
        <v>0</v>
      </c>
      <c r="AM1917">
        <v>0</v>
      </c>
      <c r="AP1917" t="s">
        <v>389</v>
      </c>
    </row>
    <row r="1918" spans="1:42" customFormat="1">
      <c r="A1918">
        <v>269619</v>
      </c>
      <c r="B1918">
        <v>205146</v>
      </c>
      <c r="C1918" t="s">
        <v>1711</v>
      </c>
      <c r="D1918" s="22">
        <v>1473</v>
      </c>
      <c r="E1918" s="17">
        <v>42130</v>
      </c>
      <c r="F1918" s="18">
        <v>0.5</v>
      </c>
      <c r="G1918" s="22">
        <v>0</v>
      </c>
      <c r="H1918">
        <v>0</v>
      </c>
      <c r="I1918" s="19" t="e">
        <f>I1917 + (D1918-G1918)</f>
        <v>#VALUE!</v>
      </c>
      <c r="L1918">
        <v>205146</v>
      </c>
      <c r="N1918">
        <v>1</v>
      </c>
      <c r="O1918" t="s">
        <v>77</v>
      </c>
      <c r="P1918">
        <v>1</v>
      </c>
      <c r="R1918">
        <v>2</v>
      </c>
      <c r="S1918" s="17">
        <v>42136</v>
      </c>
      <c r="T1918" s="17">
        <v>42136</v>
      </c>
      <c r="U1918">
        <v>28429</v>
      </c>
      <c r="W1918">
        <v>2015</v>
      </c>
      <c r="X1918">
        <v>1</v>
      </c>
      <c r="AC1918" t="s">
        <v>49</v>
      </c>
      <c r="AD1918" t="s">
        <v>301</v>
      </c>
      <c r="AE1918" t="s">
        <v>46</v>
      </c>
      <c r="AG1918">
        <v>69</v>
      </c>
      <c r="AH1918">
        <v>4</v>
      </c>
      <c r="AI1918" t="s">
        <v>78</v>
      </c>
      <c r="AM1918">
        <v>0</v>
      </c>
      <c r="AP1918" t="s">
        <v>339</v>
      </c>
    </row>
    <row r="1919" spans="1:42" customFormat="1">
      <c r="A1919">
        <v>269620</v>
      </c>
      <c r="B1919">
        <v>192250</v>
      </c>
      <c r="C1919" t="s">
        <v>1712</v>
      </c>
      <c r="D1919" s="22">
        <v>1776.16</v>
      </c>
      <c r="E1919" s="17">
        <v>42130</v>
      </c>
      <c r="F1919" s="18">
        <v>0.5</v>
      </c>
      <c r="G1919" s="22">
        <v>0</v>
      </c>
      <c r="H1919">
        <v>0</v>
      </c>
      <c r="I1919" s="19" t="e">
        <f>I1918 + (D1919-G1919)</f>
        <v>#VALUE!</v>
      </c>
      <c r="L1919">
        <v>192250</v>
      </c>
      <c r="N1919">
        <v>1</v>
      </c>
      <c r="O1919" t="s">
        <v>77</v>
      </c>
      <c r="P1919">
        <v>1</v>
      </c>
      <c r="R1919">
        <v>2</v>
      </c>
      <c r="S1919" s="17">
        <v>42136</v>
      </c>
      <c r="T1919" s="17">
        <v>42136</v>
      </c>
      <c r="U1919">
        <v>28430</v>
      </c>
      <c r="W1919">
        <v>2015</v>
      </c>
      <c r="X1919">
        <v>1</v>
      </c>
      <c r="AC1919" t="s">
        <v>49</v>
      </c>
      <c r="AD1919" t="s">
        <v>301</v>
      </c>
      <c r="AE1919" t="s">
        <v>46</v>
      </c>
      <c r="AG1919">
        <v>69</v>
      </c>
      <c r="AH1919">
        <v>4</v>
      </c>
      <c r="AI1919" t="s">
        <v>78</v>
      </c>
      <c r="AM1919">
        <v>0</v>
      </c>
      <c r="AP1919" t="s">
        <v>339</v>
      </c>
    </row>
    <row r="1920" spans="1:42" customFormat="1">
      <c r="A1920">
        <v>269618</v>
      </c>
      <c r="B1920">
        <v>191228</v>
      </c>
      <c r="C1920" t="s">
        <v>1713</v>
      </c>
      <c r="D1920" s="22">
        <v>1502.45</v>
      </c>
      <c r="E1920" s="17">
        <v>42130</v>
      </c>
      <c r="F1920" s="18">
        <v>0.5</v>
      </c>
      <c r="G1920" s="22">
        <v>0</v>
      </c>
      <c r="H1920">
        <v>0</v>
      </c>
      <c r="I1920" s="19" t="e">
        <f>I1919 + (D1920-G1920)</f>
        <v>#VALUE!</v>
      </c>
      <c r="L1920">
        <v>191228</v>
      </c>
      <c r="N1920">
        <v>1</v>
      </c>
      <c r="O1920" t="s">
        <v>77</v>
      </c>
      <c r="P1920">
        <v>1</v>
      </c>
      <c r="R1920">
        <v>2</v>
      </c>
      <c r="S1920" s="17">
        <v>42136</v>
      </c>
      <c r="T1920" s="17">
        <v>42136</v>
      </c>
      <c r="U1920">
        <v>28428</v>
      </c>
      <c r="W1920">
        <v>2015</v>
      </c>
      <c r="X1920">
        <v>1</v>
      </c>
      <c r="AC1920" t="s">
        <v>49</v>
      </c>
      <c r="AD1920" t="s">
        <v>301</v>
      </c>
      <c r="AE1920" t="s">
        <v>46</v>
      </c>
      <c r="AG1920">
        <v>69</v>
      </c>
      <c r="AH1920">
        <v>4</v>
      </c>
      <c r="AI1920" t="s">
        <v>78</v>
      </c>
      <c r="AM1920">
        <v>0</v>
      </c>
      <c r="AP1920" t="s">
        <v>339</v>
      </c>
    </row>
    <row r="1921" spans="1:42" customFormat="1">
      <c r="A1921">
        <v>269705</v>
      </c>
      <c r="B1921">
        <v>197350</v>
      </c>
      <c r="C1921" t="s">
        <v>1714</v>
      </c>
      <c r="D1921" s="22">
        <v>1792.95</v>
      </c>
      <c r="E1921" s="17">
        <v>42130</v>
      </c>
      <c r="F1921" s="18">
        <v>0.5</v>
      </c>
      <c r="G1921" s="22">
        <v>0</v>
      </c>
      <c r="H1921">
        <v>0</v>
      </c>
      <c r="I1921" s="19" t="e">
        <f>I1920 + (D1921-G1921)</f>
        <v>#VALUE!</v>
      </c>
      <c r="L1921">
        <v>197350</v>
      </c>
      <c r="N1921">
        <v>1</v>
      </c>
      <c r="O1921" t="s">
        <v>77</v>
      </c>
      <c r="P1921">
        <v>1</v>
      </c>
      <c r="R1921">
        <v>2</v>
      </c>
      <c r="S1921" s="17">
        <v>42136</v>
      </c>
      <c r="T1921" s="17">
        <v>42136</v>
      </c>
      <c r="U1921">
        <v>28487</v>
      </c>
      <c r="W1921">
        <v>2015</v>
      </c>
      <c r="X1921">
        <v>1</v>
      </c>
      <c r="AC1921" t="s">
        <v>49</v>
      </c>
      <c r="AD1921" t="s">
        <v>301</v>
      </c>
      <c r="AE1921" t="s">
        <v>46</v>
      </c>
      <c r="AG1921">
        <v>3</v>
      </c>
      <c r="AH1921">
        <v>4</v>
      </c>
      <c r="AI1921" t="s">
        <v>78</v>
      </c>
      <c r="AM1921">
        <v>0</v>
      </c>
      <c r="AP1921" t="s">
        <v>80</v>
      </c>
    </row>
    <row r="1922" spans="1:42" customFormat="1">
      <c r="A1922">
        <v>268780</v>
      </c>
      <c r="B1922">
        <v>191914</v>
      </c>
      <c r="C1922" t="s">
        <v>1897</v>
      </c>
      <c r="D1922" s="22">
        <v>1760.76</v>
      </c>
      <c r="E1922" s="17">
        <v>42130</v>
      </c>
      <c r="F1922" s="18">
        <v>0.63674768518518521</v>
      </c>
      <c r="G1922" s="22">
        <v>0</v>
      </c>
      <c r="H1922">
        <v>0</v>
      </c>
      <c r="I1922" s="19" t="e">
        <f>I1921 + (D1922-G1922)</f>
        <v>#VALUE!</v>
      </c>
      <c r="L1922">
        <v>191914</v>
      </c>
      <c r="N1922">
        <v>1</v>
      </c>
      <c r="O1922" t="s">
        <v>77</v>
      </c>
      <c r="P1922">
        <v>1</v>
      </c>
      <c r="R1922">
        <v>2</v>
      </c>
      <c r="S1922" s="17">
        <v>42131</v>
      </c>
      <c r="T1922" s="17">
        <v>42131</v>
      </c>
      <c r="U1922">
        <v>28219</v>
      </c>
      <c r="V1922">
        <v>26</v>
      </c>
      <c r="W1922">
        <v>2015</v>
      </c>
      <c r="X1922">
        <v>1</v>
      </c>
      <c r="AC1922" t="s">
        <v>49</v>
      </c>
      <c r="AD1922" t="s">
        <v>301</v>
      </c>
      <c r="AE1922" t="s">
        <v>46</v>
      </c>
      <c r="AG1922">
        <v>114</v>
      </c>
      <c r="AH1922">
        <v>4</v>
      </c>
      <c r="AI1922" t="s">
        <v>78</v>
      </c>
      <c r="AM1922">
        <v>0</v>
      </c>
      <c r="AP1922" t="s">
        <v>898</v>
      </c>
    </row>
    <row r="1923" spans="1:42" customFormat="1">
      <c r="A1923">
        <v>268781</v>
      </c>
      <c r="B1923">
        <v>191857</v>
      </c>
      <c r="C1923" t="s">
        <v>1898</v>
      </c>
      <c r="D1923" s="22">
        <v>1760.76</v>
      </c>
      <c r="E1923" s="17">
        <v>42130</v>
      </c>
      <c r="F1923" s="18">
        <v>0.63674768518518521</v>
      </c>
      <c r="G1923" s="22">
        <v>0</v>
      </c>
      <c r="H1923">
        <v>0</v>
      </c>
      <c r="I1923" s="19" t="e">
        <f>I1922 + (D1923-G1923)</f>
        <v>#VALUE!</v>
      </c>
      <c r="L1923">
        <v>191857</v>
      </c>
      <c r="N1923">
        <v>1</v>
      </c>
      <c r="O1923" t="s">
        <v>77</v>
      </c>
      <c r="P1923">
        <v>1</v>
      </c>
      <c r="R1923">
        <v>2</v>
      </c>
      <c r="S1923" s="17">
        <v>42131</v>
      </c>
      <c r="T1923" s="17">
        <v>42131</v>
      </c>
      <c r="U1923">
        <v>28220</v>
      </c>
      <c r="V1923">
        <v>26</v>
      </c>
      <c r="W1923">
        <v>2015</v>
      </c>
      <c r="X1923">
        <v>1</v>
      </c>
      <c r="AC1923" t="s">
        <v>49</v>
      </c>
      <c r="AD1923" t="s">
        <v>301</v>
      </c>
      <c r="AE1923" t="s">
        <v>46</v>
      </c>
      <c r="AG1923">
        <v>114</v>
      </c>
      <c r="AH1923">
        <v>4</v>
      </c>
      <c r="AI1923" t="s">
        <v>78</v>
      </c>
      <c r="AM1923">
        <v>0</v>
      </c>
      <c r="AP1923" t="s">
        <v>898</v>
      </c>
    </row>
    <row r="1924" spans="1:42" customFormat="1">
      <c r="A1924">
        <v>269206</v>
      </c>
      <c r="B1924">
        <v>189883</v>
      </c>
      <c r="C1924" t="s">
        <v>1899</v>
      </c>
      <c r="D1924" s="22">
        <v>1505.4</v>
      </c>
      <c r="E1924" s="17">
        <v>42130</v>
      </c>
      <c r="F1924" s="18">
        <v>0.68564814814814812</v>
      </c>
      <c r="G1924" s="22">
        <v>0</v>
      </c>
      <c r="H1924">
        <v>0</v>
      </c>
      <c r="I1924" s="19" t="e">
        <f>I1923 + (D1924-G1924)</f>
        <v>#VALUE!</v>
      </c>
      <c r="L1924">
        <v>189883</v>
      </c>
      <c r="N1924">
        <v>1</v>
      </c>
      <c r="O1924" t="s">
        <v>77</v>
      </c>
      <c r="P1924">
        <v>1</v>
      </c>
      <c r="R1924">
        <v>2</v>
      </c>
      <c r="S1924" s="17">
        <v>42135</v>
      </c>
      <c r="T1924" s="17">
        <v>42135</v>
      </c>
      <c r="U1924">
        <v>28369</v>
      </c>
      <c r="V1924">
        <v>20150506</v>
      </c>
      <c r="W1924">
        <v>2015</v>
      </c>
      <c r="X1924">
        <v>1</v>
      </c>
      <c r="AC1924" t="s">
        <v>49</v>
      </c>
      <c r="AD1924" t="s">
        <v>301</v>
      </c>
      <c r="AE1924" t="s">
        <v>46</v>
      </c>
      <c r="AG1924">
        <v>12</v>
      </c>
      <c r="AH1924">
        <v>4</v>
      </c>
      <c r="AI1924" t="s">
        <v>78</v>
      </c>
      <c r="AM1924">
        <v>0</v>
      </c>
      <c r="AP1924" t="s">
        <v>392</v>
      </c>
    </row>
    <row r="1925" spans="1:42" customFormat="1">
      <c r="A1925">
        <v>269205</v>
      </c>
      <c r="B1925">
        <v>189944</v>
      </c>
      <c r="C1925" t="s">
        <v>1900</v>
      </c>
      <c r="D1925" s="22">
        <v>1505.4</v>
      </c>
      <c r="E1925" s="17">
        <v>42130</v>
      </c>
      <c r="F1925" s="18">
        <v>0.68564814814814812</v>
      </c>
      <c r="G1925" s="22">
        <v>0</v>
      </c>
      <c r="H1925">
        <v>0</v>
      </c>
      <c r="I1925" s="19" t="e">
        <f>I1924 + (D1925-G1925)</f>
        <v>#VALUE!</v>
      </c>
      <c r="L1925">
        <v>189944</v>
      </c>
      <c r="N1925">
        <v>1</v>
      </c>
      <c r="O1925" t="s">
        <v>77</v>
      </c>
      <c r="P1925">
        <v>1</v>
      </c>
      <c r="R1925">
        <v>2</v>
      </c>
      <c r="S1925" s="17">
        <v>42135</v>
      </c>
      <c r="T1925" s="17">
        <v>42135</v>
      </c>
      <c r="U1925">
        <v>28368</v>
      </c>
      <c r="V1925">
        <v>20150506</v>
      </c>
      <c r="W1925">
        <v>2015</v>
      </c>
      <c r="X1925">
        <v>1</v>
      </c>
      <c r="AC1925" t="s">
        <v>49</v>
      </c>
      <c r="AD1925" t="s">
        <v>301</v>
      </c>
      <c r="AE1925" t="s">
        <v>46</v>
      </c>
      <c r="AG1925">
        <v>12</v>
      </c>
      <c r="AH1925">
        <v>4</v>
      </c>
      <c r="AI1925" t="s">
        <v>78</v>
      </c>
      <c r="AM1925">
        <v>0</v>
      </c>
      <c r="AP1925" t="s">
        <v>392</v>
      </c>
    </row>
    <row r="1926" spans="1:42" customFormat="1">
      <c r="A1926">
        <v>269201</v>
      </c>
      <c r="B1926">
        <v>192912</v>
      </c>
      <c r="C1926" t="s">
        <v>1901</v>
      </c>
      <c r="D1926" s="22">
        <v>1473</v>
      </c>
      <c r="E1926" s="17">
        <v>42130</v>
      </c>
      <c r="F1926" s="18">
        <v>0.68564814814814812</v>
      </c>
      <c r="G1926" s="22">
        <v>0</v>
      </c>
      <c r="H1926">
        <v>0</v>
      </c>
      <c r="I1926" s="19" t="e">
        <f>I1925 + (D1926-G1926)</f>
        <v>#VALUE!</v>
      </c>
      <c r="L1926">
        <v>192912</v>
      </c>
      <c r="N1926">
        <v>1</v>
      </c>
      <c r="O1926" t="s">
        <v>77</v>
      </c>
      <c r="P1926">
        <v>1</v>
      </c>
      <c r="R1926">
        <v>2</v>
      </c>
      <c r="S1926" s="17">
        <v>42135</v>
      </c>
      <c r="T1926" s="17">
        <v>42135</v>
      </c>
      <c r="U1926">
        <v>28360</v>
      </c>
      <c r="V1926">
        <v>20150506</v>
      </c>
      <c r="W1926">
        <v>2015</v>
      </c>
      <c r="X1926">
        <v>1</v>
      </c>
      <c r="AC1926" t="s">
        <v>49</v>
      </c>
      <c r="AD1926" t="s">
        <v>301</v>
      </c>
      <c r="AE1926" t="s">
        <v>46</v>
      </c>
      <c r="AG1926">
        <v>12</v>
      </c>
      <c r="AH1926">
        <v>4</v>
      </c>
      <c r="AI1926" t="s">
        <v>78</v>
      </c>
      <c r="AM1926">
        <v>0</v>
      </c>
      <c r="AP1926" t="s">
        <v>392</v>
      </c>
    </row>
    <row r="1927" spans="1:42" customFormat="1">
      <c r="A1927">
        <v>269203</v>
      </c>
      <c r="B1927">
        <v>194382</v>
      </c>
      <c r="C1927" t="s">
        <v>1902</v>
      </c>
      <c r="D1927" s="22">
        <v>1505.4</v>
      </c>
      <c r="E1927" s="17">
        <v>42130</v>
      </c>
      <c r="F1927" s="18">
        <v>0.68564814814814812</v>
      </c>
      <c r="G1927" s="22">
        <v>0</v>
      </c>
      <c r="H1927">
        <v>0</v>
      </c>
      <c r="I1927" s="19" t="e">
        <f>I1926 + (D1927-G1927)</f>
        <v>#VALUE!</v>
      </c>
      <c r="L1927">
        <v>194382</v>
      </c>
      <c r="N1927">
        <v>1</v>
      </c>
      <c r="O1927" t="s">
        <v>77</v>
      </c>
      <c r="P1927">
        <v>1</v>
      </c>
      <c r="R1927">
        <v>2</v>
      </c>
      <c r="S1927" s="17">
        <v>42135</v>
      </c>
      <c r="T1927" s="17">
        <v>42135</v>
      </c>
      <c r="U1927">
        <v>28362</v>
      </c>
      <c r="V1927">
        <v>20150506</v>
      </c>
      <c r="W1927">
        <v>2015</v>
      </c>
      <c r="X1927">
        <v>1</v>
      </c>
      <c r="AC1927" t="s">
        <v>49</v>
      </c>
      <c r="AD1927" t="s">
        <v>301</v>
      </c>
      <c r="AE1927" t="s">
        <v>46</v>
      </c>
      <c r="AG1927">
        <v>12</v>
      </c>
      <c r="AH1927">
        <v>4</v>
      </c>
      <c r="AI1927" t="s">
        <v>78</v>
      </c>
      <c r="AM1927">
        <v>0</v>
      </c>
      <c r="AP1927" t="s">
        <v>392</v>
      </c>
    </row>
    <row r="1928" spans="1:42" customFormat="1">
      <c r="A1928">
        <v>269202</v>
      </c>
      <c r="B1928">
        <v>191183</v>
      </c>
      <c r="C1928" t="s">
        <v>1903</v>
      </c>
      <c r="D1928" s="22">
        <v>1505.4</v>
      </c>
      <c r="E1928" s="17">
        <v>42130</v>
      </c>
      <c r="F1928" s="18">
        <v>0.68564814814814812</v>
      </c>
      <c r="G1928" s="22">
        <v>0</v>
      </c>
      <c r="H1928">
        <v>0</v>
      </c>
      <c r="I1928" s="19" t="e">
        <f>I1927 + (D1928-G1928)</f>
        <v>#VALUE!</v>
      </c>
      <c r="L1928">
        <v>191183</v>
      </c>
      <c r="N1928">
        <v>1</v>
      </c>
      <c r="O1928" t="s">
        <v>77</v>
      </c>
      <c r="P1928">
        <v>1</v>
      </c>
      <c r="R1928">
        <v>2</v>
      </c>
      <c r="S1928" s="17">
        <v>42135</v>
      </c>
      <c r="T1928" s="17">
        <v>42135</v>
      </c>
      <c r="U1928">
        <v>28361</v>
      </c>
      <c r="V1928">
        <v>20150506</v>
      </c>
      <c r="W1928">
        <v>2015</v>
      </c>
      <c r="X1928">
        <v>1</v>
      </c>
      <c r="AC1928" t="s">
        <v>49</v>
      </c>
      <c r="AD1928" t="s">
        <v>301</v>
      </c>
      <c r="AE1928" t="s">
        <v>46</v>
      </c>
      <c r="AG1928">
        <v>12</v>
      </c>
      <c r="AH1928">
        <v>4</v>
      </c>
      <c r="AI1928" t="s">
        <v>78</v>
      </c>
      <c r="AM1928">
        <v>0</v>
      </c>
      <c r="AP1928" t="s">
        <v>392</v>
      </c>
    </row>
    <row r="1929" spans="1:42" customFormat="1">
      <c r="A1929">
        <v>269204</v>
      </c>
      <c r="B1929">
        <v>190077</v>
      </c>
      <c r="C1929" t="s">
        <v>1904</v>
      </c>
      <c r="D1929" s="22">
        <v>1505.4</v>
      </c>
      <c r="E1929" s="17">
        <v>42130</v>
      </c>
      <c r="F1929" s="18">
        <v>0.68564814814814812</v>
      </c>
      <c r="G1929" s="22">
        <v>0</v>
      </c>
      <c r="H1929">
        <v>0</v>
      </c>
      <c r="I1929" s="19" t="e">
        <f>I1928 + (D1929-G1929)</f>
        <v>#VALUE!</v>
      </c>
      <c r="L1929">
        <v>190077</v>
      </c>
      <c r="N1929">
        <v>1</v>
      </c>
      <c r="O1929" t="s">
        <v>77</v>
      </c>
      <c r="P1929">
        <v>1</v>
      </c>
      <c r="R1929">
        <v>2</v>
      </c>
      <c r="S1929" s="17">
        <v>42135</v>
      </c>
      <c r="T1929" s="17">
        <v>42135</v>
      </c>
      <c r="U1929">
        <v>28367</v>
      </c>
      <c r="V1929">
        <v>20150506</v>
      </c>
      <c r="W1929">
        <v>2015</v>
      </c>
      <c r="X1929">
        <v>1</v>
      </c>
      <c r="AC1929" t="s">
        <v>49</v>
      </c>
      <c r="AD1929" t="s">
        <v>301</v>
      </c>
      <c r="AE1929" t="s">
        <v>46</v>
      </c>
      <c r="AG1929">
        <v>12</v>
      </c>
      <c r="AH1929">
        <v>4</v>
      </c>
      <c r="AI1929" t="s">
        <v>78</v>
      </c>
      <c r="AM1929">
        <v>0</v>
      </c>
      <c r="AP1929" t="s">
        <v>392</v>
      </c>
    </row>
    <row r="1930" spans="1:42" customFormat="1">
      <c r="A1930">
        <v>269208</v>
      </c>
      <c r="B1930">
        <v>189762</v>
      </c>
      <c r="C1930" t="s">
        <v>1905</v>
      </c>
      <c r="D1930" s="22">
        <v>1505.4</v>
      </c>
      <c r="E1930" s="17">
        <v>42130</v>
      </c>
      <c r="F1930" s="18">
        <v>0.68565972222222227</v>
      </c>
      <c r="G1930" s="22">
        <v>0</v>
      </c>
      <c r="H1930">
        <v>0</v>
      </c>
      <c r="I1930" s="19" t="e">
        <f>I1929 + (D1930-G1930)</f>
        <v>#VALUE!</v>
      </c>
      <c r="L1930">
        <v>189762</v>
      </c>
      <c r="N1930">
        <v>1</v>
      </c>
      <c r="O1930" t="s">
        <v>77</v>
      </c>
      <c r="P1930">
        <v>1</v>
      </c>
      <c r="R1930">
        <v>2</v>
      </c>
      <c r="S1930" s="17">
        <v>42135</v>
      </c>
      <c r="T1930" s="17">
        <v>42135</v>
      </c>
      <c r="U1930">
        <v>28371</v>
      </c>
      <c r="V1930">
        <v>20150506</v>
      </c>
      <c r="W1930">
        <v>2015</v>
      </c>
      <c r="X1930">
        <v>1</v>
      </c>
      <c r="AC1930" t="s">
        <v>49</v>
      </c>
      <c r="AD1930" t="s">
        <v>301</v>
      </c>
      <c r="AE1930" t="s">
        <v>46</v>
      </c>
      <c r="AG1930">
        <v>12</v>
      </c>
      <c r="AH1930">
        <v>4</v>
      </c>
      <c r="AI1930" t="s">
        <v>78</v>
      </c>
      <c r="AM1930">
        <v>0</v>
      </c>
      <c r="AP1930" t="s">
        <v>392</v>
      </c>
    </row>
    <row r="1931" spans="1:42" customFormat="1">
      <c r="A1931">
        <v>269207</v>
      </c>
      <c r="B1931">
        <v>190112</v>
      </c>
      <c r="C1931" t="s">
        <v>1906</v>
      </c>
      <c r="D1931" s="22">
        <v>1505.4</v>
      </c>
      <c r="E1931" s="17">
        <v>42130</v>
      </c>
      <c r="F1931" s="18">
        <v>0.68565972222222227</v>
      </c>
      <c r="G1931" s="22">
        <v>0</v>
      </c>
      <c r="H1931">
        <v>0</v>
      </c>
      <c r="I1931" s="19" t="e">
        <f>I1930 + (D1931-G1931)</f>
        <v>#VALUE!</v>
      </c>
      <c r="L1931">
        <v>190112</v>
      </c>
      <c r="N1931">
        <v>1</v>
      </c>
      <c r="O1931" t="s">
        <v>77</v>
      </c>
      <c r="P1931">
        <v>1</v>
      </c>
      <c r="R1931">
        <v>2</v>
      </c>
      <c r="S1931" s="17">
        <v>42135</v>
      </c>
      <c r="T1931" s="17">
        <v>42135</v>
      </c>
      <c r="U1931">
        <v>28370</v>
      </c>
      <c r="V1931">
        <v>20150506</v>
      </c>
      <c r="W1931">
        <v>2015</v>
      </c>
      <c r="X1931">
        <v>1</v>
      </c>
      <c r="AC1931" t="s">
        <v>49</v>
      </c>
      <c r="AD1931" t="s">
        <v>301</v>
      </c>
      <c r="AE1931" t="s">
        <v>46</v>
      </c>
      <c r="AG1931">
        <v>12</v>
      </c>
      <c r="AH1931">
        <v>4</v>
      </c>
      <c r="AI1931" t="s">
        <v>78</v>
      </c>
      <c r="AM1931">
        <v>0</v>
      </c>
      <c r="AP1931" t="s">
        <v>392</v>
      </c>
    </row>
    <row r="1932" spans="1:42" customFormat="1">
      <c r="A1932">
        <v>269621</v>
      </c>
      <c r="B1932">
        <v>204804</v>
      </c>
      <c r="C1932" t="s">
        <v>1997</v>
      </c>
      <c r="D1932" s="22">
        <v>1761.9</v>
      </c>
      <c r="E1932" s="17">
        <v>42131</v>
      </c>
      <c r="F1932" s="18">
        <v>0.5</v>
      </c>
      <c r="G1932" s="22">
        <v>0</v>
      </c>
      <c r="H1932">
        <v>0</v>
      </c>
      <c r="I1932" s="19" t="e">
        <f>I1931 + (D1932-G1932)</f>
        <v>#VALUE!</v>
      </c>
      <c r="L1932">
        <v>204804</v>
      </c>
      <c r="N1932">
        <v>1</v>
      </c>
      <c r="O1932" t="s">
        <v>77</v>
      </c>
      <c r="P1932">
        <v>1</v>
      </c>
      <c r="R1932">
        <v>2</v>
      </c>
      <c r="S1932" s="17">
        <v>42136</v>
      </c>
      <c r="T1932" s="17">
        <v>42136</v>
      </c>
      <c r="U1932">
        <v>28431</v>
      </c>
      <c r="W1932">
        <v>2015</v>
      </c>
      <c r="X1932">
        <v>1</v>
      </c>
      <c r="AC1932" t="s">
        <v>49</v>
      </c>
      <c r="AD1932" t="s">
        <v>301</v>
      </c>
      <c r="AE1932" t="s">
        <v>46</v>
      </c>
      <c r="AG1932">
        <v>69</v>
      </c>
      <c r="AH1932">
        <v>4</v>
      </c>
      <c r="AI1932" t="s">
        <v>78</v>
      </c>
      <c r="AM1932">
        <v>0</v>
      </c>
      <c r="AP1932" t="s">
        <v>339</v>
      </c>
    </row>
    <row r="1933" spans="1:42" customFormat="1">
      <c r="A1933">
        <v>269622</v>
      </c>
      <c r="B1933">
        <v>192280</v>
      </c>
      <c r="C1933" t="s">
        <v>1998</v>
      </c>
      <c r="D1933" s="22">
        <v>1765.34</v>
      </c>
      <c r="E1933" s="17">
        <v>42131</v>
      </c>
      <c r="F1933" s="18">
        <v>0.5</v>
      </c>
      <c r="G1933" s="22">
        <v>0</v>
      </c>
      <c r="H1933">
        <v>0</v>
      </c>
      <c r="I1933" s="19" t="e">
        <f>I1932 + (D1933-G1933)</f>
        <v>#VALUE!</v>
      </c>
      <c r="L1933">
        <v>192280</v>
      </c>
      <c r="N1933">
        <v>1</v>
      </c>
      <c r="O1933" t="s">
        <v>77</v>
      </c>
      <c r="P1933">
        <v>1</v>
      </c>
      <c r="R1933">
        <v>2</v>
      </c>
      <c r="S1933" s="17">
        <v>42136</v>
      </c>
      <c r="T1933" s="17">
        <v>42136</v>
      </c>
      <c r="U1933">
        <v>28432</v>
      </c>
      <c r="W1933">
        <v>2015</v>
      </c>
      <c r="X1933">
        <v>1</v>
      </c>
      <c r="AC1933" t="s">
        <v>49</v>
      </c>
      <c r="AD1933" t="s">
        <v>301</v>
      </c>
      <c r="AE1933" t="s">
        <v>46</v>
      </c>
      <c r="AG1933">
        <v>69</v>
      </c>
      <c r="AH1933">
        <v>4</v>
      </c>
      <c r="AI1933" t="s">
        <v>78</v>
      </c>
      <c r="AM1933">
        <v>0</v>
      </c>
      <c r="AP1933" t="s">
        <v>339</v>
      </c>
    </row>
    <row r="1934" spans="1:42" customFormat="1">
      <c r="A1934">
        <v>269706</v>
      </c>
      <c r="B1934">
        <v>191992</v>
      </c>
      <c r="C1934" t="s">
        <v>1999</v>
      </c>
      <c r="D1934" s="22">
        <v>1798.7</v>
      </c>
      <c r="E1934" s="17">
        <v>42131</v>
      </c>
      <c r="F1934" s="18">
        <v>0.5</v>
      </c>
      <c r="G1934" s="22">
        <v>0</v>
      </c>
      <c r="H1934">
        <v>0</v>
      </c>
      <c r="I1934" s="19" t="e">
        <f>I1933 + (D1934-G1934)</f>
        <v>#VALUE!</v>
      </c>
      <c r="L1934">
        <v>191992</v>
      </c>
      <c r="N1934">
        <v>1</v>
      </c>
      <c r="O1934" t="s">
        <v>77</v>
      </c>
      <c r="P1934">
        <v>1</v>
      </c>
      <c r="R1934">
        <v>2</v>
      </c>
      <c r="S1934" s="17">
        <v>42136</v>
      </c>
      <c r="T1934" s="17">
        <v>42136</v>
      </c>
      <c r="U1934">
        <v>28488</v>
      </c>
      <c r="W1934">
        <v>2015</v>
      </c>
      <c r="X1934">
        <v>1</v>
      </c>
      <c r="AC1934" t="s">
        <v>49</v>
      </c>
      <c r="AD1934" t="s">
        <v>301</v>
      </c>
      <c r="AE1934" t="s">
        <v>46</v>
      </c>
      <c r="AG1934">
        <v>3</v>
      </c>
      <c r="AH1934">
        <v>4</v>
      </c>
      <c r="AI1934" t="s">
        <v>78</v>
      </c>
      <c r="AM1934">
        <v>0</v>
      </c>
      <c r="AP1934" t="s">
        <v>80</v>
      </c>
    </row>
    <row r="1935" spans="1:42" customFormat="1">
      <c r="A1935">
        <v>269196</v>
      </c>
      <c r="B1935">
        <v>189875</v>
      </c>
      <c r="C1935" t="s">
        <v>2049</v>
      </c>
      <c r="D1935" s="22">
        <v>1505.89</v>
      </c>
      <c r="E1935" s="17">
        <v>42131</v>
      </c>
      <c r="F1935" s="18">
        <v>0.68549768518518517</v>
      </c>
      <c r="G1935" s="22">
        <v>0</v>
      </c>
      <c r="H1935">
        <v>0</v>
      </c>
      <c r="I1935" s="19" t="e">
        <f>I1934 + (D1935-G1935)</f>
        <v>#VALUE!</v>
      </c>
      <c r="L1935">
        <v>189875</v>
      </c>
      <c r="N1935">
        <v>1</v>
      </c>
      <c r="O1935" t="s">
        <v>77</v>
      </c>
      <c r="P1935">
        <v>1</v>
      </c>
      <c r="R1935">
        <v>2</v>
      </c>
      <c r="S1935" s="17">
        <v>42135</v>
      </c>
      <c r="T1935" s="17">
        <v>42135</v>
      </c>
      <c r="U1935">
        <v>28356</v>
      </c>
      <c r="V1935">
        <v>20150507</v>
      </c>
      <c r="W1935">
        <v>2015</v>
      </c>
      <c r="X1935">
        <v>1</v>
      </c>
      <c r="AC1935" t="s">
        <v>49</v>
      </c>
      <c r="AD1935" t="s">
        <v>301</v>
      </c>
      <c r="AE1935" t="s">
        <v>46</v>
      </c>
      <c r="AG1935">
        <v>12</v>
      </c>
      <c r="AH1935">
        <v>4</v>
      </c>
      <c r="AI1935" t="s">
        <v>78</v>
      </c>
      <c r="AM1935">
        <v>0</v>
      </c>
      <c r="AP1935" t="s">
        <v>392</v>
      </c>
    </row>
    <row r="1936" spans="1:42" customFormat="1">
      <c r="A1936">
        <v>269197</v>
      </c>
      <c r="B1936">
        <v>189958</v>
      </c>
      <c r="C1936" t="s">
        <v>2050</v>
      </c>
      <c r="D1936" s="22">
        <v>1505.89</v>
      </c>
      <c r="E1936" s="17">
        <v>42131</v>
      </c>
      <c r="F1936" s="18">
        <v>0.68549768518518517</v>
      </c>
      <c r="G1936" s="22">
        <v>0</v>
      </c>
      <c r="H1936">
        <v>0</v>
      </c>
      <c r="I1936" s="19" t="e">
        <f>I1935 + (D1936-G1936)</f>
        <v>#VALUE!</v>
      </c>
      <c r="L1936">
        <v>189958</v>
      </c>
      <c r="N1936">
        <v>1</v>
      </c>
      <c r="O1936" t="s">
        <v>77</v>
      </c>
      <c r="P1936">
        <v>1</v>
      </c>
      <c r="R1936">
        <v>2</v>
      </c>
      <c r="S1936" s="17">
        <v>42135</v>
      </c>
      <c r="T1936" s="17">
        <v>42135</v>
      </c>
      <c r="U1936">
        <v>28357</v>
      </c>
      <c r="V1936">
        <v>20150507</v>
      </c>
      <c r="W1936">
        <v>2015</v>
      </c>
      <c r="X1936">
        <v>1</v>
      </c>
      <c r="AC1936" t="s">
        <v>49</v>
      </c>
      <c r="AD1936" t="s">
        <v>301</v>
      </c>
      <c r="AE1936" t="s">
        <v>46</v>
      </c>
      <c r="AG1936">
        <v>12</v>
      </c>
      <c r="AH1936">
        <v>4</v>
      </c>
      <c r="AI1936" t="s">
        <v>78</v>
      </c>
      <c r="AM1936">
        <v>0</v>
      </c>
      <c r="AP1936" t="s">
        <v>392</v>
      </c>
    </row>
    <row r="1937" spans="1:42" customFormat="1">
      <c r="A1937">
        <v>269198</v>
      </c>
      <c r="B1937">
        <v>190032</v>
      </c>
      <c r="C1937" t="s">
        <v>2051</v>
      </c>
      <c r="D1937" s="22">
        <v>1505.89</v>
      </c>
      <c r="E1937" s="17">
        <v>42131</v>
      </c>
      <c r="F1937" s="18">
        <v>0.68549768518518517</v>
      </c>
      <c r="G1937" s="22">
        <v>0</v>
      </c>
      <c r="H1937">
        <v>0</v>
      </c>
      <c r="I1937" s="19" t="e">
        <f>I1936 + (D1937-G1937)</f>
        <v>#VALUE!</v>
      </c>
      <c r="L1937">
        <v>190032</v>
      </c>
      <c r="N1937">
        <v>1</v>
      </c>
      <c r="O1937" t="s">
        <v>77</v>
      </c>
      <c r="P1937">
        <v>1</v>
      </c>
      <c r="R1937">
        <v>2</v>
      </c>
      <c r="S1937" s="17">
        <v>42135</v>
      </c>
      <c r="T1937" s="17">
        <v>42135</v>
      </c>
      <c r="U1937">
        <v>28358</v>
      </c>
      <c r="V1937">
        <v>20150507</v>
      </c>
      <c r="W1937">
        <v>2015</v>
      </c>
      <c r="X1937">
        <v>1</v>
      </c>
      <c r="AC1937" t="s">
        <v>49</v>
      </c>
      <c r="AD1937" t="s">
        <v>301</v>
      </c>
      <c r="AE1937" t="s">
        <v>46</v>
      </c>
      <c r="AG1937">
        <v>12</v>
      </c>
      <c r="AH1937">
        <v>4</v>
      </c>
      <c r="AI1937" t="s">
        <v>78</v>
      </c>
      <c r="AM1937">
        <v>0</v>
      </c>
      <c r="AP1937" t="s">
        <v>392</v>
      </c>
    </row>
    <row r="1938" spans="1:42" customFormat="1">
      <c r="A1938">
        <v>269199</v>
      </c>
      <c r="B1938">
        <v>191193</v>
      </c>
      <c r="C1938" t="s">
        <v>2052</v>
      </c>
      <c r="D1938" s="22">
        <v>1505.89</v>
      </c>
      <c r="E1938" s="17">
        <v>42131</v>
      </c>
      <c r="F1938" s="18">
        <v>0.68549768518518517</v>
      </c>
      <c r="G1938" s="22">
        <v>0</v>
      </c>
      <c r="H1938">
        <v>0</v>
      </c>
      <c r="I1938" s="19" t="e">
        <f>I1937 + (D1938-G1938)</f>
        <v>#VALUE!</v>
      </c>
      <c r="L1938">
        <v>191193</v>
      </c>
      <c r="N1938">
        <v>1</v>
      </c>
      <c r="O1938" t="s">
        <v>77</v>
      </c>
      <c r="P1938">
        <v>1</v>
      </c>
      <c r="R1938">
        <v>2</v>
      </c>
      <c r="S1938" s="17">
        <v>42135</v>
      </c>
      <c r="T1938" s="17">
        <v>42135</v>
      </c>
      <c r="U1938">
        <v>28359</v>
      </c>
      <c r="V1938">
        <v>20150507</v>
      </c>
      <c r="W1938">
        <v>2015</v>
      </c>
      <c r="X1938">
        <v>1</v>
      </c>
      <c r="AC1938" t="s">
        <v>49</v>
      </c>
      <c r="AD1938" t="s">
        <v>301</v>
      </c>
      <c r="AE1938" t="s">
        <v>46</v>
      </c>
      <c r="AG1938">
        <v>12</v>
      </c>
      <c r="AH1938">
        <v>4</v>
      </c>
      <c r="AI1938" t="s">
        <v>78</v>
      </c>
      <c r="AM1938">
        <v>0</v>
      </c>
      <c r="AP1938" t="s">
        <v>392</v>
      </c>
    </row>
    <row r="1939" spans="1:42" customFormat="1">
      <c r="A1939">
        <v>269194</v>
      </c>
      <c r="B1939">
        <v>191328</v>
      </c>
      <c r="C1939" t="s">
        <v>2053</v>
      </c>
      <c r="D1939" s="22">
        <v>1505.89</v>
      </c>
      <c r="E1939" s="17">
        <v>42131</v>
      </c>
      <c r="F1939" s="18">
        <v>0.68549768518518517</v>
      </c>
      <c r="G1939" s="22">
        <v>0</v>
      </c>
      <c r="H1939">
        <v>0</v>
      </c>
      <c r="I1939" s="19" t="e">
        <f>I1938 + (D1939-G1939)</f>
        <v>#VALUE!</v>
      </c>
      <c r="L1939">
        <v>191328</v>
      </c>
      <c r="N1939">
        <v>1</v>
      </c>
      <c r="O1939" t="s">
        <v>77</v>
      </c>
      <c r="P1939">
        <v>1</v>
      </c>
      <c r="R1939">
        <v>2</v>
      </c>
      <c r="S1939" s="17">
        <v>42135</v>
      </c>
      <c r="T1939" s="17">
        <v>42135</v>
      </c>
      <c r="U1939">
        <v>28354</v>
      </c>
      <c r="V1939">
        <v>20150507</v>
      </c>
      <c r="W1939">
        <v>2015</v>
      </c>
      <c r="X1939">
        <v>1</v>
      </c>
      <c r="AC1939" t="s">
        <v>49</v>
      </c>
      <c r="AD1939" t="s">
        <v>301</v>
      </c>
      <c r="AE1939" t="s">
        <v>46</v>
      </c>
      <c r="AG1939">
        <v>12</v>
      </c>
      <c r="AH1939">
        <v>4</v>
      </c>
      <c r="AI1939" t="s">
        <v>78</v>
      </c>
      <c r="AM1939">
        <v>0</v>
      </c>
      <c r="AP1939" t="s">
        <v>392</v>
      </c>
    </row>
    <row r="1940" spans="1:42" customFormat="1">
      <c r="A1940">
        <v>269195</v>
      </c>
      <c r="B1940">
        <v>190088</v>
      </c>
      <c r="C1940" t="s">
        <v>2054</v>
      </c>
      <c r="D1940" s="22">
        <v>1505.89</v>
      </c>
      <c r="E1940" s="17">
        <v>42131</v>
      </c>
      <c r="F1940" s="18">
        <v>0.68549768518518517</v>
      </c>
      <c r="G1940" s="22">
        <v>0</v>
      </c>
      <c r="H1940">
        <v>0</v>
      </c>
      <c r="I1940" s="19" t="e">
        <f>I1939 + (D1940-G1940)</f>
        <v>#VALUE!</v>
      </c>
      <c r="L1940">
        <v>190088</v>
      </c>
      <c r="N1940">
        <v>1</v>
      </c>
      <c r="O1940" t="s">
        <v>77</v>
      </c>
      <c r="P1940">
        <v>1</v>
      </c>
      <c r="R1940">
        <v>2</v>
      </c>
      <c r="S1940" s="17">
        <v>42135</v>
      </c>
      <c r="T1940" s="17">
        <v>42135</v>
      </c>
      <c r="U1940">
        <v>28355</v>
      </c>
      <c r="V1940">
        <v>20150507</v>
      </c>
      <c r="W1940">
        <v>2015</v>
      </c>
      <c r="X1940">
        <v>1</v>
      </c>
      <c r="AC1940" t="s">
        <v>49</v>
      </c>
      <c r="AD1940" t="s">
        <v>301</v>
      </c>
      <c r="AE1940" t="s">
        <v>46</v>
      </c>
      <c r="AG1940">
        <v>12</v>
      </c>
      <c r="AH1940">
        <v>4</v>
      </c>
      <c r="AI1940" t="s">
        <v>78</v>
      </c>
      <c r="AM1940">
        <v>0</v>
      </c>
      <c r="AP1940" t="s">
        <v>392</v>
      </c>
    </row>
    <row r="1941" spans="1:42" customFormat="1">
      <c r="A1941">
        <v>269717</v>
      </c>
      <c r="B1941">
        <v>184625</v>
      </c>
      <c r="C1941" t="s">
        <v>2087</v>
      </c>
      <c r="D1941" s="22">
        <v>1579.8</v>
      </c>
      <c r="E1941" s="17">
        <v>42132</v>
      </c>
      <c r="F1941" s="18">
        <v>0.39474537037037033</v>
      </c>
      <c r="G1941" s="22">
        <v>0</v>
      </c>
      <c r="H1941">
        <v>0</v>
      </c>
      <c r="I1941" s="19" t="e">
        <f>I1940 + (D1941-G1941)</f>
        <v>#VALUE!</v>
      </c>
      <c r="L1941">
        <v>184625</v>
      </c>
      <c r="N1941">
        <v>8</v>
      </c>
      <c r="O1941" t="s">
        <v>63</v>
      </c>
      <c r="P1941">
        <v>1</v>
      </c>
      <c r="R1941">
        <v>2</v>
      </c>
      <c r="S1941" s="17">
        <v>42137</v>
      </c>
      <c r="T1941" s="17">
        <v>42137</v>
      </c>
      <c r="W1941">
        <v>2015</v>
      </c>
      <c r="X1941">
        <v>8</v>
      </c>
      <c r="AC1941" t="s">
        <v>49</v>
      </c>
      <c r="AD1941" t="s">
        <v>301</v>
      </c>
      <c r="AE1941" t="s">
        <v>46</v>
      </c>
      <c r="AG1941">
        <v>56</v>
      </c>
      <c r="AH1941">
        <v>1</v>
      </c>
      <c r="AI1941" t="s">
        <v>58</v>
      </c>
      <c r="AK1941">
        <v>0</v>
      </c>
      <c r="AM1941">
        <v>0</v>
      </c>
      <c r="AP1941" t="s">
        <v>59</v>
      </c>
    </row>
    <row r="1942" spans="1:42" customFormat="1">
      <c r="A1942">
        <v>269719</v>
      </c>
      <c r="B1942">
        <v>188984</v>
      </c>
      <c r="C1942" t="s">
        <v>2088</v>
      </c>
      <c r="D1942" s="22">
        <v>1579</v>
      </c>
      <c r="E1942" s="17">
        <v>42132</v>
      </c>
      <c r="F1942" s="18">
        <v>0.39767361111111116</v>
      </c>
      <c r="G1942" s="22">
        <v>0</v>
      </c>
      <c r="H1942">
        <v>0</v>
      </c>
      <c r="I1942" s="19" t="e">
        <f>I1941 + (D1942-G1942)</f>
        <v>#VALUE!</v>
      </c>
      <c r="L1942">
        <v>188984</v>
      </c>
      <c r="N1942">
        <v>8</v>
      </c>
      <c r="O1942" t="s">
        <v>63</v>
      </c>
      <c r="P1942">
        <v>1</v>
      </c>
      <c r="R1942">
        <v>2</v>
      </c>
      <c r="S1942" s="17">
        <v>42137</v>
      </c>
      <c r="T1942" s="17">
        <v>42137</v>
      </c>
      <c r="W1942">
        <v>2015</v>
      </c>
      <c r="X1942">
        <v>8</v>
      </c>
      <c r="AC1942" t="s">
        <v>49</v>
      </c>
      <c r="AD1942" t="s">
        <v>301</v>
      </c>
      <c r="AE1942" t="s">
        <v>46</v>
      </c>
      <c r="AG1942">
        <v>56</v>
      </c>
      <c r="AH1942">
        <v>1</v>
      </c>
      <c r="AI1942" t="s">
        <v>58</v>
      </c>
      <c r="AK1942">
        <v>0</v>
      </c>
      <c r="AM1942">
        <v>0</v>
      </c>
      <c r="AP1942" t="s">
        <v>59</v>
      </c>
    </row>
    <row r="1943" spans="1:42" customFormat="1">
      <c r="A1943">
        <v>269741</v>
      </c>
      <c r="B1943">
        <v>216511</v>
      </c>
      <c r="C1943" t="s">
        <v>2118</v>
      </c>
      <c r="D1943" s="22">
        <v>850</v>
      </c>
      <c r="E1943" s="17">
        <v>42132</v>
      </c>
      <c r="F1943" s="18">
        <v>0.43574074074074076</v>
      </c>
      <c r="G1943" s="22">
        <v>0</v>
      </c>
      <c r="H1943">
        <v>0</v>
      </c>
      <c r="I1943" s="19" t="e">
        <f>I1942 + (D1943-G1943)</f>
        <v>#VALUE!</v>
      </c>
      <c r="L1943">
        <v>216511</v>
      </c>
      <c r="N1943">
        <v>8</v>
      </c>
      <c r="O1943" t="s">
        <v>63</v>
      </c>
      <c r="P1943">
        <v>1</v>
      </c>
      <c r="R1943">
        <v>2</v>
      </c>
      <c r="S1943" s="17">
        <v>42137</v>
      </c>
      <c r="T1943" s="17">
        <v>42137</v>
      </c>
      <c r="W1943">
        <v>2011</v>
      </c>
      <c r="X1943">
        <v>8</v>
      </c>
      <c r="AC1943" t="s">
        <v>49</v>
      </c>
      <c r="AD1943" t="s">
        <v>301</v>
      </c>
      <c r="AE1943" t="s">
        <v>46</v>
      </c>
      <c r="AG1943">
        <v>56</v>
      </c>
      <c r="AH1943">
        <v>1</v>
      </c>
      <c r="AI1943" t="s">
        <v>58</v>
      </c>
      <c r="AK1943">
        <v>0</v>
      </c>
      <c r="AM1943">
        <v>0</v>
      </c>
      <c r="AP1943" t="s">
        <v>59</v>
      </c>
    </row>
    <row r="1944" spans="1:42" customFormat="1">
      <c r="A1944">
        <v>269623</v>
      </c>
      <c r="B1944">
        <v>192385</v>
      </c>
      <c r="C1944" t="s">
        <v>2215</v>
      </c>
      <c r="D1944" s="22">
        <v>1772.23</v>
      </c>
      <c r="E1944" s="17">
        <v>42132</v>
      </c>
      <c r="F1944" s="18">
        <v>0.5</v>
      </c>
      <c r="G1944" s="22">
        <v>0</v>
      </c>
      <c r="H1944">
        <v>0</v>
      </c>
      <c r="I1944" s="19" t="e">
        <f>I1943 + (D1944-G1944)</f>
        <v>#VALUE!</v>
      </c>
      <c r="L1944">
        <v>192385</v>
      </c>
      <c r="N1944">
        <v>1</v>
      </c>
      <c r="O1944" t="s">
        <v>77</v>
      </c>
      <c r="P1944">
        <v>1</v>
      </c>
      <c r="R1944">
        <v>2</v>
      </c>
      <c r="S1944" s="17">
        <v>42136</v>
      </c>
      <c r="T1944" s="17">
        <v>42136</v>
      </c>
      <c r="U1944">
        <v>28433</v>
      </c>
      <c r="W1944">
        <v>2015</v>
      </c>
      <c r="X1944">
        <v>1</v>
      </c>
      <c r="AC1944" t="s">
        <v>49</v>
      </c>
      <c r="AD1944" t="s">
        <v>301</v>
      </c>
      <c r="AE1944" t="s">
        <v>46</v>
      </c>
      <c r="AG1944">
        <v>69</v>
      </c>
      <c r="AH1944">
        <v>4</v>
      </c>
      <c r="AI1944" t="s">
        <v>78</v>
      </c>
      <c r="AM1944">
        <v>0</v>
      </c>
      <c r="AP1944" t="s">
        <v>339</v>
      </c>
    </row>
    <row r="1945" spans="1:42" customFormat="1">
      <c r="A1945">
        <v>269710</v>
      </c>
      <c r="B1945">
        <v>192325</v>
      </c>
      <c r="C1945" t="s">
        <v>2216</v>
      </c>
      <c r="D1945" s="22">
        <v>1804.45</v>
      </c>
      <c r="E1945" s="17">
        <v>42132</v>
      </c>
      <c r="F1945" s="18">
        <v>0.5</v>
      </c>
      <c r="G1945" s="22">
        <v>0</v>
      </c>
      <c r="H1945">
        <v>0</v>
      </c>
      <c r="I1945" s="19" t="e">
        <f>I1944 + (D1945-G1945)</f>
        <v>#VALUE!</v>
      </c>
      <c r="L1945">
        <v>192325</v>
      </c>
      <c r="N1945">
        <v>1</v>
      </c>
      <c r="O1945" t="s">
        <v>77</v>
      </c>
      <c r="P1945">
        <v>1</v>
      </c>
      <c r="R1945">
        <v>2</v>
      </c>
      <c r="S1945" s="17">
        <v>42136</v>
      </c>
      <c r="T1945" s="17">
        <v>42136</v>
      </c>
      <c r="U1945">
        <v>28492</v>
      </c>
      <c r="W1945">
        <v>2015</v>
      </c>
      <c r="X1945">
        <v>1</v>
      </c>
      <c r="AC1945" t="s">
        <v>49</v>
      </c>
      <c r="AD1945" t="s">
        <v>301</v>
      </c>
      <c r="AE1945" t="s">
        <v>46</v>
      </c>
      <c r="AG1945">
        <v>3</v>
      </c>
      <c r="AH1945">
        <v>4</v>
      </c>
      <c r="AI1945" t="s">
        <v>78</v>
      </c>
      <c r="AM1945">
        <v>0</v>
      </c>
      <c r="AP1945" t="s">
        <v>80</v>
      </c>
    </row>
    <row r="1946" spans="1:42" customFormat="1">
      <c r="A1946">
        <v>269709</v>
      </c>
      <c r="B1946">
        <v>191947</v>
      </c>
      <c r="C1946" t="s">
        <v>2217</v>
      </c>
      <c r="D1946" s="22">
        <v>1804.45</v>
      </c>
      <c r="E1946" s="17">
        <v>42132</v>
      </c>
      <c r="F1946" s="18">
        <v>0.5</v>
      </c>
      <c r="G1946" s="22">
        <v>0</v>
      </c>
      <c r="H1946">
        <v>0</v>
      </c>
      <c r="I1946" s="19" t="e">
        <f>I1945 + (D1946-G1946)</f>
        <v>#VALUE!</v>
      </c>
      <c r="L1946">
        <v>191947</v>
      </c>
      <c r="N1946">
        <v>1</v>
      </c>
      <c r="O1946" t="s">
        <v>77</v>
      </c>
      <c r="P1946">
        <v>1</v>
      </c>
      <c r="R1946">
        <v>2</v>
      </c>
      <c r="S1946" s="17">
        <v>42136</v>
      </c>
      <c r="T1946" s="17">
        <v>42136</v>
      </c>
      <c r="U1946">
        <v>28491</v>
      </c>
      <c r="W1946">
        <v>2015</v>
      </c>
      <c r="X1946">
        <v>1</v>
      </c>
      <c r="AC1946" t="s">
        <v>49</v>
      </c>
      <c r="AD1946" t="s">
        <v>301</v>
      </c>
      <c r="AE1946" t="s">
        <v>46</v>
      </c>
      <c r="AG1946">
        <v>3</v>
      </c>
      <c r="AH1946">
        <v>4</v>
      </c>
      <c r="AI1946" t="s">
        <v>78</v>
      </c>
      <c r="AM1946">
        <v>0</v>
      </c>
      <c r="AP1946" t="s">
        <v>80</v>
      </c>
    </row>
    <row r="1947" spans="1:42" customFormat="1">
      <c r="A1947">
        <v>269707</v>
      </c>
      <c r="B1947">
        <v>192139</v>
      </c>
      <c r="C1947" t="s">
        <v>2218</v>
      </c>
      <c r="D1947" s="22">
        <v>1804.45</v>
      </c>
      <c r="E1947" s="17">
        <v>42132</v>
      </c>
      <c r="F1947" s="18">
        <v>0.5</v>
      </c>
      <c r="G1947" s="22">
        <v>0</v>
      </c>
      <c r="H1947">
        <v>0</v>
      </c>
      <c r="I1947" s="19" t="e">
        <f>I1946 + (D1947-G1947)</f>
        <v>#VALUE!</v>
      </c>
      <c r="L1947">
        <v>192139</v>
      </c>
      <c r="N1947">
        <v>1</v>
      </c>
      <c r="O1947" t="s">
        <v>77</v>
      </c>
      <c r="P1947">
        <v>1</v>
      </c>
      <c r="R1947">
        <v>2</v>
      </c>
      <c r="S1947" s="17">
        <v>42136</v>
      </c>
      <c r="T1947" s="17">
        <v>42136</v>
      </c>
      <c r="U1947">
        <v>28489</v>
      </c>
      <c r="W1947">
        <v>2015</v>
      </c>
      <c r="X1947">
        <v>1</v>
      </c>
      <c r="AC1947" t="s">
        <v>49</v>
      </c>
      <c r="AD1947" t="s">
        <v>301</v>
      </c>
      <c r="AE1947" t="s">
        <v>46</v>
      </c>
      <c r="AG1947">
        <v>3</v>
      </c>
      <c r="AH1947">
        <v>4</v>
      </c>
      <c r="AI1947" t="s">
        <v>78</v>
      </c>
      <c r="AM1947">
        <v>0</v>
      </c>
      <c r="AP1947" t="s">
        <v>80</v>
      </c>
    </row>
    <row r="1948" spans="1:42" customFormat="1">
      <c r="A1948">
        <v>269708</v>
      </c>
      <c r="B1948">
        <v>192349</v>
      </c>
      <c r="C1948" t="s">
        <v>2219</v>
      </c>
      <c r="D1948" s="22">
        <v>1804.45</v>
      </c>
      <c r="E1948" s="17">
        <v>42132</v>
      </c>
      <c r="F1948" s="18">
        <v>0.5</v>
      </c>
      <c r="G1948" s="22">
        <v>0</v>
      </c>
      <c r="H1948">
        <v>0</v>
      </c>
      <c r="I1948" s="19" t="e">
        <f>I1947 + (D1948-G1948)</f>
        <v>#VALUE!</v>
      </c>
      <c r="L1948">
        <v>192349</v>
      </c>
      <c r="N1948">
        <v>1</v>
      </c>
      <c r="O1948" t="s">
        <v>77</v>
      </c>
      <c r="P1948">
        <v>1</v>
      </c>
      <c r="R1948">
        <v>2</v>
      </c>
      <c r="S1948" s="17">
        <v>42136</v>
      </c>
      <c r="T1948" s="17">
        <v>42136</v>
      </c>
      <c r="U1948">
        <v>28490</v>
      </c>
      <c r="W1948">
        <v>2015</v>
      </c>
      <c r="X1948">
        <v>1</v>
      </c>
      <c r="AC1948" t="s">
        <v>49</v>
      </c>
      <c r="AD1948" t="s">
        <v>301</v>
      </c>
      <c r="AE1948" t="s">
        <v>46</v>
      </c>
      <c r="AG1948">
        <v>3</v>
      </c>
      <c r="AH1948">
        <v>4</v>
      </c>
      <c r="AI1948" t="s">
        <v>78</v>
      </c>
      <c r="AM1948">
        <v>0</v>
      </c>
      <c r="AP1948" t="s">
        <v>80</v>
      </c>
    </row>
    <row r="1949" spans="1:42" customFormat="1">
      <c r="A1949">
        <v>269187</v>
      </c>
      <c r="B1949">
        <v>189998</v>
      </c>
      <c r="C1949" t="s">
        <v>2288</v>
      </c>
      <c r="D1949" s="22">
        <v>1506.38</v>
      </c>
      <c r="E1949" s="17">
        <v>42132</v>
      </c>
      <c r="F1949" s="18">
        <v>0.68435185185185177</v>
      </c>
      <c r="G1949" s="22">
        <v>0</v>
      </c>
      <c r="H1949">
        <v>0</v>
      </c>
      <c r="I1949" s="19" t="e">
        <f>I1948 + (D1949-G1949)</f>
        <v>#VALUE!</v>
      </c>
      <c r="L1949">
        <v>189998</v>
      </c>
      <c r="N1949">
        <v>1</v>
      </c>
      <c r="O1949" t="s">
        <v>77</v>
      </c>
      <c r="P1949">
        <v>1</v>
      </c>
      <c r="R1949">
        <v>2</v>
      </c>
      <c r="S1949" s="17">
        <v>42135</v>
      </c>
      <c r="T1949" s="17">
        <v>42135</v>
      </c>
      <c r="U1949">
        <v>28350</v>
      </c>
      <c r="V1949">
        <v>20150508</v>
      </c>
      <c r="W1949">
        <v>2015</v>
      </c>
      <c r="X1949">
        <v>1</v>
      </c>
      <c r="AC1949" t="s">
        <v>49</v>
      </c>
      <c r="AD1949" t="s">
        <v>301</v>
      </c>
      <c r="AE1949" t="s">
        <v>46</v>
      </c>
      <c r="AG1949">
        <v>12</v>
      </c>
      <c r="AH1949">
        <v>4</v>
      </c>
      <c r="AI1949" t="s">
        <v>78</v>
      </c>
      <c r="AM1949">
        <v>0</v>
      </c>
      <c r="AP1949" t="s">
        <v>392</v>
      </c>
    </row>
    <row r="1950" spans="1:42" customFormat="1">
      <c r="A1950">
        <v>269188</v>
      </c>
      <c r="B1950">
        <v>190013</v>
      </c>
      <c r="C1950" t="s">
        <v>2289</v>
      </c>
      <c r="D1950" s="22">
        <v>1506.38</v>
      </c>
      <c r="E1950" s="17">
        <v>42132</v>
      </c>
      <c r="F1950" s="18">
        <v>0.68435185185185177</v>
      </c>
      <c r="G1950" s="22">
        <v>0</v>
      </c>
      <c r="H1950">
        <v>0</v>
      </c>
      <c r="I1950" s="19" t="e">
        <f>I1949 + (D1950-G1950)</f>
        <v>#VALUE!</v>
      </c>
      <c r="L1950">
        <v>190013</v>
      </c>
      <c r="N1950">
        <v>1</v>
      </c>
      <c r="O1950" t="s">
        <v>77</v>
      </c>
      <c r="P1950">
        <v>1</v>
      </c>
      <c r="R1950">
        <v>2</v>
      </c>
      <c r="S1950" s="17">
        <v>42135</v>
      </c>
      <c r="T1950" s="17">
        <v>42135</v>
      </c>
      <c r="U1950">
        <v>28351</v>
      </c>
      <c r="V1950">
        <v>20150508</v>
      </c>
      <c r="W1950">
        <v>2015</v>
      </c>
      <c r="X1950">
        <v>1</v>
      </c>
      <c r="AC1950" t="s">
        <v>49</v>
      </c>
      <c r="AD1950" t="s">
        <v>301</v>
      </c>
      <c r="AE1950" t="s">
        <v>46</v>
      </c>
      <c r="AG1950">
        <v>12</v>
      </c>
      <c r="AH1950">
        <v>4</v>
      </c>
      <c r="AI1950" t="s">
        <v>78</v>
      </c>
      <c r="AM1950">
        <v>0</v>
      </c>
      <c r="AP1950" t="s">
        <v>392</v>
      </c>
    </row>
    <row r="1951" spans="1:42" customFormat="1">
      <c r="A1951">
        <v>269185</v>
      </c>
      <c r="B1951">
        <v>190165</v>
      </c>
      <c r="C1951" t="s">
        <v>2290</v>
      </c>
      <c r="D1951" s="22">
        <v>1506.38</v>
      </c>
      <c r="E1951" s="17">
        <v>42132</v>
      </c>
      <c r="F1951" s="18">
        <v>0.68435185185185177</v>
      </c>
      <c r="G1951" s="22">
        <v>0</v>
      </c>
      <c r="H1951">
        <v>0</v>
      </c>
      <c r="I1951" s="19" t="e">
        <f>I1950 + (D1951-G1951)</f>
        <v>#VALUE!</v>
      </c>
      <c r="L1951">
        <v>190165</v>
      </c>
      <c r="N1951">
        <v>1</v>
      </c>
      <c r="O1951" t="s">
        <v>77</v>
      </c>
      <c r="P1951">
        <v>1</v>
      </c>
      <c r="R1951">
        <v>2</v>
      </c>
      <c r="S1951" s="17">
        <v>42135</v>
      </c>
      <c r="T1951" s="17">
        <v>42135</v>
      </c>
      <c r="U1951">
        <v>28348</v>
      </c>
      <c r="V1951">
        <v>20150508</v>
      </c>
      <c r="W1951">
        <v>2015</v>
      </c>
      <c r="X1951">
        <v>1</v>
      </c>
      <c r="AC1951" t="s">
        <v>49</v>
      </c>
      <c r="AD1951" t="s">
        <v>301</v>
      </c>
      <c r="AE1951" t="s">
        <v>46</v>
      </c>
      <c r="AG1951">
        <v>12</v>
      </c>
      <c r="AH1951">
        <v>4</v>
      </c>
      <c r="AI1951" t="s">
        <v>78</v>
      </c>
      <c r="AM1951">
        <v>0</v>
      </c>
      <c r="AP1951" t="s">
        <v>392</v>
      </c>
    </row>
    <row r="1952" spans="1:42" customFormat="1">
      <c r="A1952">
        <v>269186</v>
      </c>
      <c r="B1952">
        <v>190117</v>
      </c>
      <c r="C1952" t="s">
        <v>2291</v>
      </c>
      <c r="D1952" s="22">
        <v>1506.38</v>
      </c>
      <c r="E1952" s="17">
        <v>42132</v>
      </c>
      <c r="F1952" s="18">
        <v>0.68435185185185177</v>
      </c>
      <c r="G1952" s="22">
        <v>0</v>
      </c>
      <c r="H1952">
        <v>0</v>
      </c>
      <c r="I1952" s="19" t="e">
        <f>I1951 + (D1952-G1952)</f>
        <v>#VALUE!</v>
      </c>
      <c r="L1952">
        <v>190117</v>
      </c>
      <c r="N1952">
        <v>1</v>
      </c>
      <c r="O1952" t="s">
        <v>77</v>
      </c>
      <c r="P1952">
        <v>1</v>
      </c>
      <c r="R1952">
        <v>2</v>
      </c>
      <c r="S1952" s="17">
        <v>42135</v>
      </c>
      <c r="T1952" s="17">
        <v>42135</v>
      </c>
      <c r="U1952">
        <v>28349</v>
      </c>
      <c r="V1952">
        <v>20150508</v>
      </c>
      <c r="W1952">
        <v>2015</v>
      </c>
      <c r="X1952">
        <v>1</v>
      </c>
      <c r="AC1952" t="s">
        <v>49</v>
      </c>
      <c r="AD1952" t="s">
        <v>301</v>
      </c>
      <c r="AE1952" t="s">
        <v>46</v>
      </c>
      <c r="AG1952">
        <v>12</v>
      </c>
      <c r="AH1952">
        <v>4</v>
      </c>
      <c r="AI1952" t="s">
        <v>78</v>
      </c>
      <c r="AM1952">
        <v>0</v>
      </c>
      <c r="AP1952" t="s">
        <v>392</v>
      </c>
    </row>
    <row r="1953" spans="1:42" customFormat="1">
      <c r="A1953">
        <v>269189</v>
      </c>
      <c r="B1953">
        <v>192709</v>
      </c>
      <c r="C1953" t="s">
        <v>2292</v>
      </c>
      <c r="D1953" s="22">
        <v>1473</v>
      </c>
      <c r="E1953" s="17">
        <v>42132</v>
      </c>
      <c r="F1953" s="18">
        <v>0.68435185185185177</v>
      </c>
      <c r="G1953" s="22">
        <v>0</v>
      </c>
      <c r="H1953">
        <v>0</v>
      </c>
      <c r="I1953" s="19" t="e">
        <f>I1952 + (D1953-G1953)</f>
        <v>#VALUE!</v>
      </c>
      <c r="L1953">
        <v>192709</v>
      </c>
      <c r="N1953">
        <v>1</v>
      </c>
      <c r="O1953" t="s">
        <v>77</v>
      </c>
      <c r="P1953">
        <v>1</v>
      </c>
      <c r="R1953">
        <v>2</v>
      </c>
      <c r="S1953" s="17">
        <v>42135</v>
      </c>
      <c r="T1953" s="17">
        <v>42135</v>
      </c>
      <c r="U1953">
        <v>28352</v>
      </c>
      <c r="V1953">
        <v>20150508</v>
      </c>
      <c r="W1953">
        <v>2015</v>
      </c>
      <c r="X1953">
        <v>1</v>
      </c>
      <c r="AC1953" t="s">
        <v>49</v>
      </c>
      <c r="AD1953" t="s">
        <v>301</v>
      </c>
      <c r="AE1953" t="s">
        <v>46</v>
      </c>
      <c r="AG1953">
        <v>12</v>
      </c>
      <c r="AH1953">
        <v>4</v>
      </c>
      <c r="AI1953" t="s">
        <v>78</v>
      </c>
      <c r="AM1953">
        <v>0</v>
      </c>
      <c r="AP1953" t="s">
        <v>392</v>
      </c>
    </row>
    <row r="1954" spans="1:42" customFormat="1">
      <c r="A1954">
        <v>269184</v>
      </c>
      <c r="B1954">
        <v>190089</v>
      </c>
      <c r="C1954" t="s">
        <v>2293</v>
      </c>
      <c r="D1954" s="22">
        <v>1506.38</v>
      </c>
      <c r="E1954" s="17">
        <v>42132</v>
      </c>
      <c r="F1954" s="18">
        <v>0.68435185185185177</v>
      </c>
      <c r="G1954" s="22">
        <v>0</v>
      </c>
      <c r="H1954">
        <v>0</v>
      </c>
      <c r="I1954" s="19" t="e">
        <f>I1953 + (D1954-G1954)</f>
        <v>#VALUE!</v>
      </c>
      <c r="L1954">
        <v>190089</v>
      </c>
      <c r="N1954">
        <v>1</v>
      </c>
      <c r="O1954" t="s">
        <v>77</v>
      </c>
      <c r="P1954">
        <v>1</v>
      </c>
      <c r="R1954">
        <v>2</v>
      </c>
      <c r="S1954" s="17">
        <v>42135</v>
      </c>
      <c r="T1954" s="17">
        <v>42135</v>
      </c>
      <c r="U1954">
        <v>28347</v>
      </c>
      <c r="V1954">
        <v>20150508</v>
      </c>
      <c r="W1954">
        <v>2015</v>
      </c>
      <c r="X1954">
        <v>1</v>
      </c>
      <c r="AC1954" t="s">
        <v>49</v>
      </c>
      <c r="AD1954" t="s">
        <v>301</v>
      </c>
      <c r="AE1954" t="s">
        <v>46</v>
      </c>
      <c r="AG1954">
        <v>12</v>
      </c>
      <c r="AH1954">
        <v>4</v>
      </c>
      <c r="AI1954" t="s">
        <v>78</v>
      </c>
      <c r="AM1954">
        <v>0</v>
      </c>
      <c r="AP1954" t="s">
        <v>392</v>
      </c>
    </row>
    <row r="1955" spans="1:42" customFormat="1">
      <c r="A1955">
        <v>269190</v>
      </c>
      <c r="B1955">
        <v>192951</v>
      </c>
      <c r="C1955" t="s">
        <v>2294</v>
      </c>
      <c r="D1955" s="22">
        <v>1473</v>
      </c>
      <c r="E1955" s="17">
        <v>42132</v>
      </c>
      <c r="F1955" s="18">
        <v>0.68436342592592592</v>
      </c>
      <c r="G1955" s="22">
        <v>0</v>
      </c>
      <c r="H1955">
        <v>0</v>
      </c>
      <c r="I1955" s="19" t="e">
        <f>I1954 + (D1955-G1955)</f>
        <v>#VALUE!</v>
      </c>
      <c r="L1955">
        <v>192951</v>
      </c>
      <c r="N1955">
        <v>1</v>
      </c>
      <c r="O1955" t="s">
        <v>77</v>
      </c>
      <c r="P1955">
        <v>1</v>
      </c>
      <c r="R1955">
        <v>2</v>
      </c>
      <c r="S1955" s="17">
        <v>42135</v>
      </c>
      <c r="T1955" s="17">
        <v>42135</v>
      </c>
      <c r="U1955">
        <v>28353</v>
      </c>
      <c r="V1955">
        <v>20150508</v>
      </c>
      <c r="W1955">
        <v>2015</v>
      </c>
      <c r="X1955">
        <v>1</v>
      </c>
      <c r="AC1955" t="s">
        <v>49</v>
      </c>
      <c r="AD1955" t="s">
        <v>301</v>
      </c>
      <c r="AE1955" t="s">
        <v>46</v>
      </c>
      <c r="AG1955">
        <v>12</v>
      </c>
      <c r="AH1955">
        <v>4</v>
      </c>
      <c r="AI1955" t="s">
        <v>78</v>
      </c>
      <c r="AM1955">
        <v>0</v>
      </c>
      <c r="AP1955" t="s">
        <v>392</v>
      </c>
    </row>
    <row r="1956" spans="1:42" customFormat="1">
      <c r="A1956">
        <v>269559</v>
      </c>
      <c r="B1956">
        <v>190011</v>
      </c>
      <c r="C1956" t="s">
        <v>2551</v>
      </c>
      <c r="D1956" s="22">
        <v>1507.85</v>
      </c>
      <c r="E1956" s="17">
        <v>42135</v>
      </c>
      <c r="F1956" s="18">
        <v>0.47541666666666665</v>
      </c>
      <c r="G1956" s="22">
        <v>0</v>
      </c>
      <c r="H1956">
        <v>0</v>
      </c>
      <c r="I1956" s="19" t="e">
        <f>I1955 + (D1956-G1956)</f>
        <v>#VALUE!</v>
      </c>
      <c r="L1956">
        <v>190011</v>
      </c>
      <c r="N1956">
        <v>1</v>
      </c>
      <c r="O1956" t="s">
        <v>77</v>
      </c>
      <c r="P1956">
        <v>1</v>
      </c>
      <c r="R1956">
        <v>2</v>
      </c>
      <c r="S1956" s="17">
        <v>42136</v>
      </c>
      <c r="T1956" s="17">
        <v>42136</v>
      </c>
      <c r="U1956">
        <v>28378</v>
      </c>
      <c r="V1956">
        <v>20150511</v>
      </c>
      <c r="W1956">
        <v>2015</v>
      </c>
      <c r="X1956">
        <v>1</v>
      </c>
      <c r="AC1956" t="s">
        <v>49</v>
      </c>
      <c r="AD1956" t="s">
        <v>301</v>
      </c>
      <c r="AE1956" t="s">
        <v>46</v>
      </c>
      <c r="AG1956">
        <v>12</v>
      </c>
      <c r="AH1956">
        <v>4</v>
      </c>
      <c r="AI1956" t="s">
        <v>78</v>
      </c>
      <c r="AM1956">
        <v>0</v>
      </c>
      <c r="AP1956" t="s">
        <v>392</v>
      </c>
    </row>
    <row r="1957" spans="1:42" customFormat="1">
      <c r="A1957">
        <v>269556</v>
      </c>
      <c r="B1957">
        <v>192953</v>
      </c>
      <c r="C1957" t="s">
        <v>2552</v>
      </c>
      <c r="D1957" s="22">
        <v>1473</v>
      </c>
      <c r="E1957" s="17">
        <v>42135</v>
      </c>
      <c r="F1957" s="18">
        <v>0.47541666666666665</v>
      </c>
      <c r="G1957" s="22">
        <v>0</v>
      </c>
      <c r="H1957">
        <v>0</v>
      </c>
      <c r="I1957" s="19" t="e">
        <f>I1956 + (D1957-G1957)</f>
        <v>#VALUE!</v>
      </c>
      <c r="L1957">
        <v>192953</v>
      </c>
      <c r="N1957">
        <v>1</v>
      </c>
      <c r="O1957" t="s">
        <v>77</v>
      </c>
      <c r="P1957">
        <v>1</v>
      </c>
      <c r="R1957">
        <v>2</v>
      </c>
      <c r="S1957" s="17">
        <v>42136</v>
      </c>
      <c r="T1957" s="17">
        <v>42136</v>
      </c>
      <c r="U1957">
        <v>28372</v>
      </c>
      <c r="V1957">
        <v>20150511</v>
      </c>
      <c r="W1957">
        <v>2015</v>
      </c>
      <c r="X1957">
        <v>1</v>
      </c>
      <c r="AC1957" t="s">
        <v>49</v>
      </c>
      <c r="AD1957" t="s">
        <v>301</v>
      </c>
      <c r="AE1957" t="s">
        <v>46</v>
      </c>
      <c r="AG1957">
        <v>12</v>
      </c>
      <c r="AH1957">
        <v>4</v>
      </c>
      <c r="AI1957" t="s">
        <v>78</v>
      </c>
      <c r="AM1957">
        <v>0</v>
      </c>
      <c r="AP1957" t="s">
        <v>392</v>
      </c>
    </row>
    <row r="1958" spans="1:42" customFormat="1">
      <c r="A1958">
        <v>269557</v>
      </c>
      <c r="B1958">
        <v>192575</v>
      </c>
      <c r="C1958" t="s">
        <v>2553</v>
      </c>
      <c r="D1958" s="22">
        <v>1473</v>
      </c>
      <c r="E1958" s="17">
        <v>42135</v>
      </c>
      <c r="F1958" s="18">
        <v>0.47541666666666665</v>
      </c>
      <c r="G1958" s="22">
        <v>0</v>
      </c>
      <c r="H1958">
        <v>0</v>
      </c>
      <c r="I1958" s="19" t="e">
        <f>I1957 + (D1958-G1958)</f>
        <v>#VALUE!</v>
      </c>
      <c r="L1958">
        <v>192575</v>
      </c>
      <c r="N1958">
        <v>1</v>
      </c>
      <c r="O1958" t="s">
        <v>77</v>
      </c>
      <c r="P1958">
        <v>1</v>
      </c>
      <c r="R1958">
        <v>2</v>
      </c>
      <c r="S1958" s="17">
        <v>42136</v>
      </c>
      <c r="T1958" s="17">
        <v>42136</v>
      </c>
      <c r="U1958">
        <v>28373</v>
      </c>
      <c r="V1958">
        <v>20150511</v>
      </c>
      <c r="W1958">
        <v>2015</v>
      </c>
      <c r="X1958">
        <v>1</v>
      </c>
      <c r="AC1958" t="s">
        <v>49</v>
      </c>
      <c r="AD1958" t="s">
        <v>301</v>
      </c>
      <c r="AE1958" t="s">
        <v>46</v>
      </c>
      <c r="AG1958">
        <v>12</v>
      </c>
      <c r="AH1958">
        <v>4</v>
      </c>
      <c r="AI1958" t="s">
        <v>78</v>
      </c>
      <c r="AM1958">
        <v>0</v>
      </c>
      <c r="AP1958" t="s">
        <v>392</v>
      </c>
    </row>
    <row r="1959" spans="1:42" customFormat="1">
      <c r="A1959">
        <v>269558</v>
      </c>
      <c r="B1959">
        <v>192887</v>
      </c>
      <c r="C1959" t="s">
        <v>2554</v>
      </c>
      <c r="D1959" s="22">
        <v>1473</v>
      </c>
      <c r="E1959" s="17">
        <v>42135</v>
      </c>
      <c r="F1959" s="18">
        <v>0.47541666666666665</v>
      </c>
      <c r="G1959" s="22">
        <v>0</v>
      </c>
      <c r="H1959">
        <v>0</v>
      </c>
      <c r="I1959" s="19" t="e">
        <f>I1958 + (D1959-G1959)</f>
        <v>#VALUE!</v>
      </c>
      <c r="L1959">
        <v>192887</v>
      </c>
      <c r="N1959">
        <v>1</v>
      </c>
      <c r="O1959" t="s">
        <v>77</v>
      </c>
      <c r="P1959">
        <v>1</v>
      </c>
      <c r="R1959">
        <v>2</v>
      </c>
      <c r="S1959" s="17">
        <v>42136</v>
      </c>
      <c r="T1959" s="17">
        <v>42136</v>
      </c>
      <c r="U1959">
        <v>28374</v>
      </c>
      <c r="V1959">
        <v>20150511</v>
      </c>
      <c r="W1959">
        <v>2015</v>
      </c>
      <c r="X1959">
        <v>1</v>
      </c>
      <c r="AC1959" t="s">
        <v>49</v>
      </c>
      <c r="AD1959" t="s">
        <v>301</v>
      </c>
      <c r="AE1959" t="s">
        <v>46</v>
      </c>
      <c r="AG1959">
        <v>12</v>
      </c>
      <c r="AH1959">
        <v>4</v>
      </c>
      <c r="AI1959" t="s">
        <v>78</v>
      </c>
      <c r="AM1959">
        <v>0</v>
      </c>
      <c r="AP1959" t="s">
        <v>392</v>
      </c>
    </row>
    <row r="1960" spans="1:42" customFormat="1">
      <c r="A1960">
        <v>269624</v>
      </c>
      <c r="B1960">
        <v>192229</v>
      </c>
      <c r="C1960" t="s">
        <v>2570</v>
      </c>
      <c r="D1960" s="22">
        <v>1779.12</v>
      </c>
      <c r="E1960" s="17">
        <v>42135</v>
      </c>
      <c r="F1960" s="18">
        <v>0.5</v>
      </c>
      <c r="G1960" s="22">
        <v>0</v>
      </c>
      <c r="H1960">
        <v>0</v>
      </c>
      <c r="I1960" s="19" t="e">
        <f>I1959 + (D1960-G1960)</f>
        <v>#VALUE!</v>
      </c>
      <c r="L1960">
        <v>192229</v>
      </c>
      <c r="N1960">
        <v>1</v>
      </c>
      <c r="O1960" t="s">
        <v>77</v>
      </c>
      <c r="P1960">
        <v>1</v>
      </c>
      <c r="R1960">
        <v>2</v>
      </c>
      <c r="S1960" s="17">
        <v>42136</v>
      </c>
      <c r="T1960" s="17">
        <v>42136</v>
      </c>
      <c r="U1960">
        <v>28434</v>
      </c>
      <c r="W1960">
        <v>2015</v>
      </c>
      <c r="X1960">
        <v>1</v>
      </c>
      <c r="AC1960" t="s">
        <v>49</v>
      </c>
      <c r="AD1960" t="s">
        <v>301</v>
      </c>
      <c r="AE1960" t="s">
        <v>46</v>
      </c>
      <c r="AG1960">
        <v>69</v>
      </c>
      <c r="AH1960">
        <v>4</v>
      </c>
      <c r="AI1960" t="s">
        <v>78</v>
      </c>
      <c r="AM1960">
        <v>0</v>
      </c>
      <c r="AP1960" t="s">
        <v>339</v>
      </c>
    </row>
    <row r="1961" spans="1:42" customFormat="1">
      <c r="A1961">
        <v>270048</v>
      </c>
      <c r="B1961">
        <v>188778</v>
      </c>
      <c r="C1961" t="s">
        <v>2689</v>
      </c>
      <c r="D1961" s="22">
        <v>1580</v>
      </c>
      <c r="E1961" s="17">
        <v>42135</v>
      </c>
      <c r="F1961" s="18">
        <v>0.66769675925925931</v>
      </c>
      <c r="G1961" s="22">
        <v>0</v>
      </c>
      <c r="H1961">
        <v>0</v>
      </c>
      <c r="I1961" s="19" t="e">
        <f>I1960 + (D1961-G1961)</f>
        <v>#VALUE!</v>
      </c>
      <c r="L1961">
        <v>188778</v>
      </c>
      <c r="N1961">
        <v>24</v>
      </c>
      <c r="O1961" t="s">
        <v>68</v>
      </c>
      <c r="P1961">
        <v>1</v>
      </c>
      <c r="R1961">
        <v>2</v>
      </c>
      <c r="S1961" s="17">
        <v>42139</v>
      </c>
      <c r="T1961" s="17">
        <v>42139</v>
      </c>
      <c r="W1961">
        <v>2015</v>
      </c>
      <c r="X1961">
        <v>24</v>
      </c>
      <c r="AC1961" t="s">
        <v>49</v>
      </c>
      <c r="AD1961" t="s">
        <v>301</v>
      </c>
      <c r="AE1961" t="s">
        <v>46</v>
      </c>
      <c r="AG1961">
        <v>52</v>
      </c>
      <c r="AH1961">
        <v>2</v>
      </c>
      <c r="AI1961" t="s">
        <v>50</v>
      </c>
      <c r="AK1961">
        <v>0</v>
      </c>
      <c r="AM1961">
        <v>0</v>
      </c>
      <c r="AP1961" t="s">
        <v>325</v>
      </c>
    </row>
    <row r="1962" spans="1:42" customFormat="1">
      <c r="A1962">
        <v>270049</v>
      </c>
      <c r="B1962">
        <v>191961</v>
      </c>
      <c r="C1962" t="s">
        <v>2696</v>
      </c>
      <c r="D1962" s="22">
        <v>1848.15</v>
      </c>
      <c r="E1962" s="17">
        <v>42135</v>
      </c>
      <c r="F1962" s="18">
        <v>0.6688425925925926</v>
      </c>
      <c r="G1962" s="22">
        <v>0</v>
      </c>
      <c r="H1962">
        <v>0</v>
      </c>
      <c r="I1962" s="19" t="e">
        <f>I1961 + (D1962-G1962)</f>
        <v>#VALUE!</v>
      </c>
      <c r="L1962">
        <v>191961</v>
      </c>
      <c r="N1962">
        <v>24</v>
      </c>
      <c r="O1962" t="s">
        <v>68</v>
      </c>
      <c r="P1962">
        <v>1</v>
      </c>
      <c r="R1962">
        <v>2</v>
      </c>
      <c r="S1962" s="17">
        <v>42139</v>
      </c>
      <c r="T1962" s="17">
        <v>42139</v>
      </c>
      <c r="W1962">
        <v>2015</v>
      </c>
      <c r="X1962">
        <v>24</v>
      </c>
      <c r="AC1962" t="s">
        <v>49</v>
      </c>
      <c r="AD1962" t="s">
        <v>301</v>
      </c>
      <c r="AE1962" t="s">
        <v>46</v>
      </c>
      <c r="AG1962">
        <v>52</v>
      </c>
      <c r="AH1962">
        <v>2</v>
      </c>
      <c r="AI1962" t="s">
        <v>50</v>
      </c>
      <c r="AK1962">
        <v>0</v>
      </c>
      <c r="AM1962">
        <v>0</v>
      </c>
      <c r="AP1962" t="s">
        <v>325</v>
      </c>
    </row>
    <row r="1963" spans="1:42" customFormat="1">
      <c r="A1963">
        <v>271471</v>
      </c>
      <c r="B1963">
        <v>191361</v>
      </c>
      <c r="C1963" t="s">
        <v>2822</v>
      </c>
      <c r="D1963" s="22">
        <v>1583.5</v>
      </c>
      <c r="E1963" s="17">
        <v>42135</v>
      </c>
      <c r="F1963" s="18">
        <v>0.69709490740740743</v>
      </c>
      <c r="G1963" s="22">
        <v>0</v>
      </c>
      <c r="H1963">
        <v>0</v>
      </c>
      <c r="I1963" s="19" t="e">
        <f>I1962 + (D1963-G1963)</f>
        <v>#VALUE!</v>
      </c>
      <c r="L1963">
        <v>191361</v>
      </c>
      <c r="N1963">
        <v>8</v>
      </c>
      <c r="O1963" t="s">
        <v>63</v>
      </c>
      <c r="P1963">
        <v>1</v>
      </c>
      <c r="R1963">
        <v>2</v>
      </c>
      <c r="S1963" s="17">
        <v>42152</v>
      </c>
      <c r="T1963" s="17">
        <v>42152</v>
      </c>
      <c r="W1963">
        <v>2015</v>
      </c>
      <c r="X1963">
        <v>8</v>
      </c>
      <c r="AC1963" t="s">
        <v>49</v>
      </c>
      <c r="AD1963" t="s">
        <v>301</v>
      </c>
      <c r="AE1963" t="s">
        <v>46</v>
      </c>
      <c r="AG1963">
        <v>4</v>
      </c>
      <c r="AH1963">
        <v>3</v>
      </c>
      <c r="AI1963" t="s">
        <v>64</v>
      </c>
      <c r="AK1963">
        <v>0</v>
      </c>
      <c r="AM1963">
        <v>0</v>
      </c>
      <c r="AP1963" t="s">
        <v>389</v>
      </c>
    </row>
    <row r="1964" spans="1:42" customFormat="1">
      <c r="A1964">
        <v>272632</v>
      </c>
      <c r="B1964">
        <v>192866</v>
      </c>
      <c r="C1964" t="s">
        <v>2880</v>
      </c>
      <c r="D1964" s="22">
        <v>1473</v>
      </c>
      <c r="E1964" s="17">
        <v>42136</v>
      </c>
      <c r="F1964" s="18">
        <v>0.43827546296296299</v>
      </c>
      <c r="G1964" s="22">
        <v>0</v>
      </c>
      <c r="H1964">
        <v>0</v>
      </c>
      <c r="I1964" s="19" t="e">
        <f>I1963 + (D1964-G1964)</f>
        <v>#VALUE!</v>
      </c>
      <c r="L1964">
        <v>192866</v>
      </c>
      <c r="N1964">
        <v>14</v>
      </c>
      <c r="O1964" t="s">
        <v>135</v>
      </c>
      <c r="P1964">
        <v>1</v>
      </c>
      <c r="R1964">
        <v>2</v>
      </c>
      <c r="S1964" s="17">
        <v>42164</v>
      </c>
      <c r="T1964" s="17">
        <v>42164</v>
      </c>
      <c r="U1964">
        <v>28954</v>
      </c>
      <c r="V1964">
        <v>20150512</v>
      </c>
      <c r="W1964">
        <v>2015</v>
      </c>
      <c r="X1964">
        <v>14</v>
      </c>
      <c r="AC1964" t="s">
        <v>49</v>
      </c>
      <c r="AD1964" t="s">
        <v>301</v>
      </c>
      <c r="AE1964" t="s">
        <v>46</v>
      </c>
      <c r="AG1964">
        <v>12</v>
      </c>
      <c r="AH1964">
        <v>4</v>
      </c>
      <c r="AI1964" t="s">
        <v>78</v>
      </c>
      <c r="AM1964">
        <v>0</v>
      </c>
      <c r="AP1964" t="s">
        <v>392</v>
      </c>
    </row>
    <row r="1965" spans="1:42" customFormat="1">
      <c r="A1965">
        <v>272633</v>
      </c>
      <c r="B1965">
        <v>192868</v>
      </c>
      <c r="C1965" t="s">
        <v>2881</v>
      </c>
      <c r="D1965" s="22">
        <v>1473</v>
      </c>
      <c r="E1965" s="17">
        <v>42136</v>
      </c>
      <c r="F1965" s="18">
        <v>0.43828703703703703</v>
      </c>
      <c r="G1965" s="22">
        <v>0</v>
      </c>
      <c r="H1965">
        <v>0</v>
      </c>
      <c r="I1965" s="19" t="e">
        <f>I1964 + (D1965-G1965)</f>
        <v>#VALUE!</v>
      </c>
      <c r="L1965">
        <v>192868</v>
      </c>
      <c r="N1965">
        <v>14</v>
      </c>
      <c r="O1965" t="s">
        <v>135</v>
      </c>
      <c r="P1965">
        <v>1</v>
      </c>
      <c r="R1965">
        <v>2</v>
      </c>
      <c r="S1965" s="17">
        <v>42164</v>
      </c>
      <c r="T1965" s="17">
        <v>42164</v>
      </c>
      <c r="U1965">
        <v>28955</v>
      </c>
      <c r="V1965">
        <v>20150512</v>
      </c>
      <c r="W1965">
        <v>2015</v>
      </c>
      <c r="X1965">
        <v>14</v>
      </c>
      <c r="AC1965" t="s">
        <v>49</v>
      </c>
      <c r="AD1965" t="s">
        <v>301</v>
      </c>
      <c r="AE1965" t="s">
        <v>46</v>
      </c>
      <c r="AG1965">
        <v>12</v>
      </c>
      <c r="AH1965">
        <v>4</v>
      </c>
      <c r="AI1965" t="s">
        <v>78</v>
      </c>
      <c r="AM1965">
        <v>0</v>
      </c>
      <c r="AP1965" t="s">
        <v>392</v>
      </c>
    </row>
    <row r="1966" spans="1:42" customFormat="1">
      <c r="A1966">
        <v>270426</v>
      </c>
      <c r="B1966">
        <v>181316</v>
      </c>
      <c r="C1966" t="s">
        <v>2912</v>
      </c>
      <c r="D1966" s="22">
        <v>1476.68</v>
      </c>
      <c r="E1966" s="17">
        <v>42136</v>
      </c>
      <c r="F1966" s="18">
        <v>0.45513888888888893</v>
      </c>
      <c r="G1966" s="22">
        <v>0</v>
      </c>
      <c r="H1966">
        <v>0</v>
      </c>
      <c r="I1966" s="19" t="e">
        <f>I1965 + (D1966-G1966)</f>
        <v>#VALUE!</v>
      </c>
      <c r="L1966">
        <v>181316</v>
      </c>
      <c r="N1966">
        <v>8</v>
      </c>
      <c r="O1966" t="s">
        <v>63</v>
      </c>
      <c r="P1966">
        <v>1</v>
      </c>
      <c r="R1966">
        <v>2</v>
      </c>
      <c r="S1966" s="17">
        <v>42144</v>
      </c>
      <c r="T1966" s="17">
        <v>42144</v>
      </c>
      <c r="W1966">
        <v>2014</v>
      </c>
      <c r="X1966">
        <v>8</v>
      </c>
      <c r="AC1966" t="s">
        <v>49</v>
      </c>
      <c r="AD1966" t="s">
        <v>301</v>
      </c>
      <c r="AE1966" t="s">
        <v>46</v>
      </c>
      <c r="AG1966">
        <v>4</v>
      </c>
      <c r="AH1966">
        <v>3</v>
      </c>
      <c r="AI1966" t="s">
        <v>64</v>
      </c>
      <c r="AK1966">
        <v>0</v>
      </c>
      <c r="AM1966">
        <v>0</v>
      </c>
      <c r="AP1966" t="s">
        <v>389</v>
      </c>
    </row>
    <row r="1967" spans="1:42" customFormat="1">
      <c r="A1967">
        <v>269625</v>
      </c>
      <c r="B1967">
        <v>205127</v>
      </c>
      <c r="C1967" t="s">
        <v>2924</v>
      </c>
      <c r="D1967" s="22">
        <v>1507.85</v>
      </c>
      <c r="E1967" s="17">
        <v>42136</v>
      </c>
      <c r="F1967" s="18">
        <v>0.5</v>
      </c>
      <c r="G1967" s="22">
        <v>0</v>
      </c>
      <c r="H1967">
        <v>0</v>
      </c>
      <c r="I1967" s="19" t="e">
        <f>I1966 + (D1967-G1967)</f>
        <v>#VALUE!</v>
      </c>
      <c r="L1967">
        <v>205127</v>
      </c>
      <c r="N1967">
        <v>1</v>
      </c>
      <c r="O1967" t="s">
        <v>77</v>
      </c>
      <c r="P1967">
        <v>1</v>
      </c>
      <c r="R1967">
        <v>2</v>
      </c>
      <c r="S1967" s="17">
        <v>42136</v>
      </c>
      <c r="T1967" s="17">
        <v>42136</v>
      </c>
      <c r="U1967">
        <v>28435</v>
      </c>
      <c r="W1967">
        <v>2015</v>
      </c>
      <c r="X1967">
        <v>1</v>
      </c>
      <c r="AC1967" t="s">
        <v>49</v>
      </c>
      <c r="AD1967" t="s">
        <v>301</v>
      </c>
      <c r="AE1967" t="s">
        <v>46</v>
      </c>
      <c r="AG1967">
        <v>69</v>
      </c>
      <c r="AH1967">
        <v>4</v>
      </c>
      <c r="AI1967" t="s">
        <v>78</v>
      </c>
      <c r="AM1967">
        <v>0</v>
      </c>
      <c r="AP1967" t="s">
        <v>339</v>
      </c>
    </row>
    <row r="1968" spans="1:42" customFormat="1">
      <c r="A1968">
        <v>270327</v>
      </c>
      <c r="B1968">
        <v>191301</v>
      </c>
      <c r="C1968" t="s">
        <v>2962</v>
      </c>
      <c r="D1968" s="22">
        <v>1508.83</v>
      </c>
      <c r="E1968" s="17">
        <v>42137</v>
      </c>
      <c r="F1968" s="18">
        <v>0.4138425925925926</v>
      </c>
      <c r="G1968" s="22">
        <v>0</v>
      </c>
      <c r="H1968">
        <v>0</v>
      </c>
      <c r="I1968" s="19" t="e">
        <f>I1967 + (D1968-G1968)</f>
        <v>#VALUE!</v>
      </c>
      <c r="L1968">
        <v>191301</v>
      </c>
      <c r="N1968">
        <v>8</v>
      </c>
      <c r="O1968" t="s">
        <v>63</v>
      </c>
      <c r="P1968">
        <v>1</v>
      </c>
      <c r="R1968">
        <v>2</v>
      </c>
      <c r="S1968" s="17">
        <v>42144</v>
      </c>
      <c r="T1968" s="17">
        <v>42144</v>
      </c>
      <c r="W1968">
        <v>2015</v>
      </c>
      <c r="X1968">
        <v>8</v>
      </c>
      <c r="AC1968" t="s">
        <v>49</v>
      </c>
      <c r="AD1968" t="s">
        <v>301</v>
      </c>
      <c r="AE1968" t="s">
        <v>46</v>
      </c>
      <c r="AG1968">
        <v>4</v>
      </c>
      <c r="AH1968">
        <v>3</v>
      </c>
      <c r="AI1968" t="s">
        <v>64</v>
      </c>
      <c r="AK1968">
        <v>0</v>
      </c>
      <c r="AM1968">
        <v>0</v>
      </c>
      <c r="AP1968" t="s">
        <v>389</v>
      </c>
    </row>
    <row r="1969" spans="1:42" customFormat="1">
      <c r="A1969">
        <v>272631</v>
      </c>
      <c r="B1969">
        <v>192962</v>
      </c>
      <c r="C1969" t="s">
        <v>2971</v>
      </c>
      <c r="D1969" s="22">
        <v>1473</v>
      </c>
      <c r="E1969" s="17">
        <v>42137</v>
      </c>
      <c r="F1969" s="18">
        <v>0.43751157407407404</v>
      </c>
      <c r="G1969" s="22">
        <v>0</v>
      </c>
      <c r="H1969">
        <v>0</v>
      </c>
      <c r="I1969" s="19" t="e">
        <f>I1968 + (D1969-G1969)</f>
        <v>#VALUE!</v>
      </c>
      <c r="L1969">
        <v>192962</v>
      </c>
      <c r="N1969">
        <v>14</v>
      </c>
      <c r="O1969" t="s">
        <v>135</v>
      </c>
      <c r="P1969">
        <v>1</v>
      </c>
      <c r="R1969">
        <v>2</v>
      </c>
      <c r="S1969" s="17">
        <v>42164</v>
      </c>
      <c r="T1969" s="17">
        <v>42164</v>
      </c>
      <c r="U1969">
        <v>28952</v>
      </c>
      <c r="V1969">
        <v>20150513</v>
      </c>
      <c r="W1969">
        <v>2015</v>
      </c>
      <c r="X1969">
        <v>14</v>
      </c>
      <c r="AC1969" t="s">
        <v>49</v>
      </c>
      <c r="AD1969" t="s">
        <v>301</v>
      </c>
      <c r="AE1969" t="s">
        <v>46</v>
      </c>
      <c r="AG1969">
        <v>12</v>
      </c>
      <c r="AH1969">
        <v>4</v>
      </c>
      <c r="AI1969" t="s">
        <v>78</v>
      </c>
      <c r="AM1969">
        <v>0</v>
      </c>
      <c r="AP1969" t="s">
        <v>392</v>
      </c>
    </row>
    <row r="1970" spans="1:42" customFormat="1">
      <c r="A1970">
        <v>272630</v>
      </c>
      <c r="B1970">
        <v>217311</v>
      </c>
      <c r="C1970" t="s">
        <v>2972</v>
      </c>
      <c r="D1970" s="22">
        <v>1473</v>
      </c>
      <c r="E1970" s="17">
        <v>42137</v>
      </c>
      <c r="F1970" s="18">
        <v>0.43751157407407404</v>
      </c>
      <c r="G1970" s="22">
        <v>0</v>
      </c>
      <c r="H1970">
        <v>0</v>
      </c>
      <c r="I1970" s="19" t="e">
        <f>I1969 + (D1970-G1970)</f>
        <v>#VALUE!</v>
      </c>
      <c r="L1970">
        <v>217311</v>
      </c>
      <c r="N1970">
        <v>14</v>
      </c>
      <c r="O1970" t="s">
        <v>135</v>
      </c>
      <c r="P1970">
        <v>1</v>
      </c>
      <c r="R1970">
        <v>2</v>
      </c>
      <c r="S1970" s="17">
        <v>42164</v>
      </c>
      <c r="T1970" s="17">
        <v>42164</v>
      </c>
      <c r="U1970">
        <v>28951</v>
      </c>
      <c r="V1970">
        <v>20150513</v>
      </c>
      <c r="W1970">
        <v>2015</v>
      </c>
      <c r="X1970">
        <v>14</v>
      </c>
      <c r="AC1970" t="s">
        <v>49</v>
      </c>
      <c r="AD1970" t="s">
        <v>301</v>
      </c>
      <c r="AE1970" t="s">
        <v>46</v>
      </c>
      <c r="AG1970">
        <v>12</v>
      </c>
      <c r="AH1970">
        <v>4</v>
      </c>
      <c r="AI1970" t="s">
        <v>78</v>
      </c>
      <c r="AM1970">
        <v>0</v>
      </c>
      <c r="AP1970" t="s">
        <v>392</v>
      </c>
    </row>
    <row r="1971" spans="1:42" customFormat="1">
      <c r="A1971">
        <v>274647</v>
      </c>
      <c r="B1971">
        <v>192607</v>
      </c>
      <c r="C1971" t="s">
        <v>3048</v>
      </c>
      <c r="D1971" s="22">
        <v>1473</v>
      </c>
      <c r="E1971" s="17">
        <v>42137</v>
      </c>
      <c r="F1971" s="18">
        <v>0.5</v>
      </c>
      <c r="G1971" s="22">
        <v>0</v>
      </c>
      <c r="H1971">
        <v>0</v>
      </c>
      <c r="I1971" s="19" t="e">
        <f>I1970 + (D1971-G1971)</f>
        <v>#VALUE!</v>
      </c>
      <c r="L1971">
        <v>192607</v>
      </c>
      <c r="N1971">
        <v>1</v>
      </c>
      <c r="O1971" t="s">
        <v>77</v>
      </c>
      <c r="P1971">
        <v>1</v>
      </c>
      <c r="R1971">
        <v>2</v>
      </c>
      <c r="S1971" s="17">
        <v>42185</v>
      </c>
      <c r="T1971" s="17">
        <v>42185</v>
      </c>
      <c r="U1971">
        <v>29133</v>
      </c>
      <c r="W1971">
        <v>2015</v>
      </c>
      <c r="X1971">
        <v>1</v>
      </c>
      <c r="AC1971" t="s">
        <v>49</v>
      </c>
      <c r="AD1971" t="s">
        <v>301</v>
      </c>
      <c r="AE1971" t="s">
        <v>46</v>
      </c>
      <c r="AG1971">
        <v>69</v>
      </c>
      <c r="AH1971">
        <v>4</v>
      </c>
      <c r="AI1971" t="s">
        <v>78</v>
      </c>
      <c r="AM1971">
        <v>0</v>
      </c>
      <c r="AP1971" t="s">
        <v>339</v>
      </c>
    </row>
    <row r="1972" spans="1:42" customFormat="1">
      <c r="A1972">
        <v>273429</v>
      </c>
      <c r="B1972">
        <v>217900</v>
      </c>
      <c r="C1972" t="s">
        <v>3100</v>
      </c>
      <c r="D1972" s="22">
        <v>853</v>
      </c>
      <c r="E1972" s="17">
        <v>42137</v>
      </c>
      <c r="F1972" s="18">
        <v>0.6702662037037036</v>
      </c>
      <c r="G1972" s="22">
        <v>0</v>
      </c>
      <c r="H1972">
        <v>0</v>
      </c>
      <c r="I1972" s="19" t="e">
        <f>I1971 + (D1972-G1972)</f>
        <v>#VALUE!</v>
      </c>
      <c r="L1972">
        <v>217900</v>
      </c>
      <c r="N1972">
        <v>8</v>
      </c>
      <c r="O1972" t="s">
        <v>63</v>
      </c>
      <c r="P1972">
        <v>1</v>
      </c>
      <c r="R1972">
        <v>2</v>
      </c>
      <c r="S1972" s="17">
        <v>42172</v>
      </c>
      <c r="T1972" s="17">
        <v>42172</v>
      </c>
      <c r="W1972">
        <v>2015</v>
      </c>
      <c r="X1972">
        <v>8</v>
      </c>
      <c r="AC1972" t="s">
        <v>49</v>
      </c>
      <c r="AD1972" t="s">
        <v>301</v>
      </c>
      <c r="AE1972" t="s">
        <v>46</v>
      </c>
      <c r="AG1972">
        <v>4</v>
      </c>
      <c r="AH1972">
        <v>3</v>
      </c>
      <c r="AI1972" t="s">
        <v>64</v>
      </c>
      <c r="AK1972">
        <v>0</v>
      </c>
      <c r="AM1972">
        <v>0</v>
      </c>
      <c r="AP1972" t="s">
        <v>389</v>
      </c>
    </row>
    <row r="1973" spans="1:42" customFormat="1">
      <c r="A1973">
        <v>272078</v>
      </c>
      <c r="B1973">
        <v>197303</v>
      </c>
      <c r="C1973" t="s">
        <v>3193</v>
      </c>
      <c r="D1973" s="22">
        <v>1724</v>
      </c>
      <c r="E1973" s="17">
        <v>42138</v>
      </c>
      <c r="F1973" s="18">
        <v>0.5</v>
      </c>
      <c r="G1973" s="22">
        <v>0</v>
      </c>
      <c r="H1973">
        <v>0</v>
      </c>
      <c r="I1973" s="19" t="e">
        <f>I1972 + (D1973-G1973)</f>
        <v>#VALUE!</v>
      </c>
      <c r="L1973">
        <v>197303</v>
      </c>
      <c r="N1973">
        <v>1</v>
      </c>
      <c r="O1973" t="s">
        <v>77</v>
      </c>
      <c r="P1973">
        <v>1</v>
      </c>
      <c r="R1973">
        <v>2</v>
      </c>
      <c r="S1973" s="17">
        <v>42160</v>
      </c>
      <c r="T1973" s="17">
        <v>42160</v>
      </c>
      <c r="U1973">
        <v>28507</v>
      </c>
      <c r="W1973">
        <v>2015</v>
      </c>
      <c r="X1973">
        <v>1</v>
      </c>
      <c r="AC1973" t="s">
        <v>49</v>
      </c>
      <c r="AD1973" t="s">
        <v>301</v>
      </c>
      <c r="AE1973" t="s">
        <v>46</v>
      </c>
      <c r="AG1973">
        <v>3</v>
      </c>
      <c r="AH1973">
        <v>4</v>
      </c>
      <c r="AI1973" t="s">
        <v>78</v>
      </c>
      <c r="AM1973">
        <v>0</v>
      </c>
      <c r="AP1973" t="s">
        <v>80</v>
      </c>
    </row>
    <row r="1974" spans="1:42" customFormat="1">
      <c r="A1974">
        <v>271475</v>
      </c>
      <c r="B1974">
        <v>191220</v>
      </c>
      <c r="C1974" t="s">
        <v>3214</v>
      </c>
      <c r="D1974" s="22">
        <v>1568.24</v>
      </c>
      <c r="E1974" s="17">
        <v>42138</v>
      </c>
      <c r="F1974" s="18">
        <v>0.71796296296296302</v>
      </c>
      <c r="G1974" s="22">
        <v>0</v>
      </c>
      <c r="H1974">
        <v>0</v>
      </c>
      <c r="I1974" s="19" t="e">
        <f>I1973 + (D1974-G1974)</f>
        <v>#VALUE!</v>
      </c>
      <c r="L1974">
        <v>191220</v>
      </c>
      <c r="N1974">
        <v>8</v>
      </c>
      <c r="O1974" t="s">
        <v>63</v>
      </c>
      <c r="P1974">
        <v>1</v>
      </c>
      <c r="R1974">
        <v>2</v>
      </c>
      <c r="S1974" s="17">
        <v>42152</v>
      </c>
      <c r="T1974" s="17">
        <v>42152</v>
      </c>
      <c r="W1974">
        <v>2015</v>
      </c>
      <c r="X1974">
        <v>8</v>
      </c>
      <c r="AC1974" t="s">
        <v>49</v>
      </c>
      <c r="AD1974" t="s">
        <v>301</v>
      </c>
      <c r="AE1974" t="s">
        <v>46</v>
      </c>
      <c r="AG1974">
        <v>4</v>
      </c>
      <c r="AH1974">
        <v>3</v>
      </c>
      <c r="AI1974" t="s">
        <v>64</v>
      </c>
      <c r="AK1974">
        <v>0</v>
      </c>
      <c r="AM1974">
        <v>0</v>
      </c>
      <c r="AP1974" t="s">
        <v>389</v>
      </c>
    </row>
    <row r="1975" spans="1:42" customFormat="1">
      <c r="A1975">
        <v>272627</v>
      </c>
      <c r="B1975">
        <v>192862</v>
      </c>
      <c r="C1975" t="s">
        <v>3427</v>
      </c>
      <c r="D1975" s="22">
        <v>1473</v>
      </c>
      <c r="E1975" s="17">
        <v>42139</v>
      </c>
      <c r="F1975" s="18">
        <v>0.43673611111111116</v>
      </c>
      <c r="G1975" s="22">
        <v>0</v>
      </c>
      <c r="H1975">
        <v>0</v>
      </c>
      <c r="I1975" s="19" t="e">
        <f>I1974 + (D1975-G1975)</f>
        <v>#VALUE!</v>
      </c>
      <c r="L1975">
        <v>192862</v>
      </c>
      <c r="N1975">
        <v>14</v>
      </c>
      <c r="O1975" t="s">
        <v>135</v>
      </c>
      <c r="P1975">
        <v>1</v>
      </c>
      <c r="R1975">
        <v>2</v>
      </c>
      <c r="S1975" s="17">
        <v>42164</v>
      </c>
      <c r="T1975" s="17">
        <v>42164</v>
      </c>
      <c r="U1975">
        <v>28946</v>
      </c>
      <c r="V1975">
        <v>20150515</v>
      </c>
      <c r="W1975">
        <v>2015</v>
      </c>
      <c r="X1975">
        <v>14</v>
      </c>
      <c r="AC1975" t="s">
        <v>49</v>
      </c>
      <c r="AD1975" t="s">
        <v>301</v>
      </c>
      <c r="AE1975" t="s">
        <v>46</v>
      </c>
      <c r="AG1975">
        <v>12</v>
      </c>
      <c r="AH1975">
        <v>4</v>
      </c>
      <c r="AI1975" t="s">
        <v>78</v>
      </c>
      <c r="AM1975">
        <v>0</v>
      </c>
      <c r="AP1975" t="s">
        <v>392</v>
      </c>
    </row>
    <row r="1976" spans="1:42" customFormat="1">
      <c r="A1976">
        <v>272626</v>
      </c>
      <c r="B1976">
        <v>193076</v>
      </c>
      <c r="C1976" t="s">
        <v>3428</v>
      </c>
      <c r="D1976" s="22">
        <v>1473</v>
      </c>
      <c r="E1976" s="17">
        <v>42139</v>
      </c>
      <c r="F1976" s="18">
        <v>0.43673611111111116</v>
      </c>
      <c r="G1976" s="22">
        <v>0</v>
      </c>
      <c r="H1976">
        <v>0</v>
      </c>
      <c r="I1976" s="19" t="e">
        <f>I1975 + (D1976-G1976)</f>
        <v>#VALUE!</v>
      </c>
      <c r="L1976">
        <v>193076</v>
      </c>
      <c r="N1976">
        <v>14</v>
      </c>
      <c r="O1976" t="s">
        <v>135</v>
      </c>
      <c r="P1976">
        <v>1</v>
      </c>
      <c r="R1976">
        <v>2</v>
      </c>
      <c r="S1976" s="17">
        <v>42164</v>
      </c>
      <c r="T1976" s="17">
        <v>42164</v>
      </c>
      <c r="U1976">
        <v>28945</v>
      </c>
      <c r="V1976">
        <v>20150515</v>
      </c>
      <c r="W1976">
        <v>2015</v>
      </c>
      <c r="X1976">
        <v>14</v>
      </c>
      <c r="AC1976" t="s">
        <v>49</v>
      </c>
      <c r="AD1976" t="s">
        <v>301</v>
      </c>
      <c r="AE1976" t="s">
        <v>46</v>
      </c>
      <c r="AG1976">
        <v>12</v>
      </c>
      <c r="AH1976">
        <v>4</v>
      </c>
      <c r="AI1976" t="s">
        <v>78</v>
      </c>
      <c r="AM1976">
        <v>0</v>
      </c>
      <c r="AP1976" t="s">
        <v>392</v>
      </c>
    </row>
    <row r="1977" spans="1:42" customFormat="1">
      <c r="A1977">
        <v>270444</v>
      </c>
      <c r="B1977">
        <v>197789</v>
      </c>
      <c r="C1977" t="s">
        <v>3449</v>
      </c>
      <c r="D1977" s="22">
        <v>1574.42</v>
      </c>
      <c r="E1977" s="17">
        <v>42139</v>
      </c>
      <c r="F1977" s="18">
        <v>0.46946759259259263</v>
      </c>
      <c r="G1977" s="22">
        <v>0</v>
      </c>
      <c r="H1977">
        <v>0</v>
      </c>
      <c r="I1977" s="19" t="e">
        <f>I1976 + (D1977-G1977)</f>
        <v>#VALUE!</v>
      </c>
      <c r="L1977">
        <v>197789</v>
      </c>
      <c r="N1977">
        <v>8</v>
      </c>
      <c r="O1977" t="s">
        <v>63</v>
      </c>
      <c r="P1977">
        <v>1</v>
      </c>
      <c r="R1977">
        <v>2</v>
      </c>
      <c r="S1977" s="17">
        <v>42144</v>
      </c>
      <c r="T1977" s="17">
        <v>42144</v>
      </c>
      <c r="W1977">
        <v>2015</v>
      </c>
      <c r="X1977">
        <v>8</v>
      </c>
      <c r="AC1977" t="s">
        <v>49</v>
      </c>
      <c r="AD1977" t="s">
        <v>301</v>
      </c>
      <c r="AE1977" t="s">
        <v>46</v>
      </c>
      <c r="AG1977">
        <v>56</v>
      </c>
      <c r="AH1977">
        <v>1</v>
      </c>
      <c r="AI1977" t="s">
        <v>58</v>
      </c>
      <c r="AK1977">
        <v>0</v>
      </c>
      <c r="AM1977">
        <v>0</v>
      </c>
      <c r="AP1977" t="s">
        <v>59</v>
      </c>
    </row>
    <row r="1978" spans="1:42" customFormat="1">
      <c r="A1978">
        <v>270445</v>
      </c>
      <c r="B1978">
        <v>192520</v>
      </c>
      <c r="C1978" t="s">
        <v>3450</v>
      </c>
      <c r="D1978" s="22">
        <v>1830.58</v>
      </c>
      <c r="E1978" s="17">
        <v>42139</v>
      </c>
      <c r="F1978" s="18">
        <v>0.4707175925925926</v>
      </c>
      <c r="G1978" s="22">
        <v>0</v>
      </c>
      <c r="H1978">
        <v>0</v>
      </c>
      <c r="I1978" s="19" t="e">
        <f>I1977 + (D1978-G1978)</f>
        <v>#VALUE!</v>
      </c>
      <c r="L1978">
        <v>192520</v>
      </c>
      <c r="N1978">
        <v>8</v>
      </c>
      <c r="O1978" t="s">
        <v>63</v>
      </c>
      <c r="P1978">
        <v>1</v>
      </c>
      <c r="R1978">
        <v>2</v>
      </c>
      <c r="S1978" s="17">
        <v>42144</v>
      </c>
      <c r="T1978" s="17">
        <v>42144</v>
      </c>
      <c r="W1978">
        <v>2015</v>
      </c>
      <c r="X1978">
        <v>8</v>
      </c>
      <c r="AC1978" t="s">
        <v>49</v>
      </c>
      <c r="AD1978" t="s">
        <v>301</v>
      </c>
      <c r="AE1978" t="s">
        <v>46</v>
      </c>
      <c r="AG1978">
        <v>56</v>
      </c>
      <c r="AH1978">
        <v>1</v>
      </c>
      <c r="AI1978" t="s">
        <v>58</v>
      </c>
      <c r="AK1978">
        <v>0</v>
      </c>
      <c r="AM1978">
        <v>0</v>
      </c>
      <c r="AP1978" t="s">
        <v>59</v>
      </c>
    </row>
    <row r="1979" spans="1:42" customFormat="1">
      <c r="A1979">
        <v>272079</v>
      </c>
      <c r="B1979">
        <v>197081</v>
      </c>
      <c r="C1979" t="s">
        <v>3457</v>
      </c>
      <c r="D1979" s="22">
        <v>1724</v>
      </c>
      <c r="E1979" s="17">
        <v>42139</v>
      </c>
      <c r="F1979" s="18">
        <v>0.5</v>
      </c>
      <c r="G1979" s="22">
        <v>0</v>
      </c>
      <c r="H1979">
        <v>0</v>
      </c>
      <c r="I1979" s="19" t="e">
        <f>I1978 + (D1979-G1979)</f>
        <v>#VALUE!</v>
      </c>
      <c r="L1979">
        <v>197081</v>
      </c>
      <c r="N1979">
        <v>1</v>
      </c>
      <c r="O1979" t="s">
        <v>77</v>
      </c>
      <c r="P1979">
        <v>1</v>
      </c>
      <c r="R1979">
        <v>2</v>
      </c>
      <c r="S1979" s="17">
        <v>42160</v>
      </c>
      <c r="T1979" s="17">
        <v>42160</v>
      </c>
      <c r="U1979">
        <v>28508</v>
      </c>
      <c r="W1979">
        <v>2015</v>
      </c>
      <c r="X1979">
        <v>1</v>
      </c>
      <c r="AC1979" t="s">
        <v>49</v>
      </c>
      <c r="AD1979" t="s">
        <v>301</v>
      </c>
      <c r="AE1979" t="s">
        <v>46</v>
      </c>
      <c r="AG1979">
        <v>3</v>
      </c>
      <c r="AH1979">
        <v>4</v>
      </c>
      <c r="AI1979" t="s">
        <v>78</v>
      </c>
      <c r="AM1979">
        <v>0</v>
      </c>
      <c r="AP1979" t="s">
        <v>80</v>
      </c>
    </row>
    <row r="1980" spans="1:42" customFormat="1">
      <c r="A1980">
        <v>274648</v>
      </c>
      <c r="B1980">
        <v>204636</v>
      </c>
      <c r="C1980" t="s">
        <v>3458</v>
      </c>
      <c r="D1980" s="22">
        <v>1724</v>
      </c>
      <c r="E1980" s="17">
        <v>42139</v>
      </c>
      <c r="F1980" s="18">
        <v>0.5</v>
      </c>
      <c r="G1980" s="22">
        <v>0</v>
      </c>
      <c r="H1980">
        <v>0</v>
      </c>
      <c r="I1980" s="19" t="e">
        <f>I1979 + (D1980-G1980)</f>
        <v>#VALUE!</v>
      </c>
      <c r="L1980">
        <v>204636</v>
      </c>
      <c r="N1980">
        <v>1</v>
      </c>
      <c r="O1980" t="s">
        <v>77</v>
      </c>
      <c r="P1980">
        <v>1</v>
      </c>
      <c r="R1980">
        <v>2</v>
      </c>
      <c r="S1980" s="17">
        <v>42185</v>
      </c>
      <c r="T1980" s="17">
        <v>42185</v>
      </c>
      <c r="U1980">
        <v>29134</v>
      </c>
      <c r="W1980">
        <v>2015</v>
      </c>
      <c r="X1980">
        <v>1</v>
      </c>
      <c r="AC1980" t="s">
        <v>49</v>
      </c>
      <c r="AD1980" t="s">
        <v>301</v>
      </c>
      <c r="AE1980" t="s">
        <v>46</v>
      </c>
      <c r="AG1980">
        <v>69</v>
      </c>
      <c r="AH1980">
        <v>4</v>
      </c>
      <c r="AI1980" t="s">
        <v>78</v>
      </c>
      <c r="AM1980">
        <v>0</v>
      </c>
      <c r="AP1980" t="s">
        <v>339</v>
      </c>
    </row>
    <row r="1981" spans="1:42" customFormat="1">
      <c r="A1981">
        <v>270627</v>
      </c>
      <c r="B1981">
        <v>216667</v>
      </c>
      <c r="C1981" t="s">
        <v>3537</v>
      </c>
      <c r="D1981" s="22">
        <v>1724</v>
      </c>
      <c r="E1981" s="17">
        <v>42142</v>
      </c>
      <c r="F1981" s="18">
        <v>0.42972222222222217</v>
      </c>
      <c r="G1981" s="22">
        <v>0</v>
      </c>
      <c r="H1981">
        <v>0</v>
      </c>
      <c r="I1981" s="19" t="e">
        <f>I1980 + (D1981-G1981)</f>
        <v>#VALUE!</v>
      </c>
      <c r="L1981">
        <v>216667</v>
      </c>
      <c r="N1981">
        <v>7</v>
      </c>
      <c r="O1981" t="s">
        <v>44</v>
      </c>
      <c r="P1981">
        <v>1</v>
      </c>
      <c r="R1981">
        <v>2</v>
      </c>
      <c r="S1981" s="17">
        <v>42145</v>
      </c>
      <c r="T1981" s="17">
        <v>42145</v>
      </c>
      <c r="W1981">
        <v>2015</v>
      </c>
      <c r="X1981">
        <v>7</v>
      </c>
      <c r="AC1981" t="s">
        <v>49</v>
      </c>
      <c r="AD1981" t="s">
        <v>301</v>
      </c>
      <c r="AE1981" t="s">
        <v>46</v>
      </c>
      <c r="AG1981">
        <v>7</v>
      </c>
      <c r="AH1981">
        <v>2</v>
      </c>
      <c r="AI1981" t="s">
        <v>50</v>
      </c>
      <c r="AK1981">
        <v>0</v>
      </c>
      <c r="AM1981">
        <v>0</v>
      </c>
      <c r="AP1981" t="s">
        <v>220</v>
      </c>
    </row>
    <row r="1982" spans="1:42" customFormat="1">
      <c r="A1982">
        <v>270639</v>
      </c>
      <c r="B1982">
        <v>188875</v>
      </c>
      <c r="C1982" t="s">
        <v>3540</v>
      </c>
      <c r="D1982" s="22">
        <v>1524.1</v>
      </c>
      <c r="E1982" s="17">
        <v>42142</v>
      </c>
      <c r="F1982" s="18">
        <v>0.43518518518518517</v>
      </c>
      <c r="G1982" s="22">
        <v>0</v>
      </c>
      <c r="H1982">
        <v>0</v>
      </c>
      <c r="I1982" s="19" t="e">
        <f>I1981 + (D1982-G1982)</f>
        <v>#VALUE!</v>
      </c>
      <c r="L1982">
        <v>188875</v>
      </c>
      <c r="N1982">
        <v>7</v>
      </c>
      <c r="O1982" t="s">
        <v>44</v>
      </c>
      <c r="P1982">
        <v>1</v>
      </c>
      <c r="R1982">
        <v>2</v>
      </c>
      <c r="S1982" s="17">
        <v>42145</v>
      </c>
      <c r="T1982" s="17">
        <v>42145</v>
      </c>
      <c r="W1982">
        <v>2015</v>
      </c>
      <c r="X1982">
        <v>7</v>
      </c>
      <c r="AC1982" t="s">
        <v>49</v>
      </c>
      <c r="AD1982" t="s">
        <v>301</v>
      </c>
      <c r="AE1982" t="s">
        <v>46</v>
      </c>
      <c r="AG1982">
        <v>7</v>
      </c>
      <c r="AH1982">
        <v>2</v>
      </c>
      <c r="AI1982" t="s">
        <v>50</v>
      </c>
      <c r="AK1982">
        <v>0</v>
      </c>
      <c r="AM1982">
        <v>0</v>
      </c>
      <c r="AP1982" t="s">
        <v>220</v>
      </c>
    </row>
    <row r="1983" spans="1:42" customFormat="1">
      <c r="A1983">
        <v>272625</v>
      </c>
      <c r="B1983">
        <v>189956</v>
      </c>
      <c r="C1983" t="s">
        <v>3542</v>
      </c>
      <c r="D1983" s="22">
        <v>1511.28</v>
      </c>
      <c r="E1983" s="17">
        <v>42142</v>
      </c>
      <c r="F1983" s="18">
        <v>0.43642361111111111</v>
      </c>
      <c r="G1983" s="22">
        <v>0</v>
      </c>
      <c r="H1983">
        <v>0</v>
      </c>
      <c r="I1983" s="19" t="e">
        <f>I1982 + (D1983-G1983)</f>
        <v>#VALUE!</v>
      </c>
      <c r="L1983">
        <v>189956</v>
      </c>
      <c r="N1983">
        <v>14</v>
      </c>
      <c r="O1983" t="s">
        <v>135</v>
      </c>
      <c r="P1983">
        <v>1</v>
      </c>
      <c r="R1983">
        <v>2</v>
      </c>
      <c r="S1983" s="17">
        <v>42164</v>
      </c>
      <c r="T1983" s="17">
        <v>42164</v>
      </c>
      <c r="U1983">
        <v>28943</v>
      </c>
      <c r="V1983">
        <v>20150518</v>
      </c>
      <c r="W1983">
        <v>2015</v>
      </c>
      <c r="X1983">
        <v>14</v>
      </c>
      <c r="AC1983" t="s">
        <v>49</v>
      </c>
      <c r="AD1983" t="s">
        <v>301</v>
      </c>
      <c r="AE1983" t="s">
        <v>46</v>
      </c>
      <c r="AG1983">
        <v>12</v>
      </c>
      <c r="AH1983">
        <v>4</v>
      </c>
      <c r="AI1983" t="s">
        <v>78</v>
      </c>
      <c r="AM1983">
        <v>0</v>
      </c>
      <c r="AP1983" t="s">
        <v>392</v>
      </c>
    </row>
    <row r="1984" spans="1:42" customFormat="1">
      <c r="A1984">
        <v>272624</v>
      </c>
      <c r="B1984">
        <v>192657</v>
      </c>
      <c r="C1984" t="s">
        <v>3543</v>
      </c>
      <c r="D1984" s="22">
        <v>1473</v>
      </c>
      <c r="E1984" s="17">
        <v>42142</v>
      </c>
      <c r="F1984" s="18">
        <v>0.43642361111111111</v>
      </c>
      <c r="G1984" s="22">
        <v>0</v>
      </c>
      <c r="H1984">
        <v>0</v>
      </c>
      <c r="I1984" s="19" t="e">
        <f>I1983 + (D1984-G1984)</f>
        <v>#VALUE!</v>
      </c>
      <c r="L1984">
        <v>192657</v>
      </c>
      <c r="N1984">
        <v>14</v>
      </c>
      <c r="O1984" t="s">
        <v>135</v>
      </c>
      <c r="P1984">
        <v>1</v>
      </c>
      <c r="R1984">
        <v>2</v>
      </c>
      <c r="S1984" s="17">
        <v>42164</v>
      </c>
      <c r="T1984" s="17">
        <v>42164</v>
      </c>
      <c r="U1984">
        <v>28942</v>
      </c>
      <c r="V1984">
        <v>20150518</v>
      </c>
      <c r="W1984">
        <v>2015</v>
      </c>
      <c r="X1984">
        <v>14</v>
      </c>
      <c r="AC1984" t="s">
        <v>49</v>
      </c>
      <c r="AD1984" t="s">
        <v>301</v>
      </c>
      <c r="AE1984" t="s">
        <v>46</v>
      </c>
      <c r="AG1984">
        <v>12</v>
      </c>
      <c r="AH1984">
        <v>4</v>
      </c>
      <c r="AI1984" t="s">
        <v>78</v>
      </c>
      <c r="AM1984">
        <v>0</v>
      </c>
      <c r="AP1984" t="s">
        <v>392</v>
      </c>
    </row>
    <row r="1985" spans="1:42" customFormat="1">
      <c r="A1985">
        <v>270642</v>
      </c>
      <c r="B1985">
        <v>189937</v>
      </c>
      <c r="C1985" t="s">
        <v>3544</v>
      </c>
      <c r="D1985" s="22">
        <v>1567.25</v>
      </c>
      <c r="E1985" s="17">
        <v>42142</v>
      </c>
      <c r="F1985" s="18">
        <v>0.43798611111111113</v>
      </c>
      <c r="G1985" s="22">
        <v>0</v>
      </c>
      <c r="H1985">
        <v>0</v>
      </c>
      <c r="I1985" s="19" t="e">
        <f>I1984 + (D1985-G1985)</f>
        <v>#VALUE!</v>
      </c>
      <c r="L1985">
        <v>189937</v>
      </c>
      <c r="N1985">
        <v>7</v>
      </c>
      <c r="O1985" t="s">
        <v>44</v>
      </c>
      <c r="P1985">
        <v>1</v>
      </c>
      <c r="R1985">
        <v>2</v>
      </c>
      <c r="S1985" s="17">
        <v>42145</v>
      </c>
      <c r="T1985" s="17">
        <v>42145</v>
      </c>
      <c r="W1985">
        <v>2015</v>
      </c>
      <c r="X1985">
        <v>7</v>
      </c>
      <c r="AC1985" t="s">
        <v>49</v>
      </c>
      <c r="AD1985" t="s">
        <v>301</v>
      </c>
      <c r="AE1985" t="s">
        <v>46</v>
      </c>
      <c r="AG1985">
        <v>7</v>
      </c>
      <c r="AH1985">
        <v>2</v>
      </c>
      <c r="AI1985" t="s">
        <v>50</v>
      </c>
      <c r="AK1985">
        <v>0</v>
      </c>
      <c r="AM1985">
        <v>0</v>
      </c>
      <c r="AP1985" t="s">
        <v>220</v>
      </c>
    </row>
    <row r="1986" spans="1:42" customFormat="1">
      <c r="A1986">
        <v>270643</v>
      </c>
      <c r="B1986">
        <v>188246</v>
      </c>
      <c r="C1986" t="s">
        <v>3545</v>
      </c>
      <c r="D1986" s="22">
        <v>1539.28</v>
      </c>
      <c r="E1986" s="17">
        <v>42142</v>
      </c>
      <c r="F1986" s="18">
        <v>0.44016203703703699</v>
      </c>
      <c r="G1986" s="22">
        <v>0</v>
      </c>
      <c r="H1986">
        <v>0</v>
      </c>
      <c r="I1986" s="19" t="e">
        <f>I1985 + (D1986-G1986)</f>
        <v>#VALUE!</v>
      </c>
      <c r="L1986">
        <v>188246</v>
      </c>
      <c r="N1986">
        <v>7</v>
      </c>
      <c r="O1986" t="s">
        <v>44</v>
      </c>
      <c r="P1986">
        <v>1</v>
      </c>
      <c r="R1986">
        <v>2</v>
      </c>
      <c r="S1986" s="17">
        <v>42145</v>
      </c>
      <c r="T1986" s="17">
        <v>42145</v>
      </c>
      <c r="W1986">
        <v>2015</v>
      </c>
      <c r="X1986">
        <v>7</v>
      </c>
      <c r="AC1986" t="s">
        <v>49</v>
      </c>
      <c r="AD1986" t="s">
        <v>301</v>
      </c>
      <c r="AE1986" t="s">
        <v>46</v>
      </c>
      <c r="AG1986">
        <v>7</v>
      </c>
      <c r="AH1986">
        <v>2</v>
      </c>
      <c r="AI1986" t="s">
        <v>50</v>
      </c>
      <c r="AK1986">
        <v>0</v>
      </c>
      <c r="AM1986">
        <v>0</v>
      </c>
      <c r="AP1986" t="s">
        <v>220</v>
      </c>
    </row>
    <row r="1987" spans="1:42" customFormat="1">
      <c r="A1987">
        <v>271455</v>
      </c>
      <c r="B1987">
        <v>192381</v>
      </c>
      <c r="C1987" t="s">
        <v>3565</v>
      </c>
      <c r="D1987" s="22">
        <v>1857</v>
      </c>
      <c r="E1987" s="17">
        <v>42142</v>
      </c>
      <c r="F1987" s="18">
        <v>0.61384259259259266</v>
      </c>
      <c r="G1987" s="22">
        <v>0</v>
      </c>
      <c r="H1987">
        <v>0</v>
      </c>
      <c r="I1987" s="19" t="e">
        <f>I1986 + (D1987-G1987)</f>
        <v>#VALUE!</v>
      </c>
      <c r="L1987">
        <v>192381</v>
      </c>
      <c r="N1987">
        <v>8</v>
      </c>
      <c r="O1987" t="s">
        <v>63</v>
      </c>
      <c r="P1987">
        <v>1</v>
      </c>
      <c r="R1987">
        <v>2</v>
      </c>
      <c r="S1987" s="17">
        <v>42152</v>
      </c>
      <c r="T1987" s="17">
        <v>42152</v>
      </c>
      <c r="W1987">
        <v>2015</v>
      </c>
      <c r="X1987">
        <v>8</v>
      </c>
      <c r="AC1987" t="s">
        <v>49</v>
      </c>
      <c r="AD1987" t="s">
        <v>301</v>
      </c>
      <c r="AE1987" t="s">
        <v>46</v>
      </c>
      <c r="AG1987">
        <v>35</v>
      </c>
      <c r="AH1987">
        <v>2</v>
      </c>
      <c r="AI1987" t="s">
        <v>50</v>
      </c>
      <c r="AK1987">
        <v>0</v>
      </c>
      <c r="AM1987">
        <v>0</v>
      </c>
      <c r="AP1987" t="s">
        <v>2537</v>
      </c>
    </row>
    <row r="1988" spans="1:42" customFormat="1">
      <c r="A1988">
        <v>271459</v>
      </c>
      <c r="B1988">
        <v>216525</v>
      </c>
      <c r="C1988" t="s">
        <v>3566</v>
      </c>
      <c r="D1988" s="22">
        <v>1857.3</v>
      </c>
      <c r="E1988" s="17">
        <v>42142</v>
      </c>
      <c r="F1988" s="18">
        <v>0.64475694444444442</v>
      </c>
      <c r="G1988" s="22">
        <v>0</v>
      </c>
      <c r="H1988">
        <v>0</v>
      </c>
      <c r="I1988" s="19" t="e">
        <f>I1987 + (D1988-G1988)</f>
        <v>#VALUE!</v>
      </c>
      <c r="L1988">
        <v>216525</v>
      </c>
      <c r="N1988">
        <v>8</v>
      </c>
      <c r="O1988" t="s">
        <v>63</v>
      </c>
      <c r="P1988">
        <v>1</v>
      </c>
      <c r="R1988">
        <v>2</v>
      </c>
      <c r="S1988" s="17">
        <v>42152</v>
      </c>
      <c r="T1988" s="17">
        <v>42152</v>
      </c>
      <c r="W1988">
        <v>2015</v>
      </c>
      <c r="X1988">
        <v>8</v>
      </c>
      <c r="AC1988" t="s">
        <v>49</v>
      </c>
      <c r="AD1988" t="s">
        <v>301</v>
      </c>
      <c r="AE1988" t="s">
        <v>46</v>
      </c>
      <c r="AG1988">
        <v>4</v>
      </c>
      <c r="AH1988">
        <v>3</v>
      </c>
      <c r="AI1988" t="s">
        <v>64</v>
      </c>
      <c r="AK1988">
        <v>0</v>
      </c>
      <c r="AM1988">
        <v>0</v>
      </c>
      <c r="AP1988" t="s">
        <v>389</v>
      </c>
    </row>
    <row r="1989" spans="1:42" customFormat="1">
      <c r="A1989">
        <v>271468</v>
      </c>
      <c r="B1989">
        <v>192174</v>
      </c>
      <c r="C1989" t="s">
        <v>3577</v>
      </c>
      <c r="D1989" s="22">
        <v>1858.02</v>
      </c>
      <c r="E1989" s="17">
        <v>42142</v>
      </c>
      <c r="F1989" s="18">
        <v>0.68883101851851858</v>
      </c>
      <c r="G1989" s="22">
        <v>0</v>
      </c>
      <c r="H1989">
        <v>0</v>
      </c>
      <c r="I1989" s="19" t="e">
        <f>I1988 + (D1989-G1989)</f>
        <v>#VALUE!</v>
      </c>
      <c r="L1989">
        <v>192174</v>
      </c>
      <c r="N1989">
        <v>8</v>
      </c>
      <c r="O1989" t="s">
        <v>63</v>
      </c>
      <c r="P1989">
        <v>1</v>
      </c>
      <c r="R1989">
        <v>2</v>
      </c>
      <c r="S1989" s="17">
        <v>42152</v>
      </c>
      <c r="T1989" s="17">
        <v>42152</v>
      </c>
      <c r="W1989">
        <v>2015</v>
      </c>
      <c r="X1989">
        <v>8</v>
      </c>
      <c r="AC1989" t="s">
        <v>49</v>
      </c>
      <c r="AD1989" t="s">
        <v>301</v>
      </c>
      <c r="AE1989" t="s">
        <v>46</v>
      </c>
      <c r="AG1989">
        <v>4</v>
      </c>
      <c r="AH1989">
        <v>3</v>
      </c>
      <c r="AI1989" t="s">
        <v>64</v>
      </c>
      <c r="AK1989">
        <v>0</v>
      </c>
      <c r="AM1989">
        <v>0</v>
      </c>
      <c r="AP1989" t="s">
        <v>389</v>
      </c>
    </row>
    <row r="1990" spans="1:42" customFormat="1">
      <c r="A1990">
        <v>273070</v>
      </c>
      <c r="B1990">
        <v>188531</v>
      </c>
      <c r="C1990" t="s">
        <v>3585</v>
      </c>
      <c r="D1990" s="22">
        <v>1585.97</v>
      </c>
      <c r="E1990" s="17">
        <v>42142</v>
      </c>
      <c r="F1990" s="18">
        <v>0.71550925925925923</v>
      </c>
      <c r="G1990" s="22">
        <v>0</v>
      </c>
      <c r="H1990">
        <v>0</v>
      </c>
      <c r="I1990" s="19" t="e">
        <f>I1989 + (D1990-G1990)</f>
        <v>#VALUE!</v>
      </c>
      <c r="L1990">
        <v>188531</v>
      </c>
      <c r="N1990">
        <v>8</v>
      </c>
      <c r="O1990" t="s">
        <v>63</v>
      </c>
      <c r="P1990">
        <v>1</v>
      </c>
      <c r="R1990">
        <v>2</v>
      </c>
      <c r="S1990" s="17">
        <v>42170</v>
      </c>
      <c r="T1990" s="17">
        <v>42170</v>
      </c>
      <c r="W1990">
        <v>2015</v>
      </c>
      <c r="X1990">
        <v>8</v>
      </c>
      <c r="AC1990" t="s">
        <v>49</v>
      </c>
      <c r="AD1990" t="s">
        <v>301</v>
      </c>
      <c r="AE1990" t="s">
        <v>46</v>
      </c>
      <c r="AG1990">
        <v>4</v>
      </c>
      <c r="AH1990">
        <v>3</v>
      </c>
      <c r="AI1990" t="s">
        <v>64</v>
      </c>
      <c r="AK1990">
        <v>0</v>
      </c>
      <c r="AM1990">
        <v>0</v>
      </c>
      <c r="AP1990" t="s">
        <v>389</v>
      </c>
    </row>
    <row r="1991" spans="1:42" customFormat="1">
      <c r="A1991">
        <v>273071</v>
      </c>
      <c r="B1991">
        <v>189921</v>
      </c>
      <c r="C1991" t="s">
        <v>3586</v>
      </c>
      <c r="D1991" s="22">
        <v>1571.27</v>
      </c>
      <c r="E1991" s="17">
        <v>42142</v>
      </c>
      <c r="F1991" s="18">
        <v>0.71552083333333327</v>
      </c>
      <c r="G1991" s="22">
        <v>0</v>
      </c>
      <c r="H1991">
        <v>0</v>
      </c>
      <c r="I1991" s="19" t="e">
        <f>I1990 + (D1991-G1991)</f>
        <v>#VALUE!</v>
      </c>
      <c r="L1991">
        <v>189921</v>
      </c>
      <c r="N1991">
        <v>8</v>
      </c>
      <c r="O1991" t="s">
        <v>63</v>
      </c>
      <c r="P1991">
        <v>1</v>
      </c>
      <c r="R1991">
        <v>2</v>
      </c>
      <c r="S1991" s="17">
        <v>42170</v>
      </c>
      <c r="T1991" s="17">
        <v>42170</v>
      </c>
      <c r="W1991">
        <v>2015</v>
      </c>
      <c r="X1991">
        <v>8</v>
      </c>
      <c r="AC1991" t="s">
        <v>49</v>
      </c>
      <c r="AD1991" t="s">
        <v>301</v>
      </c>
      <c r="AE1991" t="s">
        <v>46</v>
      </c>
      <c r="AG1991">
        <v>4</v>
      </c>
      <c r="AH1991">
        <v>3</v>
      </c>
      <c r="AI1991" t="s">
        <v>64</v>
      </c>
      <c r="AK1991">
        <v>0</v>
      </c>
      <c r="AM1991">
        <v>0</v>
      </c>
      <c r="AP1991" t="s">
        <v>389</v>
      </c>
    </row>
    <row r="1992" spans="1:42" customFormat="1">
      <c r="A1992">
        <v>272628</v>
      </c>
      <c r="B1992">
        <v>192630</v>
      </c>
      <c r="C1992" t="s">
        <v>3746</v>
      </c>
      <c r="D1992" s="22">
        <v>1473</v>
      </c>
      <c r="E1992" s="17">
        <v>42143</v>
      </c>
      <c r="F1992" s="18">
        <v>0.43723379629629627</v>
      </c>
      <c r="G1992" s="22">
        <v>0</v>
      </c>
      <c r="H1992">
        <v>0</v>
      </c>
      <c r="I1992" s="19" t="e">
        <f>I1991 + (D1992-G1992)</f>
        <v>#VALUE!</v>
      </c>
      <c r="L1992">
        <v>192630</v>
      </c>
      <c r="N1992">
        <v>14</v>
      </c>
      <c r="O1992" t="s">
        <v>135</v>
      </c>
      <c r="P1992">
        <v>1</v>
      </c>
      <c r="R1992">
        <v>2</v>
      </c>
      <c r="S1992" s="17">
        <v>42164</v>
      </c>
      <c r="T1992" s="17">
        <v>42164</v>
      </c>
      <c r="U1992">
        <v>28947</v>
      </c>
      <c r="V1992">
        <v>20150519</v>
      </c>
      <c r="W1992">
        <v>2015</v>
      </c>
      <c r="X1992">
        <v>14</v>
      </c>
      <c r="AC1992" t="s">
        <v>49</v>
      </c>
      <c r="AD1992" t="s">
        <v>301</v>
      </c>
      <c r="AE1992" t="s">
        <v>46</v>
      </c>
      <c r="AG1992">
        <v>12</v>
      </c>
      <c r="AH1992">
        <v>4</v>
      </c>
      <c r="AI1992" t="s">
        <v>78</v>
      </c>
      <c r="AM1992">
        <v>0</v>
      </c>
      <c r="AP1992" t="s">
        <v>392</v>
      </c>
    </row>
    <row r="1993" spans="1:42" customFormat="1">
      <c r="A1993">
        <v>272629</v>
      </c>
      <c r="B1993">
        <v>192928</v>
      </c>
      <c r="C1993" t="s">
        <v>3747</v>
      </c>
      <c r="D1993" s="22">
        <v>1473</v>
      </c>
      <c r="E1993" s="17">
        <v>42143</v>
      </c>
      <c r="F1993" s="18">
        <v>0.43723379629629627</v>
      </c>
      <c r="G1993" s="22">
        <v>0</v>
      </c>
      <c r="H1993">
        <v>0</v>
      </c>
      <c r="I1993" s="19" t="e">
        <f>I1992 + (D1993-G1993)</f>
        <v>#VALUE!</v>
      </c>
      <c r="L1993">
        <v>192928</v>
      </c>
      <c r="N1993">
        <v>14</v>
      </c>
      <c r="O1993" t="s">
        <v>135</v>
      </c>
      <c r="P1993">
        <v>1</v>
      </c>
      <c r="R1993">
        <v>2</v>
      </c>
      <c r="S1993" s="17">
        <v>42164</v>
      </c>
      <c r="T1993" s="17">
        <v>42164</v>
      </c>
      <c r="U1993">
        <v>28948</v>
      </c>
      <c r="V1993">
        <v>20150519</v>
      </c>
      <c r="W1993">
        <v>2015</v>
      </c>
      <c r="X1993">
        <v>14</v>
      </c>
      <c r="AC1993" t="s">
        <v>49</v>
      </c>
      <c r="AD1993" t="s">
        <v>301</v>
      </c>
      <c r="AE1993" t="s">
        <v>46</v>
      </c>
      <c r="AG1993">
        <v>12</v>
      </c>
      <c r="AH1993">
        <v>4</v>
      </c>
      <c r="AI1993" t="s">
        <v>78</v>
      </c>
      <c r="AM1993">
        <v>0</v>
      </c>
      <c r="AP1993" t="s">
        <v>392</v>
      </c>
    </row>
    <row r="1994" spans="1:42" customFormat="1">
      <c r="A1994">
        <v>272080</v>
      </c>
      <c r="B1994">
        <v>197622</v>
      </c>
      <c r="C1994" t="s">
        <v>3765</v>
      </c>
      <c r="D1994" s="22">
        <v>1473</v>
      </c>
      <c r="E1994" s="17">
        <v>42143</v>
      </c>
      <c r="F1994" s="18">
        <v>0.5</v>
      </c>
      <c r="G1994" s="22">
        <v>0</v>
      </c>
      <c r="H1994">
        <v>0</v>
      </c>
      <c r="I1994" s="19" t="e">
        <f>I1993 + (D1994-G1994)</f>
        <v>#VALUE!</v>
      </c>
      <c r="L1994">
        <v>197622</v>
      </c>
      <c r="N1994">
        <v>1</v>
      </c>
      <c r="O1994" t="s">
        <v>77</v>
      </c>
      <c r="P1994">
        <v>1</v>
      </c>
      <c r="R1994">
        <v>2</v>
      </c>
      <c r="S1994" s="17">
        <v>42160</v>
      </c>
      <c r="T1994" s="17">
        <v>42160</v>
      </c>
      <c r="U1994">
        <v>28509</v>
      </c>
      <c r="W1994">
        <v>2015</v>
      </c>
      <c r="X1994">
        <v>1</v>
      </c>
      <c r="AC1994" t="s">
        <v>49</v>
      </c>
      <c r="AD1994" t="s">
        <v>301</v>
      </c>
      <c r="AE1994" t="s">
        <v>46</v>
      </c>
      <c r="AG1994">
        <v>3</v>
      </c>
      <c r="AH1994">
        <v>4</v>
      </c>
      <c r="AI1994" t="s">
        <v>78</v>
      </c>
      <c r="AM1994">
        <v>0</v>
      </c>
      <c r="AP1994" t="s">
        <v>80</v>
      </c>
    </row>
    <row r="1995" spans="1:42" customFormat="1">
      <c r="A1995">
        <v>274649</v>
      </c>
      <c r="B1995">
        <v>204829</v>
      </c>
      <c r="C1995" t="s">
        <v>3766</v>
      </c>
      <c r="D1995" s="22">
        <v>1724</v>
      </c>
      <c r="E1995" s="17">
        <v>42143</v>
      </c>
      <c r="F1995" s="18">
        <v>0.5</v>
      </c>
      <c r="G1995" s="22">
        <v>0</v>
      </c>
      <c r="H1995">
        <v>0</v>
      </c>
      <c r="I1995" s="19" t="e">
        <f>I1994 + (D1995-G1995)</f>
        <v>#VALUE!</v>
      </c>
      <c r="L1995">
        <v>204829</v>
      </c>
      <c r="N1995">
        <v>1</v>
      </c>
      <c r="O1995" t="s">
        <v>77</v>
      </c>
      <c r="P1995">
        <v>1</v>
      </c>
      <c r="R1995">
        <v>2</v>
      </c>
      <c r="S1995" s="17">
        <v>42185</v>
      </c>
      <c r="T1995" s="17">
        <v>42185</v>
      </c>
      <c r="U1995">
        <v>29135</v>
      </c>
      <c r="W1995">
        <v>2015</v>
      </c>
      <c r="X1995">
        <v>1</v>
      </c>
      <c r="AC1995" t="s">
        <v>49</v>
      </c>
      <c r="AD1995" t="s">
        <v>301</v>
      </c>
      <c r="AE1995" t="s">
        <v>46</v>
      </c>
      <c r="AG1995">
        <v>69</v>
      </c>
      <c r="AH1995">
        <v>4</v>
      </c>
      <c r="AI1995" t="s">
        <v>78</v>
      </c>
      <c r="AM1995">
        <v>0</v>
      </c>
      <c r="AP1995" t="s">
        <v>339</v>
      </c>
    </row>
    <row r="1996" spans="1:42" customFormat="1">
      <c r="A1996">
        <v>271473</v>
      </c>
      <c r="B1996">
        <v>188474</v>
      </c>
      <c r="C1996" t="s">
        <v>3809</v>
      </c>
      <c r="D1996" s="22">
        <v>1586.92</v>
      </c>
      <c r="E1996" s="17">
        <v>42143</v>
      </c>
      <c r="F1996" s="18">
        <v>0.70127314814814812</v>
      </c>
      <c r="G1996" s="22">
        <v>0</v>
      </c>
      <c r="H1996">
        <v>0</v>
      </c>
      <c r="I1996" s="19" t="e">
        <f>I1995 + (D1996-G1996)</f>
        <v>#VALUE!</v>
      </c>
      <c r="L1996">
        <v>188474</v>
      </c>
      <c r="N1996">
        <v>8</v>
      </c>
      <c r="O1996" t="s">
        <v>63</v>
      </c>
      <c r="P1996">
        <v>1</v>
      </c>
      <c r="R1996">
        <v>2</v>
      </c>
      <c r="S1996" s="17">
        <v>42152</v>
      </c>
      <c r="T1996" s="17">
        <v>42152</v>
      </c>
      <c r="W1996">
        <v>2015</v>
      </c>
      <c r="X1996">
        <v>8</v>
      </c>
      <c r="AC1996" t="s">
        <v>49</v>
      </c>
      <c r="AD1996" t="s">
        <v>301</v>
      </c>
      <c r="AE1996" t="s">
        <v>46</v>
      </c>
      <c r="AG1996">
        <v>4</v>
      </c>
      <c r="AH1996">
        <v>3</v>
      </c>
      <c r="AI1996" t="s">
        <v>64</v>
      </c>
      <c r="AK1996">
        <v>0</v>
      </c>
      <c r="AM1996">
        <v>0</v>
      </c>
      <c r="AP1996" t="s">
        <v>389</v>
      </c>
    </row>
    <row r="1997" spans="1:42" customFormat="1">
      <c r="A1997">
        <v>271474</v>
      </c>
      <c r="B1997">
        <v>189864</v>
      </c>
      <c r="C1997" t="s">
        <v>3810</v>
      </c>
      <c r="D1997" s="22">
        <v>1572.23</v>
      </c>
      <c r="E1997" s="17">
        <v>42143</v>
      </c>
      <c r="F1997" s="18">
        <v>0.70127314814814812</v>
      </c>
      <c r="G1997" s="22">
        <v>0</v>
      </c>
      <c r="H1997">
        <v>0</v>
      </c>
      <c r="I1997" s="19" t="e">
        <f>I1996 + (D1997-G1997)</f>
        <v>#VALUE!</v>
      </c>
      <c r="L1997">
        <v>189864</v>
      </c>
      <c r="N1997">
        <v>8</v>
      </c>
      <c r="O1997" t="s">
        <v>63</v>
      </c>
      <c r="P1997">
        <v>1</v>
      </c>
      <c r="R1997">
        <v>2</v>
      </c>
      <c r="S1997" s="17">
        <v>42152</v>
      </c>
      <c r="T1997" s="17">
        <v>42152</v>
      </c>
      <c r="W1997">
        <v>2015</v>
      </c>
      <c r="X1997">
        <v>8</v>
      </c>
      <c r="AC1997" t="s">
        <v>49</v>
      </c>
      <c r="AD1997" t="s">
        <v>301</v>
      </c>
      <c r="AE1997" t="s">
        <v>46</v>
      </c>
      <c r="AG1997">
        <v>4</v>
      </c>
      <c r="AH1997">
        <v>3</v>
      </c>
      <c r="AI1997" t="s">
        <v>64</v>
      </c>
      <c r="AK1997">
        <v>0</v>
      </c>
      <c r="AM1997">
        <v>0</v>
      </c>
      <c r="AP1997" t="s">
        <v>389</v>
      </c>
    </row>
    <row r="1998" spans="1:42" customFormat="1">
      <c r="A1998">
        <v>272623</v>
      </c>
      <c r="B1998">
        <v>193071</v>
      </c>
      <c r="C1998" t="s">
        <v>3836</v>
      </c>
      <c r="D1998" s="22">
        <v>1473</v>
      </c>
      <c r="E1998" s="17">
        <v>42144</v>
      </c>
      <c r="F1998" s="18">
        <v>0.43597222222222221</v>
      </c>
      <c r="G1998" s="22">
        <v>0</v>
      </c>
      <c r="H1998">
        <v>0</v>
      </c>
      <c r="I1998" s="19" t="e">
        <f>I1997 + (D1998-G1998)</f>
        <v>#VALUE!</v>
      </c>
      <c r="L1998">
        <v>193071</v>
      </c>
      <c r="N1998">
        <v>14</v>
      </c>
      <c r="O1998" t="s">
        <v>135</v>
      </c>
      <c r="P1998">
        <v>1</v>
      </c>
      <c r="R1998">
        <v>2</v>
      </c>
      <c r="S1998" s="17">
        <v>42164</v>
      </c>
      <c r="T1998" s="17">
        <v>42164</v>
      </c>
      <c r="U1998">
        <v>28941</v>
      </c>
      <c r="V1998">
        <v>20150520</v>
      </c>
      <c r="W1998">
        <v>2015</v>
      </c>
      <c r="X1998">
        <v>14</v>
      </c>
      <c r="AC1998" t="s">
        <v>49</v>
      </c>
      <c r="AD1998" t="s">
        <v>301</v>
      </c>
      <c r="AE1998" t="s">
        <v>46</v>
      </c>
      <c r="AG1998">
        <v>12</v>
      </c>
      <c r="AH1998">
        <v>4</v>
      </c>
      <c r="AI1998" t="s">
        <v>78</v>
      </c>
      <c r="AM1998">
        <v>0</v>
      </c>
      <c r="AP1998" t="s">
        <v>392</v>
      </c>
    </row>
    <row r="1999" spans="1:42" customFormat="1">
      <c r="A1999">
        <v>274650</v>
      </c>
      <c r="B1999">
        <v>204698</v>
      </c>
      <c r="C1999" t="s">
        <v>3848</v>
      </c>
      <c r="D1999" s="22">
        <v>1854.91</v>
      </c>
      <c r="E1999" s="17">
        <v>42144</v>
      </c>
      <c r="F1999" s="18">
        <v>0.5</v>
      </c>
      <c r="G1999" s="22">
        <v>0</v>
      </c>
      <c r="H1999">
        <v>0</v>
      </c>
      <c r="I1999" s="19" t="e">
        <f>I1998 + (D1999-G1999)</f>
        <v>#VALUE!</v>
      </c>
      <c r="L1999">
        <v>204698</v>
      </c>
      <c r="N1999">
        <v>1</v>
      </c>
      <c r="O1999" t="s">
        <v>77</v>
      </c>
      <c r="P1999">
        <v>1</v>
      </c>
      <c r="R1999">
        <v>2</v>
      </c>
      <c r="S1999" s="17">
        <v>42185</v>
      </c>
      <c r="T1999" s="17">
        <v>42185</v>
      </c>
      <c r="U1999">
        <v>29136</v>
      </c>
      <c r="W1999">
        <v>2015</v>
      </c>
      <c r="X1999">
        <v>1</v>
      </c>
      <c r="AC1999" t="s">
        <v>49</v>
      </c>
      <c r="AD1999" t="s">
        <v>301</v>
      </c>
      <c r="AE1999" t="s">
        <v>46</v>
      </c>
      <c r="AG1999">
        <v>69</v>
      </c>
      <c r="AH1999">
        <v>4</v>
      </c>
      <c r="AI1999" t="s">
        <v>78</v>
      </c>
      <c r="AM1999">
        <v>0</v>
      </c>
      <c r="AP1999" t="s">
        <v>339</v>
      </c>
    </row>
    <row r="2000" spans="1:42" customFormat="1">
      <c r="A2000">
        <v>271801</v>
      </c>
      <c r="B2000">
        <v>189919</v>
      </c>
      <c r="C2000" t="s">
        <v>3928</v>
      </c>
      <c r="D2000" s="22">
        <v>1573</v>
      </c>
      <c r="E2000" s="17">
        <v>42145</v>
      </c>
      <c r="F2000" s="18">
        <v>0.38746527777777778</v>
      </c>
      <c r="G2000" s="22">
        <v>0</v>
      </c>
      <c r="H2000">
        <v>0</v>
      </c>
      <c r="I2000" s="19" t="e">
        <f>I1999 + (D2000-G2000)</f>
        <v>#VALUE!</v>
      </c>
      <c r="L2000">
        <v>189919</v>
      </c>
      <c r="N2000">
        <v>8</v>
      </c>
      <c r="O2000" t="s">
        <v>63</v>
      </c>
      <c r="P2000">
        <v>1</v>
      </c>
      <c r="R2000">
        <v>2</v>
      </c>
      <c r="S2000" s="17">
        <v>42160</v>
      </c>
      <c r="T2000" s="17">
        <v>42160</v>
      </c>
      <c r="W2000">
        <v>2015</v>
      </c>
      <c r="X2000">
        <v>8</v>
      </c>
      <c r="AC2000" t="s">
        <v>49</v>
      </c>
      <c r="AD2000" t="s">
        <v>301</v>
      </c>
      <c r="AE2000" t="s">
        <v>46</v>
      </c>
      <c r="AG2000">
        <v>4</v>
      </c>
      <c r="AH2000">
        <v>3</v>
      </c>
      <c r="AI2000" t="s">
        <v>64</v>
      </c>
      <c r="AK2000">
        <v>0</v>
      </c>
      <c r="AM2000">
        <v>0</v>
      </c>
      <c r="AP2000" t="s">
        <v>389</v>
      </c>
    </row>
    <row r="2001" spans="1:42" customFormat="1">
      <c r="A2001">
        <v>272613</v>
      </c>
      <c r="B2001">
        <v>192622</v>
      </c>
      <c r="C2001" t="s">
        <v>3995</v>
      </c>
      <c r="D2001" s="22">
        <v>1473</v>
      </c>
      <c r="E2001" s="17">
        <v>42145</v>
      </c>
      <c r="F2001" s="18">
        <v>0.43396990740740743</v>
      </c>
      <c r="G2001" s="22">
        <v>0</v>
      </c>
      <c r="H2001">
        <v>0</v>
      </c>
      <c r="I2001" s="19" t="e">
        <f>I2000 + (D2001-G2001)</f>
        <v>#VALUE!</v>
      </c>
      <c r="L2001">
        <v>192622</v>
      </c>
      <c r="N2001">
        <v>14</v>
      </c>
      <c r="O2001" t="s">
        <v>135</v>
      </c>
      <c r="P2001">
        <v>1</v>
      </c>
      <c r="R2001">
        <v>2</v>
      </c>
      <c r="S2001" s="17">
        <v>42164</v>
      </c>
      <c r="T2001" s="17">
        <v>42164</v>
      </c>
      <c r="U2001">
        <v>28922</v>
      </c>
      <c r="V2001">
        <v>20150521</v>
      </c>
      <c r="W2001">
        <v>2015</v>
      </c>
      <c r="X2001">
        <v>14</v>
      </c>
      <c r="AC2001" t="s">
        <v>49</v>
      </c>
      <c r="AD2001" t="s">
        <v>301</v>
      </c>
      <c r="AE2001" t="s">
        <v>46</v>
      </c>
      <c r="AG2001">
        <v>12</v>
      </c>
      <c r="AH2001">
        <v>4</v>
      </c>
      <c r="AI2001" t="s">
        <v>78</v>
      </c>
      <c r="AM2001">
        <v>0</v>
      </c>
      <c r="AP2001" t="s">
        <v>392</v>
      </c>
    </row>
    <row r="2002" spans="1:42" customFormat="1">
      <c r="A2002">
        <v>272614</v>
      </c>
      <c r="B2002">
        <v>193099</v>
      </c>
      <c r="C2002" t="s">
        <v>3996</v>
      </c>
      <c r="D2002" s="22">
        <v>1473</v>
      </c>
      <c r="E2002" s="17">
        <v>42145</v>
      </c>
      <c r="F2002" s="18">
        <v>0.43396990740740743</v>
      </c>
      <c r="G2002" s="22">
        <v>0</v>
      </c>
      <c r="H2002">
        <v>0</v>
      </c>
      <c r="I2002" s="19" t="e">
        <f>I2001 + (D2002-G2002)</f>
        <v>#VALUE!</v>
      </c>
      <c r="L2002">
        <v>193099</v>
      </c>
      <c r="N2002">
        <v>14</v>
      </c>
      <c r="O2002" t="s">
        <v>135</v>
      </c>
      <c r="P2002">
        <v>1</v>
      </c>
      <c r="R2002">
        <v>2</v>
      </c>
      <c r="S2002" s="17">
        <v>42164</v>
      </c>
      <c r="T2002" s="17">
        <v>42164</v>
      </c>
      <c r="U2002">
        <v>28923</v>
      </c>
      <c r="V2002">
        <v>20150521</v>
      </c>
      <c r="W2002">
        <v>2015</v>
      </c>
      <c r="X2002">
        <v>14</v>
      </c>
      <c r="AC2002" t="s">
        <v>49</v>
      </c>
      <c r="AD2002" t="s">
        <v>301</v>
      </c>
      <c r="AE2002" t="s">
        <v>46</v>
      </c>
      <c r="AG2002">
        <v>12</v>
      </c>
      <c r="AH2002">
        <v>4</v>
      </c>
      <c r="AI2002" t="s">
        <v>78</v>
      </c>
      <c r="AM2002">
        <v>0</v>
      </c>
      <c r="AP2002" t="s">
        <v>392</v>
      </c>
    </row>
    <row r="2003" spans="1:42" customFormat="1">
      <c r="A2003">
        <v>274651</v>
      </c>
      <c r="B2003">
        <v>204719</v>
      </c>
      <c r="C2003" t="s">
        <v>4038</v>
      </c>
      <c r="D2003" s="22">
        <v>1724</v>
      </c>
      <c r="E2003" s="17">
        <v>42145</v>
      </c>
      <c r="F2003" s="18">
        <v>0.5</v>
      </c>
      <c r="G2003" s="22">
        <v>0</v>
      </c>
      <c r="H2003">
        <v>0</v>
      </c>
      <c r="I2003" s="19" t="e">
        <f>I2002 + (D2003-G2003)</f>
        <v>#VALUE!</v>
      </c>
      <c r="L2003">
        <v>204719</v>
      </c>
      <c r="N2003">
        <v>1</v>
      </c>
      <c r="O2003" t="s">
        <v>77</v>
      </c>
      <c r="P2003">
        <v>1</v>
      </c>
      <c r="R2003">
        <v>2</v>
      </c>
      <c r="S2003" s="17">
        <v>42185</v>
      </c>
      <c r="T2003" s="17">
        <v>42185</v>
      </c>
      <c r="U2003">
        <v>29137</v>
      </c>
      <c r="W2003">
        <v>2015</v>
      </c>
      <c r="X2003">
        <v>1</v>
      </c>
      <c r="AC2003" t="s">
        <v>49</v>
      </c>
      <c r="AD2003" t="s">
        <v>301</v>
      </c>
      <c r="AE2003" t="s">
        <v>46</v>
      </c>
      <c r="AG2003">
        <v>69</v>
      </c>
      <c r="AH2003">
        <v>4</v>
      </c>
      <c r="AI2003" t="s">
        <v>78</v>
      </c>
      <c r="AM2003">
        <v>0</v>
      </c>
      <c r="AP2003" t="s">
        <v>339</v>
      </c>
    </row>
    <row r="2004" spans="1:42" customFormat="1">
      <c r="A2004">
        <v>271480</v>
      </c>
      <c r="B2004">
        <v>184805</v>
      </c>
      <c r="C2004" t="s">
        <v>4107</v>
      </c>
      <c r="D2004" s="22">
        <v>1602.59</v>
      </c>
      <c r="E2004" s="17">
        <v>42145</v>
      </c>
      <c r="F2004" s="18">
        <v>0.74042824074074076</v>
      </c>
      <c r="G2004" s="22">
        <v>0</v>
      </c>
      <c r="H2004">
        <v>0</v>
      </c>
      <c r="I2004" s="19" t="e">
        <f>I2003 + (D2004-G2004)</f>
        <v>#VALUE!</v>
      </c>
      <c r="L2004">
        <v>184805</v>
      </c>
      <c r="N2004">
        <v>8</v>
      </c>
      <c r="O2004" t="s">
        <v>63</v>
      </c>
      <c r="P2004">
        <v>1</v>
      </c>
      <c r="R2004">
        <v>2</v>
      </c>
      <c r="S2004" s="17">
        <v>42152</v>
      </c>
      <c r="T2004" s="17">
        <v>42152</v>
      </c>
      <c r="W2004">
        <v>2015</v>
      </c>
      <c r="X2004">
        <v>8</v>
      </c>
      <c r="AC2004" t="s">
        <v>49</v>
      </c>
      <c r="AD2004" t="s">
        <v>301</v>
      </c>
      <c r="AE2004" t="s">
        <v>46</v>
      </c>
      <c r="AG2004">
        <v>35</v>
      </c>
      <c r="AH2004">
        <v>2</v>
      </c>
      <c r="AI2004" t="s">
        <v>50</v>
      </c>
      <c r="AK2004">
        <v>0</v>
      </c>
      <c r="AM2004">
        <v>0</v>
      </c>
      <c r="AP2004" t="s">
        <v>2537</v>
      </c>
    </row>
    <row r="2005" spans="1:42" customFormat="1">
      <c r="A2005">
        <v>271481</v>
      </c>
      <c r="B2005">
        <v>188658</v>
      </c>
      <c r="C2005" t="s">
        <v>4108</v>
      </c>
      <c r="D2005" s="22">
        <v>1587.41</v>
      </c>
      <c r="E2005" s="17">
        <v>42145</v>
      </c>
      <c r="F2005" s="18">
        <v>0.74042824074074076</v>
      </c>
      <c r="G2005" s="22">
        <v>0</v>
      </c>
      <c r="H2005">
        <v>0</v>
      </c>
      <c r="I2005" s="19" t="e">
        <f>I2004 + (D2005-G2005)</f>
        <v>#VALUE!</v>
      </c>
      <c r="L2005">
        <v>188658</v>
      </c>
      <c r="N2005">
        <v>8</v>
      </c>
      <c r="O2005" t="s">
        <v>63</v>
      </c>
      <c r="P2005">
        <v>1</v>
      </c>
      <c r="R2005">
        <v>2</v>
      </c>
      <c r="S2005" s="17">
        <v>42152</v>
      </c>
      <c r="T2005" s="17">
        <v>42152</v>
      </c>
      <c r="W2005">
        <v>2015</v>
      </c>
      <c r="X2005">
        <v>8</v>
      </c>
      <c r="AC2005" t="s">
        <v>49</v>
      </c>
      <c r="AD2005" t="s">
        <v>301</v>
      </c>
      <c r="AE2005" t="s">
        <v>46</v>
      </c>
      <c r="AG2005">
        <v>35</v>
      </c>
      <c r="AH2005">
        <v>2</v>
      </c>
      <c r="AI2005" t="s">
        <v>50</v>
      </c>
      <c r="AK2005">
        <v>0</v>
      </c>
      <c r="AM2005">
        <v>0</v>
      </c>
      <c r="AP2005" t="s">
        <v>2537</v>
      </c>
    </row>
    <row r="2006" spans="1:42" customFormat="1">
      <c r="A2006">
        <v>271795</v>
      </c>
      <c r="B2006">
        <v>192256</v>
      </c>
      <c r="C2006" t="s">
        <v>4113</v>
      </c>
      <c r="D2006" s="22">
        <v>1842</v>
      </c>
      <c r="E2006" s="17">
        <v>42146</v>
      </c>
      <c r="F2006" s="18">
        <v>0.36885416666666665</v>
      </c>
      <c r="G2006" s="22">
        <v>0</v>
      </c>
      <c r="H2006">
        <v>0</v>
      </c>
      <c r="I2006" s="19" t="e">
        <f>I2005 + (D2006-G2006)</f>
        <v>#VALUE!</v>
      </c>
      <c r="L2006">
        <v>192256</v>
      </c>
      <c r="N2006">
        <v>8</v>
      </c>
      <c r="O2006" t="s">
        <v>63</v>
      </c>
      <c r="P2006">
        <v>1</v>
      </c>
      <c r="R2006">
        <v>2</v>
      </c>
      <c r="S2006" s="17">
        <v>42160</v>
      </c>
      <c r="T2006" s="17">
        <v>42160</v>
      </c>
      <c r="W2006">
        <v>2015</v>
      </c>
      <c r="X2006">
        <v>8</v>
      </c>
      <c r="AC2006" t="s">
        <v>49</v>
      </c>
      <c r="AD2006" t="s">
        <v>301</v>
      </c>
      <c r="AE2006" t="s">
        <v>46</v>
      </c>
      <c r="AG2006">
        <v>4</v>
      </c>
      <c r="AH2006">
        <v>3</v>
      </c>
      <c r="AI2006" t="s">
        <v>64</v>
      </c>
      <c r="AK2006">
        <v>0</v>
      </c>
      <c r="AM2006">
        <v>0</v>
      </c>
      <c r="AP2006" t="s">
        <v>389</v>
      </c>
    </row>
    <row r="2007" spans="1:42" customFormat="1">
      <c r="A2007">
        <v>271797</v>
      </c>
      <c r="B2007">
        <v>213030</v>
      </c>
      <c r="C2007" t="s">
        <v>4114</v>
      </c>
      <c r="D2007" s="22">
        <v>1860.25</v>
      </c>
      <c r="E2007" s="17">
        <v>42146</v>
      </c>
      <c r="F2007" s="18">
        <v>0.3729513888888889</v>
      </c>
      <c r="G2007" s="22">
        <v>0</v>
      </c>
      <c r="H2007">
        <v>0</v>
      </c>
      <c r="I2007" s="19" t="e">
        <f>I2006 + (D2007-G2007)</f>
        <v>#VALUE!</v>
      </c>
      <c r="L2007">
        <v>213030</v>
      </c>
      <c r="N2007">
        <v>8</v>
      </c>
      <c r="O2007" t="s">
        <v>63</v>
      </c>
      <c r="P2007">
        <v>1</v>
      </c>
      <c r="R2007">
        <v>2</v>
      </c>
      <c r="S2007" s="17">
        <v>42160</v>
      </c>
      <c r="T2007" s="17">
        <v>42160</v>
      </c>
      <c r="W2007">
        <v>2015</v>
      </c>
      <c r="X2007">
        <v>8</v>
      </c>
      <c r="AC2007" t="s">
        <v>49</v>
      </c>
      <c r="AD2007" t="s">
        <v>301</v>
      </c>
      <c r="AE2007" t="s">
        <v>46</v>
      </c>
      <c r="AG2007">
        <v>4</v>
      </c>
      <c r="AH2007">
        <v>3</v>
      </c>
      <c r="AI2007" t="s">
        <v>64</v>
      </c>
      <c r="AK2007">
        <v>0</v>
      </c>
      <c r="AM2007">
        <v>0</v>
      </c>
      <c r="AP2007" t="s">
        <v>389</v>
      </c>
    </row>
    <row r="2008" spans="1:42" customFormat="1">
      <c r="A2008">
        <v>271798</v>
      </c>
      <c r="B2008">
        <v>213031</v>
      </c>
      <c r="C2008" t="s">
        <v>4115</v>
      </c>
      <c r="D2008" s="22">
        <v>1843.15</v>
      </c>
      <c r="E2008" s="17">
        <v>42146</v>
      </c>
      <c r="F2008" s="18">
        <v>0.3729513888888889</v>
      </c>
      <c r="G2008" s="22">
        <v>0</v>
      </c>
      <c r="H2008">
        <v>0</v>
      </c>
      <c r="I2008" s="19" t="e">
        <f>I2007 + (D2008-G2008)</f>
        <v>#VALUE!</v>
      </c>
      <c r="L2008">
        <v>213031</v>
      </c>
      <c r="N2008">
        <v>8</v>
      </c>
      <c r="O2008" t="s">
        <v>63</v>
      </c>
      <c r="P2008">
        <v>1</v>
      </c>
      <c r="R2008">
        <v>2</v>
      </c>
      <c r="S2008" s="17">
        <v>42160</v>
      </c>
      <c r="T2008" s="17">
        <v>42160</v>
      </c>
      <c r="W2008">
        <v>2015</v>
      </c>
      <c r="X2008">
        <v>8</v>
      </c>
      <c r="AC2008" t="s">
        <v>49</v>
      </c>
      <c r="AD2008" t="s">
        <v>301</v>
      </c>
      <c r="AE2008" t="s">
        <v>46</v>
      </c>
      <c r="AG2008">
        <v>4</v>
      </c>
      <c r="AH2008">
        <v>3</v>
      </c>
      <c r="AI2008" t="s">
        <v>64</v>
      </c>
      <c r="AK2008">
        <v>0</v>
      </c>
      <c r="AM2008">
        <v>0</v>
      </c>
      <c r="AP2008" t="s">
        <v>389</v>
      </c>
    </row>
    <row r="2009" spans="1:42" customFormat="1">
      <c r="A2009">
        <v>272081</v>
      </c>
      <c r="B2009">
        <v>197216</v>
      </c>
      <c r="C2009" t="s">
        <v>4161</v>
      </c>
      <c r="D2009" s="22">
        <v>1724</v>
      </c>
      <c r="E2009" s="17">
        <v>42146</v>
      </c>
      <c r="F2009" s="18">
        <v>0.5</v>
      </c>
      <c r="G2009" s="22">
        <v>0</v>
      </c>
      <c r="H2009">
        <v>0</v>
      </c>
      <c r="I2009" s="19" t="e">
        <f>I2008 + (D2009-G2009)</f>
        <v>#VALUE!</v>
      </c>
      <c r="L2009">
        <v>197216</v>
      </c>
      <c r="N2009">
        <v>1</v>
      </c>
      <c r="O2009" t="s">
        <v>77</v>
      </c>
      <c r="P2009">
        <v>1</v>
      </c>
      <c r="R2009">
        <v>2</v>
      </c>
      <c r="S2009" s="17">
        <v>42160</v>
      </c>
      <c r="T2009" s="17">
        <v>42160</v>
      </c>
      <c r="U2009">
        <v>28510</v>
      </c>
      <c r="W2009">
        <v>2015</v>
      </c>
      <c r="X2009">
        <v>1</v>
      </c>
      <c r="AC2009" t="s">
        <v>49</v>
      </c>
      <c r="AD2009" t="s">
        <v>301</v>
      </c>
      <c r="AE2009" t="s">
        <v>46</v>
      </c>
      <c r="AG2009">
        <v>3</v>
      </c>
      <c r="AH2009">
        <v>4</v>
      </c>
      <c r="AI2009" t="s">
        <v>78</v>
      </c>
      <c r="AM2009">
        <v>0</v>
      </c>
      <c r="AP2009" t="s">
        <v>80</v>
      </c>
    </row>
    <row r="2010" spans="1:42" customFormat="1">
      <c r="A2010">
        <v>271452</v>
      </c>
      <c r="B2010">
        <v>189999</v>
      </c>
      <c r="C2010" t="s">
        <v>4267</v>
      </c>
      <c r="D2010" s="22">
        <v>1569</v>
      </c>
      <c r="E2010" s="17">
        <v>42146</v>
      </c>
      <c r="F2010" s="18">
        <v>0.58630787037037035</v>
      </c>
      <c r="G2010" s="22">
        <v>0</v>
      </c>
      <c r="H2010">
        <v>0</v>
      </c>
      <c r="I2010" s="19" t="e">
        <f>I2009 + (D2010-G2010)</f>
        <v>#VALUE!</v>
      </c>
      <c r="L2010">
        <v>189999</v>
      </c>
      <c r="N2010">
        <v>8</v>
      </c>
      <c r="O2010" t="s">
        <v>63</v>
      </c>
      <c r="P2010">
        <v>1</v>
      </c>
      <c r="R2010">
        <v>2</v>
      </c>
      <c r="S2010" s="17">
        <v>42152</v>
      </c>
      <c r="T2010" s="17">
        <v>42152</v>
      </c>
      <c r="W2010">
        <v>2015</v>
      </c>
      <c r="X2010">
        <v>8</v>
      </c>
      <c r="AC2010" t="s">
        <v>49</v>
      </c>
      <c r="AD2010" t="s">
        <v>301</v>
      </c>
      <c r="AE2010" t="s">
        <v>46</v>
      </c>
      <c r="AG2010">
        <v>56</v>
      </c>
      <c r="AH2010">
        <v>1</v>
      </c>
      <c r="AI2010" t="s">
        <v>58</v>
      </c>
      <c r="AK2010">
        <v>0</v>
      </c>
      <c r="AM2010">
        <v>0</v>
      </c>
      <c r="AP2010" t="s">
        <v>59</v>
      </c>
    </row>
    <row r="2011" spans="1:42" customFormat="1">
      <c r="A2011">
        <v>272620</v>
      </c>
      <c r="B2011">
        <v>192731</v>
      </c>
      <c r="C2011" t="s">
        <v>4529</v>
      </c>
      <c r="D2011" s="22">
        <v>1473</v>
      </c>
      <c r="E2011" s="17">
        <v>42149</v>
      </c>
      <c r="F2011" s="18">
        <v>0.43528935185185186</v>
      </c>
      <c r="G2011" s="22">
        <v>0</v>
      </c>
      <c r="H2011">
        <v>0</v>
      </c>
      <c r="I2011" s="19" t="e">
        <f>I2010 + (D2011-G2011)</f>
        <v>#VALUE!</v>
      </c>
      <c r="L2011">
        <v>192731</v>
      </c>
      <c r="N2011">
        <v>14</v>
      </c>
      <c r="O2011" t="s">
        <v>135</v>
      </c>
      <c r="P2011">
        <v>1</v>
      </c>
      <c r="R2011">
        <v>2</v>
      </c>
      <c r="S2011" s="17">
        <v>42164</v>
      </c>
      <c r="T2011" s="17">
        <v>42164</v>
      </c>
      <c r="U2011">
        <v>28935</v>
      </c>
      <c r="V2011">
        <v>20150525</v>
      </c>
      <c r="W2011">
        <v>2015</v>
      </c>
      <c r="X2011">
        <v>14</v>
      </c>
      <c r="AC2011" t="s">
        <v>49</v>
      </c>
      <c r="AD2011" t="s">
        <v>301</v>
      </c>
      <c r="AE2011" t="s">
        <v>46</v>
      </c>
      <c r="AG2011">
        <v>12</v>
      </c>
      <c r="AH2011">
        <v>4</v>
      </c>
      <c r="AI2011" t="s">
        <v>78</v>
      </c>
      <c r="AM2011">
        <v>0</v>
      </c>
      <c r="AP2011" t="s">
        <v>392</v>
      </c>
    </row>
    <row r="2012" spans="1:42" customFormat="1">
      <c r="A2012">
        <v>272618</v>
      </c>
      <c r="B2012">
        <v>192562</v>
      </c>
      <c r="C2012" t="s">
        <v>4530</v>
      </c>
      <c r="D2012" s="22">
        <v>1473</v>
      </c>
      <c r="E2012" s="17">
        <v>42149</v>
      </c>
      <c r="F2012" s="18">
        <v>0.43528935185185186</v>
      </c>
      <c r="G2012" s="22">
        <v>0</v>
      </c>
      <c r="H2012">
        <v>0</v>
      </c>
      <c r="I2012" s="19" t="e">
        <f>I2011 + (D2012-G2012)</f>
        <v>#VALUE!</v>
      </c>
      <c r="L2012">
        <v>192562</v>
      </c>
      <c r="N2012">
        <v>14</v>
      </c>
      <c r="O2012" t="s">
        <v>135</v>
      </c>
      <c r="P2012">
        <v>1</v>
      </c>
      <c r="R2012">
        <v>2</v>
      </c>
      <c r="S2012" s="17">
        <v>42164</v>
      </c>
      <c r="T2012" s="17">
        <v>42164</v>
      </c>
      <c r="U2012">
        <v>28933</v>
      </c>
      <c r="V2012">
        <v>20150525</v>
      </c>
      <c r="W2012">
        <v>2015</v>
      </c>
      <c r="X2012">
        <v>14</v>
      </c>
      <c r="AC2012" t="s">
        <v>49</v>
      </c>
      <c r="AD2012" t="s">
        <v>301</v>
      </c>
      <c r="AE2012" t="s">
        <v>46</v>
      </c>
      <c r="AG2012">
        <v>12</v>
      </c>
      <c r="AH2012">
        <v>4</v>
      </c>
      <c r="AI2012" t="s">
        <v>78</v>
      </c>
      <c r="AM2012">
        <v>0</v>
      </c>
      <c r="AP2012" t="s">
        <v>392</v>
      </c>
    </row>
    <row r="2013" spans="1:42" customFormat="1">
      <c r="A2013">
        <v>272619</v>
      </c>
      <c r="B2013">
        <v>192568</v>
      </c>
      <c r="C2013" t="s">
        <v>4531</v>
      </c>
      <c r="D2013" s="22">
        <v>1473</v>
      </c>
      <c r="E2013" s="17">
        <v>42149</v>
      </c>
      <c r="F2013" s="18">
        <v>0.43528935185185186</v>
      </c>
      <c r="G2013" s="22">
        <v>0</v>
      </c>
      <c r="H2013">
        <v>0</v>
      </c>
      <c r="I2013" s="19" t="e">
        <f>I2012 + (D2013-G2013)</f>
        <v>#VALUE!</v>
      </c>
      <c r="L2013">
        <v>192568</v>
      </c>
      <c r="N2013">
        <v>14</v>
      </c>
      <c r="O2013" t="s">
        <v>135</v>
      </c>
      <c r="P2013">
        <v>1</v>
      </c>
      <c r="R2013">
        <v>2</v>
      </c>
      <c r="S2013" s="17">
        <v>42164</v>
      </c>
      <c r="T2013" s="17">
        <v>42164</v>
      </c>
      <c r="U2013">
        <v>28934</v>
      </c>
      <c r="V2013">
        <v>20150525</v>
      </c>
      <c r="W2013">
        <v>2015</v>
      </c>
      <c r="X2013">
        <v>14</v>
      </c>
      <c r="AC2013" t="s">
        <v>49</v>
      </c>
      <c r="AD2013" t="s">
        <v>301</v>
      </c>
      <c r="AE2013" t="s">
        <v>46</v>
      </c>
      <c r="AG2013">
        <v>12</v>
      </c>
      <c r="AH2013">
        <v>4</v>
      </c>
      <c r="AI2013" t="s">
        <v>78</v>
      </c>
      <c r="AM2013">
        <v>0</v>
      </c>
      <c r="AP2013" t="s">
        <v>392</v>
      </c>
    </row>
    <row r="2014" spans="1:42" customFormat="1">
      <c r="A2014">
        <v>272622</v>
      </c>
      <c r="B2014">
        <v>192614</v>
      </c>
      <c r="C2014" t="s">
        <v>4532</v>
      </c>
      <c r="D2014" s="22">
        <v>1473</v>
      </c>
      <c r="E2014" s="17">
        <v>42149</v>
      </c>
      <c r="F2014" s="18">
        <v>0.43530092592592595</v>
      </c>
      <c r="G2014" s="22">
        <v>0</v>
      </c>
      <c r="H2014">
        <v>0</v>
      </c>
      <c r="I2014" s="19" t="e">
        <f>I2013 + (D2014-G2014)</f>
        <v>#VALUE!</v>
      </c>
      <c r="L2014">
        <v>192614</v>
      </c>
      <c r="N2014">
        <v>14</v>
      </c>
      <c r="O2014" t="s">
        <v>135</v>
      </c>
      <c r="P2014">
        <v>1</v>
      </c>
      <c r="R2014">
        <v>2</v>
      </c>
      <c r="S2014" s="17">
        <v>42164</v>
      </c>
      <c r="T2014" s="17">
        <v>42164</v>
      </c>
      <c r="U2014">
        <v>28937</v>
      </c>
      <c r="V2014">
        <v>20150525</v>
      </c>
      <c r="W2014">
        <v>2015</v>
      </c>
      <c r="X2014">
        <v>14</v>
      </c>
      <c r="AC2014" t="s">
        <v>49</v>
      </c>
      <c r="AD2014" t="s">
        <v>301</v>
      </c>
      <c r="AE2014" t="s">
        <v>46</v>
      </c>
      <c r="AG2014">
        <v>12</v>
      </c>
      <c r="AH2014">
        <v>4</v>
      </c>
      <c r="AI2014" t="s">
        <v>78</v>
      </c>
      <c r="AM2014">
        <v>0</v>
      </c>
      <c r="AP2014" t="s">
        <v>392</v>
      </c>
    </row>
    <row r="2015" spans="1:42" customFormat="1">
      <c r="A2015">
        <v>272621</v>
      </c>
      <c r="B2015">
        <v>192889</v>
      </c>
      <c r="C2015" t="s">
        <v>4533</v>
      </c>
      <c r="D2015" s="22">
        <v>1399.35</v>
      </c>
      <c r="E2015" s="17">
        <v>42149</v>
      </c>
      <c r="F2015" s="18">
        <v>0.43530092592592595</v>
      </c>
      <c r="G2015" s="22">
        <v>0</v>
      </c>
      <c r="H2015">
        <v>0</v>
      </c>
      <c r="I2015" s="19" t="e">
        <f>I2014 + (D2015-G2015)</f>
        <v>#VALUE!</v>
      </c>
      <c r="L2015">
        <v>192889</v>
      </c>
      <c r="N2015">
        <v>14</v>
      </c>
      <c r="O2015" t="s">
        <v>135</v>
      </c>
      <c r="P2015">
        <v>1</v>
      </c>
      <c r="R2015">
        <v>2</v>
      </c>
      <c r="S2015" s="17">
        <v>42164</v>
      </c>
      <c r="T2015" s="17">
        <v>42164</v>
      </c>
      <c r="U2015">
        <v>28936</v>
      </c>
      <c r="V2015">
        <v>20150525</v>
      </c>
      <c r="W2015">
        <v>2015</v>
      </c>
      <c r="X2015">
        <v>14</v>
      </c>
      <c r="AC2015" t="s">
        <v>49</v>
      </c>
      <c r="AD2015" t="s">
        <v>301</v>
      </c>
      <c r="AE2015" t="s">
        <v>46</v>
      </c>
      <c r="AG2015">
        <v>12</v>
      </c>
      <c r="AH2015">
        <v>4</v>
      </c>
      <c r="AI2015" t="s">
        <v>78</v>
      </c>
      <c r="AM2015">
        <v>0</v>
      </c>
      <c r="AP2015" t="s">
        <v>392</v>
      </c>
    </row>
    <row r="2016" spans="1:42" customFormat="1">
      <c r="A2016">
        <v>273678</v>
      </c>
      <c r="B2016">
        <v>190030</v>
      </c>
      <c r="C2016" t="s">
        <v>4547</v>
      </c>
      <c r="D2016" s="22">
        <v>1514.71</v>
      </c>
      <c r="E2016" s="17">
        <v>42149</v>
      </c>
      <c r="F2016" s="18">
        <v>0.48068287037037033</v>
      </c>
      <c r="G2016" s="22">
        <v>0</v>
      </c>
      <c r="H2016">
        <v>0</v>
      </c>
      <c r="I2016" s="19" t="e">
        <f>I2015 + (D2016-G2016)</f>
        <v>#VALUE!</v>
      </c>
      <c r="L2016">
        <v>190030</v>
      </c>
      <c r="N2016">
        <v>60</v>
      </c>
      <c r="O2016" t="s">
        <v>60</v>
      </c>
      <c r="P2016">
        <v>1</v>
      </c>
      <c r="R2016">
        <v>2</v>
      </c>
      <c r="S2016" s="17">
        <v>42178</v>
      </c>
      <c r="T2016" s="17">
        <v>42178</v>
      </c>
      <c r="W2016">
        <v>2015</v>
      </c>
      <c r="X2016">
        <v>60</v>
      </c>
      <c r="AC2016" t="s">
        <v>49</v>
      </c>
      <c r="AD2016" t="s">
        <v>301</v>
      </c>
      <c r="AE2016" t="s">
        <v>46</v>
      </c>
      <c r="AG2016">
        <v>2</v>
      </c>
      <c r="AH2016">
        <v>2</v>
      </c>
      <c r="AI2016" t="s">
        <v>50</v>
      </c>
      <c r="AK2016">
        <v>0</v>
      </c>
      <c r="AM2016">
        <v>0</v>
      </c>
      <c r="AP2016" t="s">
        <v>2544</v>
      </c>
    </row>
    <row r="2017" spans="1:42" customFormat="1">
      <c r="A2017">
        <v>272088</v>
      </c>
      <c r="B2017">
        <v>197204</v>
      </c>
      <c r="C2017" t="s">
        <v>4550</v>
      </c>
      <c r="D2017" s="22">
        <v>1724</v>
      </c>
      <c r="E2017" s="17">
        <v>42149</v>
      </c>
      <c r="F2017" s="18">
        <v>0.5</v>
      </c>
      <c r="G2017" s="22">
        <v>0</v>
      </c>
      <c r="H2017">
        <v>0</v>
      </c>
      <c r="I2017" s="19" t="e">
        <f>I2016 + (D2017-G2017)</f>
        <v>#VALUE!</v>
      </c>
      <c r="L2017">
        <v>197204</v>
      </c>
      <c r="N2017">
        <v>1</v>
      </c>
      <c r="O2017" t="s">
        <v>77</v>
      </c>
      <c r="P2017">
        <v>1</v>
      </c>
      <c r="R2017">
        <v>2</v>
      </c>
      <c r="S2017" s="17">
        <v>42160</v>
      </c>
      <c r="T2017" s="17">
        <v>42160</v>
      </c>
      <c r="U2017">
        <v>28517</v>
      </c>
      <c r="W2017">
        <v>2015</v>
      </c>
      <c r="X2017">
        <v>1</v>
      </c>
      <c r="AC2017" t="s">
        <v>49</v>
      </c>
      <c r="AD2017" t="s">
        <v>301</v>
      </c>
      <c r="AE2017" t="s">
        <v>46</v>
      </c>
      <c r="AG2017">
        <v>3</v>
      </c>
      <c r="AH2017">
        <v>4</v>
      </c>
      <c r="AI2017" t="s">
        <v>78</v>
      </c>
      <c r="AM2017">
        <v>0</v>
      </c>
      <c r="AP2017" t="s">
        <v>80</v>
      </c>
    </row>
    <row r="2018" spans="1:42" customFormat="1">
      <c r="A2018">
        <v>272083</v>
      </c>
      <c r="B2018">
        <v>197465</v>
      </c>
      <c r="C2018" t="s">
        <v>4551</v>
      </c>
      <c r="D2018" s="22">
        <v>1473</v>
      </c>
      <c r="E2018" s="17">
        <v>42149</v>
      </c>
      <c r="F2018" s="18">
        <v>0.5</v>
      </c>
      <c r="G2018" s="22">
        <v>0</v>
      </c>
      <c r="H2018">
        <v>0</v>
      </c>
      <c r="I2018" s="19" t="e">
        <f>I2017 + (D2018-G2018)</f>
        <v>#VALUE!</v>
      </c>
      <c r="L2018">
        <v>197465</v>
      </c>
      <c r="N2018">
        <v>1</v>
      </c>
      <c r="O2018" t="s">
        <v>77</v>
      </c>
      <c r="P2018">
        <v>1</v>
      </c>
      <c r="R2018">
        <v>2</v>
      </c>
      <c r="S2018" s="17">
        <v>42160</v>
      </c>
      <c r="T2018" s="17">
        <v>42160</v>
      </c>
      <c r="U2018">
        <v>28512</v>
      </c>
      <c r="W2018">
        <v>2015</v>
      </c>
      <c r="X2018">
        <v>1</v>
      </c>
      <c r="AC2018" t="s">
        <v>49</v>
      </c>
      <c r="AD2018" t="s">
        <v>301</v>
      </c>
      <c r="AE2018" t="s">
        <v>46</v>
      </c>
      <c r="AG2018">
        <v>3</v>
      </c>
      <c r="AH2018">
        <v>4</v>
      </c>
      <c r="AI2018" t="s">
        <v>78</v>
      </c>
      <c r="AM2018">
        <v>0</v>
      </c>
      <c r="AP2018" t="s">
        <v>80</v>
      </c>
    </row>
    <row r="2019" spans="1:42" customFormat="1">
      <c r="A2019">
        <v>272085</v>
      </c>
      <c r="B2019">
        <v>197285</v>
      </c>
      <c r="C2019" t="s">
        <v>4552</v>
      </c>
      <c r="D2019" s="22">
        <v>1724</v>
      </c>
      <c r="E2019" s="17">
        <v>42149</v>
      </c>
      <c r="F2019" s="18">
        <v>0.5</v>
      </c>
      <c r="G2019" s="22">
        <v>0</v>
      </c>
      <c r="H2019">
        <v>0</v>
      </c>
      <c r="I2019" s="19" t="e">
        <f>I2018 + (D2019-G2019)</f>
        <v>#VALUE!</v>
      </c>
      <c r="L2019">
        <v>197285</v>
      </c>
      <c r="N2019">
        <v>1</v>
      </c>
      <c r="O2019" t="s">
        <v>77</v>
      </c>
      <c r="P2019">
        <v>1</v>
      </c>
      <c r="R2019">
        <v>2</v>
      </c>
      <c r="S2019" s="17">
        <v>42160</v>
      </c>
      <c r="T2019" s="17">
        <v>42160</v>
      </c>
      <c r="U2019">
        <v>28514</v>
      </c>
      <c r="W2019">
        <v>2015</v>
      </c>
      <c r="X2019">
        <v>1</v>
      </c>
      <c r="AC2019" t="s">
        <v>49</v>
      </c>
      <c r="AD2019" t="s">
        <v>301</v>
      </c>
      <c r="AE2019" t="s">
        <v>46</v>
      </c>
      <c r="AG2019">
        <v>3</v>
      </c>
      <c r="AH2019">
        <v>4</v>
      </c>
      <c r="AI2019" t="s">
        <v>78</v>
      </c>
      <c r="AM2019">
        <v>0</v>
      </c>
      <c r="AP2019" t="s">
        <v>80</v>
      </c>
    </row>
    <row r="2020" spans="1:42" customFormat="1">
      <c r="A2020">
        <v>272084</v>
      </c>
      <c r="B2020">
        <v>197466</v>
      </c>
      <c r="C2020" t="s">
        <v>4553</v>
      </c>
      <c r="D2020" s="22">
        <v>1473</v>
      </c>
      <c r="E2020" s="17">
        <v>42149</v>
      </c>
      <c r="F2020" s="18">
        <v>0.5</v>
      </c>
      <c r="G2020" s="22">
        <v>0</v>
      </c>
      <c r="H2020">
        <v>0</v>
      </c>
      <c r="I2020" s="19" t="e">
        <f>I2019 + (D2020-G2020)</f>
        <v>#VALUE!</v>
      </c>
      <c r="L2020">
        <v>197466</v>
      </c>
      <c r="N2020">
        <v>1</v>
      </c>
      <c r="O2020" t="s">
        <v>77</v>
      </c>
      <c r="P2020">
        <v>1</v>
      </c>
      <c r="R2020">
        <v>2</v>
      </c>
      <c r="S2020" s="17">
        <v>42160</v>
      </c>
      <c r="T2020" s="17">
        <v>42160</v>
      </c>
      <c r="U2020">
        <v>28513</v>
      </c>
      <c r="W2020">
        <v>2015</v>
      </c>
      <c r="X2020">
        <v>1</v>
      </c>
      <c r="AC2020" t="s">
        <v>49</v>
      </c>
      <c r="AD2020" t="s">
        <v>301</v>
      </c>
      <c r="AE2020" t="s">
        <v>46</v>
      </c>
      <c r="AG2020">
        <v>3</v>
      </c>
      <c r="AH2020">
        <v>4</v>
      </c>
      <c r="AI2020" t="s">
        <v>78</v>
      </c>
      <c r="AM2020">
        <v>0</v>
      </c>
      <c r="AP2020" t="s">
        <v>80</v>
      </c>
    </row>
    <row r="2021" spans="1:42" customFormat="1">
      <c r="A2021">
        <v>272082</v>
      </c>
      <c r="B2021">
        <v>197796</v>
      </c>
      <c r="C2021" t="s">
        <v>4554</v>
      </c>
      <c r="D2021" s="22">
        <v>1473</v>
      </c>
      <c r="E2021" s="17">
        <v>42149</v>
      </c>
      <c r="F2021" s="18">
        <v>0.5</v>
      </c>
      <c r="G2021" s="22">
        <v>0</v>
      </c>
      <c r="H2021">
        <v>0</v>
      </c>
      <c r="I2021" s="19" t="e">
        <f>I2020 + (D2021-G2021)</f>
        <v>#VALUE!</v>
      </c>
      <c r="L2021">
        <v>197796</v>
      </c>
      <c r="N2021">
        <v>1</v>
      </c>
      <c r="O2021" t="s">
        <v>77</v>
      </c>
      <c r="P2021">
        <v>1</v>
      </c>
      <c r="R2021">
        <v>2</v>
      </c>
      <c r="S2021" s="17">
        <v>42160</v>
      </c>
      <c r="T2021" s="17">
        <v>42160</v>
      </c>
      <c r="U2021">
        <v>28511</v>
      </c>
      <c r="W2021">
        <v>2015</v>
      </c>
      <c r="X2021">
        <v>1</v>
      </c>
      <c r="AC2021" t="s">
        <v>49</v>
      </c>
      <c r="AD2021" t="s">
        <v>301</v>
      </c>
      <c r="AE2021" t="s">
        <v>46</v>
      </c>
      <c r="AG2021">
        <v>3</v>
      </c>
      <c r="AH2021">
        <v>4</v>
      </c>
      <c r="AI2021" t="s">
        <v>78</v>
      </c>
      <c r="AM2021">
        <v>0</v>
      </c>
      <c r="AP2021" t="s">
        <v>80</v>
      </c>
    </row>
    <row r="2022" spans="1:42" customFormat="1">
      <c r="A2022">
        <v>272087</v>
      </c>
      <c r="B2022">
        <v>197048</v>
      </c>
      <c r="C2022" t="s">
        <v>4555</v>
      </c>
      <c r="D2022" s="22">
        <v>1724</v>
      </c>
      <c r="E2022" s="17">
        <v>42149</v>
      </c>
      <c r="F2022" s="18">
        <v>0.5</v>
      </c>
      <c r="G2022" s="22">
        <v>0</v>
      </c>
      <c r="H2022">
        <v>0</v>
      </c>
      <c r="I2022" s="19" t="e">
        <f>I2021 + (D2022-G2022)</f>
        <v>#VALUE!</v>
      </c>
      <c r="L2022">
        <v>197048</v>
      </c>
      <c r="N2022">
        <v>1</v>
      </c>
      <c r="O2022" t="s">
        <v>77</v>
      </c>
      <c r="P2022">
        <v>1</v>
      </c>
      <c r="R2022">
        <v>2</v>
      </c>
      <c r="S2022" s="17">
        <v>42160</v>
      </c>
      <c r="T2022" s="17">
        <v>42160</v>
      </c>
      <c r="U2022">
        <v>28516</v>
      </c>
      <c r="W2022">
        <v>2015</v>
      </c>
      <c r="X2022">
        <v>1</v>
      </c>
      <c r="AC2022" t="s">
        <v>49</v>
      </c>
      <c r="AD2022" t="s">
        <v>301</v>
      </c>
      <c r="AE2022" t="s">
        <v>46</v>
      </c>
      <c r="AG2022">
        <v>3</v>
      </c>
      <c r="AH2022">
        <v>4</v>
      </c>
      <c r="AI2022" t="s">
        <v>78</v>
      </c>
      <c r="AM2022">
        <v>0</v>
      </c>
      <c r="AP2022" t="s">
        <v>80</v>
      </c>
    </row>
    <row r="2023" spans="1:42" customFormat="1">
      <c r="A2023">
        <v>272086</v>
      </c>
      <c r="B2023">
        <v>197198</v>
      </c>
      <c r="C2023" t="s">
        <v>4556</v>
      </c>
      <c r="D2023" s="22">
        <v>1724</v>
      </c>
      <c r="E2023" s="17">
        <v>42149</v>
      </c>
      <c r="F2023" s="18">
        <v>0.5</v>
      </c>
      <c r="G2023" s="22">
        <v>0</v>
      </c>
      <c r="H2023">
        <v>0</v>
      </c>
      <c r="I2023" s="19" t="e">
        <f>I2022 + (D2023-G2023)</f>
        <v>#VALUE!</v>
      </c>
      <c r="L2023">
        <v>197198</v>
      </c>
      <c r="N2023">
        <v>1</v>
      </c>
      <c r="O2023" t="s">
        <v>77</v>
      </c>
      <c r="P2023">
        <v>1</v>
      </c>
      <c r="R2023">
        <v>2</v>
      </c>
      <c r="S2023" s="17">
        <v>42160</v>
      </c>
      <c r="T2023" s="17">
        <v>42160</v>
      </c>
      <c r="U2023">
        <v>28515</v>
      </c>
      <c r="W2023">
        <v>2015</v>
      </c>
      <c r="X2023">
        <v>1</v>
      </c>
      <c r="AC2023" t="s">
        <v>49</v>
      </c>
      <c r="AD2023" t="s">
        <v>301</v>
      </c>
      <c r="AE2023" t="s">
        <v>46</v>
      </c>
      <c r="AG2023">
        <v>3</v>
      </c>
      <c r="AH2023">
        <v>4</v>
      </c>
      <c r="AI2023" t="s">
        <v>78</v>
      </c>
      <c r="AM2023">
        <v>0</v>
      </c>
      <c r="AP2023" t="s">
        <v>80</v>
      </c>
    </row>
    <row r="2024" spans="1:42" customFormat="1">
      <c r="A2024">
        <v>272089</v>
      </c>
      <c r="B2024">
        <v>197039</v>
      </c>
      <c r="C2024" t="s">
        <v>4557</v>
      </c>
      <c r="D2024" s="22">
        <v>1724</v>
      </c>
      <c r="E2024" s="17">
        <v>42149</v>
      </c>
      <c r="F2024" s="18">
        <v>0.5</v>
      </c>
      <c r="G2024" s="22">
        <v>0</v>
      </c>
      <c r="H2024">
        <v>0</v>
      </c>
      <c r="I2024" s="19" t="e">
        <f>I2023 + (D2024-G2024)</f>
        <v>#VALUE!</v>
      </c>
      <c r="L2024">
        <v>197039</v>
      </c>
      <c r="N2024">
        <v>1</v>
      </c>
      <c r="O2024" t="s">
        <v>77</v>
      </c>
      <c r="P2024">
        <v>1</v>
      </c>
      <c r="R2024">
        <v>2</v>
      </c>
      <c r="S2024" s="17">
        <v>42160</v>
      </c>
      <c r="T2024" s="17">
        <v>42160</v>
      </c>
      <c r="U2024">
        <v>28518</v>
      </c>
      <c r="W2024">
        <v>2015</v>
      </c>
      <c r="X2024">
        <v>1</v>
      </c>
      <c r="AC2024" t="s">
        <v>49</v>
      </c>
      <c r="AD2024" t="s">
        <v>301</v>
      </c>
      <c r="AE2024" t="s">
        <v>46</v>
      </c>
      <c r="AG2024">
        <v>3</v>
      </c>
      <c r="AH2024">
        <v>4</v>
      </c>
      <c r="AI2024" t="s">
        <v>78</v>
      </c>
      <c r="AM2024">
        <v>0</v>
      </c>
      <c r="AP2024" t="s">
        <v>80</v>
      </c>
    </row>
    <row r="2025" spans="1:42" customFormat="1">
      <c r="A2025">
        <v>272864</v>
      </c>
      <c r="B2025">
        <v>191815</v>
      </c>
      <c r="C2025" t="s">
        <v>4584</v>
      </c>
      <c r="D2025" s="22">
        <v>1837</v>
      </c>
      <c r="E2025" s="17">
        <v>42149</v>
      </c>
      <c r="F2025" s="18">
        <v>0.57460648148148141</v>
      </c>
      <c r="G2025" s="22">
        <v>0</v>
      </c>
      <c r="H2025">
        <v>0</v>
      </c>
      <c r="I2025" s="19" t="e">
        <f>I2024 + (D2025-G2025)</f>
        <v>#VALUE!</v>
      </c>
      <c r="L2025">
        <v>191815</v>
      </c>
      <c r="N2025">
        <v>60</v>
      </c>
      <c r="O2025" t="s">
        <v>60</v>
      </c>
      <c r="P2025">
        <v>1</v>
      </c>
      <c r="R2025">
        <v>2</v>
      </c>
      <c r="S2025" s="17">
        <v>42166</v>
      </c>
      <c r="T2025" s="17">
        <v>42166</v>
      </c>
      <c r="W2025">
        <v>2015</v>
      </c>
      <c r="X2025">
        <v>60</v>
      </c>
      <c r="AC2025" t="s">
        <v>49</v>
      </c>
      <c r="AD2025" t="s">
        <v>301</v>
      </c>
      <c r="AE2025" t="s">
        <v>46</v>
      </c>
      <c r="AG2025">
        <v>52</v>
      </c>
      <c r="AH2025">
        <v>2</v>
      </c>
      <c r="AI2025" t="s">
        <v>50</v>
      </c>
      <c r="AK2025">
        <v>0</v>
      </c>
      <c r="AM2025">
        <v>0</v>
      </c>
      <c r="AP2025" t="s">
        <v>325</v>
      </c>
    </row>
    <row r="2026" spans="1:42" customFormat="1">
      <c r="A2026">
        <v>272865</v>
      </c>
      <c r="B2026">
        <v>189801</v>
      </c>
      <c r="C2026" t="s">
        <v>4585</v>
      </c>
      <c r="D2026" s="22">
        <v>1569.73</v>
      </c>
      <c r="E2026" s="17">
        <v>42149</v>
      </c>
      <c r="F2026" s="18">
        <v>0.57519675925925928</v>
      </c>
      <c r="G2026" s="22">
        <v>0</v>
      </c>
      <c r="H2026">
        <v>0</v>
      </c>
      <c r="I2026" s="19" t="e">
        <f>I2025 + (D2026-G2026)</f>
        <v>#VALUE!</v>
      </c>
      <c r="L2026">
        <v>189801</v>
      </c>
      <c r="N2026">
        <v>60</v>
      </c>
      <c r="O2026" t="s">
        <v>60</v>
      </c>
      <c r="P2026">
        <v>1</v>
      </c>
      <c r="R2026">
        <v>2</v>
      </c>
      <c r="S2026" s="17">
        <v>42166</v>
      </c>
      <c r="T2026" s="17">
        <v>42166</v>
      </c>
      <c r="W2026">
        <v>2015</v>
      </c>
      <c r="X2026">
        <v>60</v>
      </c>
      <c r="AC2026" t="s">
        <v>49</v>
      </c>
      <c r="AD2026" t="s">
        <v>301</v>
      </c>
      <c r="AE2026" t="s">
        <v>46</v>
      </c>
      <c r="AG2026">
        <v>52</v>
      </c>
      <c r="AH2026">
        <v>2</v>
      </c>
      <c r="AI2026" t="s">
        <v>50</v>
      </c>
      <c r="AK2026">
        <v>0</v>
      </c>
      <c r="AM2026">
        <v>0</v>
      </c>
      <c r="AP2026" t="s">
        <v>325</v>
      </c>
    </row>
    <row r="2027" spans="1:42" customFormat="1">
      <c r="A2027">
        <v>272867</v>
      </c>
      <c r="B2027">
        <v>188523</v>
      </c>
      <c r="C2027" t="s">
        <v>4587</v>
      </c>
      <c r="D2027" s="22">
        <v>1586.95</v>
      </c>
      <c r="E2027" s="17">
        <v>42149</v>
      </c>
      <c r="F2027" s="18">
        <v>0.57660879629629636</v>
      </c>
      <c r="G2027" s="22">
        <v>0</v>
      </c>
      <c r="H2027">
        <v>0</v>
      </c>
      <c r="I2027" s="19" t="e">
        <f>I2026 + (D2027-G2027)</f>
        <v>#VALUE!</v>
      </c>
      <c r="L2027">
        <v>188523</v>
      </c>
      <c r="N2027">
        <v>60</v>
      </c>
      <c r="O2027" t="s">
        <v>60</v>
      </c>
      <c r="P2027">
        <v>1</v>
      </c>
      <c r="R2027">
        <v>2</v>
      </c>
      <c r="S2027" s="17">
        <v>42166</v>
      </c>
      <c r="T2027" s="17">
        <v>42166</v>
      </c>
      <c r="W2027">
        <v>2015</v>
      </c>
      <c r="X2027">
        <v>60</v>
      </c>
      <c r="AC2027" t="s">
        <v>49</v>
      </c>
      <c r="AD2027" t="s">
        <v>301</v>
      </c>
      <c r="AE2027" t="s">
        <v>46</v>
      </c>
      <c r="AG2027">
        <v>52</v>
      </c>
      <c r="AH2027">
        <v>2</v>
      </c>
      <c r="AI2027" t="s">
        <v>50</v>
      </c>
      <c r="AK2027">
        <v>0</v>
      </c>
      <c r="AM2027">
        <v>0</v>
      </c>
      <c r="AP2027" t="s">
        <v>325</v>
      </c>
    </row>
    <row r="2028" spans="1:42" customFormat="1">
      <c r="A2028">
        <v>272616</v>
      </c>
      <c r="B2028">
        <v>192811</v>
      </c>
      <c r="C2028" t="s">
        <v>4759</v>
      </c>
      <c r="D2028" s="22">
        <v>1473</v>
      </c>
      <c r="E2028" s="17">
        <v>42150</v>
      </c>
      <c r="F2028" s="18">
        <v>0.43449074074074073</v>
      </c>
      <c r="G2028" s="22">
        <v>0</v>
      </c>
      <c r="H2028">
        <v>0</v>
      </c>
      <c r="I2028" s="19" t="e">
        <f>I2027 + (D2028-G2028)</f>
        <v>#VALUE!</v>
      </c>
      <c r="L2028">
        <v>192811</v>
      </c>
      <c r="N2028">
        <v>14</v>
      </c>
      <c r="O2028" t="s">
        <v>135</v>
      </c>
      <c r="P2028">
        <v>1</v>
      </c>
      <c r="R2028">
        <v>2</v>
      </c>
      <c r="S2028" s="17">
        <v>42164</v>
      </c>
      <c r="T2028" s="17">
        <v>42164</v>
      </c>
      <c r="U2028">
        <v>28929</v>
      </c>
      <c r="V2028">
        <v>20150526</v>
      </c>
      <c r="W2028">
        <v>2015</v>
      </c>
      <c r="X2028">
        <v>14</v>
      </c>
      <c r="AC2028" t="s">
        <v>49</v>
      </c>
      <c r="AD2028" t="s">
        <v>301</v>
      </c>
      <c r="AE2028" t="s">
        <v>46</v>
      </c>
      <c r="AG2028">
        <v>12</v>
      </c>
      <c r="AH2028">
        <v>4</v>
      </c>
      <c r="AI2028" t="s">
        <v>78</v>
      </c>
      <c r="AM2028">
        <v>0</v>
      </c>
      <c r="AP2028" t="s">
        <v>392</v>
      </c>
    </row>
    <row r="2029" spans="1:42" customFormat="1">
      <c r="A2029">
        <v>272617</v>
      </c>
      <c r="B2029">
        <v>192914</v>
      </c>
      <c r="C2029" t="s">
        <v>4760</v>
      </c>
      <c r="D2029" s="22">
        <v>1473</v>
      </c>
      <c r="E2029" s="17">
        <v>42150</v>
      </c>
      <c r="F2029" s="18">
        <v>0.43449074074074073</v>
      </c>
      <c r="G2029" s="22">
        <v>0</v>
      </c>
      <c r="H2029">
        <v>0</v>
      </c>
      <c r="I2029" s="19" t="e">
        <f>I2028 + (D2029-G2029)</f>
        <v>#VALUE!</v>
      </c>
      <c r="L2029">
        <v>192914</v>
      </c>
      <c r="N2029">
        <v>14</v>
      </c>
      <c r="O2029" t="s">
        <v>135</v>
      </c>
      <c r="P2029">
        <v>1</v>
      </c>
      <c r="R2029">
        <v>2</v>
      </c>
      <c r="S2029" s="17">
        <v>42164</v>
      </c>
      <c r="T2029" s="17">
        <v>42164</v>
      </c>
      <c r="U2029">
        <v>28930</v>
      </c>
      <c r="V2029">
        <v>20150526</v>
      </c>
      <c r="W2029">
        <v>2015</v>
      </c>
      <c r="X2029">
        <v>14</v>
      </c>
      <c r="AC2029" t="s">
        <v>49</v>
      </c>
      <c r="AD2029" t="s">
        <v>301</v>
      </c>
      <c r="AE2029" t="s">
        <v>46</v>
      </c>
      <c r="AG2029">
        <v>12</v>
      </c>
      <c r="AH2029">
        <v>4</v>
      </c>
      <c r="AI2029" t="s">
        <v>78</v>
      </c>
      <c r="AM2029">
        <v>0</v>
      </c>
      <c r="AP2029" t="s">
        <v>392</v>
      </c>
    </row>
    <row r="2030" spans="1:42" customFormat="1">
      <c r="A2030">
        <v>272615</v>
      </c>
      <c r="B2030">
        <v>192706</v>
      </c>
      <c r="C2030" t="s">
        <v>4761</v>
      </c>
      <c r="D2030" s="22">
        <v>1473</v>
      </c>
      <c r="E2030" s="17">
        <v>42150</v>
      </c>
      <c r="F2030" s="18">
        <v>0.43449074074074073</v>
      </c>
      <c r="G2030" s="22">
        <v>0</v>
      </c>
      <c r="H2030">
        <v>0</v>
      </c>
      <c r="I2030" s="19" t="e">
        <f>I2029 + (D2030-G2030)</f>
        <v>#VALUE!</v>
      </c>
      <c r="L2030">
        <v>192706</v>
      </c>
      <c r="N2030">
        <v>14</v>
      </c>
      <c r="O2030" t="s">
        <v>135</v>
      </c>
      <c r="P2030">
        <v>1</v>
      </c>
      <c r="R2030">
        <v>2</v>
      </c>
      <c r="S2030" s="17">
        <v>42164</v>
      </c>
      <c r="T2030" s="17">
        <v>42164</v>
      </c>
      <c r="U2030">
        <v>28928</v>
      </c>
      <c r="V2030">
        <v>20150526</v>
      </c>
      <c r="W2030">
        <v>2015</v>
      </c>
      <c r="X2030">
        <v>14</v>
      </c>
      <c r="AC2030" t="s">
        <v>49</v>
      </c>
      <c r="AD2030" t="s">
        <v>301</v>
      </c>
      <c r="AE2030" t="s">
        <v>46</v>
      </c>
      <c r="AG2030">
        <v>12</v>
      </c>
      <c r="AH2030">
        <v>4</v>
      </c>
      <c r="AI2030" t="s">
        <v>78</v>
      </c>
      <c r="AM2030">
        <v>0</v>
      </c>
      <c r="AP2030" t="s">
        <v>392</v>
      </c>
    </row>
    <row r="2031" spans="1:42" customFormat="1">
      <c r="A2031">
        <v>271248</v>
      </c>
      <c r="B2031">
        <v>211371</v>
      </c>
      <c r="C2031" t="s">
        <v>4766</v>
      </c>
      <c r="D2031" s="22">
        <v>1443.54</v>
      </c>
      <c r="E2031" s="17">
        <v>42150</v>
      </c>
      <c r="F2031" s="18">
        <v>0.44496527777777778</v>
      </c>
      <c r="G2031" s="22">
        <v>0</v>
      </c>
      <c r="H2031">
        <v>0</v>
      </c>
      <c r="I2031" s="19" t="e">
        <f>I2030 + (D2031-G2031)</f>
        <v>#VALUE!</v>
      </c>
      <c r="L2031">
        <v>211371</v>
      </c>
      <c r="N2031">
        <v>7</v>
      </c>
      <c r="O2031" t="s">
        <v>44</v>
      </c>
      <c r="P2031">
        <v>1</v>
      </c>
      <c r="R2031">
        <v>2</v>
      </c>
      <c r="S2031" s="17">
        <v>42151</v>
      </c>
      <c r="T2031" s="17">
        <v>42151</v>
      </c>
      <c r="W2031">
        <v>2015</v>
      </c>
      <c r="X2031">
        <v>7</v>
      </c>
      <c r="AC2031" t="s">
        <v>49</v>
      </c>
      <c r="AD2031" t="s">
        <v>301</v>
      </c>
      <c r="AE2031" t="s">
        <v>46</v>
      </c>
      <c r="AG2031">
        <v>55</v>
      </c>
      <c r="AH2031">
        <v>11</v>
      </c>
      <c r="AI2031" t="s">
        <v>47</v>
      </c>
      <c r="AK2031">
        <v>0</v>
      </c>
      <c r="AM2031">
        <v>0</v>
      </c>
      <c r="AP2031" t="s">
        <v>4767</v>
      </c>
    </row>
    <row r="2032" spans="1:42" customFormat="1">
      <c r="A2032">
        <v>271264</v>
      </c>
      <c r="B2032">
        <v>213657</v>
      </c>
      <c r="C2032" t="s">
        <v>4783</v>
      </c>
      <c r="D2032" s="22">
        <v>1440</v>
      </c>
      <c r="E2032" s="17">
        <v>42150</v>
      </c>
      <c r="F2032" s="18">
        <v>0.46876157407407404</v>
      </c>
      <c r="G2032" s="22">
        <v>0</v>
      </c>
      <c r="H2032">
        <v>0</v>
      </c>
      <c r="I2032" s="19" t="e">
        <f>I2031 + (D2032-G2032)</f>
        <v>#VALUE!</v>
      </c>
      <c r="L2032">
        <v>213657</v>
      </c>
      <c r="N2032">
        <v>7</v>
      </c>
      <c r="O2032" t="s">
        <v>44</v>
      </c>
      <c r="P2032">
        <v>1</v>
      </c>
      <c r="R2032">
        <v>2</v>
      </c>
      <c r="S2032" s="17">
        <v>42151</v>
      </c>
      <c r="T2032" s="17">
        <v>42151</v>
      </c>
      <c r="W2032">
        <v>2015</v>
      </c>
      <c r="X2032">
        <v>7</v>
      </c>
      <c r="AC2032" t="s">
        <v>49</v>
      </c>
      <c r="AD2032" t="s">
        <v>301</v>
      </c>
      <c r="AE2032" t="s">
        <v>46</v>
      </c>
      <c r="AG2032">
        <v>55</v>
      </c>
      <c r="AH2032">
        <v>11</v>
      </c>
      <c r="AI2032" t="s">
        <v>47</v>
      </c>
      <c r="AK2032">
        <v>0</v>
      </c>
      <c r="AM2032">
        <v>0</v>
      </c>
      <c r="AP2032" t="s">
        <v>4767</v>
      </c>
    </row>
    <row r="2033" spans="1:42" customFormat="1">
      <c r="A2033">
        <v>271273</v>
      </c>
      <c r="B2033">
        <v>194827</v>
      </c>
      <c r="C2033" t="s">
        <v>4788</v>
      </c>
      <c r="D2033" s="22">
        <v>1689</v>
      </c>
      <c r="E2033" s="17">
        <v>42150</v>
      </c>
      <c r="F2033" s="18">
        <v>0.47592592592592592</v>
      </c>
      <c r="G2033" s="22">
        <v>0</v>
      </c>
      <c r="H2033">
        <v>0</v>
      </c>
      <c r="I2033" s="19" t="e">
        <f>I2032 + (D2033-G2033)</f>
        <v>#VALUE!</v>
      </c>
      <c r="L2033">
        <v>194827</v>
      </c>
      <c r="N2033">
        <v>7</v>
      </c>
      <c r="O2033" t="s">
        <v>44</v>
      </c>
      <c r="P2033">
        <v>1</v>
      </c>
      <c r="R2033">
        <v>2</v>
      </c>
      <c r="S2033" s="17">
        <v>42151</v>
      </c>
      <c r="T2033" s="17">
        <v>42151</v>
      </c>
      <c r="W2033">
        <v>2015</v>
      </c>
      <c r="X2033">
        <v>7</v>
      </c>
      <c r="AC2033" t="s">
        <v>49</v>
      </c>
      <c r="AD2033" t="s">
        <v>301</v>
      </c>
      <c r="AE2033" t="s">
        <v>46</v>
      </c>
      <c r="AG2033">
        <v>55</v>
      </c>
      <c r="AH2033">
        <v>11</v>
      </c>
      <c r="AI2033" t="s">
        <v>47</v>
      </c>
      <c r="AK2033">
        <v>0</v>
      </c>
      <c r="AM2033">
        <v>0</v>
      </c>
      <c r="AP2033" t="s">
        <v>4767</v>
      </c>
    </row>
    <row r="2034" spans="1:42" customFormat="1">
      <c r="A2034">
        <v>271274</v>
      </c>
      <c r="B2034">
        <v>194828</v>
      </c>
      <c r="C2034" t="s">
        <v>4789</v>
      </c>
      <c r="D2034" s="22">
        <v>1689</v>
      </c>
      <c r="E2034" s="17">
        <v>42150</v>
      </c>
      <c r="F2034" s="18">
        <v>0.47593749999999996</v>
      </c>
      <c r="G2034" s="22">
        <v>0</v>
      </c>
      <c r="H2034">
        <v>0</v>
      </c>
      <c r="I2034" s="19" t="e">
        <f>I2033 + (D2034-G2034)</f>
        <v>#VALUE!</v>
      </c>
      <c r="L2034">
        <v>194828</v>
      </c>
      <c r="N2034">
        <v>7</v>
      </c>
      <c r="O2034" t="s">
        <v>44</v>
      </c>
      <c r="P2034">
        <v>1</v>
      </c>
      <c r="R2034">
        <v>2</v>
      </c>
      <c r="S2034" s="17">
        <v>42151</v>
      </c>
      <c r="T2034" s="17">
        <v>42151</v>
      </c>
      <c r="W2034">
        <v>2015</v>
      </c>
      <c r="X2034">
        <v>7</v>
      </c>
      <c r="AC2034" t="s">
        <v>49</v>
      </c>
      <c r="AD2034" t="s">
        <v>301</v>
      </c>
      <c r="AE2034" t="s">
        <v>46</v>
      </c>
      <c r="AG2034">
        <v>55</v>
      </c>
      <c r="AH2034">
        <v>11</v>
      </c>
      <c r="AI2034" t="s">
        <v>47</v>
      </c>
      <c r="AK2034">
        <v>0</v>
      </c>
      <c r="AM2034">
        <v>0</v>
      </c>
      <c r="AP2034" t="s">
        <v>4767</v>
      </c>
    </row>
    <row r="2035" spans="1:42" customFormat="1">
      <c r="A2035">
        <v>271281</v>
      </c>
      <c r="B2035">
        <v>211657</v>
      </c>
      <c r="C2035" t="s">
        <v>4796</v>
      </c>
      <c r="D2035" s="22">
        <v>1551.6</v>
      </c>
      <c r="E2035" s="17">
        <v>42150</v>
      </c>
      <c r="F2035" s="18">
        <v>0.4768634259259259</v>
      </c>
      <c r="G2035" s="22">
        <v>0</v>
      </c>
      <c r="H2035">
        <v>0</v>
      </c>
      <c r="I2035" s="19" t="e">
        <f>I2034 + (D2035-G2035)</f>
        <v>#VALUE!</v>
      </c>
      <c r="L2035">
        <v>211657</v>
      </c>
      <c r="N2035">
        <v>7</v>
      </c>
      <c r="O2035" t="s">
        <v>44</v>
      </c>
      <c r="P2035">
        <v>1</v>
      </c>
      <c r="R2035">
        <v>2</v>
      </c>
      <c r="S2035" s="17">
        <v>42151</v>
      </c>
      <c r="T2035" s="17">
        <v>42151</v>
      </c>
      <c r="W2035">
        <v>2015</v>
      </c>
      <c r="X2035">
        <v>7</v>
      </c>
      <c r="AC2035" t="s">
        <v>49</v>
      </c>
      <c r="AD2035" t="s">
        <v>301</v>
      </c>
      <c r="AE2035" t="s">
        <v>46</v>
      </c>
      <c r="AG2035">
        <v>55</v>
      </c>
      <c r="AH2035">
        <v>11</v>
      </c>
      <c r="AI2035" t="s">
        <v>47</v>
      </c>
      <c r="AK2035">
        <v>0</v>
      </c>
      <c r="AM2035">
        <v>0</v>
      </c>
      <c r="AP2035" t="s">
        <v>4767</v>
      </c>
    </row>
    <row r="2036" spans="1:42" customFormat="1">
      <c r="A2036">
        <v>271282</v>
      </c>
      <c r="B2036">
        <v>214729</v>
      </c>
      <c r="C2036" t="s">
        <v>4797</v>
      </c>
      <c r="D2036" s="22">
        <v>883.8</v>
      </c>
      <c r="E2036" s="17">
        <v>42150</v>
      </c>
      <c r="F2036" s="18">
        <v>0.4773958333333333</v>
      </c>
      <c r="G2036" s="22">
        <v>0</v>
      </c>
      <c r="H2036">
        <v>0</v>
      </c>
      <c r="I2036" s="19" t="e">
        <f>I2035 + (D2036-G2036)</f>
        <v>#VALUE!</v>
      </c>
      <c r="L2036">
        <v>214729</v>
      </c>
      <c r="N2036">
        <v>7</v>
      </c>
      <c r="O2036" t="s">
        <v>44</v>
      </c>
      <c r="P2036">
        <v>1</v>
      </c>
      <c r="R2036">
        <v>2</v>
      </c>
      <c r="S2036" s="17">
        <v>42151</v>
      </c>
      <c r="T2036" s="17">
        <v>42151</v>
      </c>
      <c r="W2036">
        <v>2015</v>
      </c>
      <c r="X2036">
        <v>7</v>
      </c>
      <c r="AC2036" t="s">
        <v>49</v>
      </c>
      <c r="AD2036" t="s">
        <v>301</v>
      </c>
      <c r="AE2036" t="s">
        <v>46</v>
      </c>
      <c r="AG2036">
        <v>55</v>
      </c>
      <c r="AH2036">
        <v>11</v>
      </c>
      <c r="AI2036" t="s">
        <v>47</v>
      </c>
      <c r="AK2036">
        <v>0</v>
      </c>
      <c r="AM2036">
        <v>0</v>
      </c>
      <c r="AP2036" t="s">
        <v>4767</v>
      </c>
    </row>
    <row r="2037" spans="1:42" customFormat="1">
      <c r="A2037">
        <v>271283</v>
      </c>
      <c r="B2037">
        <v>215576</v>
      </c>
      <c r="C2037" t="s">
        <v>4798</v>
      </c>
      <c r="D2037" s="22">
        <v>1443.54</v>
      </c>
      <c r="E2037" s="17">
        <v>42150</v>
      </c>
      <c r="F2037" s="18">
        <v>0.47789351851851852</v>
      </c>
      <c r="G2037" s="22">
        <v>0</v>
      </c>
      <c r="H2037">
        <v>0</v>
      </c>
      <c r="I2037" s="19" t="e">
        <f>I2036 + (D2037-G2037)</f>
        <v>#VALUE!</v>
      </c>
      <c r="L2037">
        <v>215576</v>
      </c>
      <c r="N2037">
        <v>7</v>
      </c>
      <c r="O2037" t="s">
        <v>44</v>
      </c>
      <c r="P2037">
        <v>1</v>
      </c>
      <c r="R2037">
        <v>2</v>
      </c>
      <c r="S2037" s="17">
        <v>42151</v>
      </c>
      <c r="T2037" s="17">
        <v>42151</v>
      </c>
      <c r="W2037">
        <v>2015</v>
      </c>
      <c r="X2037">
        <v>7</v>
      </c>
      <c r="AC2037" t="s">
        <v>49</v>
      </c>
      <c r="AD2037" t="s">
        <v>301</v>
      </c>
      <c r="AE2037" t="s">
        <v>46</v>
      </c>
      <c r="AG2037">
        <v>55</v>
      </c>
      <c r="AH2037">
        <v>11</v>
      </c>
      <c r="AI2037" t="s">
        <v>47</v>
      </c>
      <c r="AK2037">
        <v>0</v>
      </c>
      <c r="AM2037">
        <v>0</v>
      </c>
      <c r="AP2037" t="s">
        <v>4767</v>
      </c>
    </row>
    <row r="2038" spans="1:42" customFormat="1">
      <c r="A2038">
        <v>271285</v>
      </c>
      <c r="B2038">
        <v>205159</v>
      </c>
      <c r="C2038" t="s">
        <v>4800</v>
      </c>
      <c r="D2038" s="22">
        <v>1473</v>
      </c>
      <c r="E2038" s="17">
        <v>42150</v>
      </c>
      <c r="F2038" s="18">
        <v>0.4786111111111111</v>
      </c>
      <c r="G2038" s="22">
        <v>0</v>
      </c>
      <c r="H2038">
        <v>0</v>
      </c>
      <c r="I2038" s="19" t="e">
        <f>I2037 + (D2038-G2038)</f>
        <v>#VALUE!</v>
      </c>
      <c r="L2038">
        <v>205159</v>
      </c>
      <c r="N2038">
        <v>7</v>
      </c>
      <c r="O2038" t="s">
        <v>44</v>
      </c>
      <c r="P2038">
        <v>1</v>
      </c>
      <c r="R2038">
        <v>2</v>
      </c>
      <c r="S2038" s="17">
        <v>42151</v>
      </c>
      <c r="T2038" s="17">
        <v>42151</v>
      </c>
      <c r="W2038">
        <v>2015</v>
      </c>
      <c r="X2038">
        <v>7</v>
      </c>
      <c r="AC2038" t="s">
        <v>49</v>
      </c>
      <c r="AD2038" t="s">
        <v>301</v>
      </c>
      <c r="AE2038" t="s">
        <v>46</v>
      </c>
      <c r="AG2038">
        <v>55</v>
      </c>
      <c r="AH2038">
        <v>11</v>
      </c>
      <c r="AI2038" t="s">
        <v>47</v>
      </c>
      <c r="AK2038">
        <v>0</v>
      </c>
      <c r="AM2038">
        <v>0</v>
      </c>
      <c r="AP2038" t="s">
        <v>4767</v>
      </c>
    </row>
    <row r="2039" spans="1:42" customFormat="1">
      <c r="A2039">
        <v>272091</v>
      </c>
      <c r="B2039">
        <v>196691</v>
      </c>
      <c r="C2039" t="s">
        <v>4803</v>
      </c>
      <c r="D2039" s="22">
        <v>1724</v>
      </c>
      <c r="E2039" s="17">
        <v>42150</v>
      </c>
      <c r="F2039" s="18">
        <v>0.5</v>
      </c>
      <c r="G2039" s="22">
        <v>0</v>
      </c>
      <c r="H2039">
        <v>0</v>
      </c>
      <c r="I2039" s="19" t="e">
        <f>I2038 + (D2039-G2039)</f>
        <v>#VALUE!</v>
      </c>
      <c r="L2039">
        <v>196691</v>
      </c>
      <c r="N2039">
        <v>1</v>
      </c>
      <c r="O2039" t="s">
        <v>77</v>
      </c>
      <c r="P2039">
        <v>1</v>
      </c>
      <c r="R2039">
        <v>2</v>
      </c>
      <c r="S2039" s="17">
        <v>42160</v>
      </c>
      <c r="T2039" s="17">
        <v>42160</v>
      </c>
      <c r="U2039">
        <v>28520</v>
      </c>
      <c r="W2039">
        <v>2015</v>
      </c>
      <c r="X2039">
        <v>1</v>
      </c>
      <c r="AC2039" t="s">
        <v>49</v>
      </c>
      <c r="AD2039" t="s">
        <v>301</v>
      </c>
      <c r="AE2039" t="s">
        <v>46</v>
      </c>
      <c r="AG2039">
        <v>3</v>
      </c>
      <c r="AH2039">
        <v>4</v>
      </c>
      <c r="AI2039" t="s">
        <v>78</v>
      </c>
      <c r="AM2039">
        <v>0</v>
      </c>
      <c r="AP2039" t="s">
        <v>80</v>
      </c>
    </row>
    <row r="2040" spans="1:42" customFormat="1">
      <c r="A2040">
        <v>272090</v>
      </c>
      <c r="B2040">
        <v>197237</v>
      </c>
      <c r="C2040" t="s">
        <v>4804</v>
      </c>
      <c r="D2040" s="22">
        <v>1724</v>
      </c>
      <c r="E2040" s="17">
        <v>42150</v>
      </c>
      <c r="F2040" s="18">
        <v>0.5</v>
      </c>
      <c r="G2040" s="22">
        <v>0</v>
      </c>
      <c r="H2040">
        <v>0</v>
      </c>
      <c r="I2040" s="19" t="e">
        <f>I2039 + (D2040-G2040)</f>
        <v>#VALUE!</v>
      </c>
      <c r="L2040">
        <v>197237</v>
      </c>
      <c r="N2040">
        <v>1</v>
      </c>
      <c r="O2040" t="s">
        <v>77</v>
      </c>
      <c r="P2040">
        <v>1</v>
      </c>
      <c r="R2040">
        <v>2</v>
      </c>
      <c r="S2040" s="17">
        <v>42160</v>
      </c>
      <c r="T2040" s="17">
        <v>42160</v>
      </c>
      <c r="U2040">
        <v>28519</v>
      </c>
      <c r="W2040">
        <v>2015</v>
      </c>
      <c r="X2040">
        <v>1</v>
      </c>
      <c r="AC2040" t="s">
        <v>49</v>
      </c>
      <c r="AD2040" t="s">
        <v>301</v>
      </c>
      <c r="AE2040" t="s">
        <v>46</v>
      </c>
      <c r="AG2040">
        <v>3</v>
      </c>
      <c r="AH2040">
        <v>4</v>
      </c>
      <c r="AI2040" t="s">
        <v>78</v>
      </c>
      <c r="AM2040">
        <v>0</v>
      </c>
      <c r="AP2040" t="s">
        <v>80</v>
      </c>
    </row>
    <row r="2041" spans="1:42" customFormat="1">
      <c r="A2041">
        <v>274652</v>
      </c>
      <c r="B2041">
        <v>204681</v>
      </c>
      <c r="C2041" t="s">
        <v>4805</v>
      </c>
      <c r="D2041" s="22">
        <v>1724</v>
      </c>
      <c r="E2041" s="17">
        <v>42150</v>
      </c>
      <c r="F2041" s="18">
        <v>0.5</v>
      </c>
      <c r="G2041" s="22">
        <v>0</v>
      </c>
      <c r="H2041">
        <v>0</v>
      </c>
      <c r="I2041" s="19" t="e">
        <f>I2040 + (D2041-G2041)</f>
        <v>#VALUE!</v>
      </c>
      <c r="L2041">
        <v>204681</v>
      </c>
      <c r="N2041">
        <v>1</v>
      </c>
      <c r="O2041" t="s">
        <v>77</v>
      </c>
      <c r="P2041">
        <v>1</v>
      </c>
      <c r="R2041">
        <v>2</v>
      </c>
      <c r="S2041" s="17">
        <v>42185</v>
      </c>
      <c r="T2041" s="17">
        <v>42185</v>
      </c>
      <c r="U2041">
        <v>29138</v>
      </c>
      <c r="W2041">
        <v>2015</v>
      </c>
      <c r="X2041">
        <v>1</v>
      </c>
      <c r="AC2041" t="s">
        <v>49</v>
      </c>
      <c r="AD2041" t="s">
        <v>301</v>
      </c>
      <c r="AE2041" t="s">
        <v>46</v>
      </c>
      <c r="AG2041">
        <v>69</v>
      </c>
      <c r="AH2041">
        <v>4</v>
      </c>
      <c r="AI2041" t="s">
        <v>78</v>
      </c>
      <c r="AM2041">
        <v>0</v>
      </c>
      <c r="AP2041" t="s">
        <v>339</v>
      </c>
    </row>
    <row r="2042" spans="1:42" customFormat="1">
      <c r="A2042">
        <v>271341</v>
      </c>
      <c r="B2042">
        <v>212651</v>
      </c>
      <c r="C2042" t="s">
        <v>4880</v>
      </c>
      <c r="D2042" s="22">
        <v>1155.08</v>
      </c>
      <c r="E2042" s="17">
        <v>42150</v>
      </c>
      <c r="F2042" s="18">
        <v>0.66001157407407407</v>
      </c>
      <c r="G2042" s="22">
        <v>0</v>
      </c>
      <c r="H2042">
        <v>0</v>
      </c>
      <c r="I2042" s="19" t="e">
        <f>I2041 + (D2042-G2042)</f>
        <v>#VALUE!</v>
      </c>
      <c r="L2042">
        <v>212651</v>
      </c>
      <c r="N2042">
        <v>7</v>
      </c>
      <c r="O2042" t="s">
        <v>44</v>
      </c>
      <c r="P2042">
        <v>1</v>
      </c>
      <c r="R2042">
        <v>2</v>
      </c>
      <c r="S2042" s="17">
        <v>42151</v>
      </c>
      <c r="T2042" s="17">
        <v>42151</v>
      </c>
      <c r="W2042">
        <v>2015</v>
      </c>
      <c r="X2042">
        <v>7</v>
      </c>
      <c r="AC2042" t="s">
        <v>49</v>
      </c>
      <c r="AD2042" t="s">
        <v>301</v>
      </c>
      <c r="AE2042" t="s">
        <v>46</v>
      </c>
      <c r="AG2042">
        <v>55</v>
      </c>
      <c r="AH2042">
        <v>11</v>
      </c>
      <c r="AI2042" t="s">
        <v>47</v>
      </c>
      <c r="AK2042">
        <v>0</v>
      </c>
      <c r="AM2042">
        <v>0</v>
      </c>
      <c r="AP2042" t="s">
        <v>4767</v>
      </c>
    </row>
    <row r="2043" spans="1:42" customFormat="1">
      <c r="A2043">
        <v>271343</v>
      </c>
      <c r="B2043">
        <v>212996</v>
      </c>
      <c r="C2043" t="s">
        <v>4882</v>
      </c>
      <c r="D2043" s="22">
        <v>736.5</v>
      </c>
      <c r="E2043" s="17">
        <v>42150</v>
      </c>
      <c r="F2043" s="18">
        <v>0.66104166666666664</v>
      </c>
      <c r="G2043" s="22">
        <v>0</v>
      </c>
      <c r="H2043">
        <v>0</v>
      </c>
      <c r="I2043" s="19" t="e">
        <f>I2042 + (D2043-G2043)</f>
        <v>#VALUE!</v>
      </c>
      <c r="L2043">
        <v>212996</v>
      </c>
      <c r="N2043">
        <v>7</v>
      </c>
      <c r="O2043" t="s">
        <v>44</v>
      </c>
      <c r="P2043">
        <v>1</v>
      </c>
      <c r="R2043">
        <v>2</v>
      </c>
      <c r="S2043" s="17">
        <v>42151</v>
      </c>
      <c r="T2043" s="17">
        <v>42151</v>
      </c>
      <c r="W2043">
        <v>2015</v>
      </c>
      <c r="X2043">
        <v>7</v>
      </c>
      <c r="AC2043" t="s">
        <v>49</v>
      </c>
      <c r="AD2043" t="s">
        <v>301</v>
      </c>
      <c r="AE2043" t="s">
        <v>46</v>
      </c>
      <c r="AG2043">
        <v>55</v>
      </c>
      <c r="AH2043">
        <v>11</v>
      </c>
      <c r="AI2043" t="s">
        <v>47</v>
      </c>
      <c r="AK2043">
        <v>0</v>
      </c>
      <c r="AM2043">
        <v>0</v>
      </c>
      <c r="AP2043" t="s">
        <v>4767</v>
      </c>
    </row>
    <row r="2044" spans="1:42" customFormat="1">
      <c r="A2044">
        <v>271344</v>
      </c>
      <c r="B2044">
        <v>212364</v>
      </c>
      <c r="C2044" t="s">
        <v>4883</v>
      </c>
      <c r="D2044" s="22">
        <v>1413.68</v>
      </c>
      <c r="E2044" s="17">
        <v>42150</v>
      </c>
      <c r="F2044" s="18">
        <v>0.66427083333333337</v>
      </c>
      <c r="G2044" s="22">
        <v>0</v>
      </c>
      <c r="H2044">
        <v>0</v>
      </c>
      <c r="I2044" s="19" t="e">
        <f>I2043 + (D2044-G2044)</f>
        <v>#VALUE!</v>
      </c>
      <c r="L2044">
        <v>212364</v>
      </c>
      <c r="N2044">
        <v>7</v>
      </c>
      <c r="O2044" t="s">
        <v>44</v>
      </c>
      <c r="P2044">
        <v>1</v>
      </c>
      <c r="R2044">
        <v>2</v>
      </c>
      <c r="S2044" s="17">
        <v>42151</v>
      </c>
      <c r="T2044" s="17">
        <v>42151</v>
      </c>
      <c r="W2044">
        <v>2015</v>
      </c>
      <c r="X2044">
        <v>7</v>
      </c>
      <c r="AC2044" t="s">
        <v>49</v>
      </c>
      <c r="AD2044" t="s">
        <v>301</v>
      </c>
      <c r="AE2044" t="s">
        <v>46</v>
      </c>
      <c r="AG2044">
        <v>55</v>
      </c>
      <c r="AH2044">
        <v>11</v>
      </c>
      <c r="AI2044" t="s">
        <v>47</v>
      </c>
      <c r="AK2044">
        <v>0</v>
      </c>
      <c r="AM2044">
        <v>0</v>
      </c>
      <c r="AP2044" t="s">
        <v>4767</v>
      </c>
    </row>
    <row r="2045" spans="1:42" customFormat="1">
      <c r="A2045">
        <v>271346</v>
      </c>
      <c r="B2045">
        <v>200281</v>
      </c>
      <c r="C2045" t="s">
        <v>4885</v>
      </c>
      <c r="D2045" s="22">
        <v>1206.8</v>
      </c>
      <c r="E2045" s="17">
        <v>42150</v>
      </c>
      <c r="F2045" s="18">
        <v>0.66555555555555557</v>
      </c>
      <c r="G2045" s="22">
        <v>0</v>
      </c>
      <c r="H2045">
        <v>0</v>
      </c>
      <c r="I2045" s="19" t="e">
        <f>I2044 + (D2045-G2045)</f>
        <v>#VALUE!</v>
      </c>
      <c r="L2045">
        <v>200281</v>
      </c>
      <c r="N2045">
        <v>7</v>
      </c>
      <c r="O2045" t="s">
        <v>44</v>
      </c>
      <c r="P2045">
        <v>1</v>
      </c>
      <c r="R2045">
        <v>2</v>
      </c>
      <c r="S2045" s="17">
        <v>42151</v>
      </c>
      <c r="T2045" s="17">
        <v>42151</v>
      </c>
      <c r="W2045">
        <v>2015</v>
      </c>
      <c r="X2045">
        <v>7</v>
      </c>
      <c r="AC2045" t="s">
        <v>49</v>
      </c>
      <c r="AD2045" t="s">
        <v>301</v>
      </c>
      <c r="AE2045" t="s">
        <v>46</v>
      </c>
      <c r="AG2045">
        <v>55</v>
      </c>
      <c r="AH2045">
        <v>11</v>
      </c>
      <c r="AI2045" t="s">
        <v>47</v>
      </c>
      <c r="AK2045">
        <v>0</v>
      </c>
      <c r="AM2045">
        <v>0</v>
      </c>
      <c r="AP2045" t="s">
        <v>4767</v>
      </c>
    </row>
    <row r="2046" spans="1:42" customFormat="1">
      <c r="A2046">
        <v>271352</v>
      </c>
      <c r="B2046">
        <v>213656</v>
      </c>
      <c r="C2046" t="s">
        <v>4895</v>
      </c>
      <c r="D2046" s="22">
        <v>1440</v>
      </c>
      <c r="E2046" s="17">
        <v>42150</v>
      </c>
      <c r="F2046" s="18">
        <v>0.66796296296296298</v>
      </c>
      <c r="G2046" s="22">
        <v>0</v>
      </c>
      <c r="H2046">
        <v>0</v>
      </c>
      <c r="I2046" s="19" t="e">
        <f>I2045 + (D2046-G2046)</f>
        <v>#VALUE!</v>
      </c>
      <c r="L2046">
        <v>213656</v>
      </c>
      <c r="N2046">
        <v>7</v>
      </c>
      <c r="O2046" t="s">
        <v>44</v>
      </c>
      <c r="P2046">
        <v>1</v>
      </c>
      <c r="R2046">
        <v>2</v>
      </c>
      <c r="S2046" s="17">
        <v>42151</v>
      </c>
      <c r="T2046" s="17">
        <v>42151</v>
      </c>
      <c r="W2046">
        <v>2015</v>
      </c>
      <c r="X2046">
        <v>7</v>
      </c>
      <c r="AC2046" t="s">
        <v>49</v>
      </c>
      <c r="AD2046" t="s">
        <v>301</v>
      </c>
      <c r="AE2046" t="s">
        <v>46</v>
      </c>
      <c r="AG2046">
        <v>55</v>
      </c>
      <c r="AH2046">
        <v>11</v>
      </c>
      <c r="AI2046" t="s">
        <v>47</v>
      </c>
      <c r="AK2046">
        <v>0</v>
      </c>
      <c r="AM2046">
        <v>0</v>
      </c>
      <c r="AP2046" t="s">
        <v>4767</v>
      </c>
    </row>
    <row r="2047" spans="1:42" customFormat="1">
      <c r="A2047">
        <v>275295</v>
      </c>
      <c r="B2047">
        <v>195001</v>
      </c>
      <c r="C2047" t="s">
        <v>4950</v>
      </c>
      <c r="D2047" s="22">
        <v>1724</v>
      </c>
      <c r="E2047" s="17">
        <v>42151</v>
      </c>
      <c r="F2047" s="18">
        <v>0.43112268518518521</v>
      </c>
      <c r="G2047" s="22">
        <v>0</v>
      </c>
      <c r="H2047">
        <v>0</v>
      </c>
      <c r="I2047" s="19" t="e">
        <f>I2046 + (D2047-G2047)</f>
        <v>#VALUE!</v>
      </c>
      <c r="L2047">
        <v>195001</v>
      </c>
      <c r="N2047">
        <v>8</v>
      </c>
      <c r="O2047" t="s">
        <v>63</v>
      </c>
      <c r="P2047">
        <v>1</v>
      </c>
      <c r="R2047">
        <v>2</v>
      </c>
      <c r="S2047" s="17">
        <v>42187</v>
      </c>
      <c r="T2047" s="17">
        <v>42188</v>
      </c>
      <c r="U2047">
        <v>29201</v>
      </c>
      <c r="V2047">
        <v>27</v>
      </c>
      <c r="W2047">
        <v>2015</v>
      </c>
      <c r="X2047">
        <v>1</v>
      </c>
      <c r="AC2047" t="s">
        <v>49</v>
      </c>
      <c r="AD2047" t="s">
        <v>301</v>
      </c>
      <c r="AE2047" t="s">
        <v>46</v>
      </c>
      <c r="AG2047">
        <v>114</v>
      </c>
      <c r="AH2047">
        <v>4</v>
      </c>
      <c r="AI2047" t="s">
        <v>78</v>
      </c>
      <c r="AM2047">
        <v>0</v>
      </c>
      <c r="AP2047" t="s">
        <v>898</v>
      </c>
    </row>
    <row r="2048" spans="1:42" customFormat="1">
      <c r="A2048">
        <v>275294</v>
      </c>
      <c r="B2048">
        <v>195156</v>
      </c>
      <c r="C2048" t="s">
        <v>4951</v>
      </c>
      <c r="D2048" s="22">
        <v>1724</v>
      </c>
      <c r="E2048" s="17">
        <v>42151</v>
      </c>
      <c r="F2048" s="18">
        <v>0.43112268518518521</v>
      </c>
      <c r="G2048" s="22">
        <v>0</v>
      </c>
      <c r="H2048">
        <v>0</v>
      </c>
      <c r="I2048" s="19" t="e">
        <f>I2047 + (D2048-G2048)</f>
        <v>#VALUE!</v>
      </c>
      <c r="L2048">
        <v>195156</v>
      </c>
      <c r="N2048">
        <v>8</v>
      </c>
      <c r="O2048" t="s">
        <v>63</v>
      </c>
      <c r="P2048">
        <v>1</v>
      </c>
      <c r="R2048">
        <v>2</v>
      </c>
      <c r="S2048" s="17">
        <v>42187</v>
      </c>
      <c r="T2048" s="17">
        <v>42188</v>
      </c>
      <c r="U2048">
        <v>29202</v>
      </c>
      <c r="V2048">
        <v>27</v>
      </c>
      <c r="W2048">
        <v>2015</v>
      </c>
      <c r="X2048">
        <v>1</v>
      </c>
      <c r="AC2048" t="s">
        <v>49</v>
      </c>
      <c r="AD2048" t="s">
        <v>301</v>
      </c>
      <c r="AE2048" t="s">
        <v>46</v>
      </c>
      <c r="AG2048">
        <v>114</v>
      </c>
      <c r="AH2048">
        <v>4</v>
      </c>
      <c r="AI2048" t="s">
        <v>78</v>
      </c>
      <c r="AM2048">
        <v>0</v>
      </c>
      <c r="AP2048" t="s">
        <v>898</v>
      </c>
    </row>
    <row r="2049" spans="1:42" customFormat="1">
      <c r="A2049">
        <v>272606</v>
      </c>
      <c r="B2049">
        <v>192615</v>
      </c>
      <c r="C2049" t="s">
        <v>4952</v>
      </c>
      <c r="D2049" s="22">
        <v>1473</v>
      </c>
      <c r="E2049" s="17">
        <v>42151</v>
      </c>
      <c r="F2049" s="18">
        <v>0.43353009259259262</v>
      </c>
      <c r="G2049" s="22">
        <v>0</v>
      </c>
      <c r="H2049">
        <v>0</v>
      </c>
      <c r="I2049" s="19" t="e">
        <f>I2048 + (D2049-G2049)</f>
        <v>#VALUE!</v>
      </c>
      <c r="L2049">
        <v>192615</v>
      </c>
      <c r="N2049">
        <v>14</v>
      </c>
      <c r="O2049" t="s">
        <v>135</v>
      </c>
      <c r="P2049">
        <v>1</v>
      </c>
      <c r="R2049">
        <v>2</v>
      </c>
      <c r="S2049" s="17">
        <v>42164</v>
      </c>
      <c r="T2049" s="17">
        <v>42164</v>
      </c>
      <c r="U2049">
        <v>28916</v>
      </c>
      <c r="V2049">
        <v>20150527</v>
      </c>
      <c r="W2049">
        <v>2015</v>
      </c>
      <c r="X2049">
        <v>14</v>
      </c>
      <c r="AC2049" t="s">
        <v>49</v>
      </c>
      <c r="AD2049" t="s">
        <v>301</v>
      </c>
      <c r="AE2049" t="s">
        <v>46</v>
      </c>
      <c r="AG2049">
        <v>12</v>
      </c>
      <c r="AH2049">
        <v>4</v>
      </c>
      <c r="AI2049" t="s">
        <v>78</v>
      </c>
      <c r="AM2049">
        <v>0</v>
      </c>
      <c r="AP2049" t="s">
        <v>392</v>
      </c>
    </row>
    <row r="2050" spans="1:42" customFormat="1">
      <c r="A2050">
        <v>272605</v>
      </c>
      <c r="B2050">
        <v>192587</v>
      </c>
      <c r="C2050" t="s">
        <v>4953</v>
      </c>
      <c r="D2050" s="22">
        <v>1473</v>
      </c>
      <c r="E2050" s="17">
        <v>42151</v>
      </c>
      <c r="F2050" s="18">
        <v>0.43353009259259262</v>
      </c>
      <c r="G2050" s="22">
        <v>0</v>
      </c>
      <c r="H2050">
        <v>0</v>
      </c>
      <c r="I2050" s="19" t="e">
        <f>I2049 + (D2050-G2050)</f>
        <v>#VALUE!</v>
      </c>
      <c r="L2050">
        <v>192587</v>
      </c>
      <c r="N2050">
        <v>14</v>
      </c>
      <c r="O2050" t="s">
        <v>135</v>
      </c>
      <c r="P2050">
        <v>1</v>
      </c>
      <c r="R2050">
        <v>2</v>
      </c>
      <c r="S2050" s="17">
        <v>42164</v>
      </c>
      <c r="T2050" s="17">
        <v>42164</v>
      </c>
      <c r="U2050">
        <v>28915</v>
      </c>
      <c r="V2050">
        <v>20150527</v>
      </c>
      <c r="W2050">
        <v>2015</v>
      </c>
      <c r="X2050">
        <v>14</v>
      </c>
      <c r="AC2050" t="s">
        <v>49</v>
      </c>
      <c r="AD2050" t="s">
        <v>301</v>
      </c>
      <c r="AE2050" t="s">
        <v>46</v>
      </c>
      <c r="AG2050">
        <v>12</v>
      </c>
      <c r="AH2050">
        <v>4</v>
      </c>
      <c r="AI2050" t="s">
        <v>78</v>
      </c>
      <c r="AM2050">
        <v>0</v>
      </c>
      <c r="AP2050" t="s">
        <v>392</v>
      </c>
    </row>
    <row r="2051" spans="1:42" customFormat="1">
      <c r="A2051">
        <v>272604</v>
      </c>
      <c r="B2051">
        <v>198789</v>
      </c>
      <c r="C2051" t="s">
        <v>4954</v>
      </c>
      <c r="D2051" s="22">
        <v>1473</v>
      </c>
      <c r="E2051" s="17">
        <v>42151</v>
      </c>
      <c r="F2051" s="18">
        <v>0.43353009259259262</v>
      </c>
      <c r="G2051" s="22">
        <v>0</v>
      </c>
      <c r="H2051">
        <v>0</v>
      </c>
      <c r="I2051" s="19" t="e">
        <f>I2050 + (D2051-G2051)</f>
        <v>#VALUE!</v>
      </c>
      <c r="L2051">
        <v>198789</v>
      </c>
      <c r="N2051">
        <v>14</v>
      </c>
      <c r="O2051" t="s">
        <v>135</v>
      </c>
      <c r="P2051">
        <v>1</v>
      </c>
      <c r="R2051">
        <v>2</v>
      </c>
      <c r="S2051" s="17">
        <v>42164</v>
      </c>
      <c r="T2051" s="17">
        <v>42164</v>
      </c>
      <c r="U2051">
        <v>28914</v>
      </c>
      <c r="V2051">
        <v>20150527</v>
      </c>
      <c r="W2051">
        <v>2015</v>
      </c>
      <c r="X2051">
        <v>14</v>
      </c>
      <c r="AC2051" t="s">
        <v>49</v>
      </c>
      <c r="AD2051" t="s">
        <v>301</v>
      </c>
      <c r="AE2051" t="s">
        <v>46</v>
      </c>
      <c r="AG2051">
        <v>12</v>
      </c>
      <c r="AH2051">
        <v>4</v>
      </c>
      <c r="AI2051" t="s">
        <v>78</v>
      </c>
      <c r="AM2051">
        <v>0</v>
      </c>
      <c r="AP2051" t="s">
        <v>392</v>
      </c>
    </row>
    <row r="2052" spans="1:42" customFormat="1">
      <c r="A2052">
        <v>272611</v>
      </c>
      <c r="B2052">
        <v>192840</v>
      </c>
      <c r="C2052" t="s">
        <v>4955</v>
      </c>
      <c r="D2052" s="22">
        <v>1473</v>
      </c>
      <c r="E2052" s="17">
        <v>42151</v>
      </c>
      <c r="F2052" s="18">
        <v>0.43354166666666666</v>
      </c>
      <c r="G2052" s="22">
        <v>0</v>
      </c>
      <c r="H2052">
        <v>0</v>
      </c>
      <c r="I2052" s="19" t="e">
        <f>I2051 + (D2052-G2052)</f>
        <v>#VALUE!</v>
      </c>
      <c r="L2052">
        <v>192840</v>
      </c>
      <c r="N2052">
        <v>14</v>
      </c>
      <c r="O2052" t="s">
        <v>135</v>
      </c>
      <c r="P2052">
        <v>1</v>
      </c>
      <c r="R2052">
        <v>2</v>
      </c>
      <c r="S2052" s="17">
        <v>42164</v>
      </c>
      <c r="T2052" s="17">
        <v>42164</v>
      </c>
      <c r="U2052">
        <v>28921</v>
      </c>
      <c r="V2052">
        <v>20150527</v>
      </c>
      <c r="W2052">
        <v>2015</v>
      </c>
      <c r="X2052">
        <v>14</v>
      </c>
      <c r="AC2052" t="s">
        <v>49</v>
      </c>
      <c r="AD2052" t="s">
        <v>301</v>
      </c>
      <c r="AE2052" t="s">
        <v>46</v>
      </c>
      <c r="AG2052">
        <v>12</v>
      </c>
      <c r="AH2052">
        <v>4</v>
      </c>
      <c r="AI2052" t="s">
        <v>78</v>
      </c>
      <c r="AM2052">
        <v>0</v>
      </c>
      <c r="AP2052" t="s">
        <v>392</v>
      </c>
    </row>
    <row r="2053" spans="1:42" customFormat="1">
      <c r="A2053">
        <v>272608</v>
      </c>
      <c r="B2053">
        <v>192790</v>
      </c>
      <c r="C2053" t="s">
        <v>4956</v>
      </c>
      <c r="D2053" s="22">
        <v>1473</v>
      </c>
      <c r="E2053" s="17">
        <v>42151</v>
      </c>
      <c r="F2053" s="18">
        <v>0.43354166666666666</v>
      </c>
      <c r="G2053" s="22">
        <v>0</v>
      </c>
      <c r="H2053">
        <v>0</v>
      </c>
      <c r="I2053" s="19" t="e">
        <f>I2052 + (D2053-G2053)</f>
        <v>#VALUE!</v>
      </c>
      <c r="L2053">
        <v>192790</v>
      </c>
      <c r="N2053">
        <v>14</v>
      </c>
      <c r="O2053" t="s">
        <v>135</v>
      </c>
      <c r="P2053">
        <v>1</v>
      </c>
      <c r="R2053">
        <v>2</v>
      </c>
      <c r="S2053" s="17">
        <v>42164</v>
      </c>
      <c r="T2053" s="17">
        <v>42164</v>
      </c>
      <c r="U2053">
        <v>28918</v>
      </c>
      <c r="V2053">
        <v>20150527</v>
      </c>
      <c r="W2053">
        <v>2015</v>
      </c>
      <c r="X2053">
        <v>14</v>
      </c>
      <c r="AC2053" t="s">
        <v>49</v>
      </c>
      <c r="AD2053" t="s">
        <v>301</v>
      </c>
      <c r="AE2053" t="s">
        <v>46</v>
      </c>
      <c r="AG2053">
        <v>12</v>
      </c>
      <c r="AH2053">
        <v>4</v>
      </c>
      <c r="AI2053" t="s">
        <v>78</v>
      </c>
      <c r="AM2053">
        <v>0</v>
      </c>
      <c r="AP2053" t="s">
        <v>392</v>
      </c>
    </row>
    <row r="2054" spans="1:42" customFormat="1">
      <c r="A2054">
        <v>272609</v>
      </c>
      <c r="B2054">
        <v>193101</v>
      </c>
      <c r="C2054" t="s">
        <v>4957</v>
      </c>
      <c r="D2054" s="22">
        <v>1473</v>
      </c>
      <c r="E2054" s="17">
        <v>42151</v>
      </c>
      <c r="F2054" s="18">
        <v>0.43354166666666666</v>
      </c>
      <c r="G2054" s="22">
        <v>0</v>
      </c>
      <c r="H2054">
        <v>0</v>
      </c>
      <c r="I2054" s="19" t="e">
        <f>I2053 + (D2054-G2054)</f>
        <v>#VALUE!</v>
      </c>
      <c r="L2054">
        <v>193101</v>
      </c>
      <c r="N2054">
        <v>14</v>
      </c>
      <c r="O2054" t="s">
        <v>135</v>
      </c>
      <c r="P2054">
        <v>1</v>
      </c>
      <c r="R2054">
        <v>2</v>
      </c>
      <c r="S2054" s="17">
        <v>42164</v>
      </c>
      <c r="T2054" s="17">
        <v>42164</v>
      </c>
      <c r="U2054">
        <v>28919</v>
      </c>
      <c r="V2054">
        <v>20150527</v>
      </c>
      <c r="W2054">
        <v>2015</v>
      </c>
      <c r="X2054">
        <v>14</v>
      </c>
      <c r="AC2054" t="s">
        <v>49</v>
      </c>
      <c r="AD2054" t="s">
        <v>301</v>
      </c>
      <c r="AE2054" t="s">
        <v>46</v>
      </c>
      <c r="AG2054">
        <v>12</v>
      </c>
      <c r="AH2054">
        <v>4</v>
      </c>
      <c r="AI2054" t="s">
        <v>78</v>
      </c>
      <c r="AM2054">
        <v>0</v>
      </c>
      <c r="AP2054" t="s">
        <v>392</v>
      </c>
    </row>
    <row r="2055" spans="1:42" customFormat="1">
      <c r="A2055">
        <v>272607</v>
      </c>
      <c r="B2055">
        <v>192623</v>
      </c>
      <c r="C2055" t="s">
        <v>4958</v>
      </c>
      <c r="D2055" s="22">
        <v>1473</v>
      </c>
      <c r="E2055" s="17">
        <v>42151</v>
      </c>
      <c r="F2055" s="18">
        <v>0.43354166666666666</v>
      </c>
      <c r="G2055" s="22">
        <v>0</v>
      </c>
      <c r="H2055">
        <v>0</v>
      </c>
      <c r="I2055" s="19" t="e">
        <f>I2054 + (D2055-G2055)</f>
        <v>#VALUE!</v>
      </c>
      <c r="L2055">
        <v>192623</v>
      </c>
      <c r="N2055">
        <v>14</v>
      </c>
      <c r="O2055" t="s">
        <v>135</v>
      </c>
      <c r="P2055">
        <v>1</v>
      </c>
      <c r="R2055">
        <v>2</v>
      </c>
      <c r="S2055" s="17">
        <v>42164</v>
      </c>
      <c r="T2055" s="17">
        <v>42164</v>
      </c>
      <c r="U2055">
        <v>28917</v>
      </c>
      <c r="V2055">
        <v>20150527</v>
      </c>
      <c r="W2055">
        <v>2015</v>
      </c>
      <c r="X2055">
        <v>14</v>
      </c>
      <c r="AC2055" t="s">
        <v>49</v>
      </c>
      <c r="AD2055" t="s">
        <v>301</v>
      </c>
      <c r="AE2055" t="s">
        <v>46</v>
      </c>
      <c r="AG2055">
        <v>12</v>
      </c>
      <c r="AH2055">
        <v>4</v>
      </c>
      <c r="AI2055" t="s">
        <v>78</v>
      </c>
      <c r="AM2055">
        <v>0</v>
      </c>
      <c r="AP2055" t="s">
        <v>392</v>
      </c>
    </row>
    <row r="2056" spans="1:42" customFormat="1">
      <c r="A2056">
        <v>272610</v>
      </c>
      <c r="B2056">
        <v>192849</v>
      </c>
      <c r="C2056" t="s">
        <v>4959</v>
      </c>
      <c r="D2056" s="22">
        <v>1473</v>
      </c>
      <c r="E2056" s="17">
        <v>42151</v>
      </c>
      <c r="F2056" s="18">
        <v>0.43354166666666666</v>
      </c>
      <c r="G2056" s="22">
        <v>0</v>
      </c>
      <c r="H2056">
        <v>0</v>
      </c>
      <c r="I2056" s="19" t="e">
        <f>I2055 + (D2056-G2056)</f>
        <v>#VALUE!</v>
      </c>
      <c r="L2056">
        <v>192849</v>
      </c>
      <c r="N2056">
        <v>14</v>
      </c>
      <c r="O2056" t="s">
        <v>135</v>
      </c>
      <c r="P2056">
        <v>1</v>
      </c>
      <c r="R2056">
        <v>2</v>
      </c>
      <c r="S2056" s="17">
        <v>42164</v>
      </c>
      <c r="T2056" s="17">
        <v>42164</v>
      </c>
      <c r="U2056">
        <v>28920</v>
      </c>
      <c r="V2056">
        <v>20150527</v>
      </c>
      <c r="W2056">
        <v>2015</v>
      </c>
      <c r="X2056">
        <v>14</v>
      </c>
      <c r="AC2056" t="s">
        <v>49</v>
      </c>
      <c r="AD2056" t="s">
        <v>301</v>
      </c>
      <c r="AE2056" t="s">
        <v>46</v>
      </c>
      <c r="AG2056">
        <v>12</v>
      </c>
      <c r="AH2056">
        <v>4</v>
      </c>
      <c r="AI2056" t="s">
        <v>78</v>
      </c>
      <c r="AM2056">
        <v>0</v>
      </c>
      <c r="AP2056" t="s">
        <v>392</v>
      </c>
    </row>
    <row r="2057" spans="1:42" customFormat="1">
      <c r="A2057">
        <v>273302</v>
      </c>
      <c r="B2057">
        <v>181962</v>
      </c>
      <c r="C2057" t="s">
        <v>4989</v>
      </c>
      <c r="D2057" s="22">
        <v>1420.46</v>
      </c>
      <c r="E2057" s="17">
        <v>42151</v>
      </c>
      <c r="F2057" s="18">
        <v>0.59452546296296294</v>
      </c>
      <c r="G2057" s="22">
        <v>0</v>
      </c>
      <c r="H2057">
        <v>0</v>
      </c>
      <c r="I2057" s="19" t="e">
        <f>I2056 + (D2057-G2057)</f>
        <v>#VALUE!</v>
      </c>
      <c r="L2057">
        <v>181962</v>
      </c>
      <c r="N2057">
        <v>8</v>
      </c>
      <c r="O2057" t="s">
        <v>63</v>
      </c>
      <c r="P2057">
        <v>1</v>
      </c>
      <c r="R2057">
        <v>2</v>
      </c>
      <c r="S2057" s="17">
        <v>42172</v>
      </c>
      <c r="T2057" s="17">
        <v>42172</v>
      </c>
      <c r="W2057">
        <v>2014</v>
      </c>
      <c r="X2057">
        <v>8</v>
      </c>
      <c r="AC2057" t="s">
        <v>49</v>
      </c>
      <c r="AD2057" t="s">
        <v>301</v>
      </c>
      <c r="AE2057" t="s">
        <v>46</v>
      </c>
      <c r="AG2057">
        <v>4</v>
      </c>
      <c r="AH2057">
        <v>3</v>
      </c>
      <c r="AI2057" t="s">
        <v>64</v>
      </c>
      <c r="AK2057">
        <v>0</v>
      </c>
      <c r="AM2057">
        <v>0</v>
      </c>
      <c r="AP2057" t="s">
        <v>389</v>
      </c>
    </row>
    <row r="2058" spans="1:42" customFormat="1">
      <c r="A2058">
        <v>273307</v>
      </c>
      <c r="B2058">
        <v>191269</v>
      </c>
      <c r="C2058" t="s">
        <v>5001</v>
      </c>
      <c r="D2058" s="22">
        <v>1545.6</v>
      </c>
      <c r="E2058" s="17">
        <v>42151</v>
      </c>
      <c r="F2058" s="18">
        <v>0.61747685185185186</v>
      </c>
      <c r="G2058" s="22">
        <v>0</v>
      </c>
      <c r="H2058">
        <v>0</v>
      </c>
      <c r="I2058" s="19" t="e">
        <f>I2057 + (D2058-G2058)</f>
        <v>#VALUE!</v>
      </c>
      <c r="L2058">
        <v>191269</v>
      </c>
      <c r="N2058">
        <v>8</v>
      </c>
      <c r="O2058" t="s">
        <v>63</v>
      </c>
      <c r="P2058">
        <v>1</v>
      </c>
      <c r="R2058">
        <v>2</v>
      </c>
      <c r="S2058" s="17">
        <v>42172</v>
      </c>
      <c r="T2058" s="17">
        <v>42172</v>
      </c>
      <c r="W2058">
        <v>2015</v>
      </c>
      <c r="X2058">
        <v>8</v>
      </c>
      <c r="AC2058" t="s">
        <v>49</v>
      </c>
      <c r="AD2058" t="s">
        <v>301</v>
      </c>
      <c r="AE2058" t="s">
        <v>46</v>
      </c>
      <c r="AG2058">
        <v>4</v>
      </c>
      <c r="AH2058">
        <v>3</v>
      </c>
      <c r="AI2058" t="s">
        <v>64</v>
      </c>
      <c r="AK2058">
        <v>0</v>
      </c>
      <c r="AM2058">
        <v>0</v>
      </c>
      <c r="AP2058" t="s">
        <v>389</v>
      </c>
    </row>
    <row r="2059" spans="1:42" customFormat="1">
      <c r="A2059">
        <v>272554</v>
      </c>
      <c r="B2059">
        <v>192580</v>
      </c>
      <c r="C2059" t="s">
        <v>5086</v>
      </c>
      <c r="D2059" s="22">
        <v>1473</v>
      </c>
      <c r="E2059" s="17">
        <v>42152</v>
      </c>
      <c r="F2059" s="18">
        <v>0.43194444444444446</v>
      </c>
      <c r="G2059" s="22">
        <v>0</v>
      </c>
      <c r="H2059">
        <v>0</v>
      </c>
      <c r="I2059" s="19" t="e">
        <f>I2058 + (D2059-G2059)</f>
        <v>#VALUE!</v>
      </c>
      <c r="L2059">
        <v>192580</v>
      </c>
      <c r="N2059">
        <v>14</v>
      </c>
      <c r="O2059" t="s">
        <v>135</v>
      </c>
      <c r="P2059">
        <v>1</v>
      </c>
      <c r="R2059">
        <v>2</v>
      </c>
      <c r="S2059" s="17">
        <v>42164</v>
      </c>
      <c r="T2059" s="17">
        <v>42164</v>
      </c>
      <c r="U2059">
        <v>28842</v>
      </c>
      <c r="V2059">
        <v>20150528</v>
      </c>
      <c r="W2059">
        <v>2015</v>
      </c>
      <c r="X2059">
        <v>14</v>
      </c>
      <c r="AC2059" t="s">
        <v>49</v>
      </c>
      <c r="AD2059" t="s">
        <v>301</v>
      </c>
      <c r="AE2059" t="s">
        <v>46</v>
      </c>
      <c r="AG2059">
        <v>12</v>
      </c>
      <c r="AH2059">
        <v>4</v>
      </c>
      <c r="AI2059" t="s">
        <v>78</v>
      </c>
      <c r="AM2059">
        <v>0</v>
      </c>
      <c r="AP2059" t="s">
        <v>392</v>
      </c>
    </row>
    <row r="2060" spans="1:42" customFormat="1">
      <c r="A2060">
        <v>272555</v>
      </c>
      <c r="B2060">
        <v>192646</v>
      </c>
      <c r="C2060" t="s">
        <v>5087</v>
      </c>
      <c r="D2060" s="22">
        <v>1473</v>
      </c>
      <c r="E2060" s="17">
        <v>42152</v>
      </c>
      <c r="F2060" s="18">
        <v>0.43194444444444446</v>
      </c>
      <c r="G2060" s="22">
        <v>0</v>
      </c>
      <c r="H2060">
        <v>0</v>
      </c>
      <c r="I2060" s="19" t="e">
        <f>I2059 + (D2060-G2060)</f>
        <v>#VALUE!</v>
      </c>
      <c r="L2060">
        <v>192646</v>
      </c>
      <c r="N2060">
        <v>14</v>
      </c>
      <c r="O2060" t="s">
        <v>135</v>
      </c>
      <c r="P2060">
        <v>1</v>
      </c>
      <c r="R2060">
        <v>2</v>
      </c>
      <c r="S2060" s="17">
        <v>42164</v>
      </c>
      <c r="T2060" s="17">
        <v>42164</v>
      </c>
      <c r="U2060">
        <v>28843</v>
      </c>
      <c r="V2060">
        <v>20150528</v>
      </c>
      <c r="W2060">
        <v>2015</v>
      </c>
      <c r="X2060">
        <v>14</v>
      </c>
      <c r="AC2060" t="s">
        <v>49</v>
      </c>
      <c r="AD2060" t="s">
        <v>301</v>
      </c>
      <c r="AE2060" t="s">
        <v>46</v>
      </c>
      <c r="AG2060">
        <v>12</v>
      </c>
      <c r="AH2060">
        <v>4</v>
      </c>
      <c r="AI2060" t="s">
        <v>78</v>
      </c>
      <c r="AM2060">
        <v>0</v>
      </c>
      <c r="AP2060" t="s">
        <v>392</v>
      </c>
    </row>
    <row r="2061" spans="1:42" customFormat="1">
      <c r="A2061">
        <v>272556</v>
      </c>
      <c r="B2061">
        <v>192576</v>
      </c>
      <c r="C2061" t="s">
        <v>5088</v>
      </c>
      <c r="D2061" s="22">
        <v>1473</v>
      </c>
      <c r="E2061" s="17">
        <v>42152</v>
      </c>
      <c r="F2061" s="18">
        <v>0.4319560185185185</v>
      </c>
      <c r="G2061" s="22">
        <v>0</v>
      </c>
      <c r="H2061">
        <v>0</v>
      </c>
      <c r="I2061" s="19" t="e">
        <f>I2060 + (D2061-G2061)</f>
        <v>#VALUE!</v>
      </c>
      <c r="L2061">
        <v>192576</v>
      </c>
      <c r="N2061">
        <v>14</v>
      </c>
      <c r="O2061" t="s">
        <v>135</v>
      </c>
      <c r="P2061">
        <v>1</v>
      </c>
      <c r="R2061">
        <v>2</v>
      </c>
      <c r="S2061" s="17">
        <v>42164</v>
      </c>
      <c r="T2061" s="17">
        <v>42164</v>
      </c>
      <c r="U2061">
        <v>28844</v>
      </c>
      <c r="V2061">
        <v>20150528</v>
      </c>
      <c r="W2061">
        <v>2015</v>
      </c>
      <c r="X2061">
        <v>14</v>
      </c>
      <c r="AC2061" t="s">
        <v>49</v>
      </c>
      <c r="AD2061" t="s">
        <v>301</v>
      </c>
      <c r="AE2061" t="s">
        <v>46</v>
      </c>
      <c r="AG2061">
        <v>12</v>
      </c>
      <c r="AH2061">
        <v>4</v>
      </c>
      <c r="AI2061" t="s">
        <v>78</v>
      </c>
      <c r="AM2061">
        <v>0</v>
      </c>
      <c r="AP2061" t="s">
        <v>392</v>
      </c>
    </row>
    <row r="2062" spans="1:42" customFormat="1">
      <c r="A2062">
        <v>272557</v>
      </c>
      <c r="B2062">
        <v>192648</v>
      </c>
      <c r="C2062" t="s">
        <v>5089</v>
      </c>
      <c r="D2062" s="22">
        <v>1473</v>
      </c>
      <c r="E2062" s="17">
        <v>42152</v>
      </c>
      <c r="F2062" s="18">
        <v>0.4319560185185185</v>
      </c>
      <c r="G2062" s="22">
        <v>0</v>
      </c>
      <c r="H2062">
        <v>0</v>
      </c>
      <c r="I2062" s="19" t="e">
        <f>I2061 + (D2062-G2062)</f>
        <v>#VALUE!</v>
      </c>
      <c r="L2062">
        <v>192648</v>
      </c>
      <c r="N2062">
        <v>14</v>
      </c>
      <c r="O2062" t="s">
        <v>135</v>
      </c>
      <c r="P2062">
        <v>1</v>
      </c>
      <c r="R2062">
        <v>2</v>
      </c>
      <c r="S2062" s="17">
        <v>42164</v>
      </c>
      <c r="T2062" s="17">
        <v>42164</v>
      </c>
      <c r="U2062">
        <v>28845</v>
      </c>
      <c r="V2062">
        <v>20150528</v>
      </c>
      <c r="W2062">
        <v>2015</v>
      </c>
      <c r="X2062">
        <v>14</v>
      </c>
      <c r="AC2062" t="s">
        <v>49</v>
      </c>
      <c r="AD2062" t="s">
        <v>301</v>
      </c>
      <c r="AE2062" t="s">
        <v>46</v>
      </c>
      <c r="AG2062">
        <v>12</v>
      </c>
      <c r="AH2062">
        <v>4</v>
      </c>
      <c r="AI2062" t="s">
        <v>78</v>
      </c>
      <c r="AM2062">
        <v>0</v>
      </c>
      <c r="AP2062" t="s">
        <v>392</v>
      </c>
    </row>
    <row r="2063" spans="1:42" customFormat="1">
      <c r="A2063">
        <v>272558</v>
      </c>
      <c r="B2063">
        <v>192583</v>
      </c>
      <c r="C2063" t="s">
        <v>5090</v>
      </c>
      <c r="D2063" s="22">
        <v>1473</v>
      </c>
      <c r="E2063" s="17">
        <v>42152</v>
      </c>
      <c r="F2063" s="18">
        <v>0.4319675925925926</v>
      </c>
      <c r="G2063" s="22">
        <v>0</v>
      </c>
      <c r="H2063">
        <v>0</v>
      </c>
      <c r="I2063" s="19" t="e">
        <f>I2062 + (D2063-G2063)</f>
        <v>#VALUE!</v>
      </c>
      <c r="L2063">
        <v>192583</v>
      </c>
      <c r="N2063">
        <v>14</v>
      </c>
      <c r="O2063" t="s">
        <v>135</v>
      </c>
      <c r="P2063">
        <v>1</v>
      </c>
      <c r="R2063">
        <v>2</v>
      </c>
      <c r="S2063" s="17">
        <v>42164</v>
      </c>
      <c r="T2063" s="17">
        <v>42164</v>
      </c>
      <c r="U2063">
        <v>28846</v>
      </c>
      <c r="V2063">
        <v>20150528</v>
      </c>
      <c r="W2063">
        <v>2015</v>
      </c>
      <c r="X2063">
        <v>14</v>
      </c>
      <c r="AC2063" t="s">
        <v>49</v>
      </c>
      <c r="AD2063" t="s">
        <v>301</v>
      </c>
      <c r="AE2063" t="s">
        <v>46</v>
      </c>
      <c r="AG2063">
        <v>12</v>
      </c>
      <c r="AH2063">
        <v>4</v>
      </c>
      <c r="AI2063" t="s">
        <v>78</v>
      </c>
      <c r="AM2063">
        <v>0</v>
      </c>
      <c r="AP2063" t="s">
        <v>392</v>
      </c>
    </row>
    <row r="2064" spans="1:42" customFormat="1">
      <c r="A2064">
        <v>272561</v>
      </c>
      <c r="B2064">
        <v>192830</v>
      </c>
      <c r="C2064" t="s">
        <v>5091</v>
      </c>
      <c r="D2064" s="22">
        <v>1399.35</v>
      </c>
      <c r="E2064" s="17">
        <v>42152</v>
      </c>
      <c r="F2064" s="18">
        <v>0.43197916666666664</v>
      </c>
      <c r="G2064" s="22">
        <v>0</v>
      </c>
      <c r="H2064">
        <v>0</v>
      </c>
      <c r="I2064" s="19" t="e">
        <f>I2063 + (D2064-G2064)</f>
        <v>#VALUE!</v>
      </c>
      <c r="L2064">
        <v>192830</v>
      </c>
      <c r="N2064">
        <v>14</v>
      </c>
      <c r="O2064" t="s">
        <v>135</v>
      </c>
      <c r="P2064">
        <v>1</v>
      </c>
      <c r="R2064">
        <v>2</v>
      </c>
      <c r="S2064" s="17">
        <v>42164</v>
      </c>
      <c r="T2064" s="17">
        <v>42164</v>
      </c>
      <c r="U2064">
        <v>28849</v>
      </c>
      <c r="V2064">
        <v>20150528</v>
      </c>
      <c r="W2064">
        <v>2015</v>
      </c>
      <c r="X2064">
        <v>14</v>
      </c>
      <c r="AC2064" t="s">
        <v>49</v>
      </c>
      <c r="AD2064" t="s">
        <v>301</v>
      </c>
      <c r="AE2064" t="s">
        <v>46</v>
      </c>
      <c r="AG2064">
        <v>12</v>
      </c>
      <c r="AH2064">
        <v>4</v>
      </c>
      <c r="AI2064" t="s">
        <v>78</v>
      </c>
      <c r="AM2064">
        <v>0</v>
      </c>
      <c r="AP2064" t="s">
        <v>392</v>
      </c>
    </row>
    <row r="2065" spans="1:42" customFormat="1">
      <c r="A2065">
        <v>272562</v>
      </c>
      <c r="B2065">
        <v>193051</v>
      </c>
      <c r="C2065" t="s">
        <v>5092</v>
      </c>
      <c r="D2065" s="22">
        <v>1473</v>
      </c>
      <c r="E2065" s="17">
        <v>42152</v>
      </c>
      <c r="F2065" s="18">
        <v>0.43197916666666664</v>
      </c>
      <c r="G2065" s="22">
        <v>0</v>
      </c>
      <c r="H2065">
        <v>0</v>
      </c>
      <c r="I2065" s="19" t="e">
        <f>I2064 + (D2065-G2065)</f>
        <v>#VALUE!</v>
      </c>
      <c r="L2065">
        <v>193051</v>
      </c>
      <c r="N2065">
        <v>14</v>
      </c>
      <c r="O2065" t="s">
        <v>135</v>
      </c>
      <c r="P2065">
        <v>1</v>
      </c>
      <c r="R2065">
        <v>2</v>
      </c>
      <c r="S2065" s="17">
        <v>42164</v>
      </c>
      <c r="T2065" s="17">
        <v>42164</v>
      </c>
      <c r="U2065">
        <v>28850</v>
      </c>
      <c r="V2065">
        <v>20150528</v>
      </c>
      <c r="W2065">
        <v>2015</v>
      </c>
      <c r="X2065">
        <v>14</v>
      </c>
      <c r="AC2065" t="s">
        <v>49</v>
      </c>
      <c r="AD2065" t="s">
        <v>301</v>
      </c>
      <c r="AE2065" t="s">
        <v>46</v>
      </c>
      <c r="AG2065">
        <v>12</v>
      </c>
      <c r="AH2065">
        <v>4</v>
      </c>
      <c r="AI2065" t="s">
        <v>78</v>
      </c>
      <c r="AM2065">
        <v>0</v>
      </c>
      <c r="AP2065" t="s">
        <v>392</v>
      </c>
    </row>
    <row r="2066" spans="1:42" customFormat="1">
      <c r="A2066">
        <v>272560</v>
      </c>
      <c r="B2066">
        <v>192832</v>
      </c>
      <c r="C2066" t="s">
        <v>5093</v>
      </c>
      <c r="D2066" s="22">
        <v>1473</v>
      </c>
      <c r="E2066" s="17">
        <v>42152</v>
      </c>
      <c r="F2066" s="18">
        <v>0.43197916666666664</v>
      </c>
      <c r="G2066" s="22">
        <v>0</v>
      </c>
      <c r="H2066">
        <v>0</v>
      </c>
      <c r="I2066" s="19" t="e">
        <f>I2065 + (D2066-G2066)</f>
        <v>#VALUE!</v>
      </c>
      <c r="L2066">
        <v>192832</v>
      </c>
      <c r="N2066">
        <v>14</v>
      </c>
      <c r="O2066" t="s">
        <v>135</v>
      </c>
      <c r="P2066">
        <v>1</v>
      </c>
      <c r="R2066">
        <v>2</v>
      </c>
      <c r="S2066" s="17">
        <v>42164</v>
      </c>
      <c r="T2066" s="17">
        <v>42164</v>
      </c>
      <c r="U2066">
        <v>28848</v>
      </c>
      <c r="V2066">
        <v>20150528</v>
      </c>
      <c r="W2066">
        <v>2015</v>
      </c>
      <c r="X2066">
        <v>14</v>
      </c>
      <c r="AC2066" t="s">
        <v>49</v>
      </c>
      <c r="AD2066" t="s">
        <v>301</v>
      </c>
      <c r="AE2066" t="s">
        <v>46</v>
      </c>
      <c r="AG2066">
        <v>12</v>
      </c>
      <c r="AH2066">
        <v>4</v>
      </c>
      <c r="AI2066" t="s">
        <v>78</v>
      </c>
      <c r="AM2066">
        <v>0</v>
      </c>
      <c r="AP2066" t="s">
        <v>392</v>
      </c>
    </row>
    <row r="2067" spans="1:42" customFormat="1">
      <c r="A2067">
        <v>272559</v>
      </c>
      <c r="B2067">
        <v>192658</v>
      </c>
      <c r="C2067" t="s">
        <v>5094</v>
      </c>
      <c r="D2067" s="22">
        <v>1473</v>
      </c>
      <c r="E2067" s="17">
        <v>42152</v>
      </c>
      <c r="F2067" s="18">
        <v>0.43197916666666664</v>
      </c>
      <c r="G2067" s="22">
        <v>0</v>
      </c>
      <c r="H2067">
        <v>0</v>
      </c>
      <c r="I2067" s="19" t="e">
        <f>I2066 + (D2067-G2067)</f>
        <v>#VALUE!</v>
      </c>
      <c r="L2067">
        <v>192658</v>
      </c>
      <c r="N2067">
        <v>14</v>
      </c>
      <c r="O2067" t="s">
        <v>135</v>
      </c>
      <c r="P2067">
        <v>1</v>
      </c>
      <c r="R2067">
        <v>2</v>
      </c>
      <c r="S2067" s="17">
        <v>42164</v>
      </c>
      <c r="T2067" s="17">
        <v>42164</v>
      </c>
      <c r="U2067">
        <v>28847</v>
      </c>
      <c r="V2067">
        <v>20150528</v>
      </c>
      <c r="W2067">
        <v>2015</v>
      </c>
      <c r="X2067">
        <v>14</v>
      </c>
      <c r="AC2067" t="s">
        <v>49</v>
      </c>
      <c r="AD2067" t="s">
        <v>301</v>
      </c>
      <c r="AE2067" t="s">
        <v>46</v>
      </c>
      <c r="AG2067">
        <v>12</v>
      </c>
      <c r="AH2067">
        <v>4</v>
      </c>
      <c r="AI2067" t="s">
        <v>78</v>
      </c>
      <c r="AM2067">
        <v>0</v>
      </c>
      <c r="AP2067" t="s">
        <v>392</v>
      </c>
    </row>
    <row r="2068" spans="1:42" customFormat="1">
      <c r="A2068">
        <v>272563</v>
      </c>
      <c r="B2068">
        <v>192807</v>
      </c>
      <c r="C2068" t="s">
        <v>5095</v>
      </c>
      <c r="D2068" s="22">
        <v>1473</v>
      </c>
      <c r="E2068" s="17">
        <v>42152</v>
      </c>
      <c r="F2068" s="18">
        <v>0.43199074074074079</v>
      </c>
      <c r="G2068" s="22">
        <v>0</v>
      </c>
      <c r="H2068">
        <v>0</v>
      </c>
      <c r="I2068" s="19" t="e">
        <f>I2067 + (D2068-G2068)</f>
        <v>#VALUE!</v>
      </c>
      <c r="L2068">
        <v>192807</v>
      </c>
      <c r="N2068">
        <v>14</v>
      </c>
      <c r="O2068" t="s">
        <v>135</v>
      </c>
      <c r="P2068">
        <v>1</v>
      </c>
      <c r="R2068">
        <v>2</v>
      </c>
      <c r="S2068" s="17">
        <v>42164</v>
      </c>
      <c r="T2068" s="17">
        <v>42164</v>
      </c>
      <c r="U2068">
        <v>28851</v>
      </c>
      <c r="V2068">
        <v>20150528</v>
      </c>
      <c r="W2068">
        <v>2015</v>
      </c>
      <c r="X2068">
        <v>14</v>
      </c>
      <c r="AC2068" t="s">
        <v>49</v>
      </c>
      <c r="AD2068" t="s">
        <v>301</v>
      </c>
      <c r="AE2068" t="s">
        <v>46</v>
      </c>
      <c r="AG2068">
        <v>12</v>
      </c>
      <c r="AH2068">
        <v>4</v>
      </c>
      <c r="AI2068" t="s">
        <v>78</v>
      </c>
      <c r="AM2068">
        <v>0</v>
      </c>
      <c r="AP2068" t="s">
        <v>392</v>
      </c>
    </row>
    <row r="2069" spans="1:42" customFormat="1">
      <c r="A2069">
        <v>272564</v>
      </c>
      <c r="B2069">
        <v>193080</v>
      </c>
      <c r="C2069" t="s">
        <v>5096</v>
      </c>
      <c r="D2069" s="22">
        <v>1473</v>
      </c>
      <c r="E2069" s="17">
        <v>42152</v>
      </c>
      <c r="F2069" s="18">
        <v>0.43200231481481483</v>
      </c>
      <c r="G2069" s="22">
        <v>0</v>
      </c>
      <c r="H2069">
        <v>0</v>
      </c>
      <c r="I2069" s="19" t="e">
        <f>I2068 + (D2069-G2069)</f>
        <v>#VALUE!</v>
      </c>
      <c r="L2069">
        <v>193080</v>
      </c>
      <c r="N2069">
        <v>14</v>
      </c>
      <c r="O2069" t="s">
        <v>135</v>
      </c>
      <c r="P2069">
        <v>1</v>
      </c>
      <c r="R2069">
        <v>2</v>
      </c>
      <c r="S2069" s="17">
        <v>42164</v>
      </c>
      <c r="T2069" s="17">
        <v>42164</v>
      </c>
      <c r="U2069">
        <v>28852</v>
      </c>
      <c r="V2069">
        <v>20150528</v>
      </c>
      <c r="W2069">
        <v>2015</v>
      </c>
      <c r="X2069">
        <v>14</v>
      </c>
      <c r="AC2069" t="s">
        <v>49</v>
      </c>
      <c r="AD2069" t="s">
        <v>301</v>
      </c>
      <c r="AE2069" t="s">
        <v>46</v>
      </c>
      <c r="AG2069">
        <v>12</v>
      </c>
      <c r="AH2069">
        <v>4</v>
      </c>
      <c r="AI2069" t="s">
        <v>78</v>
      </c>
      <c r="AM2069">
        <v>0</v>
      </c>
      <c r="AP2069" t="s">
        <v>392</v>
      </c>
    </row>
    <row r="2070" spans="1:42" customFormat="1">
      <c r="A2070">
        <v>272565</v>
      </c>
      <c r="B2070">
        <v>193074</v>
      </c>
      <c r="C2070" t="s">
        <v>5097</v>
      </c>
      <c r="D2070" s="22">
        <v>1473</v>
      </c>
      <c r="E2070" s="17">
        <v>42152</v>
      </c>
      <c r="F2070" s="18">
        <v>0.43200231481481483</v>
      </c>
      <c r="G2070" s="22">
        <v>0</v>
      </c>
      <c r="H2070">
        <v>0</v>
      </c>
      <c r="I2070" s="19" t="e">
        <f>I2069 + (D2070-G2070)</f>
        <v>#VALUE!</v>
      </c>
      <c r="L2070">
        <v>193074</v>
      </c>
      <c r="N2070">
        <v>14</v>
      </c>
      <c r="O2070" t="s">
        <v>135</v>
      </c>
      <c r="P2070">
        <v>1</v>
      </c>
      <c r="R2070">
        <v>2</v>
      </c>
      <c r="S2070" s="17">
        <v>42164</v>
      </c>
      <c r="T2070" s="17">
        <v>42164</v>
      </c>
      <c r="U2070">
        <v>28853</v>
      </c>
      <c r="V2070">
        <v>20150528</v>
      </c>
      <c r="W2070">
        <v>2015</v>
      </c>
      <c r="X2070">
        <v>14</v>
      </c>
      <c r="AC2070" t="s">
        <v>49</v>
      </c>
      <c r="AD2070" t="s">
        <v>301</v>
      </c>
      <c r="AE2070" t="s">
        <v>46</v>
      </c>
      <c r="AG2070">
        <v>12</v>
      </c>
      <c r="AH2070">
        <v>4</v>
      </c>
      <c r="AI2070" t="s">
        <v>78</v>
      </c>
      <c r="AM2070">
        <v>0</v>
      </c>
      <c r="AP2070" t="s">
        <v>392</v>
      </c>
    </row>
    <row r="2071" spans="1:42" customFormat="1">
      <c r="A2071">
        <v>272567</v>
      </c>
      <c r="B2071">
        <v>193012</v>
      </c>
      <c r="C2071" t="s">
        <v>5098</v>
      </c>
      <c r="D2071" s="22">
        <v>1473</v>
      </c>
      <c r="E2071" s="17">
        <v>42152</v>
      </c>
      <c r="F2071" s="18">
        <v>0.43201388888888892</v>
      </c>
      <c r="G2071" s="22">
        <v>0</v>
      </c>
      <c r="H2071">
        <v>0</v>
      </c>
      <c r="I2071" s="19" t="e">
        <f>I2070 + (D2071-G2071)</f>
        <v>#VALUE!</v>
      </c>
      <c r="L2071">
        <v>193012</v>
      </c>
      <c r="N2071">
        <v>14</v>
      </c>
      <c r="O2071" t="s">
        <v>135</v>
      </c>
      <c r="P2071">
        <v>1</v>
      </c>
      <c r="R2071">
        <v>2</v>
      </c>
      <c r="S2071" s="17">
        <v>42164</v>
      </c>
      <c r="T2071" s="17">
        <v>42164</v>
      </c>
      <c r="U2071">
        <v>28855</v>
      </c>
      <c r="V2071">
        <v>20150528</v>
      </c>
      <c r="W2071">
        <v>2015</v>
      </c>
      <c r="X2071">
        <v>14</v>
      </c>
      <c r="AC2071" t="s">
        <v>49</v>
      </c>
      <c r="AD2071" t="s">
        <v>301</v>
      </c>
      <c r="AE2071" t="s">
        <v>46</v>
      </c>
      <c r="AG2071">
        <v>12</v>
      </c>
      <c r="AH2071">
        <v>4</v>
      </c>
      <c r="AI2071" t="s">
        <v>78</v>
      </c>
      <c r="AM2071">
        <v>0</v>
      </c>
      <c r="AP2071" t="s">
        <v>392</v>
      </c>
    </row>
    <row r="2072" spans="1:42" customFormat="1">
      <c r="A2072">
        <v>272566</v>
      </c>
      <c r="B2072">
        <v>192933</v>
      </c>
      <c r="C2072" t="s">
        <v>5099</v>
      </c>
      <c r="D2072" s="22">
        <v>1473</v>
      </c>
      <c r="E2072" s="17">
        <v>42152</v>
      </c>
      <c r="F2072" s="18">
        <v>0.43201388888888892</v>
      </c>
      <c r="G2072" s="22">
        <v>0</v>
      </c>
      <c r="H2072">
        <v>0</v>
      </c>
      <c r="I2072" s="19" t="e">
        <f>I2071 + (D2072-G2072)</f>
        <v>#VALUE!</v>
      </c>
      <c r="L2072">
        <v>192933</v>
      </c>
      <c r="N2072">
        <v>14</v>
      </c>
      <c r="O2072" t="s">
        <v>135</v>
      </c>
      <c r="P2072">
        <v>1</v>
      </c>
      <c r="R2072">
        <v>2</v>
      </c>
      <c r="S2072" s="17">
        <v>42164</v>
      </c>
      <c r="T2072" s="17">
        <v>42164</v>
      </c>
      <c r="U2072">
        <v>28854</v>
      </c>
      <c r="V2072">
        <v>20150528</v>
      </c>
      <c r="W2072">
        <v>2015</v>
      </c>
      <c r="X2072">
        <v>14</v>
      </c>
      <c r="AC2072" t="s">
        <v>49</v>
      </c>
      <c r="AD2072" t="s">
        <v>301</v>
      </c>
      <c r="AE2072" t="s">
        <v>46</v>
      </c>
      <c r="AG2072">
        <v>12</v>
      </c>
      <c r="AH2072">
        <v>4</v>
      </c>
      <c r="AI2072" t="s">
        <v>78</v>
      </c>
      <c r="AM2072">
        <v>0</v>
      </c>
      <c r="AP2072" t="s">
        <v>392</v>
      </c>
    </row>
    <row r="2073" spans="1:42" customFormat="1">
      <c r="A2073">
        <v>272094</v>
      </c>
      <c r="B2073">
        <v>197300</v>
      </c>
      <c r="C2073" t="s">
        <v>5115</v>
      </c>
      <c r="D2073" s="22">
        <v>1724</v>
      </c>
      <c r="E2073" s="17">
        <v>42152</v>
      </c>
      <c r="F2073" s="18">
        <v>0.5</v>
      </c>
      <c r="G2073" s="22">
        <v>0</v>
      </c>
      <c r="H2073">
        <v>0</v>
      </c>
      <c r="I2073" s="19" t="e">
        <f>I2072 + (D2073-G2073)</f>
        <v>#VALUE!</v>
      </c>
      <c r="L2073">
        <v>197300</v>
      </c>
      <c r="N2073">
        <v>1</v>
      </c>
      <c r="O2073" t="s">
        <v>77</v>
      </c>
      <c r="P2073">
        <v>1</v>
      </c>
      <c r="R2073">
        <v>2</v>
      </c>
      <c r="S2073" s="17">
        <v>42160</v>
      </c>
      <c r="T2073" s="17">
        <v>42160</v>
      </c>
      <c r="U2073">
        <v>28523</v>
      </c>
      <c r="W2073">
        <v>2015</v>
      </c>
      <c r="X2073">
        <v>1</v>
      </c>
      <c r="AC2073" t="s">
        <v>49</v>
      </c>
      <c r="AD2073" t="s">
        <v>301</v>
      </c>
      <c r="AE2073" t="s">
        <v>46</v>
      </c>
      <c r="AG2073">
        <v>3</v>
      </c>
      <c r="AH2073">
        <v>4</v>
      </c>
      <c r="AI2073" t="s">
        <v>78</v>
      </c>
      <c r="AM2073">
        <v>0</v>
      </c>
      <c r="AP2073" t="s">
        <v>80</v>
      </c>
    </row>
    <row r="2074" spans="1:42" customFormat="1">
      <c r="A2074">
        <v>272092</v>
      </c>
      <c r="B2074">
        <v>197772</v>
      </c>
      <c r="C2074" t="s">
        <v>5116</v>
      </c>
      <c r="D2074" s="22">
        <v>1473</v>
      </c>
      <c r="E2074" s="17">
        <v>42152</v>
      </c>
      <c r="F2074" s="18">
        <v>0.5</v>
      </c>
      <c r="G2074" s="22">
        <v>0</v>
      </c>
      <c r="H2074">
        <v>0</v>
      </c>
      <c r="I2074" s="19" t="e">
        <f>I2073 + (D2074-G2074)</f>
        <v>#VALUE!</v>
      </c>
      <c r="L2074">
        <v>197772</v>
      </c>
      <c r="N2074">
        <v>1</v>
      </c>
      <c r="O2074" t="s">
        <v>77</v>
      </c>
      <c r="P2074">
        <v>1</v>
      </c>
      <c r="R2074">
        <v>2</v>
      </c>
      <c r="S2074" s="17">
        <v>42160</v>
      </c>
      <c r="T2074" s="17">
        <v>42160</v>
      </c>
      <c r="U2074">
        <v>28521</v>
      </c>
      <c r="W2074">
        <v>2015</v>
      </c>
      <c r="X2074">
        <v>1</v>
      </c>
      <c r="AC2074" t="s">
        <v>49</v>
      </c>
      <c r="AD2074" t="s">
        <v>301</v>
      </c>
      <c r="AE2074" t="s">
        <v>46</v>
      </c>
      <c r="AG2074">
        <v>3</v>
      </c>
      <c r="AH2074">
        <v>4</v>
      </c>
      <c r="AI2074" t="s">
        <v>78</v>
      </c>
      <c r="AM2074">
        <v>0</v>
      </c>
      <c r="AP2074" t="s">
        <v>80</v>
      </c>
    </row>
    <row r="2075" spans="1:42" customFormat="1">
      <c r="A2075">
        <v>272093</v>
      </c>
      <c r="B2075">
        <v>197054</v>
      </c>
      <c r="C2075" t="s">
        <v>5117</v>
      </c>
      <c r="D2075" s="22">
        <v>1724</v>
      </c>
      <c r="E2075" s="17">
        <v>42152</v>
      </c>
      <c r="F2075" s="18">
        <v>0.5</v>
      </c>
      <c r="G2075" s="22">
        <v>0</v>
      </c>
      <c r="H2075">
        <v>0</v>
      </c>
      <c r="I2075" s="19" t="e">
        <f>I2074 + (D2075-G2075)</f>
        <v>#VALUE!</v>
      </c>
      <c r="L2075">
        <v>197054</v>
      </c>
      <c r="N2075">
        <v>1</v>
      </c>
      <c r="O2075" t="s">
        <v>77</v>
      </c>
      <c r="P2075">
        <v>1</v>
      </c>
      <c r="R2075">
        <v>2</v>
      </c>
      <c r="S2075" s="17">
        <v>42160</v>
      </c>
      <c r="T2075" s="17">
        <v>42160</v>
      </c>
      <c r="U2075">
        <v>28522</v>
      </c>
      <c r="W2075">
        <v>2015</v>
      </c>
      <c r="X2075">
        <v>1</v>
      </c>
      <c r="AC2075" t="s">
        <v>49</v>
      </c>
      <c r="AD2075" t="s">
        <v>301</v>
      </c>
      <c r="AE2075" t="s">
        <v>46</v>
      </c>
      <c r="AG2075">
        <v>3</v>
      </c>
      <c r="AH2075">
        <v>4</v>
      </c>
      <c r="AI2075" t="s">
        <v>78</v>
      </c>
      <c r="AM2075">
        <v>0</v>
      </c>
      <c r="AP2075" t="s">
        <v>80</v>
      </c>
    </row>
    <row r="2076" spans="1:42" customFormat="1">
      <c r="A2076">
        <v>272095</v>
      </c>
      <c r="B2076">
        <v>197297</v>
      </c>
      <c r="C2076" t="s">
        <v>5118</v>
      </c>
      <c r="D2076" s="22">
        <v>1724</v>
      </c>
      <c r="E2076" s="17">
        <v>42152</v>
      </c>
      <c r="F2076" s="18">
        <v>0.5</v>
      </c>
      <c r="G2076" s="22">
        <v>0</v>
      </c>
      <c r="H2076">
        <v>0</v>
      </c>
      <c r="I2076" s="19" t="e">
        <f>I2075 + (D2076-G2076)</f>
        <v>#VALUE!</v>
      </c>
      <c r="L2076">
        <v>197297</v>
      </c>
      <c r="N2076">
        <v>1</v>
      </c>
      <c r="O2076" t="s">
        <v>77</v>
      </c>
      <c r="P2076">
        <v>1</v>
      </c>
      <c r="R2076">
        <v>2</v>
      </c>
      <c r="S2076" s="17">
        <v>42160</v>
      </c>
      <c r="T2076" s="17">
        <v>42160</v>
      </c>
      <c r="U2076">
        <v>28524</v>
      </c>
      <c r="W2076">
        <v>2015</v>
      </c>
      <c r="X2076">
        <v>1</v>
      </c>
      <c r="AC2076" t="s">
        <v>49</v>
      </c>
      <c r="AD2076" t="s">
        <v>301</v>
      </c>
      <c r="AE2076" t="s">
        <v>46</v>
      </c>
      <c r="AG2076">
        <v>3</v>
      </c>
      <c r="AH2076">
        <v>4</v>
      </c>
      <c r="AI2076" t="s">
        <v>78</v>
      </c>
      <c r="AM2076">
        <v>0</v>
      </c>
      <c r="AP2076" t="s">
        <v>80</v>
      </c>
    </row>
    <row r="2077" spans="1:42" customFormat="1">
      <c r="A2077">
        <v>274655</v>
      </c>
      <c r="B2077">
        <v>205190</v>
      </c>
      <c r="C2077" t="s">
        <v>5119</v>
      </c>
      <c r="D2077" s="22">
        <v>1473</v>
      </c>
      <c r="E2077" s="17">
        <v>42152</v>
      </c>
      <c r="F2077" s="18">
        <v>0.5</v>
      </c>
      <c r="G2077" s="22">
        <v>0</v>
      </c>
      <c r="H2077">
        <v>0</v>
      </c>
      <c r="I2077" s="19" t="e">
        <f>I2076 + (D2077-G2077)</f>
        <v>#VALUE!</v>
      </c>
      <c r="L2077">
        <v>205190</v>
      </c>
      <c r="N2077">
        <v>1</v>
      </c>
      <c r="O2077" t="s">
        <v>77</v>
      </c>
      <c r="P2077">
        <v>1</v>
      </c>
      <c r="R2077">
        <v>2</v>
      </c>
      <c r="S2077" s="17">
        <v>42185</v>
      </c>
      <c r="T2077" s="17">
        <v>42185</v>
      </c>
      <c r="U2077">
        <v>29141</v>
      </c>
      <c r="W2077">
        <v>2015</v>
      </c>
      <c r="X2077">
        <v>1</v>
      </c>
      <c r="AC2077" t="s">
        <v>49</v>
      </c>
      <c r="AD2077" t="s">
        <v>301</v>
      </c>
      <c r="AE2077" t="s">
        <v>46</v>
      </c>
      <c r="AG2077">
        <v>69</v>
      </c>
      <c r="AH2077">
        <v>4</v>
      </c>
      <c r="AI2077" t="s">
        <v>78</v>
      </c>
      <c r="AM2077">
        <v>0</v>
      </c>
      <c r="AP2077" t="s">
        <v>339</v>
      </c>
    </row>
    <row r="2078" spans="1:42" customFormat="1">
      <c r="A2078">
        <v>274653</v>
      </c>
      <c r="B2078">
        <v>192602</v>
      </c>
      <c r="C2078" t="s">
        <v>5120</v>
      </c>
      <c r="D2078" s="22">
        <v>1473</v>
      </c>
      <c r="E2078" s="17">
        <v>42152</v>
      </c>
      <c r="F2078" s="18">
        <v>0.5</v>
      </c>
      <c r="G2078" s="22">
        <v>0</v>
      </c>
      <c r="H2078">
        <v>0</v>
      </c>
      <c r="I2078" s="19" t="e">
        <f>I2077 + (D2078-G2078)</f>
        <v>#VALUE!</v>
      </c>
      <c r="L2078">
        <v>192602</v>
      </c>
      <c r="N2078">
        <v>1</v>
      </c>
      <c r="O2078" t="s">
        <v>77</v>
      </c>
      <c r="P2078">
        <v>1</v>
      </c>
      <c r="R2078">
        <v>2</v>
      </c>
      <c r="S2078" s="17">
        <v>42185</v>
      </c>
      <c r="T2078" s="17">
        <v>42185</v>
      </c>
      <c r="U2078">
        <v>29139</v>
      </c>
      <c r="W2078">
        <v>2015</v>
      </c>
      <c r="X2078">
        <v>1</v>
      </c>
      <c r="AC2078" t="s">
        <v>49</v>
      </c>
      <c r="AD2078" t="s">
        <v>301</v>
      </c>
      <c r="AE2078" t="s">
        <v>46</v>
      </c>
      <c r="AG2078">
        <v>69</v>
      </c>
      <c r="AH2078">
        <v>4</v>
      </c>
      <c r="AI2078" t="s">
        <v>78</v>
      </c>
      <c r="AM2078">
        <v>0</v>
      </c>
      <c r="AP2078" t="s">
        <v>339</v>
      </c>
    </row>
    <row r="2079" spans="1:42" customFormat="1">
      <c r="A2079">
        <v>274654</v>
      </c>
      <c r="B2079">
        <v>192787</v>
      </c>
      <c r="C2079" t="s">
        <v>5121</v>
      </c>
      <c r="D2079" s="22">
        <v>1473</v>
      </c>
      <c r="E2079" s="17">
        <v>42152</v>
      </c>
      <c r="F2079" s="18">
        <v>0.5</v>
      </c>
      <c r="G2079" s="22">
        <v>0</v>
      </c>
      <c r="H2079">
        <v>0</v>
      </c>
      <c r="I2079" s="19" t="e">
        <f>I2078 + (D2079-G2079)</f>
        <v>#VALUE!</v>
      </c>
      <c r="L2079">
        <v>192787</v>
      </c>
      <c r="N2079">
        <v>1</v>
      </c>
      <c r="O2079" t="s">
        <v>77</v>
      </c>
      <c r="P2079">
        <v>1</v>
      </c>
      <c r="R2079">
        <v>2</v>
      </c>
      <c r="S2079" s="17">
        <v>42185</v>
      </c>
      <c r="T2079" s="17">
        <v>42185</v>
      </c>
      <c r="U2079">
        <v>29140</v>
      </c>
      <c r="W2079">
        <v>2015</v>
      </c>
      <c r="X2079">
        <v>1</v>
      </c>
      <c r="AC2079" t="s">
        <v>49</v>
      </c>
      <c r="AD2079" t="s">
        <v>301</v>
      </c>
      <c r="AE2079" t="s">
        <v>46</v>
      </c>
      <c r="AG2079">
        <v>69</v>
      </c>
      <c r="AH2079">
        <v>4</v>
      </c>
      <c r="AI2079" t="s">
        <v>78</v>
      </c>
      <c r="AM2079">
        <v>0</v>
      </c>
      <c r="AP2079" t="s">
        <v>339</v>
      </c>
    </row>
    <row r="2080" spans="1:42" customFormat="1">
      <c r="A2080">
        <v>274409</v>
      </c>
      <c r="B2080">
        <v>200319</v>
      </c>
      <c r="C2080" t="s">
        <v>5144</v>
      </c>
      <c r="D2080" s="22">
        <v>1724</v>
      </c>
      <c r="E2080" s="17">
        <v>42152</v>
      </c>
      <c r="F2080" s="18">
        <v>0.59689814814814812</v>
      </c>
      <c r="G2080" s="22">
        <v>0</v>
      </c>
      <c r="H2080">
        <v>0</v>
      </c>
      <c r="I2080" s="19" t="e">
        <f>I2079 + (D2080-G2080)</f>
        <v>#VALUE!</v>
      </c>
      <c r="L2080">
        <v>200319</v>
      </c>
      <c r="N2080">
        <v>1</v>
      </c>
      <c r="O2080" t="s">
        <v>77</v>
      </c>
      <c r="P2080">
        <v>1</v>
      </c>
      <c r="R2080">
        <v>2</v>
      </c>
      <c r="S2080" s="17">
        <v>42184</v>
      </c>
      <c r="T2080" s="17">
        <v>42184</v>
      </c>
      <c r="U2080">
        <v>29103</v>
      </c>
      <c r="V2080">
        <v>28</v>
      </c>
      <c r="W2080">
        <v>2015</v>
      </c>
      <c r="X2080">
        <v>1</v>
      </c>
      <c r="AC2080" t="s">
        <v>49</v>
      </c>
      <c r="AD2080" t="s">
        <v>301</v>
      </c>
      <c r="AE2080" t="s">
        <v>46</v>
      </c>
      <c r="AG2080">
        <v>114</v>
      </c>
      <c r="AH2080">
        <v>4</v>
      </c>
      <c r="AI2080" t="s">
        <v>78</v>
      </c>
      <c r="AM2080">
        <v>0</v>
      </c>
      <c r="AP2080" t="s">
        <v>898</v>
      </c>
    </row>
    <row r="2081" spans="1:42" customFormat="1">
      <c r="A2081">
        <v>274407</v>
      </c>
      <c r="B2081">
        <v>194952</v>
      </c>
      <c r="C2081" t="s">
        <v>5145</v>
      </c>
      <c r="D2081" s="22">
        <v>1724</v>
      </c>
      <c r="E2081" s="17">
        <v>42152</v>
      </c>
      <c r="F2081" s="18">
        <v>0.59689814814814812</v>
      </c>
      <c r="G2081" s="22">
        <v>0</v>
      </c>
      <c r="H2081">
        <v>0</v>
      </c>
      <c r="I2081" s="19" t="e">
        <f>I2080 + (D2081-G2081)</f>
        <v>#VALUE!</v>
      </c>
      <c r="L2081">
        <v>194952</v>
      </c>
      <c r="N2081">
        <v>1</v>
      </c>
      <c r="O2081" t="s">
        <v>77</v>
      </c>
      <c r="P2081">
        <v>1</v>
      </c>
      <c r="R2081">
        <v>2</v>
      </c>
      <c r="S2081" s="17">
        <v>42184</v>
      </c>
      <c r="T2081" s="17">
        <v>42184</v>
      </c>
      <c r="U2081">
        <v>29101</v>
      </c>
      <c r="V2081">
        <v>28</v>
      </c>
      <c r="W2081">
        <v>2015</v>
      </c>
      <c r="X2081">
        <v>1</v>
      </c>
      <c r="AC2081" t="s">
        <v>49</v>
      </c>
      <c r="AD2081" t="s">
        <v>301</v>
      </c>
      <c r="AE2081" t="s">
        <v>46</v>
      </c>
      <c r="AG2081">
        <v>114</v>
      </c>
      <c r="AH2081">
        <v>4</v>
      </c>
      <c r="AI2081" t="s">
        <v>78</v>
      </c>
      <c r="AM2081">
        <v>0</v>
      </c>
      <c r="AP2081" t="s">
        <v>898</v>
      </c>
    </row>
    <row r="2082" spans="1:42" customFormat="1">
      <c r="A2082">
        <v>274408</v>
      </c>
      <c r="B2082">
        <v>195068</v>
      </c>
      <c r="C2082" t="s">
        <v>5146</v>
      </c>
      <c r="D2082" s="22">
        <v>1724</v>
      </c>
      <c r="E2082" s="17">
        <v>42152</v>
      </c>
      <c r="F2082" s="18">
        <v>0.59689814814814812</v>
      </c>
      <c r="G2082" s="22">
        <v>0</v>
      </c>
      <c r="H2082">
        <v>0</v>
      </c>
      <c r="I2082" s="19" t="e">
        <f>I2081 + (D2082-G2082)</f>
        <v>#VALUE!</v>
      </c>
      <c r="L2082">
        <v>195068</v>
      </c>
      <c r="N2082">
        <v>1</v>
      </c>
      <c r="O2082" t="s">
        <v>77</v>
      </c>
      <c r="P2082">
        <v>1</v>
      </c>
      <c r="R2082">
        <v>2</v>
      </c>
      <c r="S2082" s="17">
        <v>42184</v>
      </c>
      <c r="T2082" s="17">
        <v>42184</v>
      </c>
      <c r="U2082">
        <v>29102</v>
      </c>
      <c r="V2082">
        <v>28</v>
      </c>
      <c r="W2082">
        <v>2015</v>
      </c>
      <c r="X2082">
        <v>1</v>
      </c>
      <c r="AC2082" t="s">
        <v>49</v>
      </c>
      <c r="AD2082" t="s">
        <v>301</v>
      </c>
      <c r="AE2082" t="s">
        <v>46</v>
      </c>
      <c r="AG2082">
        <v>114</v>
      </c>
      <c r="AH2082">
        <v>4</v>
      </c>
      <c r="AI2082" t="s">
        <v>78</v>
      </c>
      <c r="AM2082">
        <v>0</v>
      </c>
      <c r="AP2082" t="s">
        <v>898</v>
      </c>
    </row>
    <row r="2083" spans="1:42" customFormat="1">
      <c r="A2083">
        <v>271800</v>
      </c>
      <c r="B2083">
        <v>181224</v>
      </c>
      <c r="C2083" t="s">
        <v>5206</v>
      </c>
      <c r="D2083" s="22">
        <v>1486</v>
      </c>
      <c r="E2083" s="17">
        <v>42153</v>
      </c>
      <c r="F2083" s="18">
        <v>0.38579861111111113</v>
      </c>
      <c r="G2083" s="22">
        <v>0</v>
      </c>
      <c r="H2083">
        <v>0</v>
      </c>
      <c r="I2083" s="19" t="e">
        <f>I2082 + (D2083-G2083)</f>
        <v>#VALUE!</v>
      </c>
      <c r="L2083">
        <v>181224</v>
      </c>
      <c r="N2083">
        <v>8</v>
      </c>
      <c r="O2083" t="s">
        <v>63</v>
      </c>
      <c r="P2083">
        <v>1</v>
      </c>
      <c r="R2083">
        <v>2</v>
      </c>
      <c r="S2083" s="17">
        <v>42160</v>
      </c>
      <c r="T2083" s="17">
        <v>42160</v>
      </c>
      <c r="W2083">
        <v>2014</v>
      </c>
      <c r="X2083">
        <v>8</v>
      </c>
      <c r="AC2083" t="s">
        <v>49</v>
      </c>
      <c r="AD2083" t="s">
        <v>301</v>
      </c>
      <c r="AE2083" t="s">
        <v>46</v>
      </c>
      <c r="AG2083">
        <v>56</v>
      </c>
      <c r="AH2083">
        <v>1</v>
      </c>
      <c r="AI2083" t="s">
        <v>58</v>
      </c>
      <c r="AK2083">
        <v>0</v>
      </c>
      <c r="AM2083">
        <v>0</v>
      </c>
      <c r="AP2083" t="s">
        <v>59</v>
      </c>
    </row>
    <row r="2084" spans="1:42" customFormat="1">
      <c r="A2084">
        <v>272568</v>
      </c>
      <c r="B2084">
        <v>192618</v>
      </c>
      <c r="C2084" t="s">
        <v>5323</v>
      </c>
      <c r="D2084" s="22">
        <v>1473</v>
      </c>
      <c r="E2084" s="17">
        <v>42153</v>
      </c>
      <c r="F2084" s="18">
        <v>0.43259259259259258</v>
      </c>
      <c r="G2084" s="22">
        <v>0</v>
      </c>
      <c r="H2084">
        <v>0</v>
      </c>
      <c r="I2084" s="19" t="e">
        <f>I2083 + (D2084-G2084)</f>
        <v>#VALUE!</v>
      </c>
      <c r="L2084">
        <v>192618</v>
      </c>
      <c r="N2084">
        <v>14</v>
      </c>
      <c r="O2084" t="s">
        <v>135</v>
      </c>
      <c r="P2084">
        <v>1</v>
      </c>
      <c r="R2084">
        <v>2</v>
      </c>
      <c r="S2084" s="17">
        <v>42164</v>
      </c>
      <c r="T2084" s="17">
        <v>42164</v>
      </c>
      <c r="U2084">
        <v>28880</v>
      </c>
      <c r="V2084">
        <v>20150529</v>
      </c>
      <c r="W2084">
        <v>2015</v>
      </c>
      <c r="X2084">
        <v>14</v>
      </c>
      <c r="AC2084" t="s">
        <v>49</v>
      </c>
      <c r="AD2084" t="s">
        <v>301</v>
      </c>
      <c r="AE2084" t="s">
        <v>46</v>
      </c>
      <c r="AG2084">
        <v>12</v>
      </c>
      <c r="AH2084">
        <v>4</v>
      </c>
      <c r="AI2084" t="s">
        <v>78</v>
      </c>
      <c r="AM2084">
        <v>0</v>
      </c>
      <c r="AP2084" t="s">
        <v>392</v>
      </c>
    </row>
    <row r="2085" spans="1:42" customFormat="1">
      <c r="A2085">
        <v>272578</v>
      </c>
      <c r="B2085">
        <v>192661</v>
      </c>
      <c r="C2085" t="s">
        <v>5324</v>
      </c>
      <c r="D2085" s="22">
        <v>1473</v>
      </c>
      <c r="E2085" s="17">
        <v>42153</v>
      </c>
      <c r="F2085" s="18">
        <v>0.43260416666666668</v>
      </c>
      <c r="G2085" s="22">
        <v>0</v>
      </c>
      <c r="H2085">
        <v>0</v>
      </c>
      <c r="I2085" s="19" t="e">
        <f>I2084 + (D2085-G2085)</f>
        <v>#VALUE!</v>
      </c>
      <c r="L2085">
        <v>192661</v>
      </c>
      <c r="N2085">
        <v>14</v>
      </c>
      <c r="O2085" t="s">
        <v>135</v>
      </c>
      <c r="P2085">
        <v>1</v>
      </c>
      <c r="R2085">
        <v>2</v>
      </c>
      <c r="S2085" s="17">
        <v>42164</v>
      </c>
      <c r="T2085" s="17">
        <v>42164</v>
      </c>
      <c r="U2085">
        <v>28890</v>
      </c>
      <c r="V2085">
        <v>20150529</v>
      </c>
      <c r="W2085">
        <v>2015</v>
      </c>
      <c r="X2085">
        <v>14</v>
      </c>
      <c r="AC2085" t="s">
        <v>49</v>
      </c>
      <c r="AD2085" t="s">
        <v>301</v>
      </c>
      <c r="AE2085" t="s">
        <v>46</v>
      </c>
      <c r="AG2085">
        <v>12</v>
      </c>
      <c r="AH2085">
        <v>4</v>
      </c>
      <c r="AI2085" t="s">
        <v>78</v>
      </c>
      <c r="AM2085">
        <v>0</v>
      </c>
      <c r="AP2085" t="s">
        <v>392</v>
      </c>
    </row>
    <row r="2086" spans="1:42" customFormat="1">
      <c r="A2086">
        <v>272573</v>
      </c>
      <c r="B2086">
        <v>192642</v>
      </c>
      <c r="C2086" t="s">
        <v>5325</v>
      </c>
      <c r="D2086" s="22">
        <v>1473</v>
      </c>
      <c r="E2086" s="17">
        <v>42153</v>
      </c>
      <c r="F2086" s="18">
        <v>0.43260416666666668</v>
      </c>
      <c r="G2086" s="22">
        <v>0</v>
      </c>
      <c r="H2086">
        <v>0</v>
      </c>
      <c r="I2086" s="19" t="e">
        <f>I2085 + (D2086-G2086)</f>
        <v>#VALUE!</v>
      </c>
      <c r="L2086">
        <v>192642</v>
      </c>
      <c r="N2086">
        <v>14</v>
      </c>
      <c r="O2086" t="s">
        <v>135</v>
      </c>
      <c r="P2086">
        <v>1</v>
      </c>
      <c r="R2086">
        <v>2</v>
      </c>
      <c r="S2086" s="17">
        <v>42164</v>
      </c>
      <c r="T2086" s="17">
        <v>42164</v>
      </c>
      <c r="U2086">
        <v>28885</v>
      </c>
      <c r="V2086">
        <v>20150529</v>
      </c>
      <c r="W2086">
        <v>2015</v>
      </c>
      <c r="X2086">
        <v>14</v>
      </c>
      <c r="AC2086" t="s">
        <v>49</v>
      </c>
      <c r="AD2086" t="s">
        <v>301</v>
      </c>
      <c r="AE2086" t="s">
        <v>46</v>
      </c>
      <c r="AG2086">
        <v>12</v>
      </c>
      <c r="AH2086">
        <v>4</v>
      </c>
      <c r="AI2086" t="s">
        <v>78</v>
      </c>
      <c r="AM2086">
        <v>0</v>
      </c>
      <c r="AP2086" t="s">
        <v>392</v>
      </c>
    </row>
    <row r="2087" spans="1:42" customFormat="1">
      <c r="A2087">
        <v>272576</v>
      </c>
      <c r="B2087">
        <v>192573</v>
      </c>
      <c r="C2087" t="s">
        <v>5326</v>
      </c>
      <c r="D2087" s="22">
        <v>1473</v>
      </c>
      <c r="E2087" s="17">
        <v>42153</v>
      </c>
      <c r="F2087" s="18">
        <v>0.43260416666666668</v>
      </c>
      <c r="G2087" s="22">
        <v>0</v>
      </c>
      <c r="H2087">
        <v>0</v>
      </c>
      <c r="I2087" s="19" t="e">
        <f>I2086 + (D2087-G2087)</f>
        <v>#VALUE!</v>
      </c>
      <c r="L2087">
        <v>192573</v>
      </c>
      <c r="N2087">
        <v>14</v>
      </c>
      <c r="O2087" t="s">
        <v>135</v>
      </c>
      <c r="P2087">
        <v>1</v>
      </c>
      <c r="R2087">
        <v>2</v>
      </c>
      <c r="S2087" s="17">
        <v>42164</v>
      </c>
      <c r="T2087" s="17">
        <v>42164</v>
      </c>
      <c r="U2087">
        <v>28888</v>
      </c>
      <c r="V2087">
        <v>20150529</v>
      </c>
      <c r="W2087">
        <v>2015</v>
      </c>
      <c r="X2087">
        <v>14</v>
      </c>
      <c r="AC2087" t="s">
        <v>49</v>
      </c>
      <c r="AD2087" t="s">
        <v>301</v>
      </c>
      <c r="AE2087" t="s">
        <v>46</v>
      </c>
      <c r="AG2087">
        <v>12</v>
      </c>
      <c r="AH2087">
        <v>4</v>
      </c>
      <c r="AI2087" t="s">
        <v>78</v>
      </c>
      <c r="AM2087">
        <v>0</v>
      </c>
      <c r="AP2087" t="s">
        <v>392</v>
      </c>
    </row>
    <row r="2088" spans="1:42" customFormat="1">
      <c r="A2088">
        <v>272569</v>
      </c>
      <c r="B2088">
        <v>192584</v>
      </c>
      <c r="C2088" t="s">
        <v>5327</v>
      </c>
      <c r="D2088" s="22">
        <v>1473</v>
      </c>
      <c r="E2088" s="17">
        <v>42153</v>
      </c>
      <c r="F2088" s="18">
        <v>0.43260416666666668</v>
      </c>
      <c r="G2088" s="22">
        <v>0</v>
      </c>
      <c r="H2088">
        <v>0</v>
      </c>
      <c r="I2088" s="19" t="e">
        <f>I2087 + (D2088-G2088)</f>
        <v>#VALUE!</v>
      </c>
      <c r="L2088">
        <v>192584</v>
      </c>
      <c r="N2088">
        <v>14</v>
      </c>
      <c r="O2088" t="s">
        <v>135</v>
      </c>
      <c r="P2088">
        <v>1</v>
      </c>
      <c r="R2088">
        <v>2</v>
      </c>
      <c r="S2088" s="17">
        <v>42164</v>
      </c>
      <c r="T2088" s="17">
        <v>42164</v>
      </c>
      <c r="U2088">
        <v>28881</v>
      </c>
      <c r="V2088">
        <v>20150529</v>
      </c>
      <c r="W2088">
        <v>2015</v>
      </c>
      <c r="X2088">
        <v>14</v>
      </c>
      <c r="AC2088" t="s">
        <v>49</v>
      </c>
      <c r="AD2088" t="s">
        <v>301</v>
      </c>
      <c r="AE2088" t="s">
        <v>46</v>
      </c>
      <c r="AG2088">
        <v>12</v>
      </c>
      <c r="AH2088">
        <v>4</v>
      </c>
      <c r="AI2088" t="s">
        <v>78</v>
      </c>
      <c r="AM2088">
        <v>0</v>
      </c>
      <c r="AP2088" t="s">
        <v>392</v>
      </c>
    </row>
    <row r="2089" spans="1:42" customFormat="1">
      <c r="A2089">
        <v>272575</v>
      </c>
      <c r="B2089">
        <v>192625</v>
      </c>
      <c r="C2089" t="s">
        <v>5328</v>
      </c>
      <c r="D2089" s="22">
        <v>1473</v>
      </c>
      <c r="E2089" s="17">
        <v>42153</v>
      </c>
      <c r="F2089" s="18">
        <v>0.43260416666666668</v>
      </c>
      <c r="G2089" s="22">
        <v>0</v>
      </c>
      <c r="H2089">
        <v>0</v>
      </c>
      <c r="I2089" s="19" t="e">
        <f>I2088 + (D2089-G2089)</f>
        <v>#VALUE!</v>
      </c>
      <c r="L2089">
        <v>192625</v>
      </c>
      <c r="N2089">
        <v>14</v>
      </c>
      <c r="O2089" t="s">
        <v>135</v>
      </c>
      <c r="P2089">
        <v>1</v>
      </c>
      <c r="R2089">
        <v>2</v>
      </c>
      <c r="S2089" s="17">
        <v>42164</v>
      </c>
      <c r="T2089" s="17">
        <v>42164</v>
      </c>
      <c r="U2089">
        <v>28887</v>
      </c>
      <c r="V2089">
        <v>20150529</v>
      </c>
      <c r="W2089">
        <v>2015</v>
      </c>
      <c r="X2089">
        <v>14</v>
      </c>
      <c r="AC2089" t="s">
        <v>49</v>
      </c>
      <c r="AD2089" t="s">
        <v>301</v>
      </c>
      <c r="AE2089" t="s">
        <v>46</v>
      </c>
      <c r="AG2089">
        <v>12</v>
      </c>
      <c r="AH2089">
        <v>4</v>
      </c>
      <c r="AI2089" t="s">
        <v>78</v>
      </c>
      <c r="AM2089">
        <v>0</v>
      </c>
      <c r="AP2089" t="s">
        <v>392</v>
      </c>
    </row>
    <row r="2090" spans="1:42" customFormat="1">
      <c r="A2090">
        <v>272571</v>
      </c>
      <c r="B2090">
        <v>192566</v>
      </c>
      <c r="C2090" t="s">
        <v>5329</v>
      </c>
      <c r="D2090" s="22">
        <v>1473</v>
      </c>
      <c r="E2090" s="17">
        <v>42153</v>
      </c>
      <c r="F2090" s="18">
        <v>0.43260416666666668</v>
      </c>
      <c r="G2090" s="22">
        <v>0</v>
      </c>
      <c r="H2090">
        <v>0</v>
      </c>
      <c r="I2090" s="19" t="e">
        <f>I2089 + (D2090-G2090)</f>
        <v>#VALUE!</v>
      </c>
      <c r="L2090">
        <v>192566</v>
      </c>
      <c r="N2090">
        <v>14</v>
      </c>
      <c r="O2090" t="s">
        <v>135</v>
      </c>
      <c r="P2090">
        <v>1</v>
      </c>
      <c r="R2090">
        <v>2</v>
      </c>
      <c r="S2090" s="17">
        <v>42164</v>
      </c>
      <c r="T2090" s="17">
        <v>42164</v>
      </c>
      <c r="U2090">
        <v>28883</v>
      </c>
      <c r="V2090">
        <v>20150529</v>
      </c>
      <c r="W2090">
        <v>2015</v>
      </c>
      <c r="X2090">
        <v>14</v>
      </c>
      <c r="AC2090" t="s">
        <v>49</v>
      </c>
      <c r="AD2090" t="s">
        <v>301</v>
      </c>
      <c r="AE2090" t="s">
        <v>46</v>
      </c>
      <c r="AG2090">
        <v>12</v>
      </c>
      <c r="AH2090">
        <v>4</v>
      </c>
      <c r="AI2090" t="s">
        <v>78</v>
      </c>
      <c r="AM2090">
        <v>0</v>
      </c>
      <c r="AP2090" t="s">
        <v>392</v>
      </c>
    </row>
    <row r="2091" spans="1:42" customFormat="1">
      <c r="A2091">
        <v>272572</v>
      </c>
      <c r="B2091">
        <v>192628</v>
      </c>
      <c r="C2091" t="s">
        <v>5330</v>
      </c>
      <c r="D2091" s="22">
        <v>1473</v>
      </c>
      <c r="E2091" s="17">
        <v>42153</v>
      </c>
      <c r="F2091" s="18">
        <v>0.43260416666666668</v>
      </c>
      <c r="G2091" s="22">
        <v>0</v>
      </c>
      <c r="H2091">
        <v>0</v>
      </c>
      <c r="I2091" s="19" t="e">
        <f>I2090 + (D2091-G2091)</f>
        <v>#VALUE!</v>
      </c>
      <c r="L2091">
        <v>192628</v>
      </c>
      <c r="N2091">
        <v>14</v>
      </c>
      <c r="O2091" t="s">
        <v>135</v>
      </c>
      <c r="P2091">
        <v>1</v>
      </c>
      <c r="R2091">
        <v>2</v>
      </c>
      <c r="S2091" s="17">
        <v>42164</v>
      </c>
      <c r="T2091" s="17">
        <v>42164</v>
      </c>
      <c r="U2091">
        <v>28884</v>
      </c>
      <c r="V2091">
        <v>20150529</v>
      </c>
      <c r="W2091">
        <v>2015</v>
      </c>
      <c r="X2091">
        <v>14</v>
      </c>
      <c r="AC2091" t="s">
        <v>49</v>
      </c>
      <c r="AD2091" t="s">
        <v>301</v>
      </c>
      <c r="AE2091" t="s">
        <v>46</v>
      </c>
      <c r="AG2091">
        <v>12</v>
      </c>
      <c r="AH2091">
        <v>4</v>
      </c>
      <c r="AI2091" t="s">
        <v>78</v>
      </c>
      <c r="AM2091">
        <v>0</v>
      </c>
      <c r="AP2091" t="s">
        <v>392</v>
      </c>
    </row>
    <row r="2092" spans="1:42" customFormat="1">
      <c r="A2092">
        <v>272570</v>
      </c>
      <c r="B2092">
        <v>192558</v>
      </c>
      <c r="C2092" t="s">
        <v>5331</v>
      </c>
      <c r="D2092" s="22">
        <v>1473</v>
      </c>
      <c r="E2092" s="17">
        <v>42153</v>
      </c>
      <c r="F2092" s="18">
        <v>0.43260416666666668</v>
      </c>
      <c r="G2092" s="22">
        <v>0</v>
      </c>
      <c r="H2092">
        <v>0</v>
      </c>
      <c r="I2092" s="19" t="e">
        <f>I2091 + (D2092-G2092)</f>
        <v>#VALUE!</v>
      </c>
      <c r="L2092">
        <v>192558</v>
      </c>
      <c r="N2092">
        <v>14</v>
      </c>
      <c r="O2092" t="s">
        <v>135</v>
      </c>
      <c r="P2092">
        <v>1</v>
      </c>
      <c r="R2092">
        <v>2</v>
      </c>
      <c r="S2092" s="17">
        <v>42164</v>
      </c>
      <c r="T2092" s="17">
        <v>42164</v>
      </c>
      <c r="U2092">
        <v>28882</v>
      </c>
      <c r="V2092">
        <v>20150529</v>
      </c>
      <c r="W2092">
        <v>2015</v>
      </c>
      <c r="X2092">
        <v>14</v>
      </c>
      <c r="AC2092" t="s">
        <v>49</v>
      </c>
      <c r="AD2092" t="s">
        <v>301</v>
      </c>
      <c r="AE2092" t="s">
        <v>46</v>
      </c>
      <c r="AG2092">
        <v>12</v>
      </c>
      <c r="AH2092">
        <v>4</v>
      </c>
      <c r="AI2092" t="s">
        <v>78</v>
      </c>
      <c r="AM2092">
        <v>0</v>
      </c>
      <c r="AP2092" t="s">
        <v>392</v>
      </c>
    </row>
    <row r="2093" spans="1:42" customFormat="1">
      <c r="A2093">
        <v>272574</v>
      </c>
      <c r="B2093">
        <v>192609</v>
      </c>
      <c r="C2093" t="s">
        <v>5332</v>
      </c>
      <c r="D2093" s="22">
        <v>1473</v>
      </c>
      <c r="E2093" s="17">
        <v>42153</v>
      </c>
      <c r="F2093" s="18">
        <v>0.43260416666666668</v>
      </c>
      <c r="G2093" s="22">
        <v>0</v>
      </c>
      <c r="H2093">
        <v>0</v>
      </c>
      <c r="I2093" s="19" t="e">
        <f>I2092 + (D2093-G2093)</f>
        <v>#VALUE!</v>
      </c>
      <c r="L2093">
        <v>192609</v>
      </c>
      <c r="N2093">
        <v>14</v>
      </c>
      <c r="O2093" t="s">
        <v>135</v>
      </c>
      <c r="P2093">
        <v>1</v>
      </c>
      <c r="R2093">
        <v>2</v>
      </c>
      <c r="S2093" s="17">
        <v>42164</v>
      </c>
      <c r="T2093" s="17">
        <v>42164</v>
      </c>
      <c r="U2093">
        <v>28886</v>
      </c>
      <c r="V2093">
        <v>20150529</v>
      </c>
      <c r="W2093">
        <v>2015</v>
      </c>
      <c r="X2093">
        <v>14</v>
      </c>
      <c r="AC2093" t="s">
        <v>49</v>
      </c>
      <c r="AD2093" t="s">
        <v>301</v>
      </c>
      <c r="AE2093" t="s">
        <v>46</v>
      </c>
      <c r="AG2093">
        <v>12</v>
      </c>
      <c r="AH2093">
        <v>4</v>
      </c>
      <c r="AI2093" t="s">
        <v>78</v>
      </c>
      <c r="AM2093">
        <v>0</v>
      </c>
      <c r="AP2093" t="s">
        <v>392</v>
      </c>
    </row>
    <row r="2094" spans="1:42" customFormat="1">
      <c r="A2094">
        <v>272577</v>
      </c>
      <c r="B2094">
        <v>192589</v>
      </c>
      <c r="C2094" t="s">
        <v>5333</v>
      </c>
      <c r="D2094" s="22">
        <v>1473</v>
      </c>
      <c r="E2094" s="17">
        <v>42153</v>
      </c>
      <c r="F2094" s="18">
        <v>0.43260416666666668</v>
      </c>
      <c r="G2094" s="22">
        <v>0</v>
      </c>
      <c r="H2094">
        <v>0</v>
      </c>
      <c r="I2094" s="19" t="e">
        <f>I2093 + (D2094-G2094)</f>
        <v>#VALUE!</v>
      </c>
      <c r="L2094">
        <v>192589</v>
      </c>
      <c r="N2094">
        <v>14</v>
      </c>
      <c r="O2094" t="s">
        <v>135</v>
      </c>
      <c r="P2094">
        <v>1</v>
      </c>
      <c r="R2094">
        <v>2</v>
      </c>
      <c r="S2094" s="17">
        <v>42164</v>
      </c>
      <c r="T2094" s="17">
        <v>42164</v>
      </c>
      <c r="U2094">
        <v>28889</v>
      </c>
      <c r="V2094">
        <v>20150529</v>
      </c>
      <c r="W2094">
        <v>2015</v>
      </c>
      <c r="X2094">
        <v>14</v>
      </c>
      <c r="AC2094" t="s">
        <v>49</v>
      </c>
      <c r="AD2094" t="s">
        <v>301</v>
      </c>
      <c r="AE2094" t="s">
        <v>46</v>
      </c>
      <c r="AG2094">
        <v>12</v>
      </c>
      <c r="AH2094">
        <v>4</v>
      </c>
      <c r="AI2094" t="s">
        <v>78</v>
      </c>
      <c r="AM2094">
        <v>0</v>
      </c>
      <c r="AP2094" t="s">
        <v>392</v>
      </c>
    </row>
    <row r="2095" spans="1:42" customFormat="1">
      <c r="A2095">
        <v>272588</v>
      </c>
      <c r="B2095">
        <v>193041</v>
      </c>
      <c r="C2095" t="s">
        <v>5334</v>
      </c>
      <c r="D2095" s="22">
        <v>1473</v>
      </c>
      <c r="E2095" s="17">
        <v>42153</v>
      </c>
      <c r="F2095" s="18">
        <v>0.43261574074074072</v>
      </c>
      <c r="G2095" s="22">
        <v>0</v>
      </c>
      <c r="H2095">
        <v>0</v>
      </c>
      <c r="I2095" s="19" t="e">
        <f>I2094 + (D2095-G2095)</f>
        <v>#VALUE!</v>
      </c>
      <c r="L2095">
        <v>193041</v>
      </c>
      <c r="N2095">
        <v>14</v>
      </c>
      <c r="O2095" t="s">
        <v>135</v>
      </c>
      <c r="P2095">
        <v>1</v>
      </c>
      <c r="R2095">
        <v>2</v>
      </c>
      <c r="S2095" s="17">
        <v>42164</v>
      </c>
      <c r="T2095" s="17">
        <v>42164</v>
      </c>
      <c r="U2095">
        <v>28900</v>
      </c>
      <c r="V2095">
        <v>20150529</v>
      </c>
      <c r="W2095">
        <v>2015</v>
      </c>
      <c r="X2095">
        <v>14</v>
      </c>
      <c r="AC2095" t="s">
        <v>49</v>
      </c>
      <c r="AD2095" t="s">
        <v>301</v>
      </c>
      <c r="AE2095" t="s">
        <v>46</v>
      </c>
      <c r="AG2095">
        <v>12</v>
      </c>
      <c r="AH2095">
        <v>4</v>
      </c>
      <c r="AI2095" t="s">
        <v>78</v>
      </c>
      <c r="AM2095">
        <v>0</v>
      </c>
      <c r="AP2095" t="s">
        <v>392</v>
      </c>
    </row>
    <row r="2096" spans="1:42" customFormat="1">
      <c r="A2096">
        <v>272583</v>
      </c>
      <c r="B2096">
        <v>193062</v>
      </c>
      <c r="C2096" t="s">
        <v>5335</v>
      </c>
      <c r="D2096" s="22">
        <v>1473</v>
      </c>
      <c r="E2096" s="17">
        <v>42153</v>
      </c>
      <c r="F2096" s="18">
        <v>0.43261574074074072</v>
      </c>
      <c r="G2096" s="22">
        <v>0</v>
      </c>
      <c r="H2096">
        <v>0</v>
      </c>
      <c r="I2096" s="19" t="e">
        <f>I2095 + (D2096-G2096)</f>
        <v>#VALUE!</v>
      </c>
      <c r="L2096">
        <v>193062</v>
      </c>
      <c r="N2096">
        <v>14</v>
      </c>
      <c r="O2096" t="s">
        <v>135</v>
      </c>
      <c r="P2096">
        <v>1</v>
      </c>
      <c r="R2096">
        <v>2</v>
      </c>
      <c r="S2096" s="17">
        <v>42164</v>
      </c>
      <c r="T2096" s="17">
        <v>42164</v>
      </c>
      <c r="U2096">
        <v>28895</v>
      </c>
      <c r="V2096">
        <v>20150529</v>
      </c>
      <c r="W2096">
        <v>2015</v>
      </c>
      <c r="X2096">
        <v>14</v>
      </c>
      <c r="AC2096" t="s">
        <v>49</v>
      </c>
      <c r="AD2096" t="s">
        <v>301</v>
      </c>
      <c r="AE2096" t="s">
        <v>46</v>
      </c>
      <c r="AG2096">
        <v>12</v>
      </c>
      <c r="AH2096">
        <v>4</v>
      </c>
      <c r="AI2096" t="s">
        <v>78</v>
      </c>
      <c r="AM2096">
        <v>0</v>
      </c>
      <c r="AP2096" t="s">
        <v>392</v>
      </c>
    </row>
    <row r="2097" spans="1:42" customFormat="1">
      <c r="A2097">
        <v>272580</v>
      </c>
      <c r="B2097">
        <v>192662</v>
      </c>
      <c r="C2097" t="s">
        <v>5336</v>
      </c>
      <c r="D2097" s="22">
        <v>1473</v>
      </c>
      <c r="E2097" s="17">
        <v>42153</v>
      </c>
      <c r="F2097" s="18">
        <v>0.43261574074074072</v>
      </c>
      <c r="G2097" s="22">
        <v>0</v>
      </c>
      <c r="H2097">
        <v>0</v>
      </c>
      <c r="I2097" s="19" t="e">
        <f>I2096 + (D2097-G2097)</f>
        <v>#VALUE!</v>
      </c>
      <c r="L2097">
        <v>192662</v>
      </c>
      <c r="N2097">
        <v>14</v>
      </c>
      <c r="O2097" t="s">
        <v>135</v>
      </c>
      <c r="P2097">
        <v>1</v>
      </c>
      <c r="R2097">
        <v>2</v>
      </c>
      <c r="S2097" s="17">
        <v>42164</v>
      </c>
      <c r="T2097" s="17">
        <v>42164</v>
      </c>
      <c r="U2097">
        <v>28892</v>
      </c>
      <c r="V2097">
        <v>20150529</v>
      </c>
      <c r="W2097">
        <v>2015</v>
      </c>
      <c r="X2097">
        <v>14</v>
      </c>
      <c r="AC2097" t="s">
        <v>49</v>
      </c>
      <c r="AD2097" t="s">
        <v>301</v>
      </c>
      <c r="AE2097" t="s">
        <v>46</v>
      </c>
      <c r="AG2097">
        <v>12</v>
      </c>
      <c r="AH2097">
        <v>4</v>
      </c>
      <c r="AI2097" t="s">
        <v>78</v>
      </c>
      <c r="AM2097">
        <v>0</v>
      </c>
      <c r="AP2097" t="s">
        <v>392</v>
      </c>
    </row>
    <row r="2098" spans="1:42" customFormat="1">
      <c r="A2098">
        <v>272582</v>
      </c>
      <c r="B2098">
        <v>192703</v>
      </c>
      <c r="C2098" t="s">
        <v>5337</v>
      </c>
      <c r="D2098" s="22">
        <v>1473</v>
      </c>
      <c r="E2098" s="17">
        <v>42153</v>
      </c>
      <c r="F2098" s="18">
        <v>0.43261574074074072</v>
      </c>
      <c r="G2098" s="22">
        <v>0</v>
      </c>
      <c r="H2098">
        <v>0</v>
      </c>
      <c r="I2098" s="19" t="e">
        <f>I2097 + (D2098-G2098)</f>
        <v>#VALUE!</v>
      </c>
      <c r="L2098">
        <v>192703</v>
      </c>
      <c r="N2098">
        <v>14</v>
      </c>
      <c r="O2098" t="s">
        <v>135</v>
      </c>
      <c r="P2098">
        <v>1</v>
      </c>
      <c r="R2098">
        <v>2</v>
      </c>
      <c r="S2098" s="17">
        <v>42164</v>
      </c>
      <c r="T2098" s="17">
        <v>42164</v>
      </c>
      <c r="U2098">
        <v>28894</v>
      </c>
      <c r="V2098">
        <v>20150529</v>
      </c>
      <c r="W2098">
        <v>2015</v>
      </c>
      <c r="X2098">
        <v>14</v>
      </c>
      <c r="AC2098" t="s">
        <v>49</v>
      </c>
      <c r="AD2098" t="s">
        <v>301</v>
      </c>
      <c r="AE2098" t="s">
        <v>46</v>
      </c>
      <c r="AG2098">
        <v>12</v>
      </c>
      <c r="AH2098">
        <v>4</v>
      </c>
      <c r="AI2098" t="s">
        <v>78</v>
      </c>
      <c r="AM2098">
        <v>0</v>
      </c>
      <c r="AP2098" t="s">
        <v>392</v>
      </c>
    </row>
    <row r="2099" spans="1:42" customFormat="1">
      <c r="A2099">
        <v>272585</v>
      </c>
      <c r="B2099">
        <v>192843</v>
      </c>
      <c r="C2099" t="s">
        <v>5338</v>
      </c>
      <c r="D2099" s="22">
        <v>1473</v>
      </c>
      <c r="E2099" s="17">
        <v>42153</v>
      </c>
      <c r="F2099" s="18">
        <v>0.43261574074074072</v>
      </c>
      <c r="G2099" s="22">
        <v>0</v>
      </c>
      <c r="H2099">
        <v>0</v>
      </c>
      <c r="I2099" s="19" t="e">
        <f>I2098 + (D2099-G2099)</f>
        <v>#VALUE!</v>
      </c>
      <c r="L2099">
        <v>192843</v>
      </c>
      <c r="N2099">
        <v>14</v>
      </c>
      <c r="O2099" t="s">
        <v>135</v>
      </c>
      <c r="P2099">
        <v>1</v>
      </c>
      <c r="R2099">
        <v>2</v>
      </c>
      <c r="S2099" s="17">
        <v>42164</v>
      </c>
      <c r="T2099" s="17">
        <v>42164</v>
      </c>
      <c r="U2099">
        <v>28897</v>
      </c>
      <c r="V2099">
        <v>20150529</v>
      </c>
      <c r="W2099">
        <v>2015</v>
      </c>
      <c r="X2099">
        <v>14</v>
      </c>
      <c r="AC2099" t="s">
        <v>49</v>
      </c>
      <c r="AD2099" t="s">
        <v>301</v>
      </c>
      <c r="AE2099" t="s">
        <v>46</v>
      </c>
      <c r="AG2099">
        <v>12</v>
      </c>
      <c r="AH2099">
        <v>4</v>
      </c>
      <c r="AI2099" t="s">
        <v>78</v>
      </c>
      <c r="AM2099">
        <v>0</v>
      </c>
      <c r="AP2099" t="s">
        <v>392</v>
      </c>
    </row>
    <row r="2100" spans="1:42" customFormat="1">
      <c r="A2100">
        <v>272581</v>
      </c>
      <c r="B2100">
        <v>192764</v>
      </c>
      <c r="C2100" t="s">
        <v>5339</v>
      </c>
      <c r="D2100" s="22">
        <v>1473</v>
      </c>
      <c r="E2100" s="17">
        <v>42153</v>
      </c>
      <c r="F2100" s="18">
        <v>0.43261574074074072</v>
      </c>
      <c r="G2100" s="22">
        <v>0</v>
      </c>
      <c r="H2100">
        <v>0</v>
      </c>
      <c r="I2100" s="19" t="e">
        <f>I2099 + (D2100-G2100)</f>
        <v>#VALUE!</v>
      </c>
      <c r="L2100">
        <v>192764</v>
      </c>
      <c r="N2100">
        <v>14</v>
      </c>
      <c r="O2100" t="s">
        <v>135</v>
      </c>
      <c r="P2100">
        <v>1</v>
      </c>
      <c r="R2100">
        <v>2</v>
      </c>
      <c r="S2100" s="17">
        <v>42164</v>
      </c>
      <c r="T2100" s="17">
        <v>42164</v>
      </c>
      <c r="U2100">
        <v>28893</v>
      </c>
      <c r="V2100">
        <v>20150529</v>
      </c>
      <c r="W2100">
        <v>2015</v>
      </c>
      <c r="X2100">
        <v>14</v>
      </c>
      <c r="AC2100" t="s">
        <v>49</v>
      </c>
      <c r="AD2100" t="s">
        <v>301</v>
      </c>
      <c r="AE2100" t="s">
        <v>46</v>
      </c>
      <c r="AG2100">
        <v>12</v>
      </c>
      <c r="AH2100">
        <v>4</v>
      </c>
      <c r="AI2100" t="s">
        <v>78</v>
      </c>
      <c r="AM2100">
        <v>0</v>
      </c>
      <c r="AP2100" t="s">
        <v>392</v>
      </c>
    </row>
    <row r="2101" spans="1:42" customFormat="1">
      <c r="A2101">
        <v>272586</v>
      </c>
      <c r="B2101">
        <v>193095</v>
      </c>
      <c r="C2101" t="s">
        <v>5340</v>
      </c>
      <c r="D2101" s="22">
        <v>1473</v>
      </c>
      <c r="E2101" s="17">
        <v>42153</v>
      </c>
      <c r="F2101" s="18">
        <v>0.43261574074074072</v>
      </c>
      <c r="G2101" s="22">
        <v>0</v>
      </c>
      <c r="H2101">
        <v>0</v>
      </c>
      <c r="I2101" s="19" t="e">
        <f>I2100 + (D2101-G2101)</f>
        <v>#VALUE!</v>
      </c>
      <c r="L2101">
        <v>193095</v>
      </c>
      <c r="N2101">
        <v>14</v>
      </c>
      <c r="O2101" t="s">
        <v>135</v>
      </c>
      <c r="P2101">
        <v>1</v>
      </c>
      <c r="R2101">
        <v>2</v>
      </c>
      <c r="S2101" s="17">
        <v>42164</v>
      </c>
      <c r="T2101" s="17">
        <v>42164</v>
      </c>
      <c r="U2101">
        <v>28898</v>
      </c>
      <c r="V2101">
        <v>20150529</v>
      </c>
      <c r="W2101">
        <v>2015</v>
      </c>
      <c r="X2101">
        <v>14</v>
      </c>
      <c r="AC2101" t="s">
        <v>49</v>
      </c>
      <c r="AD2101" t="s">
        <v>301</v>
      </c>
      <c r="AE2101" t="s">
        <v>46</v>
      </c>
      <c r="AG2101">
        <v>12</v>
      </c>
      <c r="AH2101">
        <v>4</v>
      </c>
      <c r="AI2101" t="s">
        <v>78</v>
      </c>
      <c r="AM2101">
        <v>0</v>
      </c>
      <c r="AP2101" t="s">
        <v>392</v>
      </c>
    </row>
    <row r="2102" spans="1:42" customFormat="1">
      <c r="A2102">
        <v>272584</v>
      </c>
      <c r="B2102">
        <v>192797</v>
      </c>
      <c r="C2102" t="s">
        <v>5341</v>
      </c>
      <c r="D2102" s="22">
        <v>1473</v>
      </c>
      <c r="E2102" s="17">
        <v>42153</v>
      </c>
      <c r="F2102" s="18">
        <v>0.43261574074074072</v>
      </c>
      <c r="G2102" s="22">
        <v>0</v>
      </c>
      <c r="H2102">
        <v>0</v>
      </c>
      <c r="I2102" s="19" t="e">
        <f>I2101 + (D2102-G2102)</f>
        <v>#VALUE!</v>
      </c>
      <c r="L2102">
        <v>192797</v>
      </c>
      <c r="N2102">
        <v>14</v>
      </c>
      <c r="O2102" t="s">
        <v>135</v>
      </c>
      <c r="P2102">
        <v>1</v>
      </c>
      <c r="R2102">
        <v>2</v>
      </c>
      <c r="S2102" s="17">
        <v>42164</v>
      </c>
      <c r="T2102" s="17">
        <v>42164</v>
      </c>
      <c r="U2102">
        <v>28896</v>
      </c>
      <c r="V2102">
        <v>20150529</v>
      </c>
      <c r="W2102">
        <v>2015</v>
      </c>
      <c r="X2102">
        <v>14</v>
      </c>
      <c r="AC2102" t="s">
        <v>49</v>
      </c>
      <c r="AD2102" t="s">
        <v>301</v>
      </c>
      <c r="AE2102" t="s">
        <v>46</v>
      </c>
      <c r="AG2102">
        <v>12</v>
      </c>
      <c r="AH2102">
        <v>4</v>
      </c>
      <c r="AI2102" t="s">
        <v>78</v>
      </c>
      <c r="AM2102">
        <v>0</v>
      </c>
      <c r="AP2102" t="s">
        <v>392</v>
      </c>
    </row>
    <row r="2103" spans="1:42" customFormat="1">
      <c r="A2103">
        <v>272587</v>
      </c>
      <c r="B2103">
        <v>192808</v>
      </c>
      <c r="C2103" t="s">
        <v>5342</v>
      </c>
      <c r="D2103" s="22">
        <v>1473</v>
      </c>
      <c r="E2103" s="17">
        <v>42153</v>
      </c>
      <c r="F2103" s="18">
        <v>0.43261574074074072</v>
      </c>
      <c r="G2103" s="22">
        <v>0</v>
      </c>
      <c r="H2103">
        <v>0</v>
      </c>
      <c r="I2103" s="19" t="e">
        <f>I2102 + (D2103-G2103)</f>
        <v>#VALUE!</v>
      </c>
      <c r="L2103">
        <v>192808</v>
      </c>
      <c r="N2103">
        <v>14</v>
      </c>
      <c r="O2103" t="s">
        <v>135</v>
      </c>
      <c r="P2103">
        <v>1</v>
      </c>
      <c r="R2103">
        <v>2</v>
      </c>
      <c r="S2103" s="17">
        <v>42164</v>
      </c>
      <c r="T2103" s="17">
        <v>42164</v>
      </c>
      <c r="U2103">
        <v>28899</v>
      </c>
      <c r="V2103">
        <v>20150529</v>
      </c>
      <c r="W2103">
        <v>2015</v>
      </c>
      <c r="X2103">
        <v>14</v>
      </c>
      <c r="AC2103" t="s">
        <v>49</v>
      </c>
      <c r="AD2103" t="s">
        <v>301</v>
      </c>
      <c r="AE2103" t="s">
        <v>46</v>
      </c>
      <c r="AG2103">
        <v>12</v>
      </c>
      <c r="AH2103">
        <v>4</v>
      </c>
      <c r="AI2103" t="s">
        <v>78</v>
      </c>
      <c r="AM2103">
        <v>0</v>
      </c>
      <c r="AP2103" t="s">
        <v>392</v>
      </c>
    </row>
    <row r="2104" spans="1:42" customFormat="1">
      <c r="A2104">
        <v>272579</v>
      </c>
      <c r="B2104">
        <v>192718</v>
      </c>
      <c r="C2104" t="s">
        <v>5343</v>
      </c>
      <c r="D2104" s="22">
        <v>1473</v>
      </c>
      <c r="E2104" s="17">
        <v>42153</v>
      </c>
      <c r="F2104" s="18">
        <v>0.43261574074074072</v>
      </c>
      <c r="G2104" s="22">
        <v>0</v>
      </c>
      <c r="H2104">
        <v>0</v>
      </c>
      <c r="I2104" s="19" t="e">
        <f>I2103 + (D2104-G2104)</f>
        <v>#VALUE!</v>
      </c>
      <c r="L2104">
        <v>192718</v>
      </c>
      <c r="N2104">
        <v>14</v>
      </c>
      <c r="O2104" t="s">
        <v>135</v>
      </c>
      <c r="P2104">
        <v>1</v>
      </c>
      <c r="R2104">
        <v>2</v>
      </c>
      <c r="S2104" s="17">
        <v>42164</v>
      </c>
      <c r="T2104" s="17">
        <v>42164</v>
      </c>
      <c r="U2104">
        <v>28891</v>
      </c>
      <c r="V2104">
        <v>20150529</v>
      </c>
      <c r="W2104">
        <v>2015</v>
      </c>
      <c r="X2104">
        <v>14</v>
      </c>
      <c r="AC2104" t="s">
        <v>49</v>
      </c>
      <c r="AD2104" t="s">
        <v>301</v>
      </c>
      <c r="AE2104" t="s">
        <v>46</v>
      </c>
      <c r="AG2104">
        <v>12</v>
      </c>
      <c r="AH2104">
        <v>4</v>
      </c>
      <c r="AI2104" t="s">
        <v>78</v>
      </c>
      <c r="AM2104">
        <v>0</v>
      </c>
      <c r="AP2104" t="s">
        <v>392</v>
      </c>
    </row>
    <row r="2105" spans="1:42" customFormat="1">
      <c r="A2105">
        <v>272596</v>
      </c>
      <c r="B2105">
        <v>192930</v>
      </c>
      <c r="C2105" t="s">
        <v>5344</v>
      </c>
      <c r="D2105" s="22">
        <v>1473</v>
      </c>
      <c r="E2105" s="17">
        <v>42153</v>
      </c>
      <c r="F2105" s="18">
        <v>0.43262731481481481</v>
      </c>
      <c r="G2105" s="22">
        <v>0</v>
      </c>
      <c r="H2105">
        <v>0</v>
      </c>
      <c r="I2105" s="19" t="e">
        <f>I2104 + (D2105-G2105)</f>
        <v>#VALUE!</v>
      </c>
      <c r="L2105">
        <v>192930</v>
      </c>
      <c r="N2105">
        <v>14</v>
      </c>
      <c r="O2105" t="s">
        <v>135</v>
      </c>
      <c r="P2105">
        <v>1</v>
      </c>
      <c r="R2105">
        <v>2</v>
      </c>
      <c r="S2105" s="17">
        <v>42164</v>
      </c>
      <c r="T2105" s="17">
        <v>42164</v>
      </c>
      <c r="U2105">
        <v>28908</v>
      </c>
      <c r="V2105">
        <v>20150529</v>
      </c>
      <c r="W2105">
        <v>2015</v>
      </c>
      <c r="X2105">
        <v>14</v>
      </c>
      <c r="AC2105" t="s">
        <v>49</v>
      </c>
      <c r="AD2105" t="s">
        <v>301</v>
      </c>
      <c r="AE2105" t="s">
        <v>46</v>
      </c>
      <c r="AG2105">
        <v>12</v>
      </c>
      <c r="AH2105">
        <v>4</v>
      </c>
      <c r="AI2105" t="s">
        <v>78</v>
      </c>
      <c r="AM2105">
        <v>0</v>
      </c>
      <c r="AP2105" t="s">
        <v>392</v>
      </c>
    </row>
    <row r="2106" spans="1:42" customFormat="1">
      <c r="A2106">
        <v>272590</v>
      </c>
      <c r="B2106">
        <v>192981</v>
      </c>
      <c r="C2106" t="s">
        <v>5345</v>
      </c>
      <c r="D2106" s="22">
        <v>1473</v>
      </c>
      <c r="E2106" s="17">
        <v>42153</v>
      </c>
      <c r="F2106" s="18">
        <v>0.43262731481481481</v>
      </c>
      <c r="G2106" s="22">
        <v>0</v>
      </c>
      <c r="H2106">
        <v>0</v>
      </c>
      <c r="I2106" s="19" t="e">
        <f>I2105 + (D2106-G2106)</f>
        <v>#VALUE!</v>
      </c>
      <c r="L2106">
        <v>192981</v>
      </c>
      <c r="N2106">
        <v>14</v>
      </c>
      <c r="O2106" t="s">
        <v>135</v>
      </c>
      <c r="P2106">
        <v>1</v>
      </c>
      <c r="R2106">
        <v>2</v>
      </c>
      <c r="S2106" s="17">
        <v>42164</v>
      </c>
      <c r="T2106" s="17">
        <v>42164</v>
      </c>
      <c r="U2106">
        <v>28902</v>
      </c>
      <c r="V2106">
        <v>20150529</v>
      </c>
      <c r="W2106">
        <v>2015</v>
      </c>
      <c r="X2106">
        <v>14</v>
      </c>
      <c r="AC2106" t="s">
        <v>49</v>
      </c>
      <c r="AD2106" t="s">
        <v>301</v>
      </c>
      <c r="AE2106" t="s">
        <v>46</v>
      </c>
      <c r="AG2106">
        <v>12</v>
      </c>
      <c r="AH2106">
        <v>4</v>
      </c>
      <c r="AI2106" t="s">
        <v>78</v>
      </c>
      <c r="AM2106">
        <v>0</v>
      </c>
      <c r="AP2106" t="s">
        <v>392</v>
      </c>
    </row>
    <row r="2107" spans="1:42" customFormat="1">
      <c r="A2107">
        <v>272595</v>
      </c>
      <c r="B2107">
        <v>192991</v>
      </c>
      <c r="C2107" t="s">
        <v>5346</v>
      </c>
      <c r="D2107" s="22">
        <v>1473</v>
      </c>
      <c r="E2107" s="17">
        <v>42153</v>
      </c>
      <c r="F2107" s="18">
        <v>0.43262731481481481</v>
      </c>
      <c r="G2107" s="22">
        <v>0</v>
      </c>
      <c r="H2107">
        <v>0</v>
      </c>
      <c r="I2107" s="19" t="e">
        <f>I2106 + (D2107-G2107)</f>
        <v>#VALUE!</v>
      </c>
      <c r="L2107">
        <v>192991</v>
      </c>
      <c r="N2107">
        <v>14</v>
      </c>
      <c r="O2107" t="s">
        <v>135</v>
      </c>
      <c r="P2107">
        <v>1</v>
      </c>
      <c r="R2107">
        <v>2</v>
      </c>
      <c r="S2107" s="17">
        <v>42164</v>
      </c>
      <c r="T2107" s="17">
        <v>42164</v>
      </c>
      <c r="U2107">
        <v>28907</v>
      </c>
      <c r="V2107">
        <v>20150529</v>
      </c>
      <c r="W2107">
        <v>2015</v>
      </c>
      <c r="X2107">
        <v>14</v>
      </c>
      <c r="AC2107" t="s">
        <v>49</v>
      </c>
      <c r="AD2107" t="s">
        <v>301</v>
      </c>
      <c r="AE2107" t="s">
        <v>46</v>
      </c>
      <c r="AG2107">
        <v>12</v>
      </c>
      <c r="AH2107">
        <v>4</v>
      </c>
      <c r="AI2107" t="s">
        <v>78</v>
      </c>
      <c r="AM2107">
        <v>0</v>
      </c>
      <c r="AP2107" t="s">
        <v>392</v>
      </c>
    </row>
    <row r="2108" spans="1:42" customFormat="1">
      <c r="A2108">
        <v>272594</v>
      </c>
      <c r="B2108">
        <v>193042</v>
      </c>
      <c r="C2108" t="s">
        <v>5347</v>
      </c>
      <c r="D2108" s="22">
        <v>1473</v>
      </c>
      <c r="E2108" s="17">
        <v>42153</v>
      </c>
      <c r="F2108" s="18">
        <v>0.43262731481481481</v>
      </c>
      <c r="G2108" s="22">
        <v>0</v>
      </c>
      <c r="H2108">
        <v>0</v>
      </c>
      <c r="I2108" s="19" t="e">
        <f>I2107 + (D2108-G2108)</f>
        <v>#VALUE!</v>
      </c>
      <c r="L2108">
        <v>193042</v>
      </c>
      <c r="N2108">
        <v>14</v>
      </c>
      <c r="O2108" t="s">
        <v>135</v>
      </c>
      <c r="P2108">
        <v>1</v>
      </c>
      <c r="R2108">
        <v>2</v>
      </c>
      <c r="S2108" s="17">
        <v>42164</v>
      </c>
      <c r="T2108" s="17">
        <v>42164</v>
      </c>
      <c r="U2108">
        <v>28906</v>
      </c>
      <c r="V2108">
        <v>20150529</v>
      </c>
      <c r="W2108">
        <v>2015</v>
      </c>
      <c r="X2108">
        <v>14</v>
      </c>
      <c r="AC2108" t="s">
        <v>49</v>
      </c>
      <c r="AD2108" t="s">
        <v>301</v>
      </c>
      <c r="AE2108" t="s">
        <v>46</v>
      </c>
      <c r="AG2108">
        <v>12</v>
      </c>
      <c r="AH2108">
        <v>4</v>
      </c>
      <c r="AI2108" t="s">
        <v>78</v>
      </c>
      <c r="AM2108">
        <v>0</v>
      </c>
      <c r="AP2108" t="s">
        <v>392</v>
      </c>
    </row>
    <row r="2109" spans="1:42" customFormat="1">
      <c r="A2109">
        <v>272597</v>
      </c>
      <c r="B2109">
        <v>192814</v>
      </c>
      <c r="C2109" t="s">
        <v>5348</v>
      </c>
      <c r="D2109" s="22">
        <v>1473</v>
      </c>
      <c r="E2109" s="17">
        <v>42153</v>
      </c>
      <c r="F2109" s="18">
        <v>0.43262731481481481</v>
      </c>
      <c r="G2109" s="22">
        <v>0</v>
      </c>
      <c r="H2109">
        <v>0</v>
      </c>
      <c r="I2109" s="19" t="e">
        <f>I2108 + (D2109-G2109)</f>
        <v>#VALUE!</v>
      </c>
      <c r="L2109">
        <v>192814</v>
      </c>
      <c r="N2109">
        <v>14</v>
      </c>
      <c r="O2109" t="s">
        <v>135</v>
      </c>
      <c r="P2109">
        <v>1</v>
      </c>
      <c r="R2109">
        <v>2</v>
      </c>
      <c r="S2109" s="17">
        <v>42164</v>
      </c>
      <c r="T2109" s="17">
        <v>42164</v>
      </c>
      <c r="U2109">
        <v>28909</v>
      </c>
      <c r="V2109">
        <v>20150529</v>
      </c>
      <c r="W2109">
        <v>2015</v>
      </c>
      <c r="X2109">
        <v>14</v>
      </c>
      <c r="AC2109" t="s">
        <v>49</v>
      </c>
      <c r="AD2109" t="s">
        <v>301</v>
      </c>
      <c r="AE2109" t="s">
        <v>46</v>
      </c>
      <c r="AG2109">
        <v>12</v>
      </c>
      <c r="AH2109">
        <v>4</v>
      </c>
      <c r="AI2109" t="s">
        <v>78</v>
      </c>
      <c r="AM2109">
        <v>0</v>
      </c>
      <c r="AP2109" t="s">
        <v>392</v>
      </c>
    </row>
    <row r="2110" spans="1:42" customFormat="1">
      <c r="A2110">
        <v>272589</v>
      </c>
      <c r="B2110">
        <v>192844</v>
      </c>
      <c r="C2110" t="s">
        <v>5349</v>
      </c>
      <c r="D2110" s="22">
        <v>1473</v>
      </c>
      <c r="E2110" s="17">
        <v>42153</v>
      </c>
      <c r="F2110" s="18">
        <v>0.43262731481481481</v>
      </c>
      <c r="G2110" s="22">
        <v>0</v>
      </c>
      <c r="H2110">
        <v>0</v>
      </c>
      <c r="I2110" s="19" t="e">
        <f>I2109 + (D2110-G2110)</f>
        <v>#VALUE!</v>
      </c>
      <c r="L2110">
        <v>192844</v>
      </c>
      <c r="N2110">
        <v>14</v>
      </c>
      <c r="O2110" t="s">
        <v>135</v>
      </c>
      <c r="P2110">
        <v>1</v>
      </c>
      <c r="R2110">
        <v>2</v>
      </c>
      <c r="S2110" s="17">
        <v>42164</v>
      </c>
      <c r="T2110" s="17">
        <v>42164</v>
      </c>
      <c r="U2110">
        <v>28901</v>
      </c>
      <c r="V2110">
        <v>20150529</v>
      </c>
      <c r="W2110">
        <v>2015</v>
      </c>
      <c r="X2110">
        <v>14</v>
      </c>
      <c r="AC2110" t="s">
        <v>49</v>
      </c>
      <c r="AD2110" t="s">
        <v>301</v>
      </c>
      <c r="AE2110" t="s">
        <v>46</v>
      </c>
      <c r="AG2110">
        <v>12</v>
      </c>
      <c r="AH2110">
        <v>4</v>
      </c>
      <c r="AI2110" t="s">
        <v>78</v>
      </c>
      <c r="AM2110">
        <v>0</v>
      </c>
      <c r="AP2110" t="s">
        <v>392</v>
      </c>
    </row>
    <row r="2111" spans="1:42" customFormat="1">
      <c r="A2111">
        <v>272592</v>
      </c>
      <c r="B2111">
        <v>192954</v>
      </c>
      <c r="C2111" t="s">
        <v>5350</v>
      </c>
      <c r="D2111" s="22">
        <v>1473</v>
      </c>
      <c r="E2111" s="17">
        <v>42153</v>
      </c>
      <c r="F2111" s="18">
        <v>0.43262731481481481</v>
      </c>
      <c r="G2111" s="22">
        <v>0</v>
      </c>
      <c r="H2111">
        <v>0</v>
      </c>
      <c r="I2111" s="19" t="e">
        <f>I2110 + (D2111-G2111)</f>
        <v>#VALUE!</v>
      </c>
      <c r="L2111">
        <v>192954</v>
      </c>
      <c r="N2111">
        <v>14</v>
      </c>
      <c r="O2111" t="s">
        <v>135</v>
      </c>
      <c r="P2111">
        <v>1</v>
      </c>
      <c r="R2111">
        <v>2</v>
      </c>
      <c r="S2111" s="17">
        <v>42164</v>
      </c>
      <c r="T2111" s="17">
        <v>42164</v>
      </c>
      <c r="U2111">
        <v>28904</v>
      </c>
      <c r="V2111">
        <v>20150529</v>
      </c>
      <c r="W2111">
        <v>2015</v>
      </c>
      <c r="X2111">
        <v>14</v>
      </c>
      <c r="AC2111" t="s">
        <v>49</v>
      </c>
      <c r="AD2111" t="s">
        <v>301</v>
      </c>
      <c r="AE2111" t="s">
        <v>46</v>
      </c>
      <c r="AG2111">
        <v>12</v>
      </c>
      <c r="AH2111">
        <v>4</v>
      </c>
      <c r="AI2111" t="s">
        <v>78</v>
      </c>
      <c r="AM2111">
        <v>0</v>
      </c>
      <c r="AP2111" t="s">
        <v>392</v>
      </c>
    </row>
    <row r="2112" spans="1:42" customFormat="1">
      <c r="A2112">
        <v>272591</v>
      </c>
      <c r="B2112">
        <v>192985</v>
      </c>
      <c r="C2112" t="s">
        <v>5351</v>
      </c>
      <c r="D2112" s="22">
        <v>1473</v>
      </c>
      <c r="E2112" s="17">
        <v>42153</v>
      </c>
      <c r="F2112" s="18">
        <v>0.43262731481481481</v>
      </c>
      <c r="G2112" s="22">
        <v>0</v>
      </c>
      <c r="H2112">
        <v>0</v>
      </c>
      <c r="I2112" s="19" t="e">
        <f>I2111 + (D2112-G2112)</f>
        <v>#VALUE!</v>
      </c>
      <c r="L2112">
        <v>192985</v>
      </c>
      <c r="N2112">
        <v>14</v>
      </c>
      <c r="O2112" t="s">
        <v>135</v>
      </c>
      <c r="P2112">
        <v>1</v>
      </c>
      <c r="R2112">
        <v>2</v>
      </c>
      <c r="S2112" s="17">
        <v>42164</v>
      </c>
      <c r="T2112" s="17">
        <v>42164</v>
      </c>
      <c r="U2112">
        <v>28903</v>
      </c>
      <c r="V2112">
        <v>20150529</v>
      </c>
      <c r="W2112">
        <v>2015</v>
      </c>
      <c r="X2112">
        <v>14</v>
      </c>
      <c r="AC2112" t="s">
        <v>49</v>
      </c>
      <c r="AD2112" t="s">
        <v>301</v>
      </c>
      <c r="AE2112" t="s">
        <v>46</v>
      </c>
      <c r="AG2112">
        <v>12</v>
      </c>
      <c r="AH2112">
        <v>4</v>
      </c>
      <c r="AI2112" t="s">
        <v>78</v>
      </c>
      <c r="AM2112">
        <v>0</v>
      </c>
      <c r="AP2112" t="s">
        <v>392</v>
      </c>
    </row>
    <row r="2113" spans="1:42" customFormat="1">
      <c r="A2113">
        <v>272593</v>
      </c>
      <c r="B2113">
        <v>192906</v>
      </c>
      <c r="C2113" t="s">
        <v>5352</v>
      </c>
      <c r="D2113" s="22">
        <v>1473</v>
      </c>
      <c r="E2113" s="17">
        <v>42153</v>
      </c>
      <c r="F2113" s="18">
        <v>0.43262731481481481</v>
      </c>
      <c r="G2113" s="22">
        <v>0</v>
      </c>
      <c r="H2113">
        <v>0</v>
      </c>
      <c r="I2113" s="19" t="e">
        <f>I2112 + (D2113-G2113)</f>
        <v>#VALUE!</v>
      </c>
      <c r="L2113">
        <v>192906</v>
      </c>
      <c r="N2113">
        <v>14</v>
      </c>
      <c r="O2113" t="s">
        <v>135</v>
      </c>
      <c r="P2113">
        <v>1</v>
      </c>
      <c r="R2113">
        <v>2</v>
      </c>
      <c r="S2113" s="17">
        <v>42164</v>
      </c>
      <c r="T2113" s="17">
        <v>42164</v>
      </c>
      <c r="U2113">
        <v>28905</v>
      </c>
      <c r="V2113">
        <v>20150529</v>
      </c>
      <c r="W2113">
        <v>2015</v>
      </c>
      <c r="X2113">
        <v>14</v>
      </c>
      <c r="AC2113" t="s">
        <v>49</v>
      </c>
      <c r="AD2113" t="s">
        <v>301</v>
      </c>
      <c r="AE2113" t="s">
        <v>46</v>
      </c>
      <c r="AG2113">
        <v>12</v>
      </c>
      <c r="AH2113">
        <v>4</v>
      </c>
      <c r="AI2113" t="s">
        <v>78</v>
      </c>
      <c r="AM2113">
        <v>0</v>
      </c>
      <c r="AP2113" t="s">
        <v>392</v>
      </c>
    </row>
    <row r="2114" spans="1:42" customFormat="1">
      <c r="A2114">
        <v>272598</v>
      </c>
      <c r="B2114">
        <v>192967</v>
      </c>
      <c r="C2114" t="s">
        <v>5353</v>
      </c>
      <c r="D2114" s="22">
        <v>1473</v>
      </c>
      <c r="E2114" s="17">
        <v>42153</v>
      </c>
      <c r="F2114" s="18">
        <v>0.43262731481481481</v>
      </c>
      <c r="G2114" s="22">
        <v>0</v>
      </c>
      <c r="H2114">
        <v>0</v>
      </c>
      <c r="I2114" s="19" t="e">
        <f>I2113 + (D2114-G2114)</f>
        <v>#VALUE!</v>
      </c>
      <c r="L2114">
        <v>192967</v>
      </c>
      <c r="N2114">
        <v>14</v>
      </c>
      <c r="O2114" t="s">
        <v>135</v>
      </c>
      <c r="P2114">
        <v>1</v>
      </c>
      <c r="R2114">
        <v>2</v>
      </c>
      <c r="S2114" s="17">
        <v>42164</v>
      </c>
      <c r="T2114" s="17">
        <v>42164</v>
      </c>
      <c r="U2114">
        <v>28910</v>
      </c>
      <c r="V2114">
        <v>20150529</v>
      </c>
      <c r="W2114">
        <v>2015</v>
      </c>
      <c r="X2114">
        <v>14</v>
      </c>
      <c r="AC2114" t="s">
        <v>49</v>
      </c>
      <c r="AD2114" t="s">
        <v>301</v>
      </c>
      <c r="AE2114" t="s">
        <v>46</v>
      </c>
      <c r="AG2114">
        <v>12</v>
      </c>
      <c r="AH2114">
        <v>4</v>
      </c>
      <c r="AI2114" t="s">
        <v>78</v>
      </c>
      <c r="AM2114">
        <v>0</v>
      </c>
      <c r="AP2114" t="s">
        <v>392</v>
      </c>
    </row>
    <row r="2115" spans="1:42" customFormat="1">
      <c r="A2115">
        <v>272599</v>
      </c>
      <c r="B2115">
        <v>192848</v>
      </c>
      <c r="C2115" t="s">
        <v>5354</v>
      </c>
      <c r="D2115" s="22">
        <v>1473</v>
      </c>
      <c r="E2115" s="17">
        <v>42153</v>
      </c>
      <c r="F2115" s="18">
        <v>0.43262731481481481</v>
      </c>
      <c r="G2115" s="22">
        <v>0</v>
      </c>
      <c r="H2115">
        <v>0</v>
      </c>
      <c r="I2115" s="19" t="e">
        <f>I2114 + (D2115-G2115)</f>
        <v>#VALUE!</v>
      </c>
      <c r="L2115">
        <v>192848</v>
      </c>
      <c r="N2115">
        <v>14</v>
      </c>
      <c r="O2115" t="s">
        <v>135</v>
      </c>
      <c r="P2115">
        <v>1</v>
      </c>
      <c r="R2115">
        <v>2</v>
      </c>
      <c r="S2115" s="17">
        <v>42164</v>
      </c>
      <c r="T2115" s="17">
        <v>42164</v>
      </c>
      <c r="U2115">
        <v>28911</v>
      </c>
      <c r="V2115">
        <v>20150529</v>
      </c>
      <c r="W2115">
        <v>2015</v>
      </c>
      <c r="X2115">
        <v>14</v>
      </c>
      <c r="AC2115" t="s">
        <v>49</v>
      </c>
      <c r="AD2115" t="s">
        <v>301</v>
      </c>
      <c r="AE2115" t="s">
        <v>46</v>
      </c>
      <c r="AG2115">
        <v>12</v>
      </c>
      <c r="AH2115">
        <v>4</v>
      </c>
      <c r="AI2115" t="s">
        <v>78</v>
      </c>
      <c r="AM2115">
        <v>0</v>
      </c>
      <c r="AP2115" t="s">
        <v>392</v>
      </c>
    </row>
    <row r="2116" spans="1:42" customFormat="1">
      <c r="A2116">
        <v>272600</v>
      </c>
      <c r="B2116">
        <v>192890</v>
      </c>
      <c r="C2116" t="s">
        <v>5355</v>
      </c>
      <c r="D2116" s="22">
        <v>1473</v>
      </c>
      <c r="E2116" s="17">
        <v>42153</v>
      </c>
      <c r="F2116" s="18">
        <v>0.43263888888888885</v>
      </c>
      <c r="G2116" s="22">
        <v>0</v>
      </c>
      <c r="H2116">
        <v>0</v>
      </c>
      <c r="I2116" s="19" t="e">
        <f>I2115 + (D2116-G2116)</f>
        <v>#VALUE!</v>
      </c>
      <c r="L2116">
        <v>192890</v>
      </c>
      <c r="N2116">
        <v>14</v>
      </c>
      <c r="O2116" t="s">
        <v>135</v>
      </c>
      <c r="P2116">
        <v>1</v>
      </c>
      <c r="R2116">
        <v>2</v>
      </c>
      <c r="S2116" s="17">
        <v>42164</v>
      </c>
      <c r="T2116" s="17">
        <v>42164</v>
      </c>
      <c r="U2116">
        <v>28912</v>
      </c>
      <c r="V2116">
        <v>20150529</v>
      </c>
      <c r="W2116">
        <v>2015</v>
      </c>
      <c r="X2116">
        <v>14</v>
      </c>
      <c r="AC2116" t="s">
        <v>49</v>
      </c>
      <c r="AD2116" t="s">
        <v>301</v>
      </c>
      <c r="AE2116" t="s">
        <v>46</v>
      </c>
      <c r="AG2116">
        <v>12</v>
      </c>
      <c r="AH2116">
        <v>4</v>
      </c>
      <c r="AI2116" t="s">
        <v>78</v>
      </c>
      <c r="AM2116">
        <v>0</v>
      </c>
      <c r="AP2116" t="s">
        <v>392</v>
      </c>
    </row>
    <row r="2117" spans="1:42" customFormat="1">
      <c r="A2117">
        <v>272601</v>
      </c>
      <c r="B2117">
        <v>192821</v>
      </c>
      <c r="C2117" t="s">
        <v>5356</v>
      </c>
      <c r="D2117" s="22">
        <v>1473</v>
      </c>
      <c r="E2117" s="17">
        <v>42153</v>
      </c>
      <c r="F2117" s="18">
        <v>0.43263888888888885</v>
      </c>
      <c r="G2117" s="22">
        <v>0</v>
      </c>
      <c r="H2117">
        <v>0</v>
      </c>
      <c r="I2117" s="19" t="e">
        <f>I2116 + (D2117-G2117)</f>
        <v>#VALUE!</v>
      </c>
      <c r="L2117">
        <v>192821</v>
      </c>
      <c r="N2117">
        <v>14</v>
      </c>
      <c r="O2117" t="s">
        <v>135</v>
      </c>
      <c r="P2117">
        <v>1</v>
      </c>
      <c r="R2117">
        <v>2</v>
      </c>
      <c r="S2117" s="17">
        <v>42164</v>
      </c>
      <c r="T2117" s="17">
        <v>42164</v>
      </c>
      <c r="U2117">
        <v>28913</v>
      </c>
      <c r="V2117">
        <v>20150529</v>
      </c>
      <c r="W2117">
        <v>2015</v>
      </c>
      <c r="X2117">
        <v>14</v>
      </c>
      <c r="AC2117" t="s">
        <v>49</v>
      </c>
      <c r="AD2117" t="s">
        <v>301</v>
      </c>
      <c r="AE2117" t="s">
        <v>46</v>
      </c>
      <c r="AG2117">
        <v>12</v>
      </c>
      <c r="AH2117">
        <v>4</v>
      </c>
      <c r="AI2117" t="s">
        <v>78</v>
      </c>
      <c r="AM2117">
        <v>0</v>
      </c>
      <c r="AP2117" t="s">
        <v>392</v>
      </c>
    </row>
    <row r="2118" spans="1:42" customFormat="1">
      <c r="A2118">
        <v>273245</v>
      </c>
      <c r="B2118">
        <v>189775</v>
      </c>
      <c r="C2118" t="s">
        <v>5476</v>
      </c>
      <c r="D2118" s="22">
        <v>1580</v>
      </c>
      <c r="E2118" s="17">
        <v>42153</v>
      </c>
      <c r="F2118" s="18">
        <v>0.45840277777777777</v>
      </c>
      <c r="G2118" s="22">
        <v>0</v>
      </c>
      <c r="H2118">
        <v>0</v>
      </c>
      <c r="I2118" s="19" t="e">
        <f>I2117 + (D2118-G2118)</f>
        <v>#VALUE!</v>
      </c>
      <c r="L2118">
        <v>189775</v>
      </c>
      <c r="N2118">
        <v>8</v>
      </c>
      <c r="O2118" t="s">
        <v>63</v>
      </c>
      <c r="P2118">
        <v>1</v>
      </c>
      <c r="R2118">
        <v>2</v>
      </c>
      <c r="S2118" s="17">
        <v>42172</v>
      </c>
      <c r="T2118" s="17">
        <v>42172</v>
      </c>
      <c r="W2118">
        <v>2015</v>
      </c>
      <c r="X2118">
        <v>8</v>
      </c>
      <c r="AC2118" t="s">
        <v>49</v>
      </c>
      <c r="AD2118" t="s">
        <v>301</v>
      </c>
      <c r="AE2118" t="s">
        <v>46</v>
      </c>
      <c r="AG2118">
        <v>4</v>
      </c>
      <c r="AH2118">
        <v>3</v>
      </c>
      <c r="AI2118" t="s">
        <v>64</v>
      </c>
      <c r="AK2118">
        <v>0</v>
      </c>
      <c r="AM2118">
        <v>0</v>
      </c>
      <c r="AP2118" t="s">
        <v>389</v>
      </c>
    </row>
    <row r="2119" spans="1:42" customFormat="1">
      <c r="A2119">
        <v>272283</v>
      </c>
      <c r="B2119">
        <v>197051</v>
      </c>
      <c r="C2119" t="s">
        <v>5477</v>
      </c>
      <c r="D2119" s="22">
        <v>1724</v>
      </c>
      <c r="E2119" s="17">
        <v>42153</v>
      </c>
      <c r="F2119" s="18">
        <v>0.5</v>
      </c>
      <c r="G2119" s="22">
        <v>0</v>
      </c>
      <c r="H2119">
        <v>0</v>
      </c>
      <c r="I2119" s="19" t="e">
        <f>I2118 + (D2119-G2119)</f>
        <v>#VALUE!</v>
      </c>
      <c r="L2119">
        <v>197051</v>
      </c>
      <c r="N2119">
        <v>1</v>
      </c>
      <c r="O2119" t="s">
        <v>77</v>
      </c>
      <c r="P2119">
        <v>1</v>
      </c>
      <c r="R2119">
        <v>2</v>
      </c>
      <c r="S2119" s="17">
        <v>42163</v>
      </c>
      <c r="T2119" s="17">
        <v>42163</v>
      </c>
      <c r="U2119">
        <v>28533</v>
      </c>
      <c r="W2119">
        <v>2015</v>
      </c>
      <c r="X2119">
        <v>1</v>
      </c>
      <c r="AC2119" t="s">
        <v>49</v>
      </c>
      <c r="AD2119" t="s">
        <v>301</v>
      </c>
      <c r="AE2119" t="s">
        <v>46</v>
      </c>
      <c r="AG2119">
        <v>3</v>
      </c>
      <c r="AH2119">
        <v>4</v>
      </c>
      <c r="AI2119" t="s">
        <v>78</v>
      </c>
      <c r="AM2119">
        <v>0</v>
      </c>
      <c r="AP2119" t="s">
        <v>80</v>
      </c>
    </row>
    <row r="2120" spans="1:42" customFormat="1">
      <c r="A2120">
        <v>272276</v>
      </c>
      <c r="B2120">
        <v>197413</v>
      </c>
      <c r="C2120" t="s">
        <v>5478</v>
      </c>
      <c r="D2120" s="22">
        <v>1473</v>
      </c>
      <c r="E2120" s="17">
        <v>42153</v>
      </c>
      <c r="F2120" s="18">
        <v>0.5</v>
      </c>
      <c r="G2120" s="22">
        <v>0</v>
      </c>
      <c r="H2120">
        <v>0</v>
      </c>
      <c r="I2120" s="19" t="e">
        <f>I2119 + (D2120-G2120)</f>
        <v>#VALUE!</v>
      </c>
      <c r="L2120">
        <v>197413</v>
      </c>
      <c r="N2120">
        <v>1</v>
      </c>
      <c r="O2120" t="s">
        <v>77</v>
      </c>
      <c r="P2120">
        <v>1</v>
      </c>
      <c r="R2120">
        <v>2</v>
      </c>
      <c r="S2120" s="17">
        <v>42163</v>
      </c>
      <c r="T2120" s="17">
        <v>42163</v>
      </c>
      <c r="U2120">
        <v>28526</v>
      </c>
      <c r="W2120">
        <v>2015</v>
      </c>
      <c r="X2120">
        <v>1</v>
      </c>
      <c r="AC2120" t="s">
        <v>49</v>
      </c>
      <c r="AD2120" t="s">
        <v>301</v>
      </c>
      <c r="AE2120" t="s">
        <v>46</v>
      </c>
      <c r="AG2120">
        <v>3</v>
      </c>
      <c r="AH2120">
        <v>4</v>
      </c>
      <c r="AI2120" t="s">
        <v>78</v>
      </c>
      <c r="AM2120">
        <v>0</v>
      </c>
      <c r="AP2120" t="s">
        <v>80</v>
      </c>
    </row>
    <row r="2121" spans="1:42" customFormat="1">
      <c r="A2121">
        <v>272282</v>
      </c>
      <c r="B2121">
        <v>197033</v>
      </c>
      <c r="C2121" t="s">
        <v>5479</v>
      </c>
      <c r="D2121" s="22">
        <v>1724</v>
      </c>
      <c r="E2121" s="17">
        <v>42153</v>
      </c>
      <c r="F2121" s="18">
        <v>0.5</v>
      </c>
      <c r="G2121" s="22">
        <v>0</v>
      </c>
      <c r="H2121">
        <v>0</v>
      </c>
      <c r="I2121" s="19" t="e">
        <f>I2120 + (D2121-G2121)</f>
        <v>#VALUE!</v>
      </c>
      <c r="L2121">
        <v>197033</v>
      </c>
      <c r="N2121">
        <v>1</v>
      </c>
      <c r="O2121" t="s">
        <v>77</v>
      </c>
      <c r="P2121">
        <v>1</v>
      </c>
      <c r="R2121">
        <v>2</v>
      </c>
      <c r="S2121" s="17">
        <v>42163</v>
      </c>
      <c r="T2121" s="17">
        <v>42163</v>
      </c>
      <c r="U2121">
        <v>28532</v>
      </c>
      <c r="W2121">
        <v>2015</v>
      </c>
      <c r="X2121">
        <v>1</v>
      </c>
      <c r="AC2121" t="s">
        <v>49</v>
      </c>
      <c r="AD2121" t="s">
        <v>301</v>
      </c>
      <c r="AE2121" t="s">
        <v>46</v>
      </c>
      <c r="AG2121">
        <v>3</v>
      </c>
      <c r="AH2121">
        <v>4</v>
      </c>
      <c r="AI2121" t="s">
        <v>78</v>
      </c>
      <c r="AM2121">
        <v>0</v>
      </c>
      <c r="AP2121" t="s">
        <v>80</v>
      </c>
    </row>
    <row r="2122" spans="1:42" customFormat="1">
      <c r="A2122">
        <v>272279</v>
      </c>
      <c r="B2122">
        <v>197183</v>
      </c>
      <c r="C2122" t="s">
        <v>5480</v>
      </c>
      <c r="D2122" s="22">
        <v>1724</v>
      </c>
      <c r="E2122" s="17">
        <v>42153</v>
      </c>
      <c r="F2122" s="18">
        <v>0.5</v>
      </c>
      <c r="G2122" s="22">
        <v>0</v>
      </c>
      <c r="H2122">
        <v>0</v>
      </c>
      <c r="I2122" s="19" t="e">
        <f>I2121 + (D2122-G2122)</f>
        <v>#VALUE!</v>
      </c>
      <c r="L2122">
        <v>197183</v>
      </c>
      <c r="N2122">
        <v>1</v>
      </c>
      <c r="O2122" t="s">
        <v>77</v>
      </c>
      <c r="P2122">
        <v>1</v>
      </c>
      <c r="R2122">
        <v>2</v>
      </c>
      <c r="S2122" s="17">
        <v>42163</v>
      </c>
      <c r="T2122" s="17">
        <v>42163</v>
      </c>
      <c r="U2122">
        <v>28529</v>
      </c>
      <c r="W2122">
        <v>2015</v>
      </c>
      <c r="X2122">
        <v>1</v>
      </c>
      <c r="AC2122" t="s">
        <v>49</v>
      </c>
      <c r="AD2122" t="s">
        <v>301</v>
      </c>
      <c r="AE2122" t="s">
        <v>46</v>
      </c>
      <c r="AG2122">
        <v>3</v>
      </c>
      <c r="AH2122">
        <v>4</v>
      </c>
      <c r="AI2122" t="s">
        <v>78</v>
      </c>
      <c r="AM2122">
        <v>0</v>
      </c>
      <c r="AP2122" t="s">
        <v>80</v>
      </c>
    </row>
    <row r="2123" spans="1:42" customFormat="1">
      <c r="A2123">
        <v>272285</v>
      </c>
      <c r="B2123">
        <v>197093</v>
      </c>
      <c r="C2123" t="s">
        <v>5481</v>
      </c>
      <c r="D2123" s="22">
        <v>1724</v>
      </c>
      <c r="E2123" s="17">
        <v>42153</v>
      </c>
      <c r="F2123" s="18">
        <v>0.5</v>
      </c>
      <c r="G2123" s="22">
        <v>0</v>
      </c>
      <c r="H2123">
        <v>0</v>
      </c>
      <c r="I2123" s="19" t="e">
        <f>I2122 + (D2123-G2123)</f>
        <v>#VALUE!</v>
      </c>
      <c r="L2123">
        <v>197093</v>
      </c>
      <c r="N2123">
        <v>1</v>
      </c>
      <c r="O2123" t="s">
        <v>77</v>
      </c>
      <c r="P2123">
        <v>1</v>
      </c>
      <c r="R2123">
        <v>2</v>
      </c>
      <c r="S2123" s="17">
        <v>42163</v>
      </c>
      <c r="T2123" s="17">
        <v>42163</v>
      </c>
      <c r="U2123">
        <v>28535</v>
      </c>
      <c r="W2123">
        <v>2015</v>
      </c>
      <c r="X2123">
        <v>1</v>
      </c>
      <c r="AC2123" t="s">
        <v>49</v>
      </c>
      <c r="AD2123" t="s">
        <v>301</v>
      </c>
      <c r="AE2123" t="s">
        <v>46</v>
      </c>
      <c r="AG2123">
        <v>3</v>
      </c>
      <c r="AH2123">
        <v>4</v>
      </c>
      <c r="AI2123" t="s">
        <v>78</v>
      </c>
      <c r="AM2123">
        <v>0</v>
      </c>
      <c r="AP2123" t="s">
        <v>80</v>
      </c>
    </row>
    <row r="2124" spans="1:42" customFormat="1">
      <c r="A2124">
        <v>272284</v>
      </c>
      <c r="B2124">
        <v>197345</v>
      </c>
      <c r="C2124" t="s">
        <v>5482</v>
      </c>
      <c r="D2124" s="22">
        <v>1724</v>
      </c>
      <c r="E2124" s="17">
        <v>42153</v>
      </c>
      <c r="F2124" s="18">
        <v>0.5</v>
      </c>
      <c r="G2124" s="22">
        <v>0</v>
      </c>
      <c r="H2124">
        <v>0</v>
      </c>
      <c r="I2124" s="19" t="e">
        <f>I2123 + (D2124-G2124)</f>
        <v>#VALUE!</v>
      </c>
      <c r="L2124">
        <v>197345</v>
      </c>
      <c r="N2124">
        <v>1</v>
      </c>
      <c r="O2124" t="s">
        <v>77</v>
      </c>
      <c r="P2124">
        <v>1</v>
      </c>
      <c r="R2124">
        <v>2</v>
      </c>
      <c r="S2124" s="17">
        <v>42163</v>
      </c>
      <c r="T2124" s="17">
        <v>42163</v>
      </c>
      <c r="U2124">
        <v>28534</v>
      </c>
      <c r="W2124">
        <v>2015</v>
      </c>
      <c r="X2124">
        <v>1</v>
      </c>
      <c r="AC2124" t="s">
        <v>49</v>
      </c>
      <c r="AD2124" t="s">
        <v>301</v>
      </c>
      <c r="AE2124" t="s">
        <v>46</v>
      </c>
      <c r="AG2124">
        <v>3</v>
      </c>
      <c r="AH2124">
        <v>4</v>
      </c>
      <c r="AI2124" t="s">
        <v>78</v>
      </c>
      <c r="AM2124">
        <v>0</v>
      </c>
      <c r="AP2124" t="s">
        <v>80</v>
      </c>
    </row>
    <row r="2125" spans="1:42" customFormat="1">
      <c r="A2125">
        <v>272286</v>
      </c>
      <c r="B2125">
        <v>197165</v>
      </c>
      <c r="C2125" t="s">
        <v>5483</v>
      </c>
      <c r="D2125" s="22">
        <v>1724</v>
      </c>
      <c r="E2125" s="17">
        <v>42153</v>
      </c>
      <c r="F2125" s="18">
        <v>0.5</v>
      </c>
      <c r="G2125" s="22">
        <v>0</v>
      </c>
      <c r="H2125">
        <v>0</v>
      </c>
      <c r="I2125" s="19" t="e">
        <f>I2124 + (D2125-G2125)</f>
        <v>#VALUE!</v>
      </c>
      <c r="L2125">
        <v>197165</v>
      </c>
      <c r="N2125">
        <v>1</v>
      </c>
      <c r="O2125" t="s">
        <v>77</v>
      </c>
      <c r="P2125">
        <v>1</v>
      </c>
      <c r="R2125">
        <v>2</v>
      </c>
      <c r="S2125" s="17">
        <v>42163</v>
      </c>
      <c r="T2125" s="17">
        <v>42163</v>
      </c>
      <c r="U2125">
        <v>28536</v>
      </c>
      <c r="W2125">
        <v>2015</v>
      </c>
      <c r="X2125">
        <v>1</v>
      </c>
      <c r="AC2125" t="s">
        <v>49</v>
      </c>
      <c r="AD2125" t="s">
        <v>301</v>
      </c>
      <c r="AE2125" t="s">
        <v>46</v>
      </c>
      <c r="AG2125">
        <v>3</v>
      </c>
      <c r="AH2125">
        <v>4</v>
      </c>
      <c r="AI2125" t="s">
        <v>78</v>
      </c>
      <c r="AM2125">
        <v>0</v>
      </c>
      <c r="AP2125" t="s">
        <v>80</v>
      </c>
    </row>
    <row r="2126" spans="1:42" customFormat="1">
      <c r="A2126">
        <v>272278</v>
      </c>
      <c r="B2126">
        <v>197306</v>
      </c>
      <c r="C2126" t="s">
        <v>5484</v>
      </c>
      <c r="D2126" s="22">
        <v>1724</v>
      </c>
      <c r="E2126" s="17">
        <v>42153</v>
      </c>
      <c r="F2126" s="18">
        <v>0.5</v>
      </c>
      <c r="G2126" s="22">
        <v>0</v>
      </c>
      <c r="H2126">
        <v>0</v>
      </c>
      <c r="I2126" s="19" t="e">
        <f>I2125 + (D2126-G2126)</f>
        <v>#VALUE!</v>
      </c>
      <c r="L2126">
        <v>197306</v>
      </c>
      <c r="N2126">
        <v>1</v>
      </c>
      <c r="O2126" t="s">
        <v>77</v>
      </c>
      <c r="P2126">
        <v>1</v>
      </c>
      <c r="R2126">
        <v>2</v>
      </c>
      <c r="S2126" s="17">
        <v>42163</v>
      </c>
      <c r="T2126" s="17">
        <v>42163</v>
      </c>
      <c r="U2126">
        <v>28528</v>
      </c>
      <c r="W2126">
        <v>2015</v>
      </c>
      <c r="X2126">
        <v>1</v>
      </c>
      <c r="AC2126" t="s">
        <v>49</v>
      </c>
      <c r="AD2126" t="s">
        <v>301</v>
      </c>
      <c r="AE2126" t="s">
        <v>46</v>
      </c>
      <c r="AG2126">
        <v>3</v>
      </c>
      <c r="AH2126">
        <v>4</v>
      </c>
      <c r="AI2126" t="s">
        <v>78</v>
      </c>
      <c r="AM2126">
        <v>0</v>
      </c>
      <c r="AP2126" t="s">
        <v>80</v>
      </c>
    </row>
    <row r="2127" spans="1:42" customFormat="1">
      <c r="A2127">
        <v>272277</v>
      </c>
      <c r="B2127">
        <v>197336</v>
      </c>
      <c r="C2127" t="s">
        <v>5485</v>
      </c>
      <c r="D2127" s="22">
        <v>1724</v>
      </c>
      <c r="E2127" s="17">
        <v>42153</v>
      </c>
      <c r="F2127" s="18">
        <v>0.5</v>
      </c>
      <c r="G2127" s="22">
        <v>0</v>
      </c>
      <c r="H2127">
        <v>0</v>
      </c>
      <c r="I2127" s="19" t="e">
        <f>I2126 + (D2127-G2127)</f>
        <v>#VALUE!</v>
      </c>
      <c r="L2127">
        <v>197336</v>
      </c>
      <c r="N2127">
        <v>1</v>
      </c>
      <c r="O2127" t="s">
        <v>77</v>
      </c>
      <c r="P2127">
        <v>1</v>
      </c>
      <c r="R2127">
        <v>2</v>
      </c>
      <c r="S2127" s="17">
        <v>42163</v>
      </c>
      <c r="T2127" s="17">
        <v>42163</v>
      </c>
      <c r="U2127">
        <v>28527</v>
      </c>
      <c r="W2127">
        <v>2015</v>
      </c>
      <c r="X2127">
        <v>1</v>
      </c>
      <c r="AC2127" t="s">
        <v>49</v>
      </c>
      <c r="AD2127" t="s">
        <v>301</v>
      </c>
      <c r="AE2127" t="s">
        <v>46</v>
      </c>
      <c r="AG2127">
        <v>3</v>
      </c>
      <c r="AH2127">
        <v>4</v>
      </c>
      <c r="AI2127" t="s">
        <v>78</v>
      </c>
      <c r="AM2127">
        <v>0</v>
      </c>
      <c r="AP2127" t="s">
        <v>80</v>
      </c>
    </row>
    <row r="2128" spans="1:42" customFormat="1">
      <c r="A2128">
        <v>272281</v>
      </c>
      <c r="B2128">
        <v>197318</v>
      </c>
      <c r="C2128" t="s">
        <v>5486</v>
      </c>
      <c r="D2128" s="22">
        <v>1724</v>
      </c>
      <c r="E2128" s="17">
        <v>42153</v>
      </c>
      <c r="F2128" s="18">
        <v>0.5</v>
      </c>
      <c r="G2128" s="22">
        <v>0</v>
      </c>
      <c r="H2128">
        <v>0</v>
      </c>
      <c r="I2128" s="19" t="e">
        <f>I2127 + (D2128-G2128)</f>
        <v>#VALUE!</v>
      </c>
      <c r="L2128">
        <v>197318</v>
      </c>
      <c r="N2128">
        <v>1</v>
      </c>
      <c r="O2128" t="s">
        <v>77</v>
      </c>
      <c r="P2128">
        <v>1</v>
      </c>
      <c r="R2128">
        <v>2</v>
      </c>
      <c r="S2128" s="17">
        <v>42163</v>
      </c>
      <c r="T2128" s="17">
        <v>42163</v>
      </c>
      <c r="U2128">
        <v>28531</v>
      </c>
      <c r="W2128">
        <v>2015</v>
      </c>
      <c r="X2128">
        <v>1</v>
      </c>
      <c r="AC2128" t="s">
        <v>49</v>
      </c>
      <c r="AD2128" t="s">
        <v>301</v>
      </c>
      <c r="AE2128" t="s">
        <v>46</v>
      </c>
      <c r="AG2128">
        <v>3</v>
      </c>
      <c r="AH2128">
        <v>4</v>
      </c>
      <c r="AI2128" t="s">
        <v>78</v>
      </c>
      <c r="AM2128">
        <v>0</v>
      </c>
      <c r="AP2128" t="s">
        <v>80</v>
      </c>
    </row>
    <row r="2129" spans="1:42" customFormat="1">
      <c r="A2129">
        <v>272280</v>
      </c>
      <c r="B2129">
        <v>197168</v>
      </c>
      <c r="C2129" t="s">
        <v>5487</v>
      </c>
      <c r="D2129" s="22">
        <v>1724</v>
      </c>
      <c r="E2129" s="17">
        <v>42153</v>
      </c>
      <c r="F2129" s="18">
        <v>0.5</v>
      </c>
      <c r="G2129" s="22">
        <v>0</v>
      </c>
      <c r="H2129">
        <v>0</v>
      </c>
      <c r="I2129" s="19" t="e">
        <f>I2128 + (D2129-G2129)</f>
        <v>#VALUE!</v>
      </c>
      <c r="L2129">
        <v>197168</v>
      </c>
      <c r="N2129">
        <v>1</v>
      </c>
      <c r="O2129" t="s">
        <v>77</v>
      </c>
      <c r="P2129">
        <v>1</v>
      </c>
      <c r="R2129">
        <v>2</v>
      </c>
      <c r="S2129" s="17">
        <v>42163</v>
      </c>
      <c r="T2129" s="17">
        <v>42163</v>
      </c>
      <c r="U2129">
        <v>28530</v>
      </c>
      <c r="W2129">
        <v>2015</v>
      </c>
      <c r="X2129">
        <v>1</v>
      </c>
      <c r="AC2129" t="s">
        <v>49</v>
      </c>
      <c r="AD2129" t="s">
        <v>301</v>
      </c>
      <c r="AE2129" t="s">
        <v>46</v>
      </c>
      <c r="AG2129">
        <v>3</v>
      </c>
      <c r="AH2129">
        <v>4</v>
      </c>
      <c r="AI2129" t="s">
        <v>78</v>
      </c>
      <c r="AM2129">
        <v>0</v>
      </c>
      <c r="AP2129" t="s">
        <v>80</v>
      </c>
    </row>
    <row r="2130" spans="1:42" customFormat="1">
      <c r="A2130">
        <v>272275</v>
      </c>
      <c r="B2130">
        <v>197419</v>
      </c>
      <c r="C2130" t="s">
        <v>5488</v>
      </c>
      <c r="D2130" s="22">
        <v>1473</v>
      </c>
      <c r="E2130" s="17">
        <v>42153</v>
      </c>
      <c r="F2130" s="18">
        <v>0.5</v>
      </c>
      <c r="G2130" s="22">
        <v>0</v>
      </c>
      <c r="H2130">
        <v>0</v>
      </c>
      <c r="I2130" s="19" t="e">
        <f>I2129 + (D2130-G2130)</f>
        <v>#VALUE!</v>
      </c>
      <c r="L2130">
        <v>197419</v>
      </c>
      <c r="N2130">
        <v>1</v>
      </c>
      <c r="O2130" t="s">
        <v>77</v>
      </c>
      <c r="P2130">
        <v>1</v>
      </c>
      <c r="R2130">
        <v>2</v>
      </c>
      <c r="S2130" s="17">
        <v>42163</v>
      </c>
      <c r="T2130" s="17">
        <v>42163</v>
      </c>
      <c r="U2130">
        <v>28525</v>
      </c>
      <c r="W2130">
        <v>2015</v>
      </c>
      <c r="X2130">
        <v>1</v>
      </c>
      <c r="AC2130" t="s">
        <v>49</v>
      </c>
      <c r="AD2130" t="s">
        <v>301</v>
      </c>
      <c r="AE2130" t="s">
        <v>46</v>
      </c>
      <c r="AG2130">
        <v>3</v>
      </c>
      <c r="AH2130">
        <v>4</v>
      </c>
      <c r="AI2130" t="s">
        <v>78</v>
      </c>
      <c r="AM2130">
        <v>0</v>
      </c>
      <c r="AP2130" t="s">
        <v>80</v>
      </c>
    </row>
    <row r="2131" spans="1:42" customFormat="1">
      <c r="A2131">
        <v>274656</v>
      </c>
      <c r="B2131">
        <v>204630</v>
      </c>
      <c r="C2131" t="s">
        <v>5489</v>
      </c>
      <c r="D2131" s="22">
        <v>1724</v>
      </c>
      <c r="E2131" s="17">
        <v>42153</v>
      </c>
      <c r="F2131" s="18">
        <v>0.5</v>
      </c>
      <c r="G2131" s="22">
        <v>0</v>
      </c>
      <c r="H2131">
        <v>0</v>
      </c>
      <c r="I2131" s="19" t="e">
        <f>I2130 + (D2131-G2131)</f>
        <v>#VALUE!</v>
      </c>
      <c r="L2131">
        <v>204630</v>
      </c>
      <c r="N2131">
        <v>1</v>
      </c>
      <c r="O2131" t="s">
        <v>77</v>
      </c>
      <c r="P2131">
        <v>1</v>
      </c>
      <c r="R2131">
        <v>2</v>
      </c>
      <c r="S2131" s="17">
        <v>42185</v>
      </c>
      <c r="T2131" s="17">
        <v>42185</v>
      </c>
      <c r="U2131">
        <v>29142</v>
      </c>
      <c r="W2131">
        <v>2015</v>
      </c>
      <c r="X2131">
        <v>1</v>
      </c>
      <c r="AC2131" t="s">
        <v>49</v>
      </c>
      <c r="AD2131" t="s">
        <v>301</v>
      </c>
      <c r="AE2131" t="s">
        <v>46</v>
      </c>
      <c r="AG2131">
        <v>69</v>
      </c>
      <c r="AH2131">
        <v>4</v>
      </c>
      <c r="AI2131" t="s">
        <v>78</v>
      </c>
      <c r="AM2131">
        <v>0</v>
      </c>
      <c r="AP2131" t="s">
        <v>339</v>
      </c>
    </row>
    <row r="2132" spans="1:42" customFormat="1">
      <c r="A2132">
        <v>274413</v>
      </c>
      <c r="B2132">
        <v>195092</v>
      </c>
      <c r="C2132" t="s">
        <v>5531</v>
      </c>
      <c r="D2132" s="22">
        <v>1724</v>
      </c>
      <c r="E2132" s="17">
        <v>42153</v>
      </c>
      <c r="F2132" s="18">
        <v>0.59716435185185179</v>
      </c>
      <c r="G2132" s="22">
        <v>0</v>
      </c>
      <c r="H2132">
        <v>0</v>
      </c>
      <c r="I2132" s="19" t="e">
        <f>I2131 + (D2132-G2132)</f>
        <v>#VALUE!</v>
      </c>
      <c r="L2132">
        <v>195092</v>
      </c>
      <c r="N2132">
        <v>1</v>
      </c>
      <c r="O2132" t="s">
        <v>77</v>
      </c>
      <c r="P2132">
        <v>1</v>
      </c>
      <c r="R2132">
        <v>2</v>
      </c>
      <c r="S2132" s="17">
        <v>42184</v>
      </c>
      <c r="T2132" s="17">
        <v>42184</v>
      </c>
      <c r="U2132">
        <v>29105</v>
      </c>
      <c r="V2132">
        <v>29</v>
      </c>
      <c r="W2132">
        <v>2015</v>
      </c>
      <c r="X2132">
        <v>1</v>
      </c>
      <c r="AC2132" t="s">
        <v>49</v>
      </c>
      <c r="AD2132" t="s">
        <v>301</v>
      </c>
      <c r="AE2132" t="s">
        <v>46</v>
      </c>
      <c r="AG2132">
        <v>114</v>
      </c>
      <c r="AH2132">
        <v>4</v>
      </c>
      <c r="AI2132" t="s">
        <v>78</v>
      </c>
      <c r="AM2132">
        <v>0</v>
      </c>
      <c r="AP2132" t="s">
        <v>898</v>
      </c>
    </row>
    <row r="2133" spans="1:42" customFormat="1">
      <c r="A2133">
        <v>274412</v>
      </c>
      <c r="B2133">
        <v>194977</v>
      </c>
      <c r="C2133" t="s">
        <v>5532</v>
      </c>
      <c r="D2133" s="22">
        <v>1724</v>
      </c>
      <c r="E2133" s="17">
        <v>42153</v>
      </c>
      <c r="F2133" s="18">
        <v>0.59716435185185179</v>
      </c>
      <c r="G2133" s="22">
        <v>0</v>
      </c>
      <c r="H2133">
        <v>0</v>
      </c>
      <c r="I2133" s="19" t="e">
        <f>I2132 + (D2133-G2133)</f>
        <v>#VALUE!</v>
      </c>
      <c r="L2133">
        <v>194977</v>
      </c>
      <c r="N2133">
        <v>1</v>
      </c>
      <c r="O2133" t="s">
        <v>77</v>
      </c>
      <c r="P2133">
        <v>1</v>
      </c>
      <c r="R2133">
        <v>2</v>
      </c>
      <c r="S2133" s="17">
        <v>42184</v>
      </c>
      <c r="T2133" s="17">
        <v>42184</v>
      </c>
      <c r="U2133">
        <v>29104</v>
      </c>
      <c r="V2133">
        <v>29</v>
      </c>
      <c r="W2133">
        <v>2015</v>
      </c>
      <c r="X2133">
        <v>1</v>
      </c>
      <c r="AC2133" t="s">
        <v>49</v>
      </c>
      <c r="AD2133" t="s">
        <v>301</v>
      </c>
      <c r="AE2133" t="s">
        <v>46</v>
      </c>
      <c r="AG2133">
        <v>114</v>
      </c>
      <c r="AH2133">
        <v>4</v>
      </c>
      <c r="AI2133" t="s">
        <v>78</v>
      </c>
      <c r="AM2133">
        <v>0</v>
      </c>
      <c r="AP2133" t="s">
        <v>898</v>
      </c>
    </row>
    <row r="2134" spans="1:42" customFormat="1">
      <c r="A2134">
        <v>270302</v>
      </c>
      <c r="B2134">
        <v>216769</v>
      </c>
      <c r="C2134" t="s">
        <v>3128</v>
      </c>
      <c r="D2134" s="22">
        <v>154</v>
      </c>
      <c r="E2134" s="17">
        <v>42138</v>
      </c>
      <c r="F2134" s="18">
        <v>0.37201388888888887</v>
      </c>
      <c r="G2134" s="22">
        <v>0</v>
      </c>
      <c r="H2134">
        <v>0</v>
      </c>
      <c r="I2134" s="19" t="e">
        <f>I2133 + (D2134-G2134)</f>
        <v>#VALUE!</v>
      </c>
      <c r="L2134">
        <v>216769</v>
      </c>
      <c r="N2134">
        <v>7</v>
      </c>
      <c r="O2134" t="s">
        <v>44</v>
      </c>
      <c r="P2134">
        <v>2</v>
      </c>
      <c r="R2134">
        <v>62</v>
      </c>
      <c r="S2134" s="17">
        <v>42144</v>
      </c>
      <c r="T2134" s="17">
        <v>42144</v>
      </c>
      <c r="W2134">
        <v>2015</v>
      </c>
      <c r="X2134">
        <v>7</v>
      </c>
      <c r="AC2134" t="s">
        <v>123</v>
      </c>
      <c r="AD2134" t="s">
        <v>301</v>
      </c>
      <c r="AE2134" t="s">
        <v>46</v>
      </c>
      <c r="AG2134">
        <v>3</v>
      </c>
      <c r="AH2134">
        <v>11</v>
      </c>
      <c r="AI2134" t="s">
        <v>47</v>
      </c>
      <c r="AK2134">
        <v>0</v>
      </c>
      <c r="AM2134">
        <v>0</v>
      </c>
      <c r="AP2134" t="s">
        <v>80</v>
      </c>
    </row>
    <row r="2135" spans="1:42" customFormat="1">
      <c r="A2135">
        <v>270303</v>
      </c>
      <c r="B2135">
        <v>216770</v>
      </c>
      <c r="C2135" t="s">
        <v>3129</v>
      </c>
      <c r="D2135" s="22">
        <v>154</v>
      </c>
      <c r="E2135" s="17">
        <v>42138</v>
      </c>
      <c r="F2135" s="18">
        <v>0.37202546296296296</v>
      </c>
      <c r="G2135" s="22">
        <v>0</v>
      </c>
      <c r="H2135">
        <v>0</v>
      </c>
      <c r="I2135" s="19" t="e">
        <f>I2134 + (D2135-G2135)</f>
        <v>#VALUE!</v>
      </c>
      <c r="L2135">
        <v>216770</v>
      </c>
      <c r="N2135">
        <v>7</v>
      </c>
      <c r="O2135" t="s">
        <v>44</v>
      </c>
      <c r="P2135">
        <v>2</v>
      </c>
      <c r="R2135">
        <v>62</v>
      </c>
      <c r="S2135" s="17">
        <v>42144</v>
      </c>
      <c r="T2135" s="17">
        <v>42144</v>
      </c>
      <c r="W2135">
        <v>2015</v>
      </c>
      <c r="X2135">
        <v>7</v>
      </c>
      <c r="AC2135" t="s">
        <v>123</v>
      </c>
      <c r="AD2135" t="s">
        <v>301</v>
      </c>
      <c r="AE2135" t="s">
        <v>46</v>
      </c>
      <c r="AG2135">
        <v>3</v>
      </c>
      <c r="AH2135">
        <v>11</v>
      </c>
      <c r="AI2135" t="s">
        <v>47</v>
      </c>
      <c r="AK2135">
        <v>0</v>
      </c>
      <c r="AM2135">
        <v>0</v>
      </c>
      <c r="AP2135" t="s">
        <v>80</v>
      </c>
    </row>
    <row r="2136" spans="1:42" customFormat="1">
      <c r="A2136">
        <v>270304</v>
      </c>
      <c r="B2136">
        <v>216771</v>
      </c>
      <c r="C2136" t="s">
        <v>3130</v>
      </c>
      <c r="D2136" s="22">
        <v>154</v>
      </c>
      <c r="E2136" s="17">
        <v>42138</v>
      </c>
      <c r="F2136" s="18">
        <v>0.37202546296296296</v>
      </c>
      <c r="G2136" s="22">
        <v>0</v>
      </c>
      <c r="H2136">
        <v>0</v>
      </c>
      <c r="I2136" s="19" t="e">
        <f>I2135 + (D2136-G2136)</f>
        <v>#VALUE!</v>
      </c>
      <c r="L2136">
        <v>216771</v>
      </c>
      <c r="N2136">
        <v>7</v>
      </c>
      <c r="O2136" t="s">
        <v>44</v>
      </c>
      <c r="P2136">
        <v>2</v>
      </c>
      <c r="R2136">
        <v>62</v>
      </c>
      <c r="S2136" s="17">
        <v>42144</v>
      </c>
      <c r="T2136" s="17">
        <v>42144</v>
      </c>
      <c r="W2136">
        <v>2015</v>
      </c>
      <c r="X2136">
        <v>7</v>
      </c>
      <c r="AC2136" t="s">
        <v>123</v>
      </c>
      <c r="AD2136" t="s">
        <v>301</v>
      </c>
      <c r="AE2136" t="s">
        <v>46</v>
      </c>
      <c r="AG2136">
        <v>3</v>
      </c>
      <c r="AH2136">
        <v>11</v>
      </c>
      <c r="AI2136" t="s">
        <v>47</v>
      </c>
      <c r="AK2136">
        <v>0</v>
      </c>
      <c r="AM2136">
        <v>0</v>
      </c>
      <c r="AP2136" t="s">
        <v>80</v>
      </c>
    </row>
    <row r="2137" spans="1:42" customFormat="1">
      <c r="A2137">
        <v>270305</v>
      </c>
      <c r="B2137">
        <v>216781</v>
      </c>
      <c r="C2137" t="s">
        <v>3131</v>
      </c>
      <c r="D2137" s="22">
        <v>220</v>
      </c>
      <c r="E2137" s="17">
        <v>42138</v>
      </c>
      <c r="F2137" s="18">
        <v>0.37466435185185182</v>
      </c>
      <c r="G2137" s="22">
        <v>0</v>
      </c>
      <c r="H2137">
        <v>0</v>
      </c>
      <c r="I2137" s="19" t="e">
        <f>I2136 + (D2137-G2137)</f>
        <v>#VALUE!</v>
      </c>
      <c r="L2137">
        <v>216781</v>
      </c>
      <c r="N2137">
        <v>7</v>
      </c>
      <c r="O2137" t="s">
        <v>44</v>
      </c>
      <c r="P2137">
        <v>2</v>
      </c>
      <c r="R2137">
        <v>62</v>
      </c>
      <c r="S2137" s="17">
        <v>42144</v>
      </c>
      <c r="T2137" s="17">
        <v>42144</v>
      </c>
      <c r="W2137">
        <v>2015</v>
      </c>
      <c r="X2137">
        <v>7</v>
      </c>
      <c r="AC2137" t="s">
        <v>123</v>
      </c>
      <c r="AD2137" t="s">
        <v>301</v>
      </c>
      <c r="AE2137" t="s">
        <v>46</v>
      </c>
      <c r="AG2137">
        <v>3</v>
      </c>
      <c r="AH2137">
        <v>11</v>
      </c>
      <c r="AI2137" t="s">
        <v>47</v>
      </c>
      <c r="AK2137">
        <v>0</v>
      </c>
      <c r="AM2137">
        <v>0</v>
      </c>
      <c r="AP2137" t="s">
        <v>80</v>
      </c>
    </row>
    <row r="2138" spans="1:42" customFormat="1">
      <c r="A2138">
        <v>270306</v>
      </c>
      <c r="B2138">
        <v>216782</v>
      </c>
      <c r="C2138" t="s">
        <v>3132</v>
      </c>
      <c r="D2138" s="22">
        <v>220</v>
      </c>
      <c r="E2138" s="17">
        <v>42138</v>
      </c>
      <c r="F2138" s="18">
        <v>0.37467592592592597</v>
      </c>
      <c r="G2138" s="22">
        <v>0</v>
      </c>
      <c r="H2138">
        <v>0</v>
      </c>
      <c r="I2138" s="19" t="e">
        <f>I2137 + (D2138-G2138)</f>
        <v>#VALUE!</v>
      </c>
      <c r="L2138">
        <v>216782</v>
      </c>
      <c r="N2138">
        <v>7</v>
      </c>
      <c r="O2138" t="s">
        <v>44</v>
      </c>
      <c r="P2138">
        <v>2</v>
      </c>
      <c r="R2138">
        <v>62</v>
      </c>
      <c r="S2138" s="17">
        <v>42144</v>
      </c>
      <c r="T2138" s="17">
        <v>42144</v>
      </c>
      <c r="W2138">
        <v>2015</v>
      </c>
      <c r="X2138">
        <v>7</v>
      </c>
      <c r="AC2138" t="s">
        <v>123</v>
      </c>
      <c r="AD2138" t="s">
        <v>301</v>
      </c>
      <c r="AE2138" t="s">
        <v>46</v>
      </c>
      <c r="AG2138">
        <v>3</v>
      </c>
      <c r="AH2138">
        <v>11</v>
      </c>
      <c r="AI2138" t="s">
        <v>47</v>
      </c>
      <c r="AK2138">
        <v>0</v>
      </c>
      <c r="AM2138">
        <v>0</v>
      </c>
      <c r="AP2138" t="s">
        <v>80</v>
      </c>
    </row>
    <row r="2139" spans="1:42" customFormat="1">
      <c r="A2139">
        <v>270307</v>
      </c>
      <c r="B2139">
        <v>216783</v>
      </c>
      <c r="C2139" t="s">
        <v>3133</v>
      </c>
      <c r="D2139" s="22">
        <v>220</v>
      </c>
      <c r="E2139" s="17">
        <v>42138</v>
      </c>
      <c r="F2139" s="18">
        <v>0.37467592592592597</v>
      </c>
      <c r="G2139" s="22">
        <v>0</v>
      </c>
      <c r="H2139">
        <v>0</v>
      </c>
      <c r="I2139" s="19" t="e">
        <f>I2138 + (D2139-G2139)</f>
        <v>#VALUE!</v>
      </c>
      <c r="L2139">
        <v>216783</v>
      </c>
      <c r="N2139">
        <v>7</v>
      </c>
      <c r="O2139" t="s">
        <v>44</v>
      </c>
      <c r="P2139">
        <v>2</v>
      </c>
      <c r="R2139">
        <v>62</v>
      </c>
      <c r="S2139" s="17">
        <v>42144</v>
      </c>
      <c r="T2139" s="17">
        <v>42144</v>
      </c>
      <c r="W2139">
        <v>2015</v>
      </c>
      <c r="X2139">
        <v>7</v>
      </c>
      <c r="AC2139" t="s">
        <v>123</v>
      </c>
      <c r="AD2139" t="s">
        <v>301</v>
      </c>
      <c r="AE2139" t="s">
        <v>46</v>
      </c>
      <c r="AG2139">
        <v>3</v>
      </c>
      <c r="AH2139">
        <v>11</v>
      </c>
      <c r="AI2139" t="s">
        <v>47</v>
      </c>
      <c r="AK2139">
        <v>0</v>
      </c>
      <c r="AM2139">
        <v>0</v>
      </c>
      <c r="AP2139" t="s">
        <v>80</v>
      </c>
    </row>
    <row r="2140" spans="1:42" customFormat="1">
      <c r="A2140">
        <v>270336</v>
      </c>
      <c r="B2140">
        <v>216795</v>
      </c>
      <c r="C2140" t="s">
        <v>3144</v>
      </c>
      <c r="D2140" s="22">
        <v>220</v>
      </c>
      <c r="E2140" s="17">
        <v>42138</v>
      </c>
      <c r="F2140" s="18">
        <v>0.4191319444444444</v>
      </c>
      <c r="G2140" s="22">
        <v>0</v>
      </c>
      <c r="H2140">
        <v>0</v>
      </c>
      <c r="I2140" s="19" t="e">
        <f>I2139 + (D2140-G2140)</f>
        <v>#VALUE!</v>
      </c>
      <c r="L2140">
        <v>216795</v>
      </c>
      <c r="N2140">
        <v>7</v>
      </c>
      <c r="O2140" t="s">
        <v>44</v>
      </c>
      <c r="P2140">
        <v>2</v>
      </c>
      <c r="R2140">
        <v>62</v>
      </c>
      <c r="S2140" s="17">
        <v>42144</v>
      </c>
      <c r="T2140" s="17">
        <v>42144</v>
      </c>
      <c r="W2140">
        <v>2015</v>
      </c>
      <c r="X2140">
        <v>7</v>
      </c>
      <c r="AC2140" t="s">
        <v>123</v>
      </c>
      <c r="AD2140" t="s">
        <v>301</v>
      </c>
      <c r="AE2140" t="s">
        <v>46</v>
      </c>
      <c r="AG2140">
        <v>3</v>
      </c>
      <c r="AH2140">
        <v>11</v>
      </c>
      <c r="AI2140" t="s">
        <v>47</v>
      </c>
      <c r="AK2140">
        <v>0</v>
      </c>
      <c r="AM2140">
        <v>0</v>
      </c>
      <c r="AP2140" t="s">
        <v>80</v>
      </c>
    </row>
    <row r="2141" spans="1:42" customFormat="1">
      <c r="A2141">
        <v>270337</v>
      </c>
      <c r="B2141">
        <v>216796</v>
      </c>
      <c r="C2141" t="s">
        <v>3145</v>
      </c>
      <c r="D2141" s="22">
        <v>220</v>
      </c>
      <c r="E2141" s="17">
        <v>42138</v>
      </c>
      <c r="F2141" s="18">
        <v>0.4191319444444444</v>
      </c>
      <c r="G2141" s="22">
        <v>0</v>
      </c>
      <c r="H2141">
        <v>0</v>
      </c>
      <c r="I2141" s="19" t="e">
        <f>I2140 + (D2141-G2141)</f>
        <v>#VALUE!</v>
      </c>
      <c r="L2141">
        <v>216796</v>
      </c>
      <c r="N2141">
        <v>7</v>
      </c>
      <c r="O2141" t="s">
        <v>44</v>
      </c>
      <c r="P2141">
        <v>2</v>
      </c>
      <c r="R2141">
        <v>62</v>
      </c>
      <c r="S2141" s="17">
        <v>42144</v>
      </c>
      <c r="T2141" s="17">
        <v>42144</v>
      </c>
      <c r="W2141">
        <v>2015</v>
      </c>
      <c r="X2141">
        <v>7</v>
      </c>
      <c r="AC2141" t="s">
        <v>123</v>
      </c>
      <c r="AD2141" t="s">
        <v>301</v>
      </c>
      <c r="AE2141" t="s">
        <v>46</v>
      </c>
      <c r="AG2141">
        <v>3</v>
      </c>
      <c r="AH2141">
        <v>11</v>
      </c>
      <c r="AI2141" t="s">
        <v>47</v>
      </c>
      <c r="AK2141">
        <v>0</v>
      </c>
      <c r="AM2141">
        <v>0</v>
      </c>
      <c r="AP2141" t="s">
        <v>80</v>
      </c>
    </row>
    <row r="2142" spans="1:42" customFormat="1">
      <c r="A2142">
        <v>270351</v>
      </c>
      <c r="B2142">
        <v>216784</v>
      </c>
      <c r="C2142" t="s">
        <v>3146</v>
      </c>
      <c r="D2142" s="22">
        <v>220</v>
      </c>
      <c r="E2142" s="17">
        <v>42138</v>
      </c>
      <c r="F2142" s="18">
        <v>0.42247685185185185</v>
      </c>
      <c r="G2142" s="22">
        <v>0</v>
      </c>
      <c r="H2142">
        <v>0</v>
      </c>
      <c r="I2142" s="19" t="e">
        <f>I2141 + (D2142-G2142)</f>
        <v>#VALUE!</v>
      </c>
      <c r="L2142">
        <v>216784</v>
      </c>
      <c r="N2142">
        <v>7</v>
      </c>
      <c r="O2142" t="s">
        <v>44</v>
      </c>
      <c r="P2142">
        <v>2</v>
      </c>
      <c r="R2142">
        <v>62</v>
      </c>
      <c r="S2142" s="17">
        <v>42144</v>
      </c>
      <c r="T2142" s="17">
        <v>42144</v>
      </c>
      <c r="W2142">
        <v>2015</v>
      </c>
      <c r="X2142">
        <v>7</v>
      </c>
      <c r="AC2142" t="s">
        <v>123</v>
      </c>
      <c r="AD2142" t="s">
        <v>301</v>
      </c>
      <c r="AE2142" t="s">
        <v>46</v>
      </c>
      <c r="AG2142">
        <v>3</v>
      </c>
      <c r="AH2142">
        <v>11</v>
      </c>
      <c r="AI2142" t="s">
        <v>47</v>
      </c>
      <c r="AK2142">
        <v>0</v>
      </c>
      <c r="AM2142">
        <v>0</v>
      </c>
      <c r="AP2142" t="s">
        <v>80</v>
      </c>
    </row>
    <row r="2143" spans="1:42" customFormat="1">
      <c r="A2143">
        <v>270355</v>
      </c>
      <c r="B2143">
        <v>216772</v>
      </c>
      <c r="C2143" t="s">
        <v>3147</v>
      </c>
      <c r="D2143" s="22">
        <v>154</v>
      </c>
      <c r="E2143" s="17">
        <v>42138</v>
      </c>
      <c r="F2143" s="18">
        <v>0.42298611111111112</v>
      </c>
      <c r="G2143" s="22">
        <v>0</v>
      </c>
      <c r="H2143">
        <v>0</v>
      </c>
      <c r="I2143" s="19" t="e">
        <f>I2142 + (D2143-G2143)</f>
        <v>#VALUE!</v>
      </c>
      <c r="L2143">
        <v>216772</v>
      </c>
      <c r="N2143">
        <v>7</v>
      </c>
      <c r="O2143" t="s">
        <v>44</v>
      </c>
      <c r="P2143">
        <v>2</v>
      </c>
      <c r="R2143">
        <v>62</v>
      </c>
      <c r="S2143" s="17">
        <v>42144</v>
      </c>
      <c r="T2143" s="17">
        <v>42144</v>
      </c>
      <c r="W2143">
        <v>2015</v>
      </c>
      <c r="X2143">
        <v>7</v>
      </c>
      <c r="AC2143" t="s">
        <v>123</v>
      </c>
      <c r="AD2143" t="s">
        <v>301</v>
      </c>
      <c r="AE2143" t="s">
        <v>46</v>
      </c>
      <c r="AG2143">
        <v>3</v>
      </c>
      <c r="AH2143">
        <v>11</v>
      </c>
      <c r="AI2143" t="s">
        <v>47</v>
      </c>
      <c r="AK2143">
        <v>0</v>
      </c>
      <c r="AM2143">
        <v>0</v>
      </c>
      <c r="AP2143" t="s">
        <v>80</v>
      </c>
    </row>
    <row r="2144" spans="1:42" customFormat="1">
      <c r="A2144">
        <v>270359</v>
      </c>
      <c r="B2144">
        <v>216797</v>
      </c>
      <c r="C2144" t="s">
        <v>3152</v>
      </c>
      <c r="D2144" s="22">
        <v>220</v>
      </c>
      <c r="E2144" s="17">
        <v>42138</v>
      </c>
      <c r="F2144" s="18">
        <v>0.4236226851851852</v>
      </c>
      <c r="G2144" s="22">
        <v>0</v>
      </c>
      <c r="H2144">
        <v>0</v>
      </c>
      <c r="I2144" s="19" t="e">
        <f>I2143 + (D2144-G2144)</f>
        <v>#VALUE!</v>
      </c>
      <c r="L2144">
        <v>216797</v>
      </c>
      <c r="N2144">
        <v>7</v>
      </c>
      <c r="O2144" t="s">
        <v>44</v>
      </c>
      <c r="P2144">
        <v>2</v>
      </c>
      <c r="R2144">
        <v>62</v>
      </c>
      <c r="S2144" s="17">
        <v>42144</v>
      </c>
      <c r="T2144" s="17">
        <v>42144</v>
      </c>
      <c r="W2144">
        <v>2015</v>
      </c>
      <c r="X2144">
        <v>7</v>
      </c>
      <c r="AC2144" t="s">
        <v>123</v>
      </c>
      <c r="AD2144" t="s">
        <v>301</v>
      </c>
      <c r="AE2144" t="s">
        <v>46</v>
      </c>
      <c r="AG2144">
        <v>3</v>
      </c>
      <c r="AH2144">
        <v>11</v>
      </c>
      <c r="AI2144" t="s">
        <v>47</v>
      </c>
      <c r="AK2144">
        <v>0</v>
      </c>
      <c r="AM2144">
        <v>0</v>
      </c>
      <c r="AP2144" t="s">
        <v>80</v>
      </c>
    </row>
    <row r="2145" spans="1:42" customFormat="1">
      <c r="A2145">
        <v>270720</v>
      </c>
      <c r="B2145">
        <v>216780</v>
      </c>
      <c r="C2145" t="s">
        <v>3529</v>
      </c>
      <c r="D2145" s="22">
        <v>220</v>
      </c>
      <c r="E2145" s="17">
        <v>42142</v>
      </c>
      <c r="F2145" s="18">
        <v>0.41731481481481486</v>
      </c>
      <c r="G2145" s="22">
        <v>0</v>
      </c>
      <c r="H2145">
        <v>0</v>
      </c>
      <c r="I2145" s="19" t="e">
        <f>I2144 + (D2145-G2145)</f>
        <v>#VALUE!</v>
      </c>
      <c r="L2145">
        <v>216780</v>
      </c>
      <c r="N2145">
        <v>7</v>
      </c>
      <c r="O2145" t="s">
        <v>44</v>
      </c>
      <c r="P2145">
        <v>2</v>
      </c>
      <c r="R2145">
        <v>62</v>
      </c>
      <c r="S2145" s="17">
        <v>42146</v>
      </c>
      <c r="T2145" s="17">
        <v>42146</v>
      </c>
      <c r="W2145">
        <v>2015</v>
      </c>
      <c r="X2145">
        <v>7</v>
      </c>
      <c r="AC2145" t="s">
        <v>123</v>
      </c>
      <c r="AD2145" t="s">
        <v>301</v>
      </c>
      <c r="AE2145" t="s">
        <v>46</v>
      </c>
      <c r="AG2145">
        <v>27</v>
      </c>
      <c r="AH2145">
        <v>2</v>
      </c>
      <c r="AI2145" t="s">
        <v>50</v>
      </c>
      <c r="AK2145">
        <v>0</v>
      </c>
      <c r="AM2145">
        <v>0</v>
      </c>
      <c r="AP2145" t="s">
        <v>1337</v>
      </c>
    </row>
    <row r="2146" spans="1:42" customFormat="1">
      <c r="A2146">
        <v>270628</v>
      </c>
      <c r="B2146">
        <v>216848</v>
      </c>
      <c r="C2146" t="s">
        <v>3538</v>
      </c>
      <c r="D2146" s="22">
        <v>220</v>
      </c>
      <c r="E2146" s="17">
        <v>42142</v>
      </c>
      <c r="F2146" s="18">
        <v>0.43118055555555551</v>
      </c>
      <c r="G2146" s="22">
        <v>0</v>
      </c>
      <c r="H2146">
        <v>0</v>
      </c>
      <c r="I2146" s="19" t="e">
        <f>I2145 + (D2146-G2146)</f>
        <v>#VALUE!</v>
      </c>
      <c r="L2146">
        <v>216848</v>
      </c>
      <c r="N2146">
        <v>7</v>
      </c>
      <c r="O2146" t="s">
        <v>44</v>
      </c>
      <c r="P2146">
        <v>2</v>
      </c>
      <c r="R2146">
        <v>62</v>
      </c>
      <c r="S2146" s="17">
        <v>42145</v>
      </c>
      <c r="T2146" s="17">
        <v>42145</v>
      </c>
      <c r="W2146">
        <v>2015</v>
      </c>
      <c r="X2146">
        <v>7</v>
      </c>
      <c r="AC2146" t="s">
        <v>123</v>
      </c>
      <c r="AD2146" t="s">
        <v>301</v>
      </c>
      <c r="AE2146" t="s">
        <v>46</v>
      </c>
      <c r="AG2146">
        <v>7</v>
      </c>
      <c r="AH2146">
        <v>2</v>
      </c>
      <c r="AI2146" t="s">
        <v>50</v>
      </c>
      <c r="AK2146">
        <v>0</v>
      </c>
      <c r="AM2146">
        <v>0</v>
      </c>
      <c r="AP2146" t="s">
        <v>220</v>
      </c>
    </row>
    <row r="2147" spans="1:42" customFormat="1">
      <c r="A2147">
        <v>270637</v>
      </c>
      <c r="B2147">
        <v>216768</v>
      </c>
      <c r="C2147" t="s">
        <v>3539</v>
      </c>
      <c r="D2147" s="22">
        <v>154</v>
      </c>
      <c r="E2147" s="17">
        <v>42142</v>
      </c>
      <c r="F2147" s="18">
        <v>0.43246527777777777</v>
      </c>
      <c r="G2147" s="22">
        <v>0</v>
      </c>
      <c r="H2147">
        <v>0</v>
      </c>
      <c r="I2147" s="19" t="e">
        <f>I2146 + (D2147-G2147)</f>
        <v>#VALUE!</v>
      </c>
      <c r="L2147">
        <v>216768</v>
      </c>
      <c r="N2147">
        <v>7</v>
      </c>
      <c r="O2147" t="s">
        <v>44</v>
      </c>
      <c r="P2147">
        <v>2</v>
      </c>
      <c r="R2147">
        <v>62</v>
      </c>
      <c r="S2147" s="17">
        <v>42145</v>
      </c>
      <c r="T2147" s="17">
        <v>42145</v>
      </c>
      <c r="W2147">
        <v>2015</v>
      </c>
      <c r="X2147">
        <v>7</v>
      </c>
      <c r="AC2147" t="s">
        <v>123</v>
      </c>
      <c r="AD2147" t="s">
        <v>301</v>
      </c>
      <c r="AE2147" t="s">
        <v>46</v>
      </c>
      <c r="AG2147">
        <v>7</v>
      </c>
      <c r="AH2147">
        <v>2</v>
      </c>
      <c r="AI2147" t="s">
        <v>50</v>
      </c>
      <c r="AK2147">
        <v>0</v>
      </c>
      <c r="AM2147">
        <v>0</v>
      </c>
      <c r="AP2147" t="s">
        <v>220</v>
      </c>
    </row>
    <row r="2148" spans="1:42" customFormat="1">
      <c r="A2148">
        <v>271254</v>
      </c>
      <c r="B2148">
        <v>215652</v>
      </c>
      <c r="C2148" t="s">
        <v>4776</v>
      </c>
      <c r="D2148" s="22">
        <v>220</v>
      </c>
      <c r="E2148" s="17">
        <v>42150</v>
      </c>
      <c r="F2148" s="18">
        <v>0.45587962962962963</v>
      </c>
      <c r="G2148" s="22">
        <v>0</v>
      </c>
      <c r="H2148">
        <v>0</v>
      </c>
      <c r="I2148" s="19" t="e">
        <f>I2147 + (D2148-G2148)</f>
        <v>#VALUE!</v>
      </c>
      <c r="L2148">
        <v>215652</v>
      </c>
      <c r="N2148">
        <v>7</v>
      </c>
      <c r="O2148" t="s">
        <v>44</v>
      </c>
      <c r="P2148">
        <v>2</v>
      </c>
      <c r="R2148">
        <v>62</v>
      </c>
      <c r="S2148" s="17">
        <v>42151</v>
      </c>
      <c r="T2148" s="17">
        <v>42151</v>
      </c>
      <c r="W2148">
        <v>2015</v>
      </c>
      <c r="X2148">
        <v>7</v>
      </c>
      <c r="AC2148" t="s">
        <v>123</v>
      </c>
      <c r="AD2148" t="s">
        <v>301</v>
      </c>
      <c r="AE2148" t="s">
        <v>46</v>
      </c>
      <c r="AG2148">
        <v>55</v>
      </c>
      <c r="AH2148">
        <v>11</v>
      </c>
      <c r="AI2148" t="s">
        <v>47</v>
      </c>
      <c r="AK2148">
        <v>0</v>
      </c>
      <c r="AM2148">
        <v>0</v>
      </c>
      <c r="AP2148" t="s">
        <v>4767</v>
      </c>
    </row>
    <row r="2149" spans="1:42" customFormat="1">
      <c r="A2149">
        <v>271253</v>
      </c>
      <c r="B2149">
        <v>215651</v>
      </c>
      <c r="C2149" t="s">
        <v>4777</v>
      </c>
      <c r="D2149" s="22">
        <v>220</v>
      </c>
      <c r="E2149" s="17">
        <v>42150</v>
      </c>
      <c r="F2149" s="18">
        <v>0.45587962962962963</v>
      </c>
      <c r="G2149" s="22">
        <v>0</v>
      </c>
      <c r="H2149">
        <v>0</v>
      </c>
      <c r="I2149" s="19" t="e">
        <f>I2148 + (D2149-G2149)</f>
        <v>#VALUE!</v>
      </c>
      <c r="L2149">
        <v>215651</v>
      </c>
      <c r="N2149">
        <v>7</v>
      </c>
      <c r="O2149" t="s">
        <v>44</v>
      </c>
      <c r="P2149">
        <v>2</v>
      </c>
      <c r="R2149">
        <v>62</v>
      </c>
      <c r="S2149" s="17">
        <v>42151</v>
      </c>
      <c r="T2149" s="17">
        <v>42151</v>
      </c>
      <c r="W2149">
        <v>2015</v>
      </c>
      <c r="X2149">
        <v>7</v>
      </c>
      <c r="AC2149" t="s">
        <v>123</v>
      </c>
      <c r="AD2149" t="s">
        <v>301</v>
      </c>
      <c r="AE2149" t="s">
        <v>46</v>
      </c>
      <c r="AG2149">
        <v>55</v>
      </c>
      <c r="AH2149">
        <v>11</v>
      </c>
      <c r="AI2149" t="s">
        <v>47</v>
      </c>
      <c r="AK2149">
        <v>0</v>
      </c>
      <c r="AM2149">
        <v>0</v>
      </c>
      <c r="AP2149" t="s">
        <v>4767</v>
      </c>
    </row>
    <row r="2150" spans="1:42" customFormat="1">
      <c r="A2150">
        <v>271257</v>
      </c>
      <c r="B2150">
        <v>215458</v>
      </c>
      <c r="C2150" t="s">
        <v>4778</v>
      </c>
      <c r="D2150" s="22">
        <v>220</v>
      </c>
      <c r="E2150" s="17">
        <v>42150</v>
      </c>
      <c r="F2150" s="18">
        <v>0.46050925925925923</v>
      </c>
      <c r="G2150" s="22">
        <v>0</v>
      </c>
      <c r="H2150">
        <v>0</v>
      </c>
      <c r="I2150" s="19" t="e">
        <f>I2149 + (D2150-G2150)</f>
        <v>#VALUE!</v>
      </c>
      <c r="L2150">
        <v>215458</v>
      </c>
      <c r="N2150">
        <v>7</v>
      </c>
      <c r="O2150" t="s">
        <v>44</v>
      </c>
      <c r="P2150">
        <v>2</v>
      </c>
      <c r="R2150">
        <v>62</v>
      </c>
      <c r="S2150" s="17">
        <v>42151</v>
      </c>
      <c r="T2150" s="17">
        <v>42151</v>
      </c>
      <c r="W2150">
        <v>2015</v>
      </c>
      <c r="X2150">
        <v>7</v>
      </c>
      <c r="AC2150" t="s">
        <v>123</v>
      </c>
      <c r="AD2150" t="s">
        <v>301</v>
      </c>
      <c r="AE2150" t="s">
        <v>46</v>
      </c>
      <c r="AG2150">
        <v>55</v>
      </c>
      <c r="AH2150">
        <v>11</v>
      </c>
      <c r="AI2150" t="s">
        <v>47</v>
      </c>
      <c r="AK2150">
        <v>0</v>
      </c>
      <c r="AM2150">
        <v>0</v>
      </c>
      <c r="AP2150" t="s">
        <v>4767</v>
      </c>
    </row>
    <row r="2151" spans="1:42" customFormat="1">
      <c r="A2151">
        <v>271256</v>
      </c>
      <c r="B2151">
        <v>215457</v>
      </c>
      <c r="C2151" t="s">
        <v>4779</v>
      </c>
      <c r="D2151" s="22">
        <v>220</v>
      </c>
      <c r="E2151" s="17">
        <v>42150</v>
      </c>
      <c r="F2151" s="18">
        <v>0.46050925925925923</v>
      </c>
      <c r="G2151" s="22">
        <v>0</v>
      </c>
      <c r="H2151">
        <v>0</v>
      </c>
      <c r="I2151" s="19" t="e">
        <f>I2150 + (D2151-G2151)</f>
        <v>#VALUE!</v>
      </c>
      <c r="L2151">
        <v>215457</v>
      </c>
      <c r="N2151">
        <v>7</v>
      </c>
      <c r="O2151" t="s">
        <v>44</v>
      </c>
      <c r="P2151">
        <v>2</v>
      </c>
      <c r="R2151">
        <v>62</v>
      </c>
      <c r="S2151" s="17">
        <v>42151</v>
      </c>
      <c r="T2151" s="17">
        <v>42151</v>
      </c>
      <c r="W2151">
        <v>2015</v>
      </c>
      <c r="X2151">
        <v>7</v>
      </c>
      <c r="AC2151" t="s">
        <v>123</v>
      </c>
      <c r="AD2151" t="s">
        <v>301</v>
      </c>
      <c r="AE2151" t="s">
        <v>46</v>
      </c>
      <c r="AG2151">
        <v>55</v>
      </c>
      <c r="AH2151">
        <v>11</v>
      </c>
      <c r="AI2151" t="s">
        <v>47</v>
      </c>
      <c r="AK2151">
        <v>0</v>
      </c>
      <c r="AM2151">
        <v>0</v>
      </c>
      <c r="AP2151" t="s">
        <v>4767</v>
      </c>
    </row>
    <row r="2152" spans="1:42" customFormat="1">
      <c r="A2152">
        <v>271258</v>
      </c>
      <c r="B2152">
        <v>212427</v>
      </c>
      <c r="C2152" t="s">
        <v>4780</v>
      </c>
      <c r="D2152" s="22">
        <v>220</v>
      </c>
      <c r="E2152" s="17">
        <v>42150</v>
      </c>
      <c r="F2152" s="18">
        <v>0.46194444444444444</v>
      </c>
      <c r="G2152" s="22">
        <v>0</v>
      </c>
      <c r="H2152">
        <v>0</v>
      </c>
      <c r="I2152" s="19" t="e">
        <f>I2151 + (D2152-G2152)</f>
        <v>#VALUE!</v>
      </c>
      <c r="L2152">
        <v>212427</v>
      </c>
      <c r="N2152">
        <v>7</v>
      </c>
      <c r="O2152" t="s">
        <v>44</v>
      </c>
      <c r="P2152">
        <v>2</v>
      </c>
      <c r="R2152">
        <v>62</v>
      </c>
      <c r="S2152" s="17">
        <v>42151</v>
      </c>
      <c r="T2152" s="17">
        <v>42151</v>
      </c>
      <c r="W2152">
        <v>2015</v>
      </c>
      <c r="X2152">
        <v>7</v>
      </c>
      <c r="AC2152" t="s">
        <v>123</v>
      </c>
      <c r="AD2152" t="s">
        <v>301</v>
      </c>
      <c r="AE2152" t="s">
        <v>46</v>
      </c>
      <c r="AG2152">
        <v>55</v>
      </c>
      <c r="AH2152">
        <v>11</v>
      </c>
      <c r="AI2152" t="s">
        <v>47</v>
      </c>
      <c r="AK2152">
        <v>0</v>
      </c>
      <c r="AM2152">
        <v>0</v>
      </c>
      <c r="AP2152" t="s">
        <v>4767</v>
      </c>
    </row>
    <row r="2153" spans="1:42" customFormat="1">
      <c r="A2153">
        <v>271287</v>
      </c>
      <c r="B2153">
        <v>216854</v>
      </c>
      <c r="C2153" t="s">
        <v>4802</v>
      </c>
      <c r="D2153" s="22">
        <v>220</v>
      </c>
      <c r="E2153" s="17">
        <v>42150</v>
      </c>
      <c r="F2153" s="18">
        <v>0.48002314814814812</v>
      </c>
      <c r="G2153" s="22">
        <v>0</v>
      </c>
      <c r="H2153">
        <v>0</v>
      </c>
      <c r="I2153" s="19" t="e">
        <f>I2152 + (D2153-G2153)</f>
        <v>#VALUE!</v>
      </c>
      <c r="L2153">
        <v>216854</v>
      </c>
      <c r="N2153">
        <v>7</v>
      </c>
      <c r="O2153" t="s">
        <v>44</v>
      </c>
      <c r="P2153">
        <v>2</v>
      </c>
      <c r="R2153">
        <v>62</v>
      </c>
      <c r="S2153" s="17">
        <v>42151</v>
      </c>
      <c r="T2153" s="17">
        <v>42151</v>
      </c>
      <c r="W2153">
        <v>2015</v>
      </c>
      <c r="X2153">
        <v>7</v>
      </c>
      <c r="AC2153" t="s">
        <v>123</v>
      </c>
      <c r="AD2153" t="s">
        <v>301</v>
      </c>
      <c r="AE2153" t="s">
        <v>46</v>
      </c>
      <c r="AG2153">
        <v>55</v>
      </c>
      <c r="AH2153">
        <v>11</v>
      </c>
      <c r="AI2153" t="s">
        <v>47</v>
      </c>
      <c r="AK2153">
        <v>0</v>
      </c>
      <c r="AM2153">
        <v>0</v>
      </c>
      <c r="AP2153" t="s">
        <v>4767</v>
      </c>
    </row>
    <row r="2154" spans="1:42" customFormat="1">
      <c r="A2154">
        <v>271295</v>
      </c>
      <c r="B2154">
        <v>216951</v>
      </c>
      <c r="C2154" t="s">
        <v>4818</v>
      </c>
      <c r="D2154" s="22">
        <v>160</v>
      </c>
      <c r="E2154" s="17">
        <v>42150</v>
      </c>
      <c r="F2154" s="18">
        <v>0.57826388888888891</v>
      </c>
      <c r="G2154" s="22">
        <v>0</v>
      </c>
      <c r="H2154">
        <v>0</v>
      </c>
      <c r="I2154" s="19" t="e">
        <f>I2153 + (D2154-G2154)</f>
        <v>#VALUE!</v>
      </c>
      <c r="L2154">
        <v>216951</v>
      </c>
      <c r="N2154">
        <v>24</v>
      </c>
      <c r="O2154" t="s">
        <v>68</v>
      </c>
      <c r="P2154">
        <v>2</v>
      </c>
      <c r="R2154">
        <v>62</v>
      </c>
      <c r="S2154" s="17">
        <v>42151</v>
      </c>
      <c r="T2154" s="17">
        <v>42151</v>
      </c>
      <c r="W2154">
        <v>2015</v>
      </c>
      <c r="X2154">
        <v>24</v>
      </c>
      <c r="AC2154" t="s">
        <v>123</v>
      </c>
      <c r="AD2154" t="s">
        <v>301</v>
      </c>
      <c r="AE2154" t="s">
        <v>46</v>
      </c>
      <c r="AG2154">
        <v>55</v>
      </c>
      <c r="AH2154">
        <v>11</v>
      </c>
      <c r="AI2154" t="s">
        <v>47</v>
      </c>
      <c r="AK2154">
        <v>0</v>
      </c>
      <c r="AM2154">
        <v>0</v>
      </c>
      <c r="AP2154" t="s">
        <v>4767</v>
      </c>
    </row>
    <row r="2155" spans="1:42" customFormat="1">
      <c r="A2155">
        <v>271296</v>
      </c>
      <c r="B2155">
        <v>216950</v>
      </c>
      <c r="C2155" t="s">
        <v>4819</v>
      </c>
      <c r="D2155" s="22">
        <v>160</v>
      </c>
      <c r="E2155" s="17">
        <v>42150</v>
      </c>
      <c r="F2155" s="18">
        <v>0.57856481481481481</v>
      </c>
      <c r="G2155" s="22">
        <v>0</v>
      </c>
      <c r="H2155">
        <v>0</v>
      </c>
      <c r="I2155" s="19" t="e">
        <f>I2154 + (D2155-G2155)</f>
        <v>#VALUE!</v>
      </c>
      <c r="L2155">
        <v>216950</v>
      </c>
      <c r="N2155">
        <v>24</v>
      </c>
      <c r="O2155" t="s">
        <v>68</v>
      </c>
      <c r="P2155">
        <v>2</v>
      </c>
      <c r="R2155">
        <v>62</v>
      </c>
      <c r="S2155" s="17">
        <v>42151</v>
      </c>
      <c r="T2155" s="17">
        <v>42151</v>
      </c>
      <c r="W2155">
        <v>2015</v>
      </c>
      <c r="X2155">
        <v>24</v>
      </c>
      <c r="AC2155" t="s">
        <v>123</v>
      </c>
      <c r="AD2155" t="s">
        <v>301</v>
      </c>
      <c r="AE2155" t="s">
        <v>46</v>
      </c>
      <c r="AG2155">
        <v>55</v>
      </c>
      <c r="AH2155">
        <v>11</v>
      </c>
      <c r="AI2155" t="s">
        <v>47</v>
      </c>
      <c r="AK2155">
        <v>0</v>
      </c>
      <c r="AM2155">
        <v>0</v>
      </c>
      <c r="AP2155" t="s">
        <v>4767</v>
      </c>
    </row>
    <row r="2156" spans="1:42" customFormat="1">
      <c r="A2156">
        <v>271299</v>
      </c>
      <c r="B2156">
        <v>216799</v>
      </c>
      <c r="C2156" t="s">
        <v>4822</v>
      </c>
      <c r="D2156" s="22">
        <v>220</v>
      </c>
      <c r="E2156" s="17">
        <v>42150</v>
      </c>
      <c r="F2156" s="18">
        <v>0.58258101851851851</v>
      </c>
      <c r="G2156" s="22">
        <v>0</v>
      </c>
      <c r="H2156">
        <v>0</v>
      </c>
      <c r="I2156" s="19" t="e">
        <f>I2155 + (D2156-G2156)</f>
        <v>#VALUE!</v>
      </c>
      <c r="L2156">
        <v>216799</v>
      </c>
      <c r="N2156">
        <v>7</v>
      </c>
      <c r="O2156" t="s">
        <v>44</v>
      </c>
      <c r="P2156">
        <v>2</v>
      </c>
      <c r="R2156">
        <v>62</v>
      </c>
      <c r="S2156" s="17">
        <v>42151</v>
      </c>
      <c r="T2156" s="17">
        <v>42151</v>
      </c>
      <c r="W2156">
        <v>2015</v>
      </c>
      <c r="X2156">
        <v>7</v>
      </c>
      <c r="AC2156" t="s">
        <v>123</v>
      </c>
      <c r="AD2156" t="s">
        <v>301</v>
      </c>
      <c r="AE2156" t="s">
        <v>46</v>
      </c>
      <c r="AG2156">
        <v>55</v>
      </c>
      <c r="AH2156">
        <v>2</v>
      </c>
      <c r="AI2156" t="s">
        <v>50</v>
      </c>
      <c r="AK2156">
        <v>0</v>
      </c>
      <c r="AM2156">
        <v>0</v>
      </c>
      <c r="AP2156" t="s">
        <v>4767</v>
      </c>
    </row>
    <row r="2157" spans="1:42" customFormat="1">
      <c r="A2157">
        <v>271301</v>
      </c>
      <c r="B2157">
        <v>216774</v>
      </c>
      <c r="C2157" t="s">
        <v>4824</v>
      </c>
      <c r="D2157" s="22">
        <v>154</v>
      </c>
      <c r="E2157" s="17">
        <v>42150</v>
      </c>
      <c r="F2157" s="18">
        <v>0.58490740740740743</v>
      </c>
      <c r="G2157" s="22">
        <v>0</v>
      </c>
      <c r="H2157">
        <v>0</v>
      </c>
      <c r="I2157" s="19" t="e">
        <f>I2156 + (D2157-G2157)</f>
        <v>#VALUE!</v>
      </c>
      <c r="L2157">
        <v>216774</v>
      </c>
      <c r="N2157">
        <v>7</v>
      </c>
      <c r="O2157" t="s">
        <v>44</v>
      </c>
      <c r="P2157">
        <v>2</v>
      </c>
      <c r="R2157">
        <v>62</v>
      </c>
      <c r="S2157" s="17">
        <v>42151</v>
      </c>
      <c r="T2157" s="17">
        <v>42151</v>
      </c>
      <c r="W2157">
        <v>2015</v>
      </c>
      <c r="X2157">
        <v>7</v>
      </c>
      <c r="AC2157" t="s">
        <v>123</v>
      </c>
      <c r="AD2157" t="s">
        <v>301</v>
      </c>
      <c r="AE2157" t="s">
        <v>46</v>
      </c>
      <c r="AG2157">
        <v>55</v>
      </c>
      <c r="AH2157">
        <v>11</v>
      </c>
      <c r="AI2157" t="s">
        <v>47</v>
      </c>
      <c r="AK2157">
        <v>0</v>
      </c>
      <c r="AM2157">
        <v>0</v>
      </c>
      <c r="AP2157" t="s">
        <v>4767</v>
      </c>
    </row>
    <row r="2158" spans="1:42" customFormat="1">
      <c r="A2158">
        <v>271303</v>
      </c>
      <c r="B2158">
        <v>216786</v>
      </c>
      <c r="C2158" t="s">
        <v>4826</v>
      </c>
      <c r="D2158" s="22">
        <v>220</v>
      </c>
      <c r="E2158" s="17">
        <v>42150</v>
      </c>
      <c r="F2158" s="18">
        <v>0.58554398148148146</v>
      </c>
      <c r="G2158" s="22">
        <v>0</v>
      </c>
      <c r="H2158">
        <v>0</v>
      </c>
      <c r="I2158" s="19" t="e">
        <f>I2157 + (D2158-G2158)</f>
        <v>#VALUE!</v>
      </c>
      <c r="L2158">
        <v>216786</v>
      </c>
      <c r="N2158">
        <v>7</v>
      </c>
      <c r="O2158" t="s">
        <v>44</v>
      </c>
      <c r="P2158">
        <v>2</v>
      </c>
      <c r="R2158">
        <v>62</v>
      </c>
      <c r="S2158" s="17">
        <v>42151</v>
      </c>
      <c r="T2158" s="17">
        <v>42151</v>
      </c>
      <c r="W2158">
        <v>2015</v>
      </c>
      <c r="X2158">
        <v>7</v>
      </c>
      <c r="AC2158" t="s">
        <v>123</v>
      </c>
      <c r="AD2158" t="s">
        <v>301</v>
      </c>
      <c r="AE2158" t="s">
        <v>46</v>
      </c>
      <c r="AG2158">
        <v>55</v>
      </c>
      <c r="AH2158">
        <v>11</v>
      </c>
      <c r="AI2158" t="s">
        <v>47</v>
      </c>
      <c r="AK2158">
        <v>0</v>
      </c>
      <c r="AM2158">
        <v>0</v>
      </c>
      <c r="AP2158" t="s">
        <v>4767</v>
      </c>
    </row>
    <row r="2159" spans="1:42" customFormat="1">
      <c r="A2159">
        <v>271306</v>
      </c>
      <c r="B2159">
        <v>215467</v>
      </c>
      <c r="C2159" t="s">
        <v>4831</v>
      </c>
      <c r="D2159" s="22">
        <v>220</v>
      </c>
      <c r="E2159" s="17">
        <v>42150</v>
      </c>
      <c r="F2159" s="18">
        <v>0.58846064814814814</v>
      </c>
      <c r="G2159" s="22">
        <v>0</v>
      </c>
      <c r="H2159">
        <v>0</v>
      </c>
      <c r="I2159" s="19" t="e">
        <f>I2158 + (D2159-G2159)</f>
        <v>#VALUE!</v>
      </c>
      <c r="L2159">
        <v>215467</v>
      </c>
      <c r="N2159">
        <v>7</v>
      </c>
      <c r="O2159" t="s">
        <v>44</v>
      </c>
      <c r="P2159">
        <v>2</v>
      </c>
      <c r="R2159">
        <v>62</v>
      </c>
      <c r="S2159" s="17">
        <v>42151</v>
      </c>
      <c r="T2159" s="17">
        <v>42151</v>
      </c>
      <c r="W2159">
        <v>2015</v>
      </c>
      <c r="X2159">
        <v>7</v>
      </c>
      <c r="AC2159" t="s">
        <v>123</v>
      </c>
      <c r="AD2159" t="s">
        <v>301</v>
      </c>
      <c r="AE2159" t="s">
        <v>46</v>
      </c>
      <c r="AG2159">
        <v>55</v>
      </c>
      <c r="AH2159">
        <v>11</v>
      </c>
      <c r="AI2159" t="s">
        <v>47</v>
      </c>
      <c r="AK2159">
        <v>0</v>
      </c>
      <c r="AM2159">
        <v>0</v>
      </c>
      <c r="AP2159" t="s">
        <v>4767</v>
      </c>
    </row>
    <row r="2160" spans="1:42" customFormat="1">
      <c r="A2160">
        <v>271307</v>
      </c>
      <c r="B2160">
        <v>214600</v>
      </c>
      <c r="C2160" t="s">
        <v>4832</v>
      </c>
      <c r="D2160" s="22">
        <v>220</v>
      </c>
      <c r="E2160" s="17">
        <v>42150</v>
      </c>
      <c r="F2160" s="18">
        <v>0.5894907407407407</v>
      </c>
      <c r="G2160" s="22">
        <v>0</v>
      </c>
      <c r="H2160">
        <v>0</v>
      </c>
      <c r="I2160" s="19" t="e">
        <f>I2159 + (D2160-G2160)</f>
        <v>#VALUE!</v>
      </c>
      <c r="L2160">
        <v>214600</v>
      </c>
      <c r="N2160">
        <v>7</v>
      </c>
      <c r="O2160" t="s">
        <v>44</v>
      </c>
      <c r="P2160">
        <v>2</v>
      </c>
      <c r="R2160">
        <v>62</v>
      </c>
      <c r="S2160" s="17">
        <v>42151</v>
      </c>
      <c r="T2160" s="17">
        <v>42151</v>
      </c>
      <c r="W2160">
        <v>2015</v>
      </c>
      <c r="X2160">
        <v>7</v>
      </c>
      <c r="AC2160" t="s">
        <v>123</v>
      </c>
      <c r="AD2160" t="s">
        <v>301</v>
      </c>
      <c r="AE2160" t="s">
        <v>46</v>
      </c>
      <c r="AG2160">
        <v>55</v>
      </c>
      <c r="AH2160">
        <v>11</v>
      </c>
      <c r="AI2160" t="s">
        <v>47</v>
      </c>
      <c r="AK2160">
        <v>0</v>
      </c>
      <c r="AM2160">
        <v>0</v>
      </c>
      <c r="AP2160" t="s">
        <v>4767</v>
      </c>
    </row>
    <row r="2161" spans="1:42" customFormat="1">
      <c r="A2161">
        <v>271308</v>
      </c>
      <c r="B2161">
        <v>213107</v>
      </c>
      <c r="C2161" t="s">
        <v>4833</v>
      </c>
      <c r="D2161" s="22">
        <v>190</v>
      </c>
      <c r="E2161" s="17">
        <v>42150</v>
      </c>
      <c r="F2161" s="18">
        <v>0.58982638888888894</v>
      </c>
      <c r="G2161" s="22">
        <v>0</v>
      </c>
      <c r="H2161">
        <v>0</v>
      </c>
      <c r="I2161" s="19" t="e">
        <f>I2160 + (D2161-G2161)</f>
        <v>#VALUE!</v>
      </c>
      <c r="L2161">
        <v>213107</v>
      </c>
      <c r="N2161">
        <v>7</v>
      </c>
      <c r="O2161" t="s">
        <v>44</v>
      </c>
      <c r="P2161">
        <v>2</v>
      </c>
      <c r="R2161">
        <v>62</v>
      </c>
      <c r="S2161" s="17">
        <v>42151</v>
      </c>
      <c r="T2161" s="17">
        <v>42151</v>
      </c>
      <c r="W2161">
        <v>2015</v>
      </c>
      <c r="X2161">
        <v>7</v>
      </c>
      <c r="AC2161" t="s">
        <v>123</v>
      </c>
      <c r="AD2161" t="s">
        <v>301</v>
      </c>
      <c r="AE2161" t="s">
        <v>46</v>
      </c>
      <c r="AG2161">
        <v>55</v>
      </c>
      <c r="AH2161">
        <v>11</v>
      </c>
      <c r="AI2161" t="s">
        <v>47</v>
      </c>
      <c r="AK2161">
        <v>0</v>
      </c>
      <c r="AM2161">
        <v>0</v>
      </c>
      <c r="AP2161" t="s">
        <v>4767</v>
      </c>
    </row>
    <row r="2162" spans="1:42" customFormat="1">
      <c r="A2162">
        <v>271309</v>
      </c>
      <c r="B2162">
        <v>216802</v>
      </c>
      <c r="C2162" t="s">
        <v>4834</v>
      </c>
      <c r="D2162" s="22">
        <v>220</v>
      </c>
      <c r="E2162" s="17">
        <v>42150</v>
      </c>
      <c r="F2162" s="18">
        <v>0.59039351851851851</v>
      </c>
      <c r="G2162" s="22">
        <v>0</v>
      </c>
      <c r="H2162">
        <v>0</v>
      </c>
      <c r="I2162" s="19" t="e">
        <f>I2161 + (D2162-G2162)</f>
        <v>#VALUE!</v>
      </c>
      <c r="L2162">
        <v>216802</v>
      </c>
      <c r="N2162">
        <v>7</v>
      </c>
      <c r="O2162" t="s">
        <v>44</v>
      </c>
      <c r="P2162">
        <v>2</v>
      </c>
      <c r="R2162">
        <v>62</v>
      </c>
      <c r="S2162" s="17">
        <v>42151</v>
      </c>
      <c r="T2162" s="17">
        <v>42151</v>
      </c>
      <c r="W2162">
        <v>2015</v>
      </c>
      <c r="X2162">
        <v>7</v>
      </c>
      <c r="AC2162" t="s">
        <v>123</v>
      </c>
      <c r="AD2162" t="s">
        <v>301</v>
      </c>
      <c r="AE2162" t="s">
        <v>46</v>
      </c>
      <c r="AG2162">
        <v>55</v>
      </c>
      <c r="AH2162">
        <v>11</v>
      </c>
      <c r="AI2162" t="s">
        <v>47</v>
      </c>
      <c r="AK2162">
        <v>0</v>
      </c>
      <c r="AM2162">
        <v>0</v>
      </c>
      <c r="AP2162" t="s">
        <v>4767</v>
      </c>
    </row>
    <row r="2163" spans="1:42" customFormat="1">
      <c r="A2163">
        <v>271310</v>
      </c>
      <c r="B2163">
        <v>216789</v>
      </c>
      <c r="C2163" t="s">
        <v>4835</v>
      </c>
      <c r="D2163" s="22">
        <v>220</v>
      </c>
      <c r="E2163" s="17">
        <v>42150</v>
      </c>
      <c r="F2163" s="18">
        <v>0.59078703703703705</v>
      </c>
      <c r="G2163" s="22">
        <v>0</v>
      </c>
      <c r="H2163">
        <v>0</v>
      </c>
      <c r="I2163" s="19" t="e">
        <f>I2162 + (D2163-G2163)</f>
        <v>#VALUE!</v>
      </c>
      <c r="L2163">
        <v>216789</v>
      </c>
      <c r="N2163">
        <v>7</v>
      </c>
      <c r="O2163" t="s">
        <v>44</v>
      </c>
      <c r="P2163">
        <v>2</v>
      </c>
      <c r="R2163">
        <v>62</v>
      </c>
      <c r="S2163" s="17">
        <v>42151</v>
      </c>
      <c r="T2163" s="17">
        <v>42151</v>
      </c>
      <c r="W2163">
        <v>2015</v>
      </c>
      <c r="X2163">
        <v>7</v>
      </c>
      <c r="AC2163" t="s">
        <v>123</v>
      </c>
      <c r="AD2163" t="s">
        <v>301</v>
      </c>
      <c r="AE2163" t="s">
        <v>46</v>
      </c>
      <c r="AG2163">
        <v>55</v>
      </c>
      <c r="AH2163">
        <v>11</v>
      </c>
      <c r="AI2163" t="s">
        <v>47</v>
      </c>
      <c r="AK2163">
        <v>0</v>
      </c>
      <c r="AM2163">
        <v>0</v>
      </c>
      <c r="AP2163" t="s">
        <v>4767</v>
      </c>
    </row>
    <row r="2164" spans="1:42" customFormat="1">
      <c r="A2164">
        <v>271311</v>
      </c>
      <c r="B2164">
        <v>216777</v>
      </c>
      <c r="C2164" t="s">
        <v>4838</v>
      </c>
      <c r="D2164" s="22">
        <v>154</v>
      </c>
      <c r="E2164" s="17">
        <v>42150</v>
      </c>
      <c r="F2164" s="18">
        <v>0.59287037037037038</v>
      </c>
      <c r="G2164" s="22">
        <v>0</v>
      </c>
      <c r="H2164">
        <v>0</v>
      </c>
      <c r="I2164" s="19" t="e">
        <f>I2163 + (D2164-G2164)</f>
        <v>#VALUE!</v>
      </c>
      <c r="L2164">
        <v>216777</v>
      </c>
      <c r="N2164">
        <v>7</v>
      </c>
      <c r="O2164" t="s">
        <v>44</v>
      </c>
      <c r="P2164">
        <v>2</v>
      </c>
      <c r="R2164">
        <v>62</v>
      </c>
      <c r="S2164" s="17">
        <v>42151</v>
      </c>
      <c r="T2164" s="17">
        <v>42151</v>
      </c>
      <c r="W2164">
        <v>2015</v>
      </c>
      <c r="X2164">
        <v>7</v>
      </c>
      <c r="AC2164" t="s">
        <v>123</v>
      </c>
      <c r="AD2164" t="s">
        <v>301</v>
      </c>
      <c r="AE2164" t="s">
        <v>46</v>
      </c>
      <c r="AG2164">
        <v>55</v>
      </c>
      <c r="AH2164">
        <v>11</v>
      </c>
      <c r="AI2164" t="s">
        <v>47</v>
      </c>
      <c r="AK2164">
        <v>0</v>
      </c>
      <c r="AM2164">
        <v>0</v>
      </c>
      <c r="AP2164" t="s">
        <v>4767</v>
      </c>
    </row>
    <row r="2165" spans="1:42" customFormat="1">
      <c r="A2165">
        <v>271312</v>
      </c>
      <c r="B2165">
        <v>216801</v>
      </c>
      <c r="C2165" t="s">
        <v>4841</v>
      </c>
      <c r="D2165" s="22">
        <v>220</v>
      </c>
      <c r="E2165" s="17">
        <v>42150</v>
      </c>
      <c r="F2165" s="18">
        <v>0.59534722222222225</v>
      </c>
      <c r="G2165" s="22">
        <v>0</v>
      </c>
      <c r="H2165">
        <v>0</v>
      </c>
      <c r="I2165" s="19" t="e">
        <f>I2164 + (D2165-G2165)</f>
        <v>#VALUE!</v>
      </c>
      <c r="L2165">
        <v>216801</v>
      </c>
      <c r="N2165">
        <v>7</v>
      </c>
      <c r="O2165" t="s">
        <v>44</v>
      </c>
      <c r="P2165">
        <v>2</v>
      </c>
      <c r="R2165">
        <v>62</v>
      </c>
      <c r="S2165" s="17">
        <v>42151</v>
      </c>
      <c r="T2165" s="17">
        <v>42151</v>
      </c>
      <c r="W2165">
        <v>2015</v>
      </c>
      <c r="X2165">
        <v>7</v>
      </c>
      <c r="AC2165" t="s">
        <v>123</v>
      </c>
      <c r="AD2165" t="s">
        <v>301</v>
      </c>
      <c r="AE2165" t="s">
        <v>46</v>
      </c>
      <c r="AG2165">
        <v>55</v>
      </c>
      <c r="AH2165">
        <v>11</v>
      </c>
      <c r="AI2165" t="s">
        <v>47</v>
      </c>
      <c r="AK2165">
        <v>0</v>
      </c>
      <c r="AM2165">
        <v>0</v>
      </c>
      <c r="AP2165" t="s">
        <v>4767</v>
      </c>
    </row>
    <row r="2166" spans="1:42" customFormat="1">
      <c r="A2166">
        <v>271314</v>
      </c>
      <c r="B2166">
        <v>215360</v>
      </c>
      <c r="C2166" t="s">
        <v>4843</v>
      </c>
      <c r="D2166" s="22">
        <v>187</v>
      </c>
      <c r="E2166" s="17">
        <v>42150</v>
      </c>
      <c r="F2166" s="18">
        <v>0.59650462962962958</v>
      </c>
      <c r="G2166" s="22">
        <v>0</v>
      </c>
      <c r="H2166">
        <v>0</v>
      </c>
      <c r="I2166" s="19" t="e">
        <f>I2165 + (D2166-G2166)</f>
        <v>#VALUE!</v>
      </c>
      <c r="L2166">
        <v>215360</v>
      </c>
      <c r="N2166">
        <v>7</v>
      </c>
      <c r="O2166" t="s">
        <v>44</v>
      </c>
      <c r="P2166">
        <v>2</v>
      </c>
      <c r="R2166">
        <v>62</v>
      </c>
      <c r="S2166" s="17">
        <v>42151</v>
      </c>
      <c r="T2166" s="17">
        <v>42151</v>
      </c>
      <c r="W2166">
        <v>2015</v>
      </c>
      <c r="X2166">
        <v>7</v>
      </c>
      <c r="AC2166" t="s">
        <v>123</v>
      </c>
      <c r="AD2166" t="s">
        <v>301</v>
      </c>
      <c r="AE2166" t="s">
        <v>46</v>
      </c>
      <c r="AG2166">
        <v>55</v>
      </c>
      <c r="AH2166">
        <v>11</v>
      </c>
      <c r="AI2166" t="s">
        <v>47</v>
      </c>
      <c r="AK2166">
        <v>0</v>
      </c>
      <c r="AM2166">
        <v>0</v>
      </c>
      <c r="AP2166" t="s">
        <v>4767</v>
      </c>
    </row>
    <row r="2167" spans="1:42" customFormat="1">
      <c r="A2167">
        <v>271315</v>
      </c>
      <c r="B2167">
        <v>215370</v>
      </c>
      <c r="C2167" t="s">
        <v>4844</v>
      </c>
      <c r="D2167" s="22">
        <v>161.5</v>
      </c>
      <c r="E2167" s="17">
        <v>42150</v>
      </c>
      <c r="F2167" s="18">
        <v>0.59728009259259263</v>
      </c>
      <c r="G2167" s="22">
        <v>0</v>
      </c>
      <c r="H2167">
        <v>0</v>
      </c>
      <c r="I2167" s="19" t="e">
        <f>I2166 + (D2167-G2167)</f>
        <v>#VALUE!</v>
      </c>
      <c r="L2167">
        <v>215370</v>
      </c>
      <c r="N2167">
        <v>7</v>
      </c>
      <c r="O2167" t="s">
        <v>44</v>
      </c>
      <c r="P2167">
        <v>2</v>
      </c>
      <c r="R2167">
        <v>62</v>
      </c>
      <c r="S2167" s="17">
        <v>42151</v>
      </c>
      <c r="T2167" s="17">
        <v>42151</v>
      </c>
      <c r="W2167">
        <v>2015</v>
      </c>
      <c r="X2167">
        <v>7</v>
      </c>
      <c r="AC2167" t="s">
        <v>123</v>
      </c>
      <c r="AD2167" t="s">
        <v>301</v>
      </c>
      <c r="AE2167" t="s">
        <v>46</v>
      </c>
      <c r="AG2167">
        <v>55</v>
      </c>
      <c r="AH2167">
        <v>11</v>
      </c>
      <c r="AI2167" t="s">
        <v>47</v>
      </c>
      <c r="AK2167">
        <v>0</v>
      </c>
      <c r="AM2167">
        <v>0</v>
      </c>
      <c r="AP2167" t="s">
        <v>4767</v>
      </c>
    </row>
    <row r="2168" spans="1:42" customFormat="1">
      <c r="A2168">
        <v>271317</v>
      </c>
      <c r="B2168">
        <v>215310</v>
      </c>
      <c r="C2168" t="s">
        <v>4846</v>
      </c>
      <c r="D2168" s="22">
        <v>220</v>
      </c>
      <c r="E2168" s="17">
        <v>42150</v>
      </c>
      <c r="F2168" s="18">
        <v>0.59831018518518519</v>
      </c>
      <c r="G2168" s="22">
        <v>0</v>
      </c>
      <c r="H2168">
        <v>0</v>
      </c>
      <c r="I2168" s="19" t="e">
        <f>I2167 + (D2168-G2168)</f>
        <v>#VALUE!</v>
      </c>
      <c r="L2168">
        <v>215310</v>
      </c>
      <c r="N2168">
        <v>7</v>
      </c>
      <c r="O2168" t="s">
        <v>44</v>
      </c>
      <c r="P2168">
        <v>2</v>
      </c>
      <c r="R2168">
        <v>62</v>
      </c>
      <c r="S2168" s="17">
        <v>42151</v>
      </c>
      <c r="T2168" s="17">
        <v>42151</v>
      </c>
      <c r="W2168">
        <v>2015</v>
      </c>
      <c r="X2168">
        <v>7</v>
      </c>
      <c r="AC2168" t="s">
        <v>123</v>
      </c>
      <c r="AD2168" t="s">
        <v>301</v>
      </c>
      <c r="AE2168" t="s">
        <v>46</v>
      </c>
      <c r="AG2168">
        <v>55</v>
      </c>
      <c r="AH2168">
        <v>11</v>
      </c>
      <c r="AI2168" t="s">
        <v>47</v>
      </c>
      <c r="AK2168">
        <v>0</v>
      </c>
      <c r="AM2168">
        <v>0</v>
      </c>
      <c r="AP2168" t="s">
        <v>4767</v>
      </c>
    </row>
    <row r="2169" spans="1:42" customFormat="1">
      <c r="A2169">
        <v>271324</v>
      </c>
      <c r="B2169">
        <v>216788</v>
      </c>
      <c r="C2169" t="s">
        <v>4869</v>
      </c>
      <c r="D2169" s="22">
        <v>220</v>
      </c>
      <c r="E2169" s="17">
        <v>42150</v>
      </c>
      <c r="F2169" s="18">
        <v>0.65105324074074067</v>
      </c>
      <c r="G2169" s="22">
        <v>0</v>
      </c>
      <c r="H2169">
        <v>0</v>
      </c>
      <c r="I2169" s="19" t="e">
        <f>I2168 + (D2169-G2169)</f>
        <v>#VALUE!</v>
      </c>
      <c r="L2169">
        <v>216788</v>
      </c>
      <c r="N2169">
        <v>7</v>
      </c>
      <c r="O2169" t="s">
        <v>44</v>
      </c>
      <c r="P2169">
        <v>2</v>
      </c>
      <c r="R2169">
        <v>62</v>
      </c>
      <c r="S2169" s="17">
        <v>42151</v>
      </c>
      <c r="T2169" s="17">
        <v>42151</v>
      </c>
      <c r="W2169">
        <v>2015</v>
      </c>
      <c r="X2169">
        <v>7</v>
      </c>
      <c r="AC2169" t="s">
        <v>123</v>
      </c>
      <c r="AD2169" t="s">
        <v>301</v>
      </c>
      <c r="AE2169" t="s">
        <v>46</v>
      </c>
      <c r="AG2169">
        <v>55</v>
      </c>
      <c r="AH2169">
        <v>11</v>
      </c>
      <c r="AI2169" t="s">
        <v>47</v>
      </c>
      <c r="AK2169">
        <v>0</v>
      </c>
      <c r="AM2169">
        <v>0</v>
      </c>
      <c r="AP2169" t="s">
        <v>4767</v>
      </c>
    </row>
    <row r="2170" spans="1:42" customFormat="1">
      <c r="A2170">
        <v>271325</v>
      </c>
      <c r="B2170">
        <v>216776</v>
      </c>
      <c r="C2170" t="s">
        <v>4870</v>
      </c>
      <c r="D2170" s="22">
        <v>154</v>
      </c>
      <c r="E2170" s="17">
        <v>42150</v>
      </c>
      <c r="F2170" s="18">
        <v>0.65194444444444444</v>
      </c>
      <c r="G2170" s="22">
        <v>0</v>
      </c>
      <c r="H2170">
        <v>0</v>
      </c>
      <c r="I2170" s="19" t="e">
        <f>I2169 + (D2170-G2170)</f>
        <v>#VALUE!</v>
      </c>
      <c r="L2170">
        <v>216776</v>
      </c>
      <c r="N2170">
        <v>7</v>
      </c>
      <c r="O2170" t="s">
        <v>44</v>
      </c>
      <c r="P2170">
        <v>2</v>
      </c>
      <c r="R2170">
        <v>62</v>
      </c>
      <c r="S2170" s="17">
        <v>42151</v>
      </c>
      <c r="T2170" s="17">
        <v>42151</v>
      </c>
      <c r="W2170">
        <v>2015</v>
      </c>
      <c r="X2170">
        <v>7</v>
      </c>
      <c r="AC2170" t="s">
        <v>123</v>
      </c>
      <c r="AD2170" t="s">
        <v>301</v>
      </c>
      <c r="AE2170" t="s">
        <v>46</v>
      </c>
      <c r="AG2170">
        <v>55</v>
      </c>
      <c r="AH2170">
        <v>11</v>
      </c>
      <c r="AI2170" t="s">
        <v>47</v>
      </c>
      <c r="AK2170">
        <v>0</v>
      </c>
      <c r="AM2170">
        <v>0</v>
      </c>
      <c r="AP2170" t="s">
        <v>4767</v>
      </c>
    </row>
    <row r="2171" spans="1:42" customFormat="1">
      <c r="A2171">
        <v>271326</v>
      </c>
      <c r="B2171">
        <v>216855</v>
      </c>
      <c r="C2171" t="s">
        <v>4871</v>
      </c>
      <c r="D2171" s="22">
        <v>220</v>
      </c>
      <c r="E2171" s="17">
        <v>42150</v>
      </c>
      <c r="F2171" s="18">
        <v>0.65258101851851846</v>
      </c>
      <c r="G2171" s="22">
        <v>0</v>
      </c>
      <c r="H2171">
        <v>0</v>
      </c>
      <c r="I2171" s="19" t="e">
        <f>I2170 + (D2171-G2171)</f>
        <v>#VALUE!</v>
      </c>
      <c r="L2171">
        <v>216855</v>
      </c>
      <c r="N2171">
        <v>7</v>
      </c>
      <c r="O2171" t="s">
        <v>44</v>
      </c>
      <c r="P2171">
        <v>2</v>
      </c>
      <c r="R2171">
        <v>62</v>
      </c>
      <c r="S2171" s="17">
        <v>42151</v>
      </c>
      <c r="T2171" s="17">
        <v>42151</v>
      </c>
      <c r="W2171">
        <v>2015</v>
      </c>
      <c r="X2171">
        <v>7</v>
      </c>
      <c r="AC2171" t="s">
        <v>123</v>
      </c>
      <c r="AD2171" t="s">
        <v>301</v>
      </c>
      <c r="AE2171" t="s">
        <v>46</v>
      </c>
      <c r="AG2171">
        <v>55</v>
      </c>
      <c r="AH2171">
        <v>11</v>
      </c>
      <c r="AI2171" t="s">
        <v>47</v>
      </c>
      <c r="AK2171">
        <v>0</v>
      </c>
      <c r="AM2171">
        <v>0</v>
      </c>
      <c r="AP2171" t="s">
        <v>4767</v>
      </c>
    </row>
    <row r="2172" spans="1:42" customFormat="1">
      <c r="A2172">
        <v>271331</v>
      </c>
      <c r="B2172">
        <v>216787</v>
      </c>
      <c r="C2172" t="s">
        <v>4873</v>
      </c>
      <c r="D2172" s="22">
        <v>220</v>
      </c>
      <c r="E2172" s="17">
        <v>42150</v>
      </c>
      <c r="F2172" s="18">
        <v>0.65454861111111107</v>
      </c>
      <c r="G2172" s="22">
        <v>0</v>
      </c>
      <c r="H2172">
        <v>0</v>
      </c>
      <c r="I2172" s="19" t="e">
        <f>I2171 + (D2172-G2172)</f>
        <v>#VALUE!</v>
      </c>
      <c r="L2172">
        <v>216787</v>
      </c>
      <c r="N2172">
        <v>7</v>
      </c>
      <c r="O2172" t="s">
        <v>44</v>
      </c>
      <c r="P2172">
        <v>2</v>
      </c>
      <c r="R2172">
        <v>62</v>
      </c>
      <c r="S2172" s="17">
        <v>42151</v>
      </c>
      <c r="T2172" s="17">
        <v>42151</v>
      </c>
      <c r="W2172">
        <v>2015</v>
      </c>
      <c r="X2172">
        <v>7</v>
      </c>
      <c r="AC2172" t="s">
        <v>123</v>
      </c>
      <c r="AD2172" t="s">
        <v>301</v>
      </c>
      <c r="AE2172" t="s">
        <v>46</v>
      </c>
      <c r="AG2172">
        <v>55</v>
      </c>
      <c r="AH2172">
        <v>11</v>
      </c>
      <c r="AI2172" t="s">
        <v>47</v>
      </c>
      <c r="AK2172">
        <v>0</v>
      </c>
      <c r="AM2172">
        <v>0</v>
      </c>
      <c r="AP2172" t="s">
        <v>4767</v>
      </c>
    </row>
    <row r="2173" spans="1:42" customFormat="1">
      <c r="A2173">
        <v>271333</v>
      </c>
      <c r="B2173">
        <v>216775</v>
      </c>
      <c r="C2173" t="s">
        <v>4874</v>
      </c>
      <c r="D2173" s="22">
        <v>154</v>
      </c>
      <c r="E2173" s="17">
        <v>42150</v>
      </c>
      <c r="F2173" s="18">
        <v>0.65480324074074081</v>
      </c>
      <c r="G2173" s="22">
        <v>0</v>
      </c>
      <c r="H2173">
        <v>0</v>
      </c>
      <c r="I2173" s="19" t="e">
        <f>I2172 + (D2173-G2173)</f>
        <v>#VALUE!</v>
      </c>
      <c r="L2173">
        <v>216775</v>
      </c>
      <c r="N2173">
        <v>7</v>
      </c>
      <c r="O2173" t="s">
        <v>44</v>
      </c>
      <c r="P2173">
        <v>2</v>
      </c>
      <c r="R2173">
        <v>62</v>
      </c>
      <c r="S2173" s="17">
        <v>42151</v>
      </c>
      <c r="T2173" s="17">
        <v>42151</v>
      </c>
      <c r="W2173">
        <v>2015</v>
      </c>
      <c r="X2173">
        <v>7</v>
      </c>
      <c r="AC2173" t="s">
        <v>123</v>
      </c>
      <c r="AD2173" t="s">
        <v>301</v>
      </c>
      <c r="AE2173" t="s">
        <v>46</v>
      </c>
      <c r="AG2173">
        <v>55</v>
      </c>
      <c r="AH2173">
        <v>11</v>
      </c>
      <c r="AI2173" t="s">
        <v>47</v>
      </c>
      <c r="AK2173">
        <v>0</v>
      </c>
      <c r="AM2173">
        <v>0</v>
      </c>
      <c r="AP2173" t="s">
        <v>4767</v>
      </c>
    </row>
    <row r="2174" spans="1:42" customFormat="1">
      <c r="A2174">
        <v>271335</v>
      </c>
      <c r="B2174">
        <v>216800</v>
      </c>
      <c r="C2174" t="s">
        <v>4875</v>
      </c>
      <c r="D2174" s="22">
        <v>220</v>
      </c>
      <c r="E2174" s="17">
        <v>42150</v>
      </c>
      <c r="F2174" s="18">
        <v>0.65530092592592593</v>
      </c>
      <c r="G2174" s="22">
        <v>0</v>
      </c>
      <c r="H2174">
        <v>0</v>
      </c>
      <c r="I2174" s="19" t="e">
        <f>I2173 + (D2174-G2174)</f>
        <v>#VALUE!</v>
      </c>
      <c r="L2174">
        <v>216800</v>
      </c>
      <c r="N2174">
        <v>7</v>
      </c>
      <c r="O2174" t="s">
        <v>44</v>
      </c>
      <c r="P2174">
        <v>2</v>
      </c>
      <c r="R2174">
        <v>62</v>
      </c>
      <c r="S2174" s="17">
        <v>42151</v>
      </c>
      <c r="T2174" s="17">
        <v>42151</v>
      </c>
      <c r="W2174">
        <v>2015</v>
      </c>
      <c r="X2174">
        <v>7</v>
      </c>
      <c r="AC2174" t="s">
        <v>123</v>
      </c>
      <c r="AD2174" t="s">
        <v>301</v>
      </c>
      <c r="AE2174" t="s">
        <v>46</v>
      </c>
      <c r="AG2174">
        <v>55</v>
      </c>
      <c r="AH2174">
        <v>11</v>
      </c>
      <c r="AI2174" t="s">
        <v>47</v>
      </c>
      <c r="AK2174">
        <v>0</v>
      </c>
      <c r="AM2174">
        <v>0</v>
      </c>
      <c r="AP2174" t="s">
        <v>4767</v>
      </c>
    </row>
    <row r="2175" spans="1:42" customFormat="1">
      <c r="A2175">
        <v>271340</v>
      </c>
      <c r="B2175">
        <v>215468</v>
      </c>
      <c r="C2175" t="s">
        <v>4879</v>
      </c>
      <c r="D2175" s="22">
        <v>220</v>
      </c>
      <c r="E2175" s="17">
        <v>42150</v>
      </c>
      <c r="F2175" s="18">
        <v>0.65711805555555558</v>
      </c>
      <c r="G2175" s="22">
        <v>0</v>
      </c>
      <c r="H2175">
        <v>0</v>
      </c>
      <c r="I2175" s="19" t="e">
        <f>I2174 + (D2175-G2175)</f>
        <v>#VALUE!</v>
      </c>
      <c r="L2175">
        <v>215468</v>
      </c>
      <c r="N2175">
        <v>7</v>
      </c>
      <c r="O2175" t="s">
        <v>44</v>
      </c>
      <c r="P2175">
        <v>2</v>
      </c>
      <c r="R2175">
        <v>62</v>
      </c>
      <c r="S2175" s="17">
        <v>42151</v>
      </c>
      <c r="T2175" s="17">
        <v>42151</v>
      </c>
      <c r="W2175">
        <v>2015</v>
      </c>
      <c r="X2175">
        <v>7</v>
      </c>
      <c r="AC2175" t="s">
        <v>123</v>
      </c>
      <c r="AD2175" t="s">
        <v>301</v>
      </c>
      <c r="AE2175" t="s">
        <v>46</v>
      </c>
      <c r="AG2175">
        <v>55</v>
      </c>
      <c r="AH2175">
        <v>11</v>
      </c>
      <c r="AI2175" t="s">
        <v>47</v>
      </c>
      <c r="AK2175">
        <v>0</v>
      </c>
      <c r="AM2175">
        <v>0</v>
      </c>
      <c r="AP2175" t="s">
        <v>4767</v>
      </c>
    </row>
    <row r="2176" spans="1:42" customFormat="1">
      <c r="A2176">
        <v>271342</v>
      </c>
      <c r="B2176">
        <v>212247</v>
      </c>
      <c r="C2176" t="s">
        <v>4881</v>
      </c>
      <c r="D2176" s="22">
        <v>190</v>
      </c>
      <c r="E2176" s="17">
        <v>42150</v>
      </c>
      <c r="F2176" s="18">
        <v>0.66061342592592587</v>
      </c>
      <c r="G2176" s="22">
        <v>0</v>
      </c>
      <c r="H2176">
        <v>0</v>
      </c>
      <c r="I2176" s="19" t="e">
        <f>I2175 + (D2176-G2176)</f>
        <v>#VALUE!</v>
      </c>
      <c r="L2176">
        <v>212247</v>
      </c>
      <c r="N2176">
        <v>7</v>
      </c>
      <c r="O2176" t="s">
        <v>44</v>
      </c>
      <c r="P2176">
        <v>2</v>
      </c>
      <c r="R2176">
        <v>62</v>
      </c>
      <c r="S2176" s="17">
        <v>42151</v>
      </c>
      <c r="T2176" s="17">
        <v>42151</v>
      </c>
      <c r="W2176">
        <v>2015</v>
      </c>
      <c r="X2176">
        <v>7</v>
      </c>
      <c r="AC2176" t="s">
        <v>123</v>
      </c>
      <c r="AD2176" t="s">
        <v>301</v>
      </c>
      <c r="AE2176" t="s">
        <v>46</v>
      </c>
      <c r="AG2176">
        <v>55</v>
      </c>
      <c r="AH2176">
        <v>11</v>
      </c>
      <c r="AI2176" t="s">
        <v>47</v>
      </c>
      <c r="AK2176">
        <v>0</v>
      </c>
      <c r="AM2176">
        <v>0</v>
      </c>
      <c r="AP2176" t="s">
        <v>4767</v>
      </c>
    </row>
    <row r="2177" spans="1:42" customFormat="1">
      <c r="A2177">
        <v>271345</v>
      </c>
      <c r="B2177">
        <v>213108</v>
      </c>
      <c r="C2177" t="s">
        <v>4884</v>
      </c>
      <c r="D2177" s="22">
        <v>190</v>
      </c>
      <c r="E2177" s="17">
        <v>42150</v>
      </c>
      <c r="F2177" s="18">
        <v>0.66493055555555558</v>
      </c>
      <c r="G2177" s="22">
        <v>0</v>
      </c>
      <c r="H2177">
        <v>0</v>
      </c>
      <c r="I2177" s="19" t="e">
        <f>I2176 + (D2177-G2177)</f>
        <v>#VALUE!</v>
      </c>
      <c r="L2177">
        <v>213108</v>
      </c>
      <c r="N2177">
        <v>7</v>
      </c>
      <c r="O2177" t="s">
        <v>44</v>
      </c>
      <c r="P2177">
        <v>2</v>
      </c>
      <c r="R2177">
        <v>62</v>
      </c>
      <c r="S2177" s="17">
        <v>42151</v>
      </c>
      <c r="T2177" s="17">
        <v>42151</v>
      </c>
      <c r="W2177">
        <v>2015</v>
      </c>
      <c r="X2177">
        <v>7</v>
      </c>
      <c r="AC2177" t="s">
        <v>123</v>
      </c>
      <c r="AD2177" t="s">
        <v>301</v>
      </c>
      <c r="AE2177" t="s">
        <v>46</v>
      </c>
      <c r="AG2177">
        <v>55</v>
      </c>
      <c r="AH2177">
        <v>11</v>
      </c>
      <c r="AI2177" t="s">
        <v>47</v>
      </c>
      <c r="AK2177">
        <v>0</v>
      </c>
      <c r="AM2177">
        <v>0</v>
      </c>
      <c r="AP2177" t="s">
        <v>4767</v>
      </c>
    </row>
    <row r="2178" spans="1:42" customFormat="1">
      <c r="A2178">
        <v>271347</v>
      </c>
      <c r="B2178">
        <v>212661</v>
      </c>
      <c r="C2178" t="s">
        <v>4886</v>
      </c>
      <c r="D2178" s="22">
        <v>190</v>
      </c>
      <c r="E2178" s="17">
        <v>42150</v>
      </c>
      <c r="F2178" s="18">
        <v>0.66598379629629634</v>
      </c>
      <c r="G2178" s="22">
        <v>0</v>
      </c>
      <c r="H2178">
        <v>0</v>
      </c>
      <c r="I2178" s="19" t="e">
        <f>I2177 + (D2178-G2178)</f>
        <v>#VALUE!</v>
      </c>
      <c r="L2178">
        <v>212661</v>
      </c>
      <c r="N2178">
        <v>7</v>
      </c>
      <c r="O2178" t="s">
        <v>44</v>
      </c>
      <c r="P2178">
        <v>2</v>
      </c>
      <c r="R2178">
        <v>62</v>
      </c>
      <c r="S2178" s="17">
        <v>42151</v>
      </c>
      <c r="T2178" s="17">
        <v>42151</v>
      </c>
      <c r="W2178">
        <v>2015</v>
      </c>
      <c r="X2178">
        <v>7</v>
      </c>
      <c r="AC2178" t="s">
        <v>123</v>
      </c>
      <c r="AD2178" t="s">
        <v>301</v>
      </c>
      <c r="AE2178" t="s">
        <v>46</v>
      </c>
      <c r="AG2178">
        <v>55</v>
      </c>
      <c r="AH2178">
        <v>11</v>
      </c>
      <c r="AI2178" t="s">
        <v>47</v>
      </c>
      <c r="AK2178">
        <v>0</v>
      </c>
      <c r="AM2178">
        <v>0</v>
      </c>
      <c r="AP2178" t="s">
        <v>4767</v>
      </c>
    </row>
    <row r="2179" spans="1:42" customFormat="1">
      <c r="A2179">
        <v>271348</v>
      </c>
      <c r="B2179">
        <v>213494</v>
      </c>
      <c r="C2179" t="s">
        <v>4887</v>
      </c>
      <c r="D2179" s="22">
        <v>220</v>
      </c>
      <c r="E2179" s="17">
        <v>42150</v>
      </c>
      <c r="F2179" s="18">
        <v>0.66644675925925922</v>
      </c>
      <c r="G2179" s="22">
        <v>0</v>
      </c>
      <c r="H2179">
        <v>0</v>
      </c>
      <c r="I2179" s="19" t="e">
        <f>I2178 + (D2179-G2179)</f>
        <v>#VALUE!</v>
      </c>
      <c r="L2179">
        <v>213494</v>
      </c>
      <c r="N2179">
        <v>7</v>
      </c>
      <c r="O2179" t="s">
        <v>44</v>
      </c>
      <c r="P2179">
        <v>2</v>
      </c>
      <c r="R2179">
        <v>62</v>
      </c>
      <c r="S2179" s="17">
        <v>42151</v>
      </c>
      <c r="T2179" s="17">
        <v>42151</v>
      </c>
      <c r="W2179">
        <v>2015</v>
      </c>
      <c r="X2179">
        <v>7</v>
      </c>
      <c r="AC2179" t="s">
        <v>123</v>
      </c>
      <c r="AD2179" t="s">
        <v>301</v>
      </c>
      <c r="AE2179" t="s">
        <v>46</v>
      </c>
      <c r="AG2179">
        <v>55</v>
      </c>
      <c r="AH2179">
        <v>11</v>
      </c>
      <c r="AI2179" t="s">
        <v>47</v>
      </c>
      <c r="AK2179">
        <v>0</v>
      </c>
      <c r="AM2179">
        <v>0</v>
      </c>
      <c r="AP2179" t="s">
        <v>4767</v>
      </c>
    </row>
    <row r="2180" spans="1:42" customFormat="1">
      <c r="A2180">
        <v>271349</v>
      </c>
      <c r="B2180">
        <v>214128</v>
      </c>
      <c r="C2180" t="s">
        <v>4888</v>
      </c>
      <c r="D2180" s="22">
        <v>220</v>
      </c>
      <c r="E2180" s="17">
        <v>42150</v>
      </c>
      <c r="F2180" s="18">
        <v>0.66677083333333342</v>
      </c>
      <c r="G2180" s="22">
        <v>0</v>
      </c>
      <c r="H2180">
        <v>0</v>
      </c>
      <c r="I2180" s="19" t="e">
        <f>I2179 + (D2180-G2180)</f>
        <v>#VALUE!</v>
      </c>
      <c r="L2180">
        <v>214128</v>
      </c>
      <c r="N2180">
        <v>7</v>
      </c>
      <c r="O2180" t="s">
        <v>44</v>
      </c>
      <c r="P2180">
        <v>2</v>
      </c>
      <c r="R2180">
        <v>62</v>
      </c>
      <c r="S2180" s="17">
        <v>42151</v>
      </c>
      <c r="T2180" s="17">
        <v>42151</v>
      </c>
      <c r="W2180">
        <v>2015</v>
      </c>
      <c r="X2180">
        <v>7</v>
      </c>
      <c r="AC2180" t="s">
        <v>123</v>
      </c>
      <c r="AD2180" t="s">
        <v>301</v>
      </c>
      <c r="AE2180" t="s">
        <v>46</v>
      </c>
      <c r="AG2180">
        <v>55</v>
      </c>
      <c r="AH2180">
        <v>11</v>
      </c>
      <c r="AI2180" t="s">
        <v>47</v>
      </c>
      <c r="AK2180">
        <v>0</v>
      </c>
      <c r="AM2180">
        <v>0</v>
      </c>
      <c r="AP2180" t="s">
        <v>4767</v>
      </c>
    </row>
    <row r="2181" spans="1:42" customFormat="1">
      <c r="A2181">
        <v>271350</v>
      </c>
      <c r="B2181">
        <v>212313</v>
      </c>
      <c r="C2181" t="s">
        <v>4889</v>
      </c>
      <c r="D2181" s="22">
        <v>190</v>
      </c>
      <c r="E2181" s="17">
        <v>42150</v>
      </c>
      <c r="F2181" s="18">
        <v>0.66708333333333336</v>
      </c>
      <c r="G2181" s="22">
        <v>0</v>
      </c>
      <c r="H2181">
        <v>0</v>
      </c>
      <c r="I2181" s="19" t="e">
        <f>I2180 + (D2181-G2181)</f>
        <v>#VALUE!</v>
      </c>
      <c r="L2181">
        <v>212313</v>
      </c>
      <c r="N2181">
        <v>7</v>
      </c>
      <c r="O2181" t="s">
        <v>44</v>
      </c>
      <c r="P2181">
        <v>2</v>
      </c>
      <c r="R2181">
        <v>62</v>
      </c>
      <c r="S2181" s="17">
        <v>42151</v>
      </c>
      <c r="T2181" s="17">
        <v>42151</v>
      </c>
      <c r="W2181">
        <v>2015</v>
      </c>
      <c r="X2181">
        <v>7</v>
      </c>
      <c r="AC2181" t="s">
        <v>123</v>
      </c>
      <c r="AD2181" t="s">
        <v>301</v>
      </c>
      <c r="AE2181" t="s">
        <v>46</v>
      </c>
      <c r="AG2181">
        <v>55</v>
      </c>
      <c r="AH2181">
        <v>11</v>
      </c>
      <c r="AI2181" t="s">
        <v>47</v>
      </c>
      <c r="AK2181">
        <v>0</v>
      </c>
      <c r="AM2181">
        <v>0</v>
      </c>
      <c r="AP2181" t="s">
        <v>4767</v>
      </c>
    </row>
    <row r="2182" spans="1:42" customFormat="1">
      <c r="A2182">
        <v>271353</v>
      </c>
      <c r="B2182">
        <v>212458</v>
      </c>
      <c r="C2182" t="s">
        <v>4896</v>
      </c>
      <c r="D2182" s="22">
        <v>220</v>
      </c>
      <c r="E2182" s="17">
        <v>42150</v>
      </c>
      <c r="F2182" s="18">
        <v>0.66861111111111116</v>
      </c>
      <c r="G2182" s="22">
        <v>0</v>
      </c>
      <c r="H2182">
        <v>0</v>
      </c>
      <c r="I2182" s="19" t="e">
        <f>I2181 + (D2182-G2182)</f>
        <v>#VALUE!</v>
      </c>
      <c r="L2182">
        <v>212458</v>
      </c>
      <c r="N2182">
        <v>7</v>
      </c>
      <c r="O2182" t="s">
        <v>44</v>
      </c>
      <c r="P2182">
        <v>2</v>
      </c>
      <c r="R2182">
        <v>62</v>
      </c>
      <c r="S2182" s="17">
        <v>42151</v>
      </c>
      <c r="T2182" s="17">
        <v>42151</v>
      </c>
      <c r="W2182">
        <v>2015</v>
      </c>
      <c r="X2182">
        <v>7</v>
      </c>
      <c r="AC2182" t="s">
        <v>123</v>
      </c>
      <c r="AD2182" t="s">
        <v>301</v>
      </c>
      <c r="AE2182" t="s">
        <v>46</v>
      </c>
      <c r="AG2182">
        <v>55</v>
      </c>
      <c r="AH2182">
        <v>11</v>
      </c>
      <c r="AI2182" t="s">
        <v>47</v>
      </c>
      <c r="AK2182">
        <v>0</v>
      </c>
      <c r="AM2182">
        <v>0</v>
      </c>
      <c r="AP2182" t="s">
        <v>4767</v>
      </c>
    </row>
    <row r="2183" spans="1:42" customFormat="1">
      <c r="A2183">
        <v>271354</v>
      </c>
      <c r="B2183">
        <v>212380</v>
      </c>
      <c r="C2183" t="s">
        <v>4897</v>
      </c>
      <c r="D2183" s="22">
        <v>190</v>
      </c>
      <c r="E2183" s="17">
        <v>42150</v>
      </c>
      <c r="F2183" s="18">
        <v>0.66932870370370379</v>
      </c>
      <c r="G2183" s="22">
        <v>0</v>
      </c>
      <c r="H2183">
        <v>0</v>
      </c>
      <c r="I2183" s="19" t="e">
        <f>I2182 + (D2183-G2183)</f>
        <v>#VALUE!</v>
      </c>
      <c r="L2183">
        <v>212380</v>
      </c>
      <c r="N2183">
        <v>7</v>
      </c>
      <c r="O2183" t="s">
        <v>44</v>
      </c>
      <c r="P2183">
        <v>2</v>
      </c>
      <c r="R2183">
        <v>62</v>
      </c>
      <c r="S2183" s="17">
        <v>42151</v>
      </c>
      <c r="T2183" s="17">
        <v>42151</v>
      </c>
      <c r="W2183">
        <v>2015</v>
      </c>
      <c r="X2183">
        <v>7</v>
      </c>
      <c r="AC2183" t="s">
        <v>123</v>
      </c>
      <c r="AD2183" t="s">
        <v>301</v>
      </c>
      <c r="AE2183" t="s">
        <v>46</v>
      </c>
      <c r="AG2183">
        <v>55</v>
      </c>
      <c r="AH2183">
        <v>11</v>
      </c>
      <c r="AI2183" t="s">
        <v>47</v>
      </c>
      <c r="AK2183">
        <v>0</v>
      </c>
      <c r="AM2183">
        <v>0</v>
      </c>
      <c r="AP2183" t="s">
        <v>4767</v>
      </c>
    </row>
    <row r="2184" spans="1:42" customFormat="1">
      <c r="A2184">
        <v>271355</v>
      </c>
      <c r="B2184">
        <v>212396</v>
      </c>
      <c r="C2184" t="s">
        <v>4898</v>
      </c>
      <c r="D2184" s="22">
        <v>220</v>
      </c>
      <c r="E2184" s="17">
        <v>42150</v>
      </c>
      <c r="F2184" s="18">
        <v>0.66989583333333336</v>
      </c>
      <c r="G2184" s="22">
        <v>0</v>
      </c>
      <c r="H2184">
        <v>0</v>
      </c>
      <c r="I2184" s="19" t="e">
        <f>I2183 + (D2184-G2184)</f>
        <v>#VALUE!</v>
      </c>
      <c r="L2184">
        <v>212396</v>
      </c>
      <c r="N2184">
        <v>7</v>
      </c>
      <c r="O2184" t="s">
        <v>44</v>
      </c>
      <c r="P2184">
        <v>2</v>
      </c>
      <c r="R2184">
        <v>62</v>
      </c>
      <c r="S2184" s="17">
        <v>42151</v>
      </c>
      <c r="T2184" s="17">
        <v>42151</v>
      </c>
      <c r="W2184">
        <v>2015</v>
      </c>
      <c r="X2184">
        <v>7</v>
      </c>
      <c r="AC2184" t="s">
        <v>123</v>
      </c>
      <c r="AD2184" t="s">
        <v>301</v>
      </c>
      <c r="AE2184" t="s">
        <v>46</v>
      </c>
      <c r="AG2184">
        <v>55</v>
      </c>
      <c r="AH2184">
        <v>11</v>
      </c>
      <c r="AI2184" t="s">
        <v>47</v>
      </c>
      <c r="AK2184">
        <v>0</v>
      </c>
      <c r="AM2184">
        <v>0</v>
      </c>
      <c r="AP2184" t="s">
        <v>4767</v>
      </c>
    </row>
    <row r="2185" spans="1:42" customFormat="1">
      <c r="A2185">
        <v>271356</v>
      </c>
      <c r="B2185">
        <v>212406</v>
      </c>
      <c r="C2185" t="s">
        <v>4899</v>
      </c>
      <c r="D2185" s="22">
        <v>190</v>
      </c>
      <c r="E2185" s="17">
        <v>42150</v>
      </c>
      <c r="F2185" s="18">
        <v>0.67012731481481491</v>
      </c>
      <c r="G2185" s="22">
        <v>0</v>
      </c>
      <c r="H2185">
        <v>0</v>
      </c>
      <c r="I2185" s="19" t="e">
        <f>I2184 + (D2185-G2185)</f>
        <v>#VALUE!</v>
      </c>
      <c r="L2185">
        <v>212406</v>
      </c>
      <c r="N2185">
        <v>7</v>
      </c>
      <c r="O2185" t="s">
        <v>44</v>
      </c>
      <c r="P2185">
        <v>2</v>
      </c>
      <c r="R2185">
        <v>62</v>
      </c>
      <c r="S2185" s="17">
        <v>42151</v>
      </c>
      <c r="T2185" s="17">
        <v>42151</v>
      </c>
      <c r="W2185">
        <v>2015</v>
      </c>
      <c r="X2185">
        <v>7</v>
      </c>
      <c r="AC2185" t="s">
        <v>123</v>
      </c>
      <c r="AD2185" t="s">
        <v>301</v>
      </c>
      <c r="AE2185" t="s">
        <v>46</v>
      </c>
      <c r="AG2185">
        <v>55</v>
      </c>
      <c r="AH2185">
        <v>11</v>
      </c>
      <c r="AI2185" t="s">
        <v>47</v>
      </c>
      <c r="AK2185">
        <v>0</v>
      </c>
      <c r="AM2185">
        <v>0</v>
      </c>
      <c r="AP2185" t="s">
        <v>4767</v>
      </c>
    </row>
    <row r="2186" spans="1:42" customFormat="1">
      <c r="A2186">
        <v>271357</v>
      </c>
      <c r="B2186">
        <v>212303</v>
      </c>
      <c r="C2186" t="s">
        <v>4900</v>
      </c>
      <c r="D2186" s="22">
        <v>190</v>
      </c>
      <c r="E2186" s="17">
        <v>42150</v>
      </c>
      <c r="F2186" s="18">
        <v>0.67115740740740737</v>
      </c>
      <c r="G2186" s="22">
        <v>0</v>
      </c>
      <c r="H2186">
        <v>0</v>
      </c>
      <c r="I2186" s="19" t="e">
        <f>I2185 + (D2186-G2186)</f>
        <v>#VALUE!</v>
      </c>
      <c r="L2186">
        <v>212303</v>
      </c>
      <c r="N2186">
        <v>7</v>
      </c>
      <c r="O2186" t="s">
        <v>44</v>
      </c>
      <c r="P2186">
        <v>2</v>
      </c>
      <c r="R2186">
        <v>62</v>
      </c>
      <c r="S2186" s="17">
        <v>42151</v>
      </c>
      <c r="T2186" s="17">
        <v>42151</v>
      </c>
      <c r="W2186">
        <v>2015</v>
      </c>
      <c r="X2186">
        <v>7</v>
      </c>
      <c r="AC2186" t="s">
        <v>123</v>
      </c>
      <c r="AD2186" t="s">
        <v>301</v>
      </c>
      <c r="AE2186" t="s">
        <v>46</v>
      </c>
      <c r="AG2186">
        <v>55</v>
      </c>
      <c r="AH2186">
        <v>11</v>
      </c>
      <c r="AI2186" t="s">
        <v>47</v>
      </c>
      <c r="AK2186">
        <v>0</v>
      </c>
      <c r="AM2186">
        <v>0</v>
      </c>
      <c r="AP2186" t="s">
        <v>4767</v>
      </c>
    </row>
    <row r="2187" spans="1:42" customFormat="1">
      <c r="A2187">
        <v>271358</v>
      </c>
      <c r="B2187">
        <v>212623</v>
      </c>
      <c r="C2187" t="s">
        <v>4901</v>
      </c>
      <c r="D2187" s="22">
        <v>190</v>
      </c>
      <c r="E2187" s="17">
        <v>42150</v>
      </c>
      <c r="F2187" s="18">
        <v>0.67146990740740742</v>
      </c>
      <c r="G2187" s="22">
        <v>0</v>
      </c>
      <c r="H2187">
        <v>0</v>
      </c>
      <c r="I2187" s="19" t="e">
        <f>I2186 + (D2187-G2187)</f>
        <v>#VALUE!</v>
      </c>
      <c r="L2187">
        <v>212623</v>
      </c>
      <c r="N2187">
        <v>7</v>
      </c>
      <c r="O2187" t="s">
        <v>44</v>
      </c>
      <c r="P2187">
        <v>2</v>
      </c>
      <c r="R2187">
        <v>62</v>
      </c>
      <c r="S2187" s="17">
        <v>42151</v>
      </c>
      <c r="T2187" s="17">
        <v>42151</v>
      </c>
      <c r="W2187">
        <v>2015</v>
      </c>
      <c r="X2187">
        <v>7</v>
      </c>
      <c r="AC2187" t="s">
        <v>123</v>
      </c>
      <c r="AD2187" t="s">
        <v>301</v>
      </c>
      <c r="AE2187" t="s">
        <v>46</v>
      </c>
      <c r="AG2187">
        <v>55</v>
      </c>
      <c r="AH2187">
        <v>11</v>
      </c>
      <c r="AI2187" t="s">
        <v>47</v>
      </c>
      <c r="AK2187">
        <v>0</v>
      </c>
      <c r="AM2187">
        <v>0</v>
      </c>
      <c r="AP2187" t="s">
        <v>4767</v>
      </c>
    </row>
    <row r="2188" spans="1:42" customFormat="1">
      <c r="A2188">
        <v>271359</v>
      </c>
      <c r="B2188">
        <v>213018</v>
      </c>
      <c r="C2188" t="s">
        <v>4902</v>
      </c>
      <c r="D2188" s="22">
        <v>190</v>
      </c>
      <c r="E2188" s="17">
        <v>42150</v>
      </c>
      <c r="F2188" s="18">
        <v>0.671875</v>
      </c>
      <c r="G2188" s="22">
        <v>0</v>
      </c>
      <c r="H2188">
        <v>0</v>
      </c>
      <c r="I2188" s="19" t="e">
        <f>I2187 + (D2188-G2188)</f>
        <v>#VALUE!</v>
      </c>
      <c r="L2188">
        <v>213018</v>
      </c>
      <c r="N2188">
        <v>7</v>
      </c>
      <c r="O2188" t="s">
        <v>44</v>
      </c>
      <c r="P2188">
        <v>2</v>
      </c>
      <c r="R2188">
        <v>62</v>
      </c>
      <c r="S2188" s="17">
        <v>42151</v>
      </c>
      <c r="T2188" s="17">
        <v>42151</v>
      </c>
      <c r="W2188">
        <v>2015</v>
      </c>
      <c r="X2188">
        <v>7</v>
      </c>
      <c r="AC2188" t="s">
        <v>123</v>
      </c>
      <c r="AD2188" t="s">
        <v>301</v>
      </c>
      <c r="AE2188" t="s">
        <v>46</v>
      </c>
      <c r="AG2188">
        <v>55</v>
      </c>
      <c r="AH2188">
        <v>11</v>
      </c>
      <c r="AI2188" t="s">
        <v>47</v>
      </c>
      <c r="AK2188">
        <v>0</v>
      </c>
      <c r="AM2188">
        <v>0</v>
      </c>
      <c r="AP2188" t="s">
        <v>4767</v>
      </c>
    </row>
    <row r="2189" spans="1:42" customFormat="1">
      <c r="A2189">
        <v>271361</v>
      </c>
      <c r="B2189">
        <v>213098</v>
      </c>
      <c r="C2189" t="s">
        <v>4904</v>
      </c>
      <c r="D2189" s="22">
        <v>190</v>
      </c>
      <c r="E2189" s="17">
        <v>42150</v>
      </c>
      <c r="F2189" s="18">
        <v>0.6726967592592592</v>
      </c>
      <c r="G2189" s="22">
        <v>0</v>
      </c>
      <c r="H2189">
        <v>0</v>
      </c>
      <c r="I2189" s="19" t="e">
        <f>I2188 + (D2189-G2189)</f>
        <v>#VALUE!</v>
      </c>
      <c r="L2189">
        <v>213098</v>
      </c>
      <c r="N2189">
        <v>7</v>
      </c>
      <c r="O2189" t="s">
        <v>44</v>
      </c>
      <c r="P2189">
        <v>2</v>
      </c>
      <c r="R2189">
        <v>62</v>
      </c>
      <c r="S2189" s="17">
        <v>42151</v>
      </c>
      <c r="T2189" s="17">
        <v>42151</v>
      </c>
      <c r="W2189">
        <v>2015</v>
      </c>
      <c r="X2189">
        <v>7</v>
      </c>
      <c r="AC2189" t="s">
        <v>123</v>
      </c>
      <c r="AD2189" t="s">
        <v>301</v>
      </c>
      <c r="AE2189" t="s">
        <v>46</v>
      </c>
      <c r="AG2189">
        <v>55</v>
      </c>
      <c r="AH2189">
        <v>11</v>
      </c>
      <c r="AI2189" t="s">
        <v>47</v>
      </c>
      <c r="AK2189">
        <v>0</v>
      </c>
      <c r="AM2189">
        <v>0</v>
      </c>
      <c r="AP2189" t="s">
        <v>4767</v>
      </c>
    </row>
    <row r="2190" spans="1:42" customFormat="1">
      <c r="A2190">
        <v>271362</v>
      </c>
      <c r="B2190">
        <v>212359</v>
      </c>
      <c r="C2190" t="s">
        <v>4905</v>
      </c>
      <c r="D2190" s="22">
        <v>190</v>
      </c>
      <c r="E2190" s="17">
        <v>42150</v>
      </c>
      <c r="F2190" s="18">
        <v>0.67458333333333342</v>
      </c>
      <c r="G2190" s="22">
        <v>0</v>
      </c>
      <c r="H2190">
        <v>0</v>
      </c>
      <c r="I2190" s="19" t="e">
        <f>I2189 + (D2190-G2190)</f>
        <v>#VALUE!</v>
      </c>
      <c r="L2190">
        <v>212359</v>
      </c>
      <c r="N2190">
        <v>7</v>
      </c>
      <c r="O2190" t="s">
        <v>44</v>
      </c>
      <c r="P2190">
        <v>2</v>
      </c>
      <c r="R2190">
        <v>62</v>
      </c>
      <c r="S2190" s="17">
        <v>42151</v>
      </c>
      <c r="T2190" s="17">
        <v>42151</v>
      </c>
      <c r="W2190">
        <v>2015</v>
      </c>
      <c r="X2190">
        <v>7</v>
      </c>
      <c r="AC2190" t="s">
        <v>123</v>
      </c>
      <c r="AD2190" t="s">
        <v>301</v>
      </c>
      <c r="AE2190" t="s">
        <v>46</v>
      </c>
      <c r="AG2190">
        <v>55</v>
      </c>
      <c r="AH2190">
        <v>11</v>
      </c>
      <c r="AI2190" t="s">
        <v>47</v>
      </c>
      <c r="AK2190">
        <v>0</v>
      </c>
      <c r="AM2190">
        <v>0</v>
      </c>
      <c r="AP2190" t="s">
        <v>4767</v>
      </c>
    </row>
    <row r="2191" spans="1:42" customFormat="1">
      <c r="A2191">
        <v>271363</v>
      </c>
      <c r="B2191">
        <v>212333</v>
      </c>
      <c r="C2191" t="s">
        <v>4906</v>
      </c>
      <c r="D2191" s="22">
        <v>190</v>
      </c>
      <c r="E2191" s="17">
        <v>42150</v>
      </c>
      <c r="F2191" s="18">
        <v>0.67488425925925932</v>
      </c>
      <c r="G2191" s="22">
        <v>0</v>
      </c>
      <c r="H2191">
        <v>0</v>
      </c>
      <c r="I2191" s="19" t="e">
        <f>I2190 + (D2191-G2191)</f>
        <v>#VALUE!</v>
      </c>
      <c r="L2191">
        <v>212333</v>
      </c>
      <c r="N2191">
        <v>7</v>
      </c>
      <c r="O2191" t="s">
        <v>44</v>
      </c>
      <c r="P2191">
        <v>2</v>
      </c>
      <c r="R2191">
        <v>62</v>
      </c>
      <c r="S2191" s="17">
        <v>42151</v>
      </c>
      <c r="T2191" s="17">
        <v>42151</v>
      </c>
      <c r="W2191">
        <v>2015</v>
      </c>
      <c r="X2191">
        <v>7</v>
      </c>
      <c r="AC2191" t="s">
        <v>123</v>
      </c>
      <c r="AD2191" t="s">
        <v>301</v>
      </c>
      <c r="AE2191" t="s">
        <v>46</v>
      </c>
      <c r="AG2191">
        <v>55</v>
      </c>
      <c r="AH2191">
        <v>11</v>
      </c>
      <c r="AI2191" t="s">
        <v>47</v>
      </c>
      <c r="AK2191">
        <v>0</v>
      </c>
      <c r="AM2191">
        <v>0</v>
      </c>
      <c r="AP2191" t="s">
        <v>4767</v>
      </c>
    </row>
    <row r="2192" spans="1:42" customFormat="1">
      <c r="A2192">
        <v>271367</v>
      </c>
      <c r="B2192">
        <v>214601</v>
      </c>
      <c r="C2192" t="s">
        <v>4910</v>
      </c>
      <c r="D2192" s="22">
        <v>220</v>
      </c>
      <c r="E2192" s="17">
        <v>42150</v>
      </c>
      <c r="F2192" s="18">
        <v>0.67616898148148152</v>
      </c>
      <c r="G2192" s="22">
        <v>0</v>
      </c>
      <c r="H2192">
        <v>0</v>
      </c>
      <c r="I2192" s="19" t="e">
        <f>I2191 + (D2192-G2192)</f>
        <v>#VALUE!</v>
      </c>
      <c r="L2192">
        <v>214601</v>
      </c>
      <c r="N2192">
        <v>7</v>
      </c>
      <c r="O2192" t="s">
        <v>44</v>
      </c>
      <c r="P2192">
        <v>2</v>
      </c>
      <c r="R2192">
        <v>62</v>
      </c>
      <c r="S2192" s="17">
        <v>42151</v>
      </c>
      <c r="T2192" s="17">
        <v>42151</v>
      </c>
      <c r="W2192">
        <v>2015</v>
      </c>
      <c r="X2192">
        <v>7</v>
      </c>
      <c r="AC2192" t="s">
        <v>123</v>
      </c>
      <c r="AD2192" t="s">
        <v>301</v>
      </c>
      <c r="AE2192" t="s">
        <v>46</v>
      </c>
      <c r="AG2192">
        <v>55</v>
      </c>
      <c r="AH2192">
        <v>11</v>
      </c>
      <c r="AI2192" t="s">
        <v>47</v>
      </c>
      <c r="AK2192">
        <v>0</v>
      </c>
      <c r="AM2192">
        <v>0</v>
      </c>
      <c r="AP2192" t="s">
        <v>4767</v>
      </c>
    </row>
    <row r="2193" spans="1:42" customFormat="1">
      <c r="A2193">
        <v>271370</v>
      </c>
      <c r="B2193">
        <v>215149</v>
      </c>
      <c r="C2193" t="s">
        <v>4912</v>
      </c>
      <c r="D2193" s="22">
        <v>244.45</v>
      </c>
      <c r="E2193" s="17">
        <v>42150</v>
      </c>
      <c r="F2193" s="18">
        <v>0.67885416666666665</v>
      </c>
      <c r="G2193" s="22">
        <v>0</v>
      </c>
      <c r="H2193">
        <v>0</v>
      </c>
      <c r="I2193" s="19" t="e">
        <f>I2192 + (D2193-G2193)</f>
        <v>#VALUE!</v>
      </c>
      <c r="L2193">
        <v>215149</v>
      </c>
      <c r="N2193">
        <v>7</v>
      </c>
      <c r="O2193" t="s">
        <v>44</v>
      </c>
      <c r="P2193">
        <v>2</v>
      </c>
      <c r="R2193">
        <v>62</v>
      </c>
      <c r="S2193" s="17">
        <v>42151</v>
      </c>
      <c r="T2193" s="17">
        <v>42151</v>
      </c>
      <c r="W2193">
        <v>2015</v>
      </c>
      <c r="X2193">
        <v>7</v>
      </c>
      <c r="AC2193" t="s">
        <v>123</v>
      </c>
      <c r="AD2193" t="s">
        <v>301</v>
      </c>
      <c r="AE2193" t="s">
        <v>46</v>
      </c>
      <c r="AG2193">
        <v>55</v>
      </c>
      <c r="AH2193">
        <v>11</v>
      </c>
      <c r="AI2193" t="s">
        <v>47</v>
      </c>
      <c r="AK2193">
        <v>0</v>
      </c>
      <c r="AM2193">
        <v>0</v>
      </c>
      <c r="AP2193" t="s">
        <v>4767</v>
      </c>
    </row>
    <row r="2194" spans="1:42" customFormat="1">
      <c r="A2194">
        <v>271372</v>
      </c>
      <c r="B2194">
        <v>215309</v>
      </c>
      <c r="C2194" t="s">
        <v>4914</v>
      </c>
      <c r="D2194" s="22">
        <v>220</v>
      </c>
      <c r="E2194" s="17">
        <v>42150</v>
      </c>
      <c r="F2194" s="18">
        <v>0.68008101851851854</v>
      </c>
      <c r="G2194" s="22">
        <v>0</v>
      </c>
      <c r="H2194">
        <v>0</v>
      </c>
      <c r="I2194" s="19" t="e">
        <f>I2193 + (D2194-G2194)</f>
        <v>#VALUE!</v>
      </c>
      <c r="L2194">
        <v>215309</v>
      </c>
      <c r="N2194">
        <v>7</v>
      </c>
      <c r="O2194" t="s">
        <v>44</v>
      </c>
      <c r="P2194">
        <v>2</v>
      </c>
      <c r="R2194">
        <v>62</v>
      </c>
      <c r="S2194" s="17">
        <v>42151</v>
      </c>
      <c r="T2194" s="17">
        <v>42151</v>
      </c>
      <c r="W2194">
        <v>2015</v>
      </c>
      <c r="X2194">
        <v>7</v>
      </c>
      <c r="AC2194" t="s">
        <v>123</v>
      </c>
      <c r="AD2194" t="s">
        <v>301</v>
      </c>
      <c r="AE2194" t="s">
        <v>46</v>
      </c>
      <c r="AG2194">
        <v>55</v>
      </c>
      <c r="AH2194">
        <v>11</v>
      </c>
      <c r="AI2194" t="s">
        <v>47</v>
      </c>
      <c r="AK2194">
        <v>0</v>
      </c>
      <c r="AM2194">
        <v>0</v>
      </c>
      <c r="AP2194" t="s">
        <v>4767</v>
      </c>
    </row>
    <row r="2195" spans="1:42" customFormat="1">
      <c r="A2195">
        <v>271374</v>
      </c>
      <c r="B2195">
        <v>215369</v>
      </c>
      <c r="C2195" t="s">
        <v>4916</v>
      </c>
      <c r="D2195" s="22">
        <v>161.5</v>
      </c>
      <c r="E2195" s="17">
        <v>42150</v>
      </c>
      <c r="F2195" s="18">
        <v>0.68085648148148159</v>
      </c>
      <c r="G2195" s="22">
        <v>0</v>
      </c>
      <c r="H2195">
        <v>0</v>
      </c>
      <c r="I2195" s="19" t="e">
        <f>I2194 + (D2195-G2195)</f>
        <v>#VALUE!</v>
      </c>
      <c r="L2195">
        <v>215369</v>
      </c>
      <c r="N2195">
        <v>7</v>
      </c>
      <c r="O2195" t="s">
        <v>44</v>
      </c>
      <c r="P2195">
        <v>2</v>
      </c>
      <c r="R2195">
        <v>62</v>
      </c>
      <c r="S2195" s="17">
        <v>42151</v>
      </c>
      <c r="T2195" s="17">
        <v>42151</v>
      </c>
      <c r="W2195">
        <v>2015</v>
      </c>
      <c r="X2195">
        <v>7</v>
      </c>
      <c r="AC2195" t="s">
        <v>123</v>
      </c>
      <c r="AD2195" t="s">
        <v>301</v>
      </c>
      <c r="AE2195" t="s">
        <v>46</v>
      </c>
      <c r="AG2195">
        <v>55</v>
      </c>
      <c r="AH2195">
        <v>11</v>
      </c>
      <c r="AI2195" t="s">
        <v>47</v>
      </c>
      <c r="AK2195">
        <v>0</v>
      </c>
      <c r="AM2195">
        <v>0</v>
      </c>
      <c r="AP2195" t="s">
        <v>4767</v>
      </c>
    </row>
    <row r="2196" spans="1:42" customFormat="1">
      <c r="A2196">
        <v>271375</v>
      </c>
      <c r="B2196">
        <v>215359</v>
      </c>
      <c r="C2196" t="s">
        <v>4917</v>
      </c>
      <c r="D2196" s="22">
        <v>187</v>
      </c>
      <c r="E2196" s="17">
        <v>42150</v>
      </c>
      <c r="F2196" s="18">
        <v>0.68111111111111111</v>
      </c>
      <c r="G2196" s="22">
        <v>0</v>
      </c>
      <c r="H2196">
        <v>0</v>
      </c>
      <c r="I2196" s="19" t="e">
        <f>I2195 + (D2196-G2196)</f>
        <v>#VALUE!</v>
      </c>
      <c r="L2196">
        <v>215359</v>
      </c>
      <c r="N2196">
        <v>7</v>
      </c>
      <c r="O2196" t="s">
        <v>44</v>
      </c>
      <c r="P2196">
        <v>2</v>
      </c>
      <c r="R2196">
        <v>62</v>
      </c>
      <c r="S2196" s="17">
        <v>42151</v>
      </c>
      <c r="T2196" s="17">
        <v>42151</v>
      </c>
      <c r="W2196">
        <v>2015</v>
      </c>
      <c r="X2196">
        <v>7</v>
      </c>
      <c r="AC2196" t="s">
        <v>123</v>
      </c>
      <c r="AD2196" t="s">
        <v>301</v>
      </c>
      <c r="AE2196" t="s">
        <v>46</v>
      </c>
      <c r="AG2196">
        <v>55</v>
      </c>
      <c r="AH2196">
        <v>11</v>
      </c>
      <c r="AI2196" t="s">
        <v>47</v>
      </c>
      <c r="AK2196">
        <v>0</v>
      </c>
      <c r="AM2196">
        <v>0</v>
      </c>
      <c r="AP2196" t="s">
        <v>4767</v>
      </c>
    </row>
    <row r="2197" spans="1:42" customFormat="1">
      <c r="A2197">
        <v>273619</v>
      </c>
      <c r="B2197">
        <v>216949</v>
      </c>
      <c r="C2197" t="s">
        <v>5124</v>
      </c>
      <c r="D2197" s="22">
        <v>160</v>
      </c>
      <c r="E2197" s="17">
        <v>42152</v>
      </c>
      <c r="F2197" s="18">
        <v>0.57983796296296297</v>
      </c>
      <c r="G2197" s="22">
        <v>0</v>
      </c>
      <c r="H2197">
        <v>0</v>
      </c>
      <c r="I2197" s="19" t="e">
        <f>I2196 + (D2197-G2197)</f>
        <v>#VALUE!</v>
      </c>
      <c r="L2197">
        <v>216949</v>
      </c>
      <c r="N2197">
        <v>60</v>
      </c>
      <c r="O2197" t="s">
        <v>60</v>
      </c>
      <c r="P2197">
        <v>2</v>
      </c>
      <c r="R2197">
        <v>62</v>
      </c>
      <c r="S2197" s="17">
        <v>42173</v>
      </c>
      <c r="T2197" s="17">
        <v>42173</v>
      </c>
      <c r="W2197">
        <v>2015</v>
      </c>
      <c r="X2197">
        <v>60</v>
      </c>
      <c r="AC2197" t="s">
        <v>123</v>
      </c>
      <c r="AD2197" t="s">
        <v>301</v>
      </c>
      <c r="AE2197" t="s">
        <v>46</v>
      </c>
      <c r="AG2197">
        <v>3</v>
      </c>
      <c r="AH2197">
        <v>11</v>
      </c>
      <c r="AI2197" t="s">
        <v>47</v>
      </c>
      <c r="AK2197">
        <v>0</v>
      </c>
      <c r="AM2197">
        <v>0</v>
      </c>
      <c r="AP2197" t="s">
        <v>80</v>
      </c>
    </row>
    <row r="2198" spans="1:42" customFormat="1">
      <c r="A2198">
        <v>268799</v>
      </c>
      <c r="B2198">
        <v>214573</v>
      </c>
      <c r="C2198" t="s">
        <v>326</v>
      </c>
      <c r="D2198" s="22">
        <v>1386</v>
      </c>
      <c r="E2198" s="17">
        <v>42128</v>
      </c>
      <c r="F2198" s="18">
        <v>0.36560185185185184</v>
      </c>
      <c r="G2198" s="22">
        <v>0</v>
      </c>
      <c r="H2198">
        <v>0</v>
      </c>
      <c r="I2198" s="19" t="e">
        <f>I2197 + (D2198-G2198)</f>
        <v>#VALUE!</v>
      </c>
      <c r="L2198">
        <v>214573</v>
      </c>
      <c r="N2198">
        <v>8</v>
      </c>
      <c r="O2198" t="s">
        <v>63</v>
      </c>
      <c r="P2198">
        <v>1</v>
      </c>
      <c r="R2198">
        <v>6</v>
      </c>
      <c r="S2198" s="17">
        <v>42132</v>
      </c>
      <c r="T2198" s="17">
        <v>42132</v>
      </c>
      <c r="W2198">
        <v>2015</v>
      </c>
      <c r="X2198">
        <v>8</v>
      </c>
      <c r="AC2198" t="s">
        <v>45</v>
      </c>
      <c r="AD2198" t="s">
        <v>301</v>
      </c>
      <c r="AE2198" t="s">
        <v>46</v>
      </c>
      <c r="AG2198">
        <v>56</v>
      </c>
      <c r="AH2198">
        <v>1</v>
      </c>
      <c r="AI2198" t="s">
        <v>58</v>
      </c>
      <c r="AK2198">
        <v>0</v>
      </c>
      <c r="AM2198">
        <v>0</v>
      </c>
      <c r="AP2198" t="s">
        <v>59</v>
      </c>
    </row>
    <row r="2199" spans="1:42" customFormat="1">
      <c r="A2199">
        <v>268755</v>
      </c>
      <c r="B2199">
        <v>216633</v>
      </c>
      <c r="C2199" t="s">
        <v>1326</v>
      </c>
      <c r="D2199" s="22">
        <v>1386</v>
      </c>
      <c r="E2199" s="17">
        <v>42129</v>
      </c>
      <c r="F2199" s="18">
        <v>0.46251157407407412</v>
      </c>
      <c r="G2199" s="22">
        <v>0</v>
      </c>
      <c r="H2199">
        <v>0</v>
      </c>
      <c r="I2199" s="19" t="e">
        <f>I2198 + (D2199-G2199)</f>
        <v>#VALUE!</v>
      </c>
      <c r="L2199">
        <v>216633</v>
      </c>
      <c r="N2199">
        <v>8</v>
      </c>
      <c r="O2199" t="s">
        <v>63</v>
      </c>
      <c r="P2199">
        <v>2</v>
      </c>
      <c r="R2199">
        <v>6</v>
      </c>
      <c r="S2199" s="17">
        <v>42131</v>
      </c>
      <c r="T2199" s="17">
        <v>42131</v>
      </c>
      <c r="W2199">
        <v>2015</v>
      </c>
      <c r="X2199">
        <v>8</v>
      </c>
      <c r="AC2199" t="s">
        <v>45</v>
      </c>
      <c r="AD2199" t="s">
        <v>301</v>
      </c>
      <c r="AE2199" t="s">
        <v>46</v>
      </c>
      <c r="AG2199">
        <v>4</v>
      </c>
      <c r="AH2199">
        <v>3</v>
      </c>
      <c r="AI2199" t="s">
        <v>64</v>
      </c>
      <c r="AK2199">
        <v>0</v>
      </c>
      <c r="AM2199">
        <v>0</v>
      </c>
      <c r="AP2199" t="s">
        <v>389</v>
      </c>
    </row>
    <row r="2200" spans="1:42" customFormat="1">
      <c r="A2200">
        <v>269830</v>
      </c>
      <c r="B2200">
        <v>216729</v>
      </c>
      <c r="C2200" t="s">
        <v>2682</v>
      </c>
      <c r="D2200" s="22">
        <v>1386</v>
      </c>
      <c r="E2200" s="17">
        <v>42135</v>
      </c>
      <c r="F2200" s="18">
        <v>0.61388888888888882</v>
      </c>
      <c r="G2200" s="22">
        <v>0</v>
      </c>
      <c r="H2200">
        <v>0</v>
      </c>
      <c r="I2200" s="19" t="e">
        <f>I2199 + (D2200-G2200)</f>
        <v>#VALUE!</v>
      </c>
      <c r="L2200">
        <v>216729</v>
      </c>
      <c r="N2200">
        <v>24</v>
      </c>
      <c r="O2200" t="s">
        <v>68</v>
      </c>
      <c r="P2200">
        <v>2</v>
      </c>
      <c r="R2200">
        <v>6</v>
      </c>
      <c r="S2200" s="17">
        <v>42137</v>
      </c>
      <c r="T2200" s="17">
        <v>42137</v>
      </c>
      <c r="W2200">
        <v>2015</v>
      </c>
      <c r="X2200">
        <v>24</v>
      </c>
      <c r="AC2200" t="s">
        <v>45</v>
      </c>
      <c r="AD2200" t="s">
        <v>301</v>
      </c>
      <c r="AE2200" t="s">
        <v>46</v>
      </c>
      <c r="AG2200">
        <v>27</v>
      </c>
      <c r="AH2200">
        <v>2</v>
      </c>
      <c r="AI2200" t="s">
        <v>50</v>
      </c>
      <c r="AK2200">
        <v>0</v>
      </c>
      <c r="AM2200">
        <v>0</v>
      </c>
      <c r="AP2200" t="s">
        <v>1337</v>
      </c>
    </row>
    <row r="2201" spans="1:42" customFormat="1">
      <c r="A2201">
        <v>269836</v>
      </c>
      <c r="B2201">
        <v>206191</v>
      </c>
      <c r="C2201" t="s">
        <v>2929</v>
      </c>
      <c r="D2201" s="22">
        <v>1420</v>
      </c>
      <c r="E2201" s="17">
        <v>42136</v>
      </c>
      <c r="F2201" s="18">
        <v>0.63395833333333329</v>
      </c>
      <c r="G2201" s="22">
        <v>0</v>
      </c>
      <c r="H2201">
        <v>0</v>
      </c>
      <c r="I2201" s="19" t="e">
        <f>I2200 + (D2201-G2201)</f>
        <v>#VALUE!</v>
      </c>
      <c r="L2201">
        <v>206191</v>
      </c>
      <c r="N2201">
        <v>8</v>
      </c>
      <c r="O2201" t="s">
        <v>63</v>
      </c>
      <c r="P2201">
        <v>2</v>
      </c>
      <c r="R2201">
        <v>6</v>
      </c>
      <c r="S2201" s="17">
        <v>42137</v>
      </c>
      <c r="T2201" s="17">
        <v>42137</v>
      </c>
      <c r="W2201">
        <v>2015</v>
      </c>
      <c r="X2201">
        <v>8</v>
      </c>
      <c r="AC2201" t="s">
        <v>45</v>
      </c>
      <c r="AD2201" t="s">
        <v>301</v>
      </c>
      <c r="AE2201" t="s">
        <v>46</v>
      </c>
      <c r="AG2201">
        <v>56</v>
      </c>
      <c r="AH2201">
        <v>1</v>
      </c>
      <c r="AI2201" t="s">
        <v>58</v>
      </c>
      <c r="AK2201">
        <v>0</v>
      </c>
      <c r="AM2201">
        <v>0</v>
      </c>
      <c r="AP2201" t="s">
        <v>59</v>
      </c>
    </row>
    <row r="2202" spans="1:42" customFormat="1">
      <c r="A2202">
        <v>270323</v>
      </c>
      <c r="B2202">
        <v>210329</v>
      </c>
      <c r="C2202" t="s">
        <v>3138</v>
      </c>
      <c r="D2202" s="22">
        <v>700</v>
      </c>
      <c r="E2202" s="17">
        <v>42138</v>
      </c>
      <c r="F2202" s="18">
        <v>0.4100462962962963</v>
      </c>
      <c r="G2202" s="22">
        <v>0</v>
      </c>
      <c r="H2202">
        <v>0</v>
      </c>
      <c r="I2202" s="19" t="e">
        <f>I2201 + (D2202-G2202)</f>
        <v>#VALUE!</v>
      </c>
      <c r="L2202">
        <v>210329</v>
      </c>
      <c r="N2202">
        <v>7</v>
      </c>
      <c r="O2202" t="s">
        <v>44</v>
      </c>
      <c r="P2202">
        <v>1</v>
      </c>
      <c r="R2202">
        <v>6</v>
      </c>
      <c r="S2202" s="17">
        <v>42144</v>
      </c>
      <c r="T2202" s="17">
        <v>42144</v>
      </c>
      <c r="W2202">
        <v>2015</v>
      </c>
      <c r="X2202">
        <v>7</v>
      </c>
      <c r="AC2202" t="s">
        <v>45</v>
      </c>
      <c r="AD2202" t="s">
        <v>301</v>
      </c>
      <c r="AE2202" t="s">
        <v>46</v>
      </c>
      <c r="AG2202">
        <v>3</v>
      </c>
      <c r="AH2202">
        <v>11</v>
      </c>
      <c r="AI2202" t="s">
        <v>47</v>
      </c>
      <c r="AK2202">
        <v>0</v>
      </c>
      <c r="AM2202">
        <v>0</v>
      </c>
      <c r="AP2202" t="s">
        <v>80</v>
      </c>
    </row>
    <row r="2203" spans="1:42" customFormat="1">
      <c r="A2203">
        <v>270324</v>
      </c>
      <c r="B2203">
        <v>210330</v>
      </c>
      <c r="C2203" t="s">
        <v>3139</v>
      </c>
      <c r="D2203" s="22">
        <v>700</v>
      </c>
      <c r="E2203" s="17">
        <v>42138</v>
      </c>
      <c r="F2203" s="18">
        <v>0.41085648148148146</v>
      </c>
      <c r="G2203" s="22">
        <v>0</v>
      </c>
      <c r="H2203">
        <v>0</v>
      </c>
      <c r="I2203" s="19" t="e">
        <f>I2202 + (D2203-G2203)</f>
        <v>#VALUE!</v>
      </c>
      <c r="L2203">
        <v>210330</v>
      </c>
      <c r="N2203">
        <v>7</v>
      </c>
      <c r="O2203" t="s">
        <v>44</v>
      </c>
      <c r="P2203">
        <v>1</v>
      </c>
      <c r="R2203">
        <v>6</v>
      </c>
      <c r="S2203" s="17">
        <v>42144</v>
      </c>
      <c r="T2203" s="17">
        <v>42144</v>
      </c>
      <c r="W2203">
        <v>2015</v>
      </c>
      <c r="X2203">
        <v>7</v>
      </c>
      <c r="AC2203" t="s">
        <v>45</v>
      </c>
      <c r="AD2203" t="s">
        <v>301</v>
      </c>
      <c r="AE2203" t="s">
        <v>46</v>
      </c>
      <c r="AG2203">
        <v>3</v>
      </c>
      <c r="AH2203">
        <v>11</v>
      </c>
      <c r="AI2203" t="s">
        <v>47</v>
      </c>
      <c r="AK2203">
        <v>0</v>
      </c>
      <c r="AM2203">
        <v>0</v>
      </c>
      <c r="AP2203" t="s">
        <v>80</v>
      </c>
    </row>
    <row r="2204" spans="1:42" customFormat="1">
      <c r="A2204">
        <v>271249</v>
      </c>
      <c r="B2204">
        <v>216639</v>
      </c>
      <c r="C2204" t="s">
        <v>4770</v>
      </c>
      <c r="D2204" s="22">
        <v>1386</v>
      </c>
      <c r="E2204" s="17">
        <v>42150</v>
      </c>
      <c r="F2204" s="18">
        <v>0.45119212962962968</v>
      </c>
      <c r="G2204" s="22">
        <v>0</v>
      </c>
      <c r="H2204">
        <v>0</v>
      </c>
      <c r="I2204" s="19" t="e">
        <f>I2203 + (D2204-G2204)</f>
        <v>#VALUE!</v>
      </c>
      <c r="L2204">
        <v>216639</v>
      </c>
      <c r="N2204">
        <v>7</v>
      </c>
      <c r="O2204" t="s">
        <v>44</v>
      </c>
      <c r="P2204">
        <v>2</v>
      </c>
      <c r="R2204">
        <v>6</v>
      </c>
      <c r="S2204" s="17">
        <v>42151</v>
      </c>
      <c r="T2204" s="17">
        <v>42151</v>
      </c>
      <c r="W2204">
        <v>2015</v>
      </c>
      <c r="X2204">
        <v>7</v>
      </c>
      <c r="AC2204" t="s">
        <v>45</v>
      </c>
      <c r="AD2204" t="s">
        <v>301</v>
      </c>
      <c r="AE2204" t="s">
        <v>46</v>
      </c>
      <c r="AG2204">
        <v>55</v>
      </c>
      <c r="AH2204">
        <v>11</v>
      </c>
      <c r="AI2204" t="s">
        <v>47</v>
      </c>
      <c r="AK2204">
        <v>0</v>
      </c>
      <c r="AM2204">
        <v>0</v>
      </c>
      <c r="AP2204" t="s">
        <v>4767</v>
      </c>
    </row>
    <row r="2205" spans="1:42" customFormat="1">
      <c r="A2205">
        <v>271250</v>
      </c>
      <c r="B2205">
        <v>213170</v>
      </c>
      <c r="C2205" t="s">
        <v>4773</v>
      </c>
      <c r="D2205" s="22">
        <v>1386</v>
      </c>
      <c r="E2205" s="17">
        <v>42150</v>
      </c>
      <c r="F2205" s="18">
        <v>0.4536458333333333</v>
      </c>
      <c r="G2205" s="22">
        <v>0</v>
      </c>
      <c r="H2205">
        <v>0</v>
      </c>
      <c r="I2205" s="19" t="e">
        <f>I2204 + (D2205-G2205)</f>
        <v>#VALUE!</v>
      </c>
      <c r="L2205">
        <v>213170</v>
      </c>
      <c r="N2205">
        <v>7</v>
      </c>
      <c r="O2205" t="s">
        <v>44</v>
      </c>
      <c r="P2205">
        <v>1</v>
      </c>
      <c r="R2205">
        <v>6</v>
      </c>
      <c r="S2205" s="17">
        <v>42151</v>
      </c>
      <c r="T2205" s="17">
        <v>42151</v>
      </c>
      <c r="W2205">
        <v>2015</v>
      </c>
      <c r="X2205">
        <v>7</v>
      </c>
      <c r="AC2205" t="s">
        <v>45</v>
      </c>
      <c r="AD2205" t="s">
        <v>301</v>
      </c>
      <c r="AE2205" t="s">
        <v>46</v>
      </c>
      <c r="AG2205">
        <v>55</v>
      </c>
      <c r="AH2205">
        <v>11</v>
      </c>
      <c r="AI2205" t="s">
        <v>47</v>
      </c>
      <c r="AK2205">
        <v>0</v>
      </c>
      <c r="AM2205">
        <v>0</v>
      </c>
      <c r="AP2205" t="s">
        <v>4767</v>
      </c>
    </row>
    <row r="2206" spans="1:42" customFormat="1">
      <c r="A2206">
        <v>271251</v>
      </c>
      <c r="B2206">
        <v>210332</v>
      </c>
      <c r="C2206" t="s">
        <v>4774</v>
      </c>
      <c r="D2206" s="22">
        <v>700</v>
      </c>
      <c r="E2206" s="17">
        <v>42150</v>
      </c>
      <c r="F2206" s="18">
        <v>0.45518518518518519</v>
      </c>
      <c r="G2206" s="22">
        <v>0</v>
      </c>
      <c r="H2206">
        <v>0</v>
      </c>
      <c r="I2206" s="19" t="e">
        <f>I2205 + (D2206-G2206)</f>
        <v>#VALUE!</v>
      </c>
      <c r="L2206">
        <v>210332</v>
      </c>
      <c r="N2206">
        <v>7</v>
      </c>
      <c r="O2206" t="s">
        <v>44</v>
      </c>
      <c r="P2206">
        <v>1</v>
      </c>
      <c r="R2206">
        <v>6</v>
      </c>
      <c r="S2206" s="17">
        <v>42151</v>
      </c>
      <c r="T2206" s="17">
        <v>42151</v>
      </c>
      <c r="W2206">
        <v>2015</v>
      </c>
      <c r="X2206">
        <v>7</v>
      </c>
      <c r="AC2206" t="s">
        <v>45</v>
      </c>
      <c r="AD2206" t="s">
        <v>301</v>
      </c>
      <c r="AE2206" t="s">
        <v>46</v>
      </c>
      <c r="AG2206">
        <v>55</v>
      </c>
      <c r="AH2206">
        <v>11</v>
      </c>
      <c r="AI2206" t="s">
        <v>47</v>
      </c>
      <c r="AK2206">
        <v>0</v>
      </c>
      <c r="AM2206">
        <v>0</v>
      </c>
      <c r="AP2206" t="s">
        <v>4767</v>
      </c>
    </row>
    <row r="2207" spans="1:42" customFormat="1">
      <c r="A2207">
        <v>271252</v>
      </c>
      <c r="B2207">
        <v>210333</v>
      </c>
      <c r="C2207" t="s">
        <v>4775</v>
      </c>
      <c r="D2207" s="22">
        <v>700</v>
      </c>
      <c r="E2207" s="17">
        <v>42150</v>
      </c>
      <c r="F2207" s="18">
        <v>0.45520833333333338</v>
      </c>
      <c r="G2207" s="22">
        <v>0</v>
      </c>
      <c r="H2207">
        <v>0</v>
      </c>
      <c r="I2207" s="19" t="e">
        <f>I2206 + (D2207-G2207)</f>
        <v>#VALUE!</v>
      </c>
      <c r="L2207">
        <v>210333</v>
      </c>
      <c r="N2207">
        <v>7</v>
      </c>
      <c r="O2207" t="s">
        <v>44</v>
      </c>
      <c r="P2207">
        <v>1</v>
      </c>
      <c r="R2207">
        <v>6</v>
      </c>
      <c r="S2207" s="17">
        <v>42151</v>
      </c>
      <c r="T2207" s="17">
        <v>42151</v>
      </c>
      <c r="W2207">
        <v>2015</v>
      </c>
      <c r="X2207">
        <v>7</v>
      </c>
      <c r="AC2207" t="s">
        <v>45</v>
      </c>
      <c r="AD2207" t="s">
        <v>301</v>
      </c>
      <c r="AE2207" t="s">
        <v>46</v>
      </c>
      <c r="AG2207">
        <v>55</v>
      </c>
      <c r="AH2207">
        <v>11</v>
      </c>
      <c r="AI2207" t="s">
        <v>47</v>
      </c>
      <c r="AK2207">
        <v>0</v>
      </c>
      <c r="AM2207">
        <v>0</v>
      </c>
      <c r="AP2207" t="s">
        <v>4767</v>
      </c>
    </row>
    <row r="2208" spans="1:42" customFormat="1">
      <c r="A2208">
        <v>271259</v>
      </c>
      <c r="B2208">
        <v>213181</v>
      </c>
      <c r="C2208" t="s">
        <v>4781</v>
      </c>
      <c r="D2208" s="22">
        <v>1386</v>
      </c>
      <c r="E2208" s="17">
        <v>42150</v>
      </c>
      <c r="F2208" s="18">
        <v>0.46265046296296292</v>
      </c>
      <c r="G2208" s="22">
        <v>0</v>
      </c>
      <c r="H2208">
        <v>0</v>
      </c>
      <c r="I2208" s="19" t="e">
        <f>I2207 + (D2208-G2208)</f>
        <v>#VALUE!</v>
      </c>
      <c r="L2208">
        <v>213181</v>
      </c>
      <c r="N2208">
        <v>7</v>
      </c>
      <c r="O2208" t="s">
        <v>44</v>
      </c>
      <c r="P2208">
        <v>1</v>
      </c>
      <c r="R2208">
        <v>6</v>
      </c>
      <c r="S2208" s="17">
        <v>42151</v>
      </c>
      <c r="T2208" s="17">
        <v>42151</v>
      </c>
      <c r="W2208">
        <v>2015</v>
      </c>
      <c r="X2208">
        <v>7</v>
      </c>
      <c r="AC2208" t="s">
        <v>45</v>
      </c>
      <c r="AD2208" t="s">
        <v>301</v>
      </c>
      <c r="AE2208" t="s">
        <v>46</v>
      </c>
      <c r="AG2208">
        <v>55</v>
      </c>
      <c r="AH2208">
        <v>11</v>
      </c>
      <c r="AI2208" t="s">
        <v>47</v>
      </c>
      <c r="AK2208">
        <v>0</v>
      </c>
      <c r="AM2208">
        <v>0</v>
      </c>
      <c r="AP2208" t="s">
        <v>4767</v>
      </c>
    </row>
    <row r="2209" spans="1:42" customFormat="1">
      <c r="A2209">
        <v>271260</v>
      </c>
      <c r="B2209">
        <v>213182</v>
      </c>
      <c r="C2209" t="s">
        <v>4782</v>
      </c>
      <c r="D2209" s="22">
        <v>1386</v>
      </c>
      <c r="E2209" s="17">
        <v>42150</v>
      </c>
      <c r="F2209" s="18">
        <v>0.46266203703703707</v>
      </c>
      <c r="G2209" s="22">
        <v>0</v>
      </c>
      <c r="H2209">
        <v>0</v>
      </c>
      <c r="I2209" s="19" t="e">
        <f>I2208 + (D2209-G2209)</f>
        <v>#VALUE!</v>
      </c>
      <c r="L2209">
        <v>213182</v>
      </c>
      <c r="N2209">
        <v>7</v>
      </c>
      <c r="O2209" t="s">
        <v>44</v>
      </c>
      <c r="P2209">
        <v>1</v>
      </c>
      <c r="R2209">
        <v>6</v>
      </c>
      <c r="S2209" s="17">
        <v>42151</v>
      </c>
      <c r="T2209" s="17">
        <v>42151</v>
      </c>
      <c r="W2209">
        <v>2015</v>
      </c>
      <c r="X2209">
        <v>7</v>
      </c>
      <c r="AC2209" t="s">
        <v>45</v>
      </c>
      <c r="AD2209" t="s">
        <v>301</v>
      </c>
      <c r="AE2209" t="s">
        <v>46</v>
      </c>
      <c r="AG2209">
        <v>55</v>
      </c>
      <c r="AH2209">
        <v>11</v>
      </c>
      <c r="AI2209" t="s">
        <v>47</v>
      </c>
      <c r="AK2209">
        <v>0</v>
      </c>
      <c r="AM2209">
        <v>0</v>
      </c>
      <c r="AP2209" t="s">
        <v>4767</v>
      </c>
    </row>
    <row r="2210" spans="1:42" customFormat="1">
      <c r="A2210">
        <v>271269</v>
      </c>
      <c r="B2210">
        <v>208590</v>
      </c>
      <c r="C2210" t="s">
        <v>4784</v>
      </c>
      <c r="D2210" s="22">
        <v>1386</v>
      </c>
      <c r="E2210" s="17">
        <v>42150</v>
      </c>
      <c r="F2210" s="18">
        <v>0.47034722222222225</v>
      </c>
      <c r="G2210" s="22">
        <v>0</v>
      </c>
      <c r="H2210">
        <v>0</v>
      </c>
      <c r="I2210" s="19" t="e">
        <f>I2209 + (D2210-G2210)</f>
        <v>#VALUE!</v>
      </c>
      <c r="L2210">
        <v>208590</v>
      </c>
      <c r="N2210">
        <v>24</v>
      </c>
      <c r="O2210" t="s">
        <v>68</v>
      </c>
      <c r="P2210">
        <v>1</v>
      </c>
      <c r="R2210">
        <v>6</v>
      </c>
      <c r="S2210" s="17">
        <v>42151</v>
      </c>
      <c r="T2210" s="17">
        <v>42151</v>
      </c>
      <c r="W2210">
        <v>2015</v>
      </c>
      <c r="X2210">
        <v>24</v>
      </c>
      <c r="AC2210" t="s">
        <v>45</v>
      </c>
      <c r="AD2210" t="s">
        <v>301</v>
      </c>
      <c r="AE2210" t="s">
        <v>46</v>
      </c>
      <c r="AG2210">
        <v>55</v>
      </c>
      <c r="AH2210">
        <v>11</v>
      </c>
      <c r="AI2210" t="s">
        <v>47</v>
      </c>
      <c r="AK2210">
        <v>0</v>
      </c>
      <c r="AM2210">
        <v>0</v>
      </c>
      <c r="AP2210" t="s">
        <v>4767</v>
      </c>
    </row>
    <row r="2211" spans="1:42" customFormat="1">
      <c r="A2211">
        <v>271270</v>
      </c>
      <c r="B2211">
        <v>208591</v>
      </c>
      <c r="C2211" t="s">
        <v>4785</v>
      </c>
      <c r="D2211" s="22">
        <v>1386</v>
      </c>
      <c r="E2211" s="17">
        <v>42150</v>
      </c>
      <c r="F2211" s="18">
        <v>0.47075231481481478</v>
      </c>
      <c r="G2211" s="22">
        <v>0</v>
      </c>
      <c r="H2211">
        <v>0</v>
      </c>
      <c r="I2211" s="19" t="e">
        <f>I2210 + (D2211-G2211)</f>
        <v>#VALUE!</v>
      </c>
      <c r="L2211">
        <v>208591</v>
      </c>
      <c r="N2211">
        <v>24</v>
      </c>
      <c r="O2211" t="s">
        <v>68</v>
      </c>
      <c r="P2211">
        <v>1</v>
      </c>
      <c r="R2211">
        <v>6</v>
      </c>
      <c r="S2211" s="17">
        <v>42151</v>
      </c>
      <c r="T2211" s="17">
        <v>42151</v>
      </c>
      <c r="W2211">
        <v>2015</v>
      </c>
      <c r="X2211">
        <v>24</v>
      </c>
      <c r="AC2211" t="s">
        <v>45</v>
      </c>
      <c r="AD2211" t="s">
        <v>301</v>
      </c>
      <c r="AE2211" t="s">
        <v>46</v>
      </c>
      <c r="AG2211">
        <v>55</v>
      </c>
      <c r="AH2211">
        <v>11</v>
      </c>
      <c r="AI2211" t="s">
        <v>47</v>
      </c>
      <c r="AK2211">
        <v>0</v>
      </c>
      <c r="AM2211">
        <v>0</v>
      </c>
      <c r="AP2211" t="s">
        <v>4767</v>
      </c>
    </row>
    <row r="2212" spans="1:42" customFormat="1">
      <c r="A2212">
        <v>271275</v>
      </c>
      <c r="B2212">
        <v>207693</v>
      </c>
      <c r="C2212" t="s">
        <v>4790</v>
      </c>
      <c r="D2212" s="22">
        <v>1094.95</v>
      </c>
      <c r="E2212" s="17">
        <v>42150</v>
      </c>
      <c r="F2212" s="18">
        <v>0.47675925925925927</v>
      </c>
      <c r="G2212" s="22">
        <v>0</v>
      </c>
      <c r="H2212">
        <v>0</v>
      </c>
      <c r="I2212" s="19" t="e">
        <f>I2211 + (D2212-G2212)</f>
        <v>#VALUE!</v>
      </c>
      <c r="L2212">
        <v>207693</v>
      </c>
      <c r="N2212">
        <v>24</v>
      </c>
      <c r="O2212" t="s">
        <v>68</v>
      </c>
      <c r="P2212">
        <v>2</v>
      </c>
      <c r="R2212">
        <v>6</v>
      </c>
      <c r="S2212" s="17">
        <v>42151</v>
      </c>
      <c r="T2212" s="17">
        <v>42151</v>
      </c>
      <c r="W2212">
        <v>2015</v>
      </c>
      <c r="X2212">
        <v>24</v>
      </c>
      <c r="AC2212" t="s">
        <v>45</v>
      </c>
      <c r="AD2212" t="s">
        <v>301</v>
      </c>
      <c r="AE2212" t="s">
        <v>46</v>
      </c>
      <c r="AG2212">
        <v>55</v>
      </c>
      <c r="AH2212">
        <v>11</v>
      </c>
      <c r="AI2212" t="s">
        <v>47</v>
      </c>
      <c r="AK2212">
        <v>0</v>
      </c>
      <c r="AM2212">
        <v>0</v>
      </c>
      <c r="AP2212" t="s">
        <v>4767</v>
      </c>
    </row>
    <row r="2213" spans="1:42" customFormat="1">
      <c r="A2213">
        <v>271278</v>
      </c>
      <c r="B2213">
        <v>207696</v>
      </c>
      <c r="C2213" t="s">
        <v>4791</v>
      </c>
      <c r="D2213" s="22">
        <v>1386</v>
      </c>
      <c r="E2213" s="17">
        <v>42150</v>
      </c>
      <c r="F2213" s="18">
        <v>0.47677083333333337</v>
      </c>
      <c r="G2213" s="22">
        <v>0</v>
      </c>
      <c r="H2213">
        <v>0</v>
      </c>
      <c r="I2213" s="19" t="e">
        <f>I2212 + (D2213-G2213)</f>
        <v>#VALUE!</v>
      </c>
      <c r="L2213">
        <v>207696</v>
      </c>
      <c r="N2213">
        <v>24</v>
      </c>
      <c r="O2213" t="s">
        <v>68</v>
      </c>
      <c r="P2213">
        <v>2</v>
      </c>
      <c r="R2213">
        <v>6</v>
      </c>
      <c r="S2213" s="17">
        <v>42151</v>
      </c>
      <c r="T2213" s="17">
        <v>42151</v>
      </c>
      <c r="W2213">
        <v>2015</v>
      </c>
      <c r="X2213">
        <v>24</v>
      </c>
      <c r="AC2213" t="s">
        <v>45</v>
      </c>
      <c r="AD2213" t="s">
        <v>301</v>
      </c>
      <c r="AE2213" t="s">
        <v>46</v>
      </c>
      <c r="AG2213">
        <v>55</v>
      </c>
      <c r="AH2213">
        <v>11</v>
      </c>
      <c r="AI2213" t="s">
        <v>47</v>
      </c>
      <c r="AK2213">
        <v>0</v>
      </c>
      <c r="AM2213">
        <v>0</v>
      </c>
      <c r="AP2213" t="s">
        <v>4767</v>
      </c>
    </row>
    <row r="2214" spans="1:42" customFormat="1">
      <c r="A2214">
        <v>271276</v>
      </c>
      <c r="B2214">
        <v>207694</v>
      </c>
      <c r="C2214" t="s">
        <v>4792</v>
      </c>
      <c r="D2214" s="22">
        <v>1386</v>
      </c>
      <c r="E2214" s="17">
        <v>42150</v>
      </c>
      <c r="F2214" s="18">
        <v>0.47677083333333337</v>
      </c>
      <c r="G2214" s="22">
        <v>0</v>
      </c>
      <c r="H2214">
        <v>0</v>
      </c>
      <c r="I2214" s="19" t="e">
        <f>I2213 + (D2214-G2214)</f>
        <v>#VALUE!</v>
      </c>
      <c r="L2214">
        <v>207694</v>
      </c>
      <c r="N2214">
        <v>24</v>
      </c>
      <c r="O2214" t="s">
        <v>68</v>
      </c>
      <c r="P2214">
        <v>2</v>
      </c>
      <c r="R2214">
        <v>6</v>
      </c>
      <c r="S2214" s="17">
        <v>42151</v>
      </c>
      <c r="T2214" s="17">
        <v>42151</v>
      </c>
      <c r="W2214">
        <v>2015</v>
      </c>
      <c r="X2214">
        <v>24</v>
      </c>
      <c r="AC2214" t="s">
        <v>45</v>
      </c>
      <c r="AD2214" t="s">
        <v>301</v>
      </c>
      <c r="AE2214" t="s">
        <v>46</v>
      </c>
      <c r="AG2214">
        <v>55</v>
      </c>
      <c r="AH2214">
        <v>11</v>
      </c>
      <c r="AI2214" t="s">
        <v>47</v>
      </c>
      <c r="AK2214">
        <v>0</v>
      </c>
      <c r="AM2214">
        <v>0</v>
      </c>
      <c r="AP2214" t="s">
        <v>4767</v>
      </c>
    </row>
    <row r="2215" spans="1:42" customFormat="1">
      <c r="A2215">
        <v>271277</v>
      </c>
      <c r="B2215">
        <v>207695</v>
      </c>
      <c r="C2215" t="s">
        <v>4793</v>
      </c>
      <c r="D2215" s="22">
        <v>1386</v>
      </c>
      <c r="E2215" s="17">
        <v>42150</v>
      </c>
      <c r="F2215" s="18">
        <v>0.47677083333333337</v>
      </c>
      <c r="G2215" s="22">
        <v>0</v>
      </c>
      <c r="H2215">
        <v>0</v>
      </c>
      <c r="I2215" s="19" t="e">
        <f>I2214 + (D2215-G2215)</f>
        <v>#VALUE!</v>
      </c>
      <c r="L2215">
        <v>207695</v>
      </c>
      <c r="N2215">
        <v>24</v>
      </c>
      <c r="O2215" t="s">
        <v>68</v>
      </c>
      <c r="P2215">
        <v>2</v>
      </c>
      <c r="R2215">
        <v>6</v>
      </c>
      <c r="S2215" s="17">
        <v>42151</v>
      </c>
      <c r="T2215" s="17">
        <v>42151</v>
      </c>
      <c r="W2215">
        <v>2015</v>
      </c>
      <c r="X2215">
        <v>24</v>
      </c>
      <c r="AC2215" t="s">
        <v>45</v>
      </c>
      <c r="AD2215" t="s">
        <v>301</v>
      </c>
      <c r="AE2215" t="s">
        <v>46</v>
      </c>
      <c r="AG2215">
        <v>55</v>
      </c>
      <c r="AH2215">
        <v>11</v>
      </c>
      <c r="AI2215" t="s">
        <v>47</v>
      </c>
      <c r="AK2215">
        <v>0</v>
      </c>
      <c r="AM2215">
        <v>0</v>
      </c>
      <c r="AP2215" t="s">
        <v>4767</v>
      </c>
    </row>
    <row r="2216" spans="1:42" customFormat="1">
      <c r="A2216">
        <v>271279</v>
      </c>
      <c r="B2216">
        <v>207697</v>
      </c>
      <c r="C2216" t="s">
        <v>4794</v>
      </c>
      <c r="D2216" s="22">
        <v>1386</v>
      </c>
      <c r="E2216" s="17">
        <v>42150</v>
      </c>
      <c r="F2216" s="18">
        <v>0.4767824074074074</v>
      </c>
      <c r="G2216" s="22">
        <v>0</v>
      </c>
      <c r="H2216">
        <v>0</v>
      </c>
      <c r="I2216" s="19" t="e">
        <f>I2215 + (D2216-G2216)</f>
        <v>#VALUE!</v>
      </c>
      <c r="L2216">
        <v>207697</v>
      </c>
      <c r="N2216">
        <v>24</v>
      </c>
      <c r="O2216" t="s">
        <v>68</v>
      </c>
      <c r="P2216">
        <v>2</v>
      </c>
      <c r="R2216">
        <v>6</v>
      </c>
      <c r="S2216" s="17">
        <v>42151</v>
      </c>
      <c r="T2216" s="17">
        <v>42151</v>
      </c>
      <c r="W2216">
        <v>2015</v>
      </c>
      <c r="X2216">
        <v>24</v>
      </c>
      <c r="AC2216" t="s">
        <v>45</v>
      </c>
      <c r="AD2216" t="s">
        <v>301</v>
      </c>
      <c r="AE2216" t="s">
        <v>46</v>
      </c>
      <c r="AG2216">
        <v>55</v>
      </c>
      <c r="AH2216">
        <v>11</v>
      </c>
      <c r="AI2216" t="s">
        <v>47</v>
      </c>
      <c r="AK2216">
        <v>0</v>
      </c>
      <c r="AM2216">
        <v>0</v>
      </c>
      <c r="AP2216" t="s">
        <v>4767</v>
      </c>
    </row>
    <row r="2217" spans="1:42" customFormat="1">
      <c r="A2217">
        <v>271280</v>
      </c>
      <c r="B2217">
        <v>207698</v>
      </c>
      <c r="C2217" t="s">
        <v>4795</v>
      </c>
      <c r="D2217" s="22">
        <v>1386</v>
      </c>
      <c r="E2217" s="17">
        <v>42150</v>
      </c>
      <c r="F2217" s="18">
        <v>0.4767824074074074</v>
      </c>
      <c r="G2217" s="22">
        <v>0</v>
      </c>
      <c r="H2217">
        <v>0</v>
      </c>
      <c r="I2217" s="19" t="e">
        <f>I2216 + (D2217-G2217)</f>
        <v>#VALUE!</v>
      </c>
      <c r="L2217">
        <v>207698</v>
      </c>
      <c r="N2217">
        <v>24</v>
      </c>
      <c r="O2217" t="s">
        <v>68</v>
      </c>
      <c r="P2217">
        <v>2</v>
      </c>
      <c r="R2217">
        <v>6</v>
      </c>
      <c r="S2217" s="17">
        <v>42151</v>
      </c>
      <c r="T2217" s="17">
        <v>42151</v>
      </c>
      <c r="W2217">
        <v>2015</v>
      </c>
      <c r="X2217">
        <v>24</v>
      </c>
      <c r="AC2217" t="s">
        <v>45</v>
      </c>
      <c r="AD2217" t="s">
        <v>301</v>
      </c>
      <c r="AE2217" t="s">
        <v>46</v>
      </c>
      <c r="AG2217">
        <v>55</v>
      </c>
      <c r="AH2217">
        <v>11</v>
      </c>
      <c r="AI2217" t="s">
        <v>47</v>
      </c>
      <c r="AK2217">
        <v>0</v>
      </c>
      <c r="AM2217">
        <v>0</v>
      </c>
      <c r="AP2217" t="s">
        <v>4767</v>
      </c>
    </row>
    <row r="2218" spans="1:42" customFormat="1">
      <c r="A2218">
        <v>271284</v>
      </c>
      <c r="B2218">
        <v>208980</v>
      </c>
      <c r="C2218" t="s">
        <v>4799</v>
      </c>
      <c r="D2218" s="22">
        <v>1386</v>
      </c>
      <c r="E2218" s="17">
        <v>42150</v>
      </c>
      <c r="F2218" s="18">
        <v>0.47817129629629629</v>
      </c>
      <c r="G2218" s="22">
        <v>0</v>
      </c>
      <c r="H2218">
        <v>0</v>
      </c>
      <c r="I2218" s="19" t="e">
        <f>I2217 + (D2218-G2218)</f>
        <v>#VALUE!</v>
      </c>
      <c r="L2218">
        <v>208980</v>
      </c>
      <c r="N2218">
        <v>24</v>
      </c>
      <c r="O2218" t="s">
        <v>68</v>
      </c>
      <c r="P2218">
        <v>1</v>
      </c>
      <c r="R2218">
        <v>6</v>
      </c>
      <c r="S2218" s="17">
        <v>42151</v>
      </c>
      <c r="T2218" s="17">
        <v>42151</v>
      </c>
      <c r="W2218">
        <v>2015</v>
      </c>
      <c r="X2218">
        <v>24</v>
      </c>
      <c r="AC2218" t="s">
        <v>45</v>
      </c>
      <c r="AD2218" t="s">
        <v>301</v>
      </c>
      <c r="AE2218" t="s">
        <v>46</v>
      </c>
      <c r="AG2218">
        <v>55</v>
      </c>
      <c r="AH2218">
        <v>11</v>
      </c>
      <c r="AI2218" t="s">
        <v>47</v>
      </c>
      <c r="AK2218">
        <v>0</v>
      </c>
      <c r="AM2218">
        <v>0</v>
      </c>
      <c r="AP2218" t="s">
        <v>4767</v>
      </c>
    </row>
    <row r="2219" spans="1:42" customFormat="1">
      <c r="A2219">
        <v>271286</v>
      </c>
      <c r="B2219">
        <v>208981</v>
      </c>
      <c r="C2219" t="s">
        <v>4801</v>
      </c>
      <c r="D2219" s="22">
        <v>1386</v>
      </c>
      <c r="E2219" s="17">
        <v>42150</v>
      </c>
      <c r="F2219" s="18">
        <v>0.47957175925925927</v>
      </c>
      <c r="G2219" s="22">
        <v>0</v>
      </c>
      <c r="H2219">
        <v>0</v>
      </c>
      <c r="I2219" s="19" t="e">
        <f>I2218 + (D2219-G2219)</f>
        <v>#VALUE!</v>
      </c>
      <c r="L2219">
        <v>208981</v>
      </c>
      <c r="N2219">
        <v>24</v>
      </c>
      <c r="O2219" t="s">
        <v>68</v>
      </c>
      <c r="P2219">
        <v>1</v>
      </c>
      <c r="R2219">
        <v>6</v>
      </c>
      <c r="S2219" s="17">
        <v>42151</v>
      </c>
      <c r="T2219" s="17">
        <v>42151</v>
      </c>
      <c r="W2219">
        <v>2015</v>
      </c>
      <c r="X2219">
        <v>24</v>
      </c>
      <c r="AC2219" t="s">
        <v>45</v>
      </c>
      <c r="AD2219" t="s">
        <v>301</v>
      </c>
      <c r="AE2219" t="s">
        <v>46</v>
      </c>
      <c r="AG2219">
        <v>55</v>
      </c>
      <c r="AH2219">
        <v>11</v>
      </c>
      <c r="AI2219" t="s">
        <v>47</v>
      </c>
      <c r="AK2219">
        <v>0</v>
      </c>
      <c r="AM2219">
        <v>0</v>
      </c>
      <c r="AP2219" t="s">
        <v>4767</v>
      </c>
    </row>
    <row r="2220" spans="1:42" customFormat="1">
      <c r="A2220">
        <v>271304</v>
      </c>
      <c r="B2220">
        <v>215628</v>
      </c>
      <c r="C2220" t="s">
        <v>4827</v>
      </c>
      <c r="D2220" s="22">
        <v>1386</v>
      </c>
      <c r="E2220" s="17">
        <v>42150</v>
      </c>
      <c r="F2220" s="18">
        <v>0.58663194444444444</v>
      </c>
      <c r="G2220" s="22">
        <v>0</v>
      </c>
      <c r="H2220">
        <v>0</v>
      </c>
      <c r="I2220" s="19" t="e">
        <f>I2219 + (D2220-G2220)</f>
        <v>#VALUE!</v>
      </c>
      <c r="L2220">
        <v>215628</v>
      </c>
      <c r="N2220">
        <v>7</v>
      </c>
      <c r="O2220" t="s">
        <v>44</v>
      </c>
      <c r="P2220">
        <v>1</v>
      </c>
      <c r="R2220">
        <v>6</v>
      </c>
      <c r="S2220" s="17">
        <v>42151</v>
      </c>
      <c r="T2220" s="17">
        <v>42151</v>
      </c>
      <c r="W2220">
        <v>2015</v>
      </c>
      <c r="X2220">
        <v>7</v>
      </c>
      <c r="AC2220" t="s">
        <v>45</v>
      </c>
      <c r="AD2220" t="s">
        <v>301</v>
      </c>
      <c r="AE2220" t="s">
        <v>46</v>
      </c>
      <c r="AG2220">
        <v>55</v>
      </c>
      <c r="AH2220">
        <v>11</v>
      </c>
      <c r="AI2220" t="s">
        <v>47</v>
      </c>
      <c r="AK2220">
        <v>0</v>
      </c>
      <c r="AM2220">
        <v>0</v>
      </c>
      <c r="AP2220" t="s">
        <v>4767</v>
      </c>
    </row>
    <row r="2221" spans="1:42" customFormat="1">
      <c r="A2221">
        <v>271305</v>
      </c>
      <c r="B2221">
        <v>215641</v>
      </c>
      <c r="C2221" t="s">
        <v>4830</v>
      </c>
      <c r="D2221" s="22">
        <v>1000</v>
      </c>
      <c r="E2221" s="17">
        <v>42150</v>
      </c>
      <c r="F2221" s="18">
        <v>0.58697916666666672</v>
      </c>
      <c r="G2221" s="22">
        <v>0</v>
      </c>
      <c r="H2221">
        <v>0</v>
      </c>
      <c r="I2221" s="19" t="e">
        <f>I2220 + (D2221-G2221)</f>
        <v>#VALUE!</v>
      </c>
      <c r="L2221">
        <v>215641</v>
      </c>
      <c r="N2221">
        <v>7</v>
      </c>
      <c r="O2221" t="s">
        <v>44</v>
      </c>
      <c r="P2221">
        <v>1</v>
      </c>
      <c r="R2221">
        <v>6</v>
      </c>
      <c r="S2221" s="17">
        <v>42151</v>
      </c>
      <c r="T2221" s="17">
        <v>42151</v>
      </c>
      <c r="W2221">
        <v>2015</v>
      </c>
      <c r="X2221">
        <v>7</v>
      </c>
      <c r="AC2221" t="s">
        <v>45</v>
      </c>
      <c r="AD2221" t="s">
        <v>301</v>
      </c>
      <c r="AE2221" t="s">
        <v>46</v>
      </c>
      <c r="AG2221">
        <v>55</v>
      </c>
      <c r="AH2221">
        <v>11</v>
      </c>
      <c r="AI2221" t="s">
        <v>47</v>
      </c>
      <c r="AK2221">
        <v>0</v>
      </c>
      <c r="AM2221">
        <v>0</v>
      </c>
      <c r="AP2221" t="s">
        <v>4767</v>
      </c>
    </row>
    <row r="2222" spans="1:42" customFormat="1">
      <c r="A2222">
        <v>271313</v>
      </c>
      <c r="B2222">
        <v>215630</v>
      </c>
      <c r="C2222" t="s">
        <v>4842</v>
      </c>
      <c r="D2222" s="22">
        <v>1386</v>
      </c>
      <c r="E2222" s="17">
        <v>42150</v>
      </c>
      <c r="F2222" s="18">
        <v>0.59565972222222219</v>
      </c>
      <c r="G2222" s="22">
        <v>0</v>
      </c>
      <c r="H2222">
        <v>0</v>
      </c>
      <c r="I2222" s="19" t="e">
        <f>I2221 + (D2222-G2222)</f>
        <v>#VALUE!</v>
      </c>
      <c r="L2222">
        <v>215630</v>
      </c>
      <c r="N2222">
        <v>7</v>
      </c>
      <c r="O2222" t="s">
        <v>44</v>
      </c>
      <c r="P2222">
        <v>1</v>
      </c>
      <c r="R2222">
        <v>6</v>
      </c>
      <c r="S2222" s="17">
        <v>42151</v>
      </c>
      <c r="T2222" s="17">
        <v>42151</v>
      </c>
      <c r="W2222">
        <v>2015</v>
      </c>
      <c r="X2222">
        <v>7</v>
      </c>
      <c r="AC2222" t="s">
        <v>45</v>
      </c>
      <c r="AD2222" t="s">
        <v>301</v>
      </c>
      <c r="AE2222" t="s">
        <v>46</v>
      </c>
      <c r="AG2222">
        <v>55</v>
      </c>
      <c r="AH2222">
        <v>11</v>
      </c>
      <c r="AI2222" t="s">
        <v>47</v>
      </c>
      <c r="AK2222">
        <v>0</v>
      </c>
      <c r="AM2222">
        <v>0</v>
      </c>
      <c r="AP2222" t="s">
        <v>4767</v>
      </c>
    </row>
    <row r="2223" spans="1:42" customFormat="1">
      <c r="A2223">
        <v>271316</v>
      </c>
      <c r="B2223">
        <v>215382</v>
      </c>
      <c r="C2223" t="s">
        <v>4845</v>
      </c>
      <c r="D2223" s="22">
        <v>693</v>
      </c>
      <c r="E2223" s="17">
        <v>42150</v>
      </c>
      <c r="F2223" s="18">
        <v>0.59773148148148147</v>
      </c>
      <c r="G2223" s="22">
        <v>0</v>
      </c>
      <c r="H2223">
        <v>0</v>
      </c>
      <c r="I2223" s="19" t="e">
        <f>I2222 + (D2223-G2223)</f>
        <v>#VALUE!</v>
      </c>
      <c r="L2223">
        <v>215382</v>
      </c>
      <c r="N2223">
        <v>7</v>
      </c>
      <c r="O2223" t="s">
        <v>44</v>
      </c>
      <c r="P2223">
        <v>2</v>
      </c>
      <c r="R2223">
        <v>6</v>
      </c>
      <c r="S2223" s="17">
        <v>42151</v>
      </c>
      <c r="T2223" s="17">
        <v>42151</v>
      </c>
      <c r="W2223">
        <v>2015</v>
      </c>
      <c r="X2223">
        <v>7</v>
      </c>
      <c r="AC2223" t="s">
        <v>45</v>
      </c>
      <c r="AD2223" t="s">
        <v>301</v>
      </c>
      <c r="AE2223" t="s">
        <v>46</v>
      </c>
      <c r="AG2223">
        <v>55</v>
      </c>
      <c r="AH2223">
        <v>11</v>
      </c>
      <c r="AI2223" t="s">
        <v>47</v>
      </c>
      <c r="AK2223">
        <v>0</v>
      </c>
      <c r="AM2223">
        <v>0</v>
      </c>
      <c r="AP2223" t="s">
        <v>4767</v>
      </c>
    </row>
    <row r="2224" spans="1:42" customFormat="1">
      <c r="A2224">
        <v>271320</v>
      </c>
      <c r="B2224">
        <v>213888</v>
      </c>
      <c r="C2224" t="s">
        <v>4865</v>
      </c>
      <c r="D2224" s="22">
        <v>1386</v>
      </c>
      <c r="E2224" s="17">
        <v>42150</v>
      </c>
      <c r="F2224" s="18">
        <v>0.64383101851851854</v>
      </c>
      <c r="G2224" s="22">
        <v>0</v>
      </c>
      <c r="H2224">
        <v>0</v>
      </c>
      <c r="I2224" s="19" t="e">
        <f>I2223 + (D2224-G2224)</f>
        <v>#VALUE!</v>
      </c>
      <c r="L2224">
        <v>213888</v>
      </c>
      <c r="N2224">
        <v>7</v>
      </c>
      <c r="O2224" t="s">
        <v>44</v>
      </c>
      <c r="P2224">
        <v>2</v>
      </c>
      <c r="R2224">
        <v>6</v>
      </c>
      <c r="S2224" s="17">
        <v>42151</v>
      </c>
      <c r="T2224" s="17">
        <v>42151</v>
      </c>
      <c r="W2224">
        <v>2015</v>
      </c>
      <c r="X2224">
        <v>7</v>
      </c>
      <c r="AC2224" t="s">
        <v>45</v>
      </c>
      <c r="AD2224" t="s">
        <v>301</v>
      </c>
      <c r="AE2224" t="s">
        <v>46</v>
      </c>
      <c r="AG2224">
        <v>55</v>
      </c>
      <c r="AH2224">
        <v>11</v>
      </c>
      <c r="AI2224" t="s">
        <v>47</v>
      </c>
      <c r="AK2224">
        <v>0</v>
      </c>
      <c r="AM2224">
        <v>0</v>
      </c>
      <c r="AP2224" t="s">
        <v>4767</v>
      </c>
    </row>
    <row r="2225" spans="1:42" customFormat="1">
      <c r="A2225">
        <v>271321</v>
      </c>
      <c r="B2225">
        <v>213008</v>
      </c>
      <c r="C2225" t="s">
        <v>4866</v>
      </c>
      <c r="D2225" s="22">
        <v>1386</v>
      </c>
      <c r="E2225" s="17">
        <v>42150</v>
      </c>
      <c r="F2225" s="18">
        <v>0.64451388888888894</v>
      </c>
      <c r="G2225" s="22">
        <v>0</v>
      </c>
      <c r="H2225">
        <v>0</v>
      </c>
      <c r="I2225" s="19" t="e">
        <f>I2224 + (D2225-G2225)</f>
        <v>#VALUE!</v>
      </c>
      <c r="L2225">
        <v>213008</v>
      </c>
      <c r="N2225">
        <v>7</v>
      </c>
      <c r="O2225" t="s">
        <v>44</v>
      </c>
      <c r="P2225">
        <v>2</v>
      </c>
      <c r="R2225">
        <v>6</v>
      </c>
      <c r="S2225" s="17">
        <v>42151</v>
      </c>
      <c r="T2225" s="17">
        <v>42151</v>
      </c>
      <c r="W2225">
        <v>2015</v>
      </c>
      <c r="X2225">
        <v>7</v>
      </c>
      <c r="AC2225" t="s">
        <v>45</v>
      </c>
      <c r="AD2225" t="s">
        <v>301</v>
      </c>
      <c r="AE2225" t="s">
        <v>46</v>
      </c>
      <c r="AG2225">
        <v>55</v>
      </c>
      <c r="AH2225">
        <v>11</v>
      </c>
      <c r="AI2225" t="s">
        <v>47</v>
      </c>
      <c r="AK2225">
        <v>0</v>
      </c>
      <c r="AM2225">
        <v>0</v>
      </c>
      <c r="AP2225" t="s">
        <v>4767</v>
      </c>
    </row>
    <row r="2226" spans="1:42" customFormat="1">
      <c r="A2226">
        <v>271322</v>
      </c>
      <c r="B2226">
        <v>208970</v>
      </c>
      <c r="C2226" t="s">
        <v>4867</v>
      </c>
      <c r="D2226" s="22">
        <v>600</v>
      </c>
      <c r="E2226" s="17">
        <v>42150</v>
      </c>
      <c r="F2226" s="18">
        <v>0.64785879629629628</v>
      </c>
      <c r="G2226" s="22">
        <v>0</v>
      </c>
      <c r="H2226">
        <v>0</v>
      </c>
      <c r="I2226" s="19" t="e">
        <f>I2225 + (D2226-G2226)</f>
        <v>#VALUE!</v>
      </c>
      <c r="L2226">
        <v>208970</v>
      </c>
      <c r="N2226">
        <v>7</v>
      </c>
      <c r="O2226" t="s">
        <v>44</v>
      </c>
      <c r="P2226">
        <v>1</v>
      </c>
      <c r="R2226">
        <v>6</v>
      </c>
      <c r="S2226" s="17">
        <v>42151</v>
      </c>
      <c r="T2226" s="17">
        <v>42151</v>
      </c>
      <c r="W2226">
        <v>2015</v>
      </c>
      <c r="X2226">
        <v>7</v>
      </c>
      <c r="AC2226" t="s">
        <v>45</v>
      </c>
      <c r="AD2226" t="s">
        <v>301</v>
      </c>
      <c r="AE2226" t="s">
        <v>46</v>
      </c>
      <c r="AG2226">
        <v>55</v>
      </c>
      <c r="AH2226">
        <v>11</v>
      </c>
      <c r="AI2226" t="s">
        <v>47</v>
      </c>
      <c r="AK2226">
        <v>0</v>
      </c>
      <c r="AM2226">
        <v>0</v>
      </c>
      <c r="AP2226" t="s">
        <v>4767</v>
      </c>
    </row>
    <row r="2227" spans="1:42" customFormat="1">
      <c r="A2227">
        <v>271323</v>
      </c>
      <c r="B2227">
        <v>209241</v>
      </c>
      <c r="C2227" t="s">
        <v>4868</v>
      </c>
      <c r="D2227" s="22">
        <v>1386</v>
      </c>
      <c r="E2227" s="17">
        <v>42150</v>
      </c>
      <c r="F2227" s="18">
        <v>0.64841435185185181</v>
      </c>
      <c r="G2227" s="22">
        <v>0</v>
      </c>
      <c r="H2227">
        <v>0</v>
      </c>
      <c r="I2227" s="19" t="e">
        <f>I2226 + (D2227-G2227)</f>
        <v>#VALUE!</v>
      </c>
      <c r="L2227">
        <v>209241</v>
      </c>
      <c r="N2227">
        <v>7</v>
      </c>
      <c r="O2227" t="s">
        <v>44</v>
      </c>
      <c r="P2227">
        <v>2</v>
      </c>
      <c r="R2227">
        <v>6</v>
      </c>
      <c r="S2227" s="17">
        <v>42151</v>
      </c>
      <c r="T2227" s="17">
        <v>42151</v>
      </c>
      <c r="W2227">
        <v>2015</v>
      </c>
      <c r="X2227">
        <v>7</v>
      </c>
      <c r="AC2227" t="s">
        <v>45</v>
      </c>
      <c r="AD2227" t="s">
        <v>301</v>
      </c>
      <c r="AE2227" t="s">
        <v>46</v>
      </c>
      <c r="AG2227">
        <v>55</v>
      </c>
      <c r="AH2227">
        <v>11</v>
      </c>
      <c r="AI2227" t="s">
        <v>47</v>
      </c>
      <c r="AK2227">
        <v>0</v>
      </c>
      <c r="AM2227">
        <v>0</v>
      </c>
      <c r="AP2227" t="s">
        <v>4767</v>
      </c>
    </row>
    <row r="2228" spans="1:42" customFormat="1">
      <c r="A2228">
        <v>271328</v>
      </c>
      <c r="B2228">
        <v>216640</v>
      </c>
      <c r="C2228" t="s">
        <v>4872</v>
      </c>
      <c r="D2228" s="22">
        <v>1386</v>
      </c>
      <c r="E2228" s="17">
        <v>42150</v>
      </c>
      <c r="F2228" s="18">
        <v>0.6529166666666667</v>
      </c>
      <c r="G2228" s="22">
        <v>0</v>
      </c>
      <c r="H2228">
        <v>0</v>
      </c>
      <c r="I2228" s="19" t="e">
        <f>I2227 + (D2228-G2228)</f>
        <v>#VALUE!</v>
      </c>
      <c r="L2228">
        <v>216640</v>
      </c>
      <c r="N2228">
        <v>7</v>
      </c>
      <c r="O2228" t="s">
        <v>44</v>
      </c>
      <c r="P2228">
        <v>2</v>
      </c>
      <c r="R2228">
        <v>6</v>
      </c>
      <c r="S2228" s="17">
        <v>42151</v>
      </c>
      <c r="T2228" s="17">
        <v>42151</v>
      </c>
      <c r="W2228">
        <v>2015</v>
      </c>
      <c r="X2228">
        <v>7</v>
      </c>
      <c r="AC2228" t="s">
        <v>45</v>
      </c>
      <c r="AD2228" t="s">
        <v>301</v>
      </c>
      <c r="AE2228" t="s">
        <v>46</v>
      </c>
      <c r="AG2228">
        <v>55</v>
      </c>
      <c r="AH2228">
        <v>11</v>
      </c>
      <c r="AI2228" t="s">
        <v>47</v>
      </c>
      <c r="AK2228">
        <v>0</v>
      </c>
      <c r="AM2228">
        <v>0</v>
      </c>
      <c r="AP2228" t="s">
        <v>4767</v>
      </c>
    </row>
    <row r="2229" spans="1:42" customFormat="1">
      <c r="A2229">
        <v>271336</v>
      </c>
      <c r="B2229">
        <v>215629</v>
      </c>
      <c r="C2229" t="s">
        <v>4876</v>
      </c>
      <c r="D2229" s="22">
        <v>1386</v>
      </c>
      <c r="E2229" s="17">
        <v>42150</v>
      </c>
      <c r="F2229" s="18">
        <v>0.6560300925925926</v>
      </c>
      <c r="G2229" s="22">
        <v>0</v>
      </c>
      <c r="H2229">
        <v>0</v>
      </c>
      <c r="I2229" s="19" t="e">
        <f>I2228 + (D2229-G2229)</f>
        <v>#VALUE!</v>
      </c>
      <c r="L2229">
        <v>215629</v>
      </c>
      <c r="N2229">
        <v>7</v>
      </c>
      <c r="O2229" t="s">
        <v>44</v>
      </c>
      <c r="P2229">
        <v>1</v>
      </c>
      <c r="R2229">
        <v>6</v>
      </c>
      <c r="S2229" s="17">
        <v>42151</v>
      </c>
      <c r="T2229" s="17">
        <v>42151</v>
      </c>
      <c r="W2229">
        <v>2015</v>
      </c>
      <c r="X2229">
        <v>7</v>
      </c>
      <c r="AC2229" t="s">
        <v>45</v>
      </c>
      <c r="AD2229" t="s">
        <v>301</v>
      </c>
      <c r="AE2229" t="s">
        <v>46</v>
      </c>
      <c r="AG2229">
        <v>55</v>
      </c>
      <c r="AH2229">
        <v>11</v>
      </c>
      <c r="AI2229" t="s">
        <v>47</v>
      </c>
      <c r="AK2229">
        <v>0</v>
      </c>
      <c r="AM2229">
        <v>0</v>
      </c>
      <c r="AP2229" t="s">
        <v>4767</v>
      </c>
    </row>
    <row r="2230" spans="1:42" customFormat="1">
      <c r="A2230">
        <v>271337</v>
      </c>
      <c r="B2230">
        <v>215642</v>
      </c>
      <c r="C2230" t="s">
        <v>4877</v>
      </c>
      <c r="D2230" s="22">
        <v>1000</v>
      </c>
      <c r="E2230" s="17">
        <v>42150</v>
      </c>
      <c r="F2230" s="18">
        <v>0.65638888888888891</v>
      </c>
      <c r="G2230" s="22">
        <v>0</v>
      </c>
      <c r="H2230">
        <v>0</v>
      </c>
      <c r="I2230" s="19" t="e">
        <f>I2229 + (D2230-G2230)</f>
        <v>#VALUE!</v>
      </c>
      <c r="L2230">
        <v>215642</v>
      </c>
      <c r="N2230">
        <v>7</v>
      </c>
      <c r="O2230" t="s">
        <v>44</v>
      </c>
      <c r="P2230">
        <v>1</v>
      </c>
      <c r="R2230">
        <v>6</v>
      </c>
      <c r="S2230" s="17">
        <v>42151</v>
      </c>
      <c r="T2230" s="17">
        <v>42151</v>
      </c>
      <c r="W2230">
        <v>2015</v>
      </c>
      <c r="X2230">
        <v>7</v>
      </c>
      <c r="AC2230" t="s">
        <v>45</v>
      </c>
      <c r="AD2230" t="s">
        <v>301</v>
      </c>
      <c r="AE2230" t="s">
        <v>46</v>
      </c>
      <c r="AG2230">
        <v>55</v>
      </c>
      <c r="AH2230">
        <v>11</v>
      </c>
      <c r="AI2230" t="s">
        <v>47</v>
      </c>
      <c r="AK2230">
        <v>0</v>
      </c>
      <c r="AM2230">
        <v>0</v>
      </c>
      <c r="AP2230" t="s">
        <v>4767</v>
      </c>
    </row>
    <row r="2231" spans="1:42" customFormat="1">
      <c r="A2231">
        <v>271339</v>
      </c>
      <c r="B2231">
        <v>209033</v>
      </c>
      <c r="C2231" t="s">
        <v>4878</v>
      </c>
      <c r="D2231" s="22">
        <v>1386</v>
      </c>
      <c r="E2231" s="17">
        <v>42150</v>
      </c>
      <c r="F2231" s="18">
        <v>0.65682870370370372</v>
      </c>
      <c r="G2231" s="22">
        <v>0</v>
      </c>
      <c r="H2231">
        <v>0</v>
      </c>
      <c r="I2231" s="19" t="e">
        <f>I2230 + (D2231-G2231)</f>
        <v>#VALUE!</v>
      </c>
      <c r="L2231">
        <v>209033</v>
      </c>
      <c r="N2231">
        <v>7</v>
      </c>
      <c r="O2231" t="s">
        <v>44</v>
      </c>
      <c r="P2231">
        <v>1</v>
      </c>
      <c r="R2231">
        <v>6</v>
      </c>
      <c r="S2231" s="17">
        <v>42151</v>
      </c>
      <c r="T2231" s="17">
        <v>42151</v>
      </c>
      <c r="W2231">
        <v>2015</v>
      </c>
      <c r="X2231">
        <v>7</v>
      </c>
      <c r="AC2231" t="s">
        <v>45</v>
      </c>
      <c r="AD2231" t="s">
        <v>301</v>
      </c>
      <c r="AE2231" t="s">
        <v>46</v>
      </c>
      <c r="AG2231">
        <v>55</v>
      </c>
      <c r="AH2231">
        <v>11</v>
      </c>
      <c r="AI2231" t="s">
        <v>47</v>
      </c>
      <c r="AK2231">
        <v>0</v>
      </c>
      <c r="AM2231">
        <v>0</v>
      </c>
      <c r="AP2231" t="s">
        <v>4767</v>
      </c>
    </row>
    <row r="2232" spans="1:42" customFormat="1">
      <c r="A2232">
        <v>271351</v>
      </c>
      <c r="B2232">
        <v>208969</v>
      </c>
      <c r="C2232" t="s">
        <v>4890</v>
      </c>
      <c r="D2232" s="22">
        <v>600</v>
      </c>
      <c r="E2232" s="17">
        <v>42150</v>
      </c>
      <c r="F2232" s="18">
        <v>0.66753472222222221</v>
      </c>
      <c r="G2232" s="22">
        <v>0</v>
      </c>
      <c r="H2232">
        <v>0</v>
      </c>
      <c r="I2232" s="19" t="e">
        <f>I2231 + (D2232-G2232)</f>
        <v>#VALUE!</v>
      </c>
      <c r="L2232">
        <v>208969</v>
      </c>
      <c r="N2232">
        <v>7</v>
      </c>
      <c r="O2232" t="s">
        <v>44</v>
      </c>
      <c r="P2232">
        <v>1</v>
      </c>
      <c r="R2232">
        <v>6</v>
      </c>
      <c r="S2232" s="17">
        <v>42151</v>
      </c>
      <c r="T2232" s="17">
        <v>42151</v>
      </c>
      <c r="W2232">
        <v>2015</v>
      </c>
      <c r="X2232">
        <v>7</v>
      </c>
      <c r="AC2232" t="s">
        <v>45</v>
      </c>
      <c r="AD2232" t="s">
        <v>301</v>
      </c>
      <c r="AE2232" t="s">
        <v>46</v>
      </c>
      <c r="AG2232">
        <v>55</v>
      </c>
      <c r="AH2232">
        <v>11</v>
      </c>
      <c r="AI2232" t="s">
        <v>47</v>
      </c>
      <c r="AK2232">
        <v>0</v>
      </c>
      <c r="AM2232">
        <v>0</v>
      </c>
      <c r="AP2232" t="s">
        <v>4767</v>
      </c>
    </row>
    <row r="2233" spans="1:42" customFormat="1">
      <c r="A2233">
        <v>271360</v>
      </c>
      <c r="B2233">
        <v>213007</v>
      </c>
      <c r="C2233" t="s">
        <v>4903</v>
      </c>
      <c r="D2233" s="22">
        <v>1386</v>
      </c>
      <c r="E2233" s="17">
        <v>42150</v>
      </c>
      <c r="F2233" s="18">
        <v>0.67228009259259258</v>
      </c>
      <c r="G2233" s="22">
        <v>0</v>
      </c>
      <c r="H2233">
        <v>0</v>
      </c>
      <c r="I2233" s="19" t="e">
        <f>I2232 + (D2233-G2233)</f>
        <v>#VALUE!</v>
      </c>
      <c r="L2233">
        <v>213007</v>
      </c>
      <c r="N2233">
        <v>7</v>
      </c>
      <c r="O2233" t="s">
        <v>44</v>
      </c>
      <c r="P2233">
        <v>2</v>
      </c>
      <c r="R2233">
        <v>6</v>
      </c>
      <c r="S2233" s="17">
        <v>42151</v>
      </c>
      <c r="T2233" s="17">
        <v>42151</v>
      </c>
      <c r="W2233">
        <v>2015</v>
      </c>
      <c r="X2233">
        <v>7</v>
      </c>
      <c r="AC2233" t="s">
        <v>45</v>
      </c>
      <c r="AD2233" t="s">
        <v>301</v>
      </c>
      <c r="AE2233" t="s">
        <v>46</v>
      </c>
      <c r="AG2233">
        <v>55</v>
      </c>
      <c r="AH2233">
        <v>11</v>
      </c>
      <c r="AI2233" t="s">
        <v>47</v>
      </c>
      <c r="AK2233">
        <v>0</v>
      </c>
      <c r="AM2233">
        <v>0</v>
      </c>
      <c r="AP2233" t="s">
        <v>4767</v>
      </c>
    </row>
    <row r="2234" spans="1:42" customFormat="1">
      <c r="A2234">
        <v>271364</v>
      </c>
      <c r="B2234">
        <v>213887</v>
      </c>
      <c r="C2234" t="s">
        <v>4907</v>
      </c>
      <c r="D2234" s="22">
        <v>1386</v>
      </c>
      <c r="E2234" s="17">
        <v>42150</v>
      </c>
      <c r="F2234" s="18">
        <v>0.67517361111111107</v>
      </c>
      <c r="G2234" s="22">
        <v>0</v>
      </c>
      <c r="H2234">
        <v>0</v>
      </c>
      <c r="I2234" s="19" t="e">
        <f>I2233 + (D2234-G2234)</f>
        <v>#VALUE!</v>
      </c>
      <c r="L2234">
        <v>213887</v>
      </c>
      <c r="N2234">
        <v>7</v>
      </c>
      <c r="O2234" t="s">
        <v>44</v>
      </c>
      <c r="P2234">
        <v>2</v>
      </c>
      <c r="R2234">
        <v>6</v>
      </c>
      <c r="S2234" s="17">
        <v>42151</v>
      </c>
      <c r="T2234" s="17">
        <v>42151</v>
      </c>
      <c r="W2234">
        <v>2015</v>
      </c>
      <c r="X2234">
        <v>7</v>
      </c>
      <c r="AC2234" t="s">
        <v>45</v>
      </c>
      <c r="AD2234" t="s">
        <v>301</v>
      </c>
      <c r="AE2234" t="s">
        <v>46</v>
      </c>
      <c r="AG2234">
        <v>55</v>
      </c>
      <c r="AH2234">
        <v>11</v>
      </c>
      <c r="AI2234" t="s">
        <v>47</v>
      </c>
      <c r="AK2234">
        <v>0</v>
      </c>
      <c r="AM2234">
        <v>0</v>
      </c>
      <c r="AP2234" t="s">
        <v>4767</v>
      </c>
    </row>
    <row r="2235" spans="1:42" customFormat="1">
      <c r="A2235">
        <v>271365</v>
      </c>
      <c r="B2235">
        <v>208997</v>
      </c>
      <c r="C2235" t="s">
        <v>4908</v>
      </c>
      <c r="D2235" s="22">
        <v>1386</v>
      </c>
      <c r="E2235" s="17">
        <v>42150</v>
      </c>
      <c r="F2235" s="18">
        <v>0.67555555555555558</v>
      </c>
      <c r="G2235" s="22">
        <v>0</v>
      </c>
      <c r="H2235">
        <v>0</v>
      </c>
      <c r="I2235" s="19" t="e">
        <f>I2234 + (D2235-G2235)</f>
        <v>#VALUE!</v>
      </c>
      <c r="L2235">
        <v>208997</v>
      </c>
      <c r="N2235">
        <v>7</v>
      </c>
      <c r="O2235" t="s">
        <v>44</v>
      </c>
      <c r="P2235">
        <v>2</v>
      </c>
      <c r="R2235">
        <v>6</v>
      </c>
      <c r="S2235" s="17">
        <v>42151</v>
      </c>
      <c r="T2235" s="17">
        <v>42151</v>
      </c>
      <c r="W2235">
        <v>2015</v>
      </c>
      <c r="X2235">
        <v>7</v>
      </c>
      <c r="AC2235" t="s">
        <v>45</v>
      </c>
      <c r="AD2235" t="s">
        <v>301</v>
      </c>
      <c r="AE2235" t="s">
        <v>46</v>
      </c>
      <c r="AG2235">
        <v>55</v>
      </c>
      <c r="AH2235">
        <v>11</v>
      </c>
      <c r="AI2235" t="s">
        <v>47</v>
      </c>
      <c r="AK2235">
        <v>0</v>
      </c>
      <c r="AM2235">
        <v>0</v>
      </c>
      <c r="AP2235" t="s">
        <v>4767</v>
      </c>
    </row>
    <row r="2236" spans="1:42" customFormat="1">
      <c r="A2236">
        <v>271366</v>
      </c>
      <c r="B2236">
        <v>215261</v>
      </c>
      <c r="C2236" t="s">
        <v>4909</v>
      </c>
      <c r="D2236" s="22">
        <v>1386</v>
      </c>
      <c r="E2236" s="17">
        <v>42150</v>
      </c>
      <c r="F2236" s="18">
        <v>0.67583333333333329</v>
      </c>
      <c r="G2236" s="22">
        <v>0</v>
      </c>
      <c r="H2236">
        <v>0</v>
      </c>
      <c r="I2236" s="19" t="e">
        <f>I2235 + (D2236-G2236)</f>
        <v>#VALUE!</v>
      </c>
      <c r="L2236">
        <v>215261</v>
      </c>
      <c r="N2236">
        <v>7</v>
      </c>
      <c r="O2236" t="s">
        <v>44</v>
      </c>
      <c r="P2236">
        <v>1</v>
      </c>
      <c r="R2236">
        <v>6</v>
      </c>
      <c r="S2236" s="17">
        <v>42151</v>
      </c>
      <c r="T2236" s="17">
        <v>42151</v>
      </c>
      <c r="W2236">
        <v>2015</v>
      </c>
      <c r="X2236">
        <v>7</v>
      </c>
      <c r="AC2236" t="s">
        <v>45</v>
      </c>
      <c r="AD2236" t="s">
        <v>301</v>
      </c>
      <c r="AE2236" t="s">
        <v>46</v>
      </c>
      <c r="AG2236">
        <v>55</v>
      </c>
      <c r="AH2236">
        <v>11</v>
      </c>
      <c r="AI2236" t="s">
        <v>47</v>
      </c>
      <c r="AK2236">
        <v>0</v>
      </c>
      <c r="AM2236">
        <v>0</v>
      </c>
      <c r="AP2236" t="s">
        <v>4767</v>
      </c>
    </row>
    <row r="2237" spans="1:42" customFormat="1">
      <c r="A2237">
        <v>271368</v>
      </c>
      <c r="B2237">
        <v>214613</v>
      </c>
      <c r="C2237" t="s">
        <v>4911</v>
      </c>
      <c r="D2237" s="22">
        <v>1386</v>
      </c>
      <c r="E2237" s="17">
        <v>42150</v>
      </c>
      <c r="F2237" s="18">
        <v>0.67662037037037026</v>
      </c>
      <c r="G2237" s="22">
        <v>0</v>
      </c>
      <c r="H2237">
        <v>0</v>
      </c>
      <c r="I2237" s="19" t="e">
        <f>I2236 + (D2237-G2237)</f>
        <v>#VALUE!</v>
      </c>
      <c r="L2237">
        <v>214613</v>
      </c>
      <c r="N2237">
        <v>7</v>
      </c>
      <c r="O2237" t="s">
        <v>44</v>
      </c>
      <c r="P2237">
        <v>2</v>
      </c>
      <c r="R2237">
        <v>6</v>
      </c>
      <c r="S2237" s="17">
        <v>42151</v>
      </c>
      <c r="T2237" s="17">
        <v>42151</v>
      </c>
      <c r="W2237">
        <v>2015</v>
      </c>
      <c r="X2237">
        <v>7</v>
      </c>
      <c r="AC2237" t="s">
        <v>45</v>
      </c>
      <c r="AD2237" t="s">
        <v>301</v>
      </c>
      <c r="AE2237" t="s">
        <v>46</v>
      </c>
      <c r="AG2237">
        <v>55</v>
      </c>
      <c r="AH2237">
        <v>11</v>
      </c>
      <c r="AI2237" t="s">
        <v>47</v>
      </c>
      <c r="AK2237">
        <v>0</v>
      </c>
      <c r="AM2237">
        <v>0</v>
      </c>
      <c r="AP2237" t="s">
        <v>4767</v>
      </c>
    </row>
    <row r="2238" spans="1:42" customFormat="1">
      <c r="A2238">
        <v>271371</v>
      </c>
      <c r="B2238">
        <v>214567</v>
      </c>
      <c r="C2238" t="s">
        <v>4913</v>
      </c>
      <c r="D2238" s="22">
        <v>1386</v>
      </c>
      <c r="E2238" s="17">
        <v>42150</v>
      </c>
      <c r="F2238" s="18">
        <v>0.67952546296296301</v>
      </c>
      <c r="G2238" s="22">
        <v>0</v>
      </c>
      <c r="H2238">
        <v>0</v>
      </c>
      <c r="I2238" s="19" t="e">
        <f>I2237 + (D2238-G2238)</f>
        <v>#VALUE!</v>
      </c>
      <c r="L2238">
        <v>214567</v>
      </c>
      <c r="N2238">
        <v>7</v>
      </c>
      <c r="O2238" t="s">
        <v>44</v>
      </c>
      <c r="P2238">
        <v>2</v>
      </c>
      <c r="R2238">
        <v>6</v>
      </c>
      <c r="S2238" s="17">
        <v>42151</v>
      </c>
      <c r="T2238" s="17">
        <v>42151</v>
      </c>
      <c r="W2238">
        <v>2015</v>
      </c>
      <c r="X2238">
        <v>7</v>
      </c>
      <c r="AC2238" t="s">
        <v>45</v>
      </c>
      <c r="AD2238" t="s">
        <v>301</v>
      </c>
      <c r="AE2238" t="s">
        <v>46</v>
      </c>
      <c r="AG2238">
        <v>55</v>
      </c>
      <c r="AH2238">
        <v>11</v>
      </c>
      <c r="AI2238" t="s">
        <v>47</v>
      </c>
      <c r="AK2238">
        <v>0</v>
      </c>
      <c r="AM2238">
        <v>0</v>
      </c>
      <c r="AP2238" t="s">
        <v>4767</v>
      </c>
    </row>
    <row r="2239" spans="1:42" customFormat="1">
      <c r="A2239">
        <v>271373</v>
      </c>
      <c r="B2239">
        <v>215381</v>
      </c>
      <c r="C2239" t="s">
        <v>4915</v>
      </c>
      <c r="D2239" s="22">
        <v>693</v>
      </c>
      <c r="E2239" s="17">
        <v>42150</v>
      </c>
      <c r="F2239" s="18">
        <v>0.68054398148148154</v>
      </c>
      <c r="G2239" s="22">
        <v>0</v>
      </c>
      <c r="H2239">
        <v>0</v>
      </c>
      <c r="I2239" s="19" t="e">
        <f>I2238 + (D2239-G2239)</f>
        <v>#VALUE!</v>
      </c>
      <c r="L2239">
        <v>215381</v>
      </c>
      <c r="N2239">
        <v>7</v>
      </c>
      <c r="O2239" t="s">
        <v>44</v>
      </c>
      <c r="P2239">
        <v>2</v>
      </c>
      <c r="R2239">
        <v>6</v>
      </c>
      <c r="S2239" s="17">
        <v>42151</v>
      </c>
      <c r="T2239" s="17">
        <v>42151</v>
      </c>
      <c r="W2239">
        <v>2015</v>
      </c>
      <c r="X2239">
        <v>7</v>
      </c>
      <c r="AC2239" t="s">
        <v>45</v>
      </c>
      <c r="AD2239" t="s">
        <v>301</v>
      </c>
      <c r="AE2239" t="s">
        <v>46</v>
      </c>
      <c r="AG2239">
        <v>55</v>
      </c>
      <c r="AH2239">
        <v>11</v>
      </c>
      <c r="AI2239" t="s">
        <v>47</v>
      </c>
      <c r="AK2239">
        <v>0</v>
      </c>
      <c r="AM2239">
        <v>0</v>
      </c>
      <c r="AP2239" t="s">
        <v>4767</v>
      </c>
    </row>
    <row r="2240" spans="1:42" customFormat="1">
      <c r="A2240">
        <v>270957</v>
      </c>
      <c r="B2240" t="s">
        <v>3728</v>
      </c>
      <c r="C2240" t="s">
        <v>3729</v>
      </c>
      <c r="D2240" s="22">
        <v>0</v>
      </c>
      <c r="E2240" s="17">
        <v>42143</v>
      </c>
      <c r="F2240" s="18">
        <v>0.4314236111111111</v>
      </c>
      <c r="G2240" s="22">
        <v>2579</v>
      </c>
      <c r="H2240">
        <v>0</v>
      </c>
      <c r="I2240" s="19" t="e">
        <f>I2239 + (D2240-G2240)</f>
        <v>#VALUE!</v>
      </c>
      <c r="M2240">
        <v>124004</v>
      </c>
      <c r="N2240">
        <v>24</v>
      </c>
      <c r="O2240" t="s">
        <v>68</v>
      </c>
      <c r="P2240">
        <v>1</v>
      </c>
      <c r="R2240">
        <v>1436</v>
      </c>
      <c r="S2240" s="17">
        <v>42149</v>
      </c>
      <c r="T2240" s="17">
        <v>42149</v>
      </c>
      <c r="W2240">
        <v>2015</v>
      </c>
      <c r="X2240">
        <v>24</v>
      </c>
      <c r="AC2240" t="s">
        <v>217</v>
      </c>
      <c r="AD2240" t="s">
        <v>302</v>
      </c>
      <c r="AE2240" t="s">
        <v>46</v>
      </c>
      <c r="AG2240">
        <v>8</v>
      </c>
      <c r="AH2240">
        <v>9</v>
      </c>
      <c r="AI2240" t="s">
        <v>54</v>
      </c>
      <c r="AK2240">
        <v>0</v>
      </c>
      <c r="AM2240">
        <v>0</v>
      </c>
      <c r="AP2240" t="s">
        <v>1201</v>
      </c>
    </row>
    <row r="2241" spans="1:42" customFormat="1">
      <c r="A2241">
        <v>271217</v>
      </c>
      <c r="B2241" t="s">
        <v>4470</v>
      </c>
      <c r="C2241" t="s">
        <v>4471</v>
      </c>
      <c r="D2241" s="22">
        <v>0</v>
      </c>
      <c r="E2241" s="17">
        <v>42146</v>
      </c>
      <c r="F2241" s="18">
        <v>0.60603009259259266</v>
      </c>
      <c r="G2241" s="22">
        <v>37106.29</v>
      </c>
      <c r="H2241">
        <v>0</v>
      </c>
      <c r="I2241" s="19" t="e">
        <f>I2240 + (D2241-G2241)</f>
        <v>#VALUE!</v>
      </c>
      <c r="M2241">
        <v>124001</v>
      </c>
      <c r="N2241">
        <v>24</v>
      </c>
      <c r="O2241" t="s">
        <v>68</v>
      </c>
      <c r="P2241">
        <v>1</v>
      </c>
      <c r="R2241">
        <v>1436</v>
      </c>
      <c r="S2241" s="17">
        <v>42150</v>
      </c>
      <c r="T2241" s="17">
        <v>42150</v>
      </c>
      <c r="W2241">
        <v>2015</v>
      </c>
      <c r="X2241">
        <v>24</v>
      </c>
      <c r="AC2241" t="s">
        <v>217</v>
      </c>
      <c r="AD2241" t="s">
        <v>302</v>
      </c>
      <c r="AE2241" t="s">
        <v>46</v>
      </c>
      <c r="AG2241">
        <v>52</v>
      </c>
      <c r="AH2241">
        <v>2</v>
      </c>
      <c r="AI2241" t="s">
        <v>50</v>
      </c>
      <c r="AK2241">
        <v>0</v>
      </c>
      <c r="AM2241">
        <v>0</v>
      </c>
      <c r="AP2241" t="s">
        <v>325</v>
      </c>
    </row>
    <row r="2242" spans="1:42" customFormat="1">
      <c r="A2242">
        <v>267055</v>
      </c>
      <c r="B2242">
        <v>216494</v>
      </c>
      <c r="C2242" t="s">
        <v>327</v>
      </c>
      <c r="D2242" s="22">
        <v>425</v>
      </c>
      <c r="E2242" s="17">
        <v>42128</v>
      </c>
      <c r="F2242" s="18">
        <v>0.36605324074074069</v>
      </c>
      <c r="G2242" s="22">
        <v>0</v>
      </c>
      <c r="H2242">
        <v>0</v>
      </c>
      <c r="I2242" s="19" t="e">
        <f>I2241 + (D2242-G2242)</f>
        <v>#VALUE!</v>
      </c>
      <c r="L2242">
        <v>216494</v>
      </c>
      <c r="N2242">
        <v>8</v>
      </c>
      <c r="O2242" t="s">
        <v>63</v>
      </c>
      <c r="P2242">
        <v>1</v>
      </c>
      <c r="R2242">
        <v>1378</v>
      </c>
      <c r="S2242" s="17">
        <v>42129</v>
      </c>
      <c r="T2242" s="17">
        <v>42129</v>
      </c>
      <c r="W2242">
        <v>2015</v>
      </c>
      <c r="X2242">
        <v>8</v>
      </c>
      <c r="AC2242" t="s">
        <v>108</v>
      </c>
      <c r="AD2242" t="s">
        <v>301</v>
      </c>
      <c r="AE2242" t="s">
        <v>46</v>
      </c>
      <c r="AG2242">
        <v>56</v>
      </c>
      <c r="AH2242">
        <v>1</v>
      </c>
      <c r="AI2242" t="s">
        <v>58</v>
      </c>
      <c r="AK2242">
        <v>0</v>
      </c>
      <c r="AM2242">
        <v>0</v>
      </c>
      <c r="AP2242" t="s">
        <v>59</v>
      </c>
    </row>
    <row r="2243" spans="1:42" customFormat="1">
      <c r="A2243">
        <v>268626</v>
      </c>
      <c r="B2243">
        <v>215388</v>
      </c>
      <c r="C2243" t="s">
        <v>328</v>
      </c>
      <c r="D2243" s="22">
        <v>1487.1</v>
      </c>
      <c r="E2243" s="17">
        <v>42128</v>
      </c>
      <c r="F2243" s="18">
        <v>0.36722222222222217</v>
      </c>
      <c r="G2243" s="22">
        <v>0</v>
      </c>
      <c r="H2243">
        <v>0</v>
      </c>
      <c r="I2243" s="19" t="e">
        <f>I2242 + (D2243-G2243)</f>
        <v>#VALUE!</v>
      </c>
      <c r="L2243">
        <v>215388</v>
      </c>
      <c r="N2243">
        <v>60</v>
      </c>
      <c r="O2243" t="s">
        <v>60</v>
      </c>
      <c r="P2243">
        <v>1</v>
      </c>
      <c r="R2243">
        <v>1378</v>
      </c>
      <c r="S2243" s="17">
        <v>42131</v>
      </c>
      <c r="T2243" s="17">
        <v>42131</v>
      </c>
      <c r="W2243">
        <v>2015</v>
      </c>
      <c r="X2243">
        <v>60</v>
      </c>
      <c r="AC2243" t="s">
        <v>108</v>
      </c>
      <c r="AD2243" t="s">
        <v>301</v>
      </c>
      <c r="AE2243" t="s">
        <v>46</v>
      </c>
      <c r="AG2243">
        <v>52</v>
      </c>
      <c r="AH2243">
        <v>2</v>
      </c>
      <c r="AI2243" t="s">
        <v>50</v>
      </c>
      <c r="AK2243">
        <v>0</v>
      </c>
      <c r="AM2243">
        <v>0</v>
      </c>
      <c r="AP2243" t="s">
        <v>325</v>
      </c>
    </row>
    <row r="2244" spans="1:42" customFormat="1">
      <c r="A2244">
        <v>269732</v>
      </c>
      <c r="B2244">
        <v>216518</v>
      </c>
      <c r="C2244" t="s">
        <v>2099</v>
      </c>
      <c r="D2244" s="22">
        <v>943</v>
      </c>
      <c r="E2244" s="17">
        <v>42132</v>
      </c>
      <c r="F2244" s="18">
        <v>0.4113194444444444</v>
      </c>
      <c r="G2244" s="22">
        <v>0</v>
      </c>
      <c r="H2244">
        <v>0</v>
      </c>
      <c r="I2244" s="19" t="e">
        <f>I2243 + (D2244-G2244)</f>
        <v>#VALUE!</v>
      </c>
      <c r="L2244">
        <v>216518</v>
      </c>
      <c r="N2244">
        <v>8</v>
      </c>
      <c r="O2244" t="s">
        <v>63</v>
      </c>
      <c r="P2244">
        <v>2</v>
      </c>
      <c r="R2244">
        <v>1378</v>
      </c>
      <c r="S2244" s="17">
        <v>42137</v>
      </c>
      <c r="T2244" s="17">
        <v>42137</v>
      </c>
      <c r="W2244">
        <v>2013</v>
      </c>
      <c r="X2244">
        <v>8</v>
      </c>
      <c r="AC2244" t="s">
        <v>108</v>
      </c>
      <c r="AD2244" t="s">
        <v>301</v>
      </c>
      <c r="AE2244" t="s">
        <v>46</v>
      </c>
      <c r="AG2244">
        <v>56</v>
      </c>
      <c r="AH2244">
        <v>1</v>
      </c>
      <c r="AI2244" t="s">
        <v>58</v>
      </c>
      <c r="AK2244">
        <v>0</v>
      </c>
      <c r="AM2244">
        <v>0</v>
      </c>
      <c r="AP2244" t="s">
        <v>59</v>
      </c>
    </row>
    <row r="2245" spans="1:42" customFormat="1">
      <c r="A2245">
        <v>269739</v>
      </c>
      <c r="B2245">
        <v>216715</v>
      </c>
      <c r="C2245" t="s">
        <v>2105</v>
      </c>
      <c r="D2245" s="22">
        <v>1500</v>
      </c>
      <c r="E2245" s="17">
        <v>42132</v>
      </c>
      <c r="F2245" s="18">
        <v>0.43094907407407407</v>
      </c>
      <c r="G2245" s="22">
        <v>0</v>
      </c>
      <c r="H2245">
        <v>0</v>
      </c>
      <c r="I2245" s="19" t="e">
        <f>I2244 + (D2245-G2245)</f>
        <v>#VALUE!</v>
      </c>
      <c r="L2245">
        <v>216715</v>
      </c>
      <c r="N2245">
        <v>8</v>
      </c>
      <c r="O2245" t="s">
        <v>63</v>
      </c>
      <c r="P2245">
        <v>1</v>
      </c>
      <c r="R2245">
        <v>1378</v>
      </c>
      <c r="S2245" s="17">
        <v>42137</v>
      </c>
      <c r="T2245" s="17">
        <v>42137</v>
      </c>
      <c r="W2245">
        <v>2012</v>
      </c>
      <c r="X2245">
        <v>8</v>
      </c>
      <c r="AC2245" t="s">
        <v>108</v>
      </c>
      <c r="AD2245" t="s">
        <v>301</v>
      </c>
      <c r="AE2245" t="s">
        <v>46</v>
      </c>
      <c r="AG2245">
        <v>56</v>
      </c>
      <c r="AH2245">
        <v>1</v>
      </c>
      <c r="AI2245" t="s">
        <v>58</v>
      </c>
      <c r="AK2245">
        <v>0</v>
      </c>
      <c r="AM2245">
        <v>0</v>
      </c>
      <c r="AP2245" t="s">
        <v>59</v>
      </c>
    </row>
    <row r="2246" spans="1:42" customFormat="1">
      <c r="A2246">
        <v>270439</v>
      </c>
      <c r="B2246">
        <v>216512</v>
      </c>
      <c r="C2246" t="s">
        <v>2536</v>
      </c>
      <c r="D2246" s="22">
        <v>2180.06</v>
      </c>
      <c r="E2246" s="17">
        <v>42135</v>
      </c>
      <c r="F2246" s="18">
        <v>0.46005787037037038</v>
      </c>
      <c r="G2246" s="22">
        <v>0</v>
      </c>
      <c r="H2246">
        <v>0</v>
      </c>
      <c r="I2246" s="19" t="e">
        <f>I2245 + (D2246-G2246)</f>
        <v>#VALUE!</v>
      </c>
      <c r="L2246">
        <v>216512</v>
      </c>
      <c r="N2246">
        <v>8</v>
      </c>
      <c r="O2246" t="s">
        <v>63</v>
      </c>
      <c r="P2246">
        <v>1</v>
      </c>
      <c r="R2246">
        <v>1378</v>
      </c>
      <c r="S2246" s="17">
        <v>42144</v>
      </c>
      <c r="T2246" s="17">
        <v>42144</v>
      </c>
      <c r="W2246">
        <v>2014</v>
      </c>
      <c r="X2246">
        <v>8</v>
      </c>
      <c r="AC2246" t="s">
        <v>108</v>
      </c>
      <c r="AD2246" t="s">
        <v>301</v>
      </c>
      <c r="AE2246" t="s">
        <v>46</v>
      </c>
      <c r="AG2246">
        <v>35</v>
      </c>
      <c r="AH2246">
        <v>2</v>
      </c>
      <c r="AI2246" t="s">
        <v>50</v>
      </c>
      <c r="AK2246">
        <v>0</v>
      </c>
      <c r="AM2246">
        <v>0</v>
      </c>
      <c r="AP2246" t="s">
        <v>2537</v>
      </c>
    </row>
    <row r="2247" spans="1:42" customFormat="1">
      <c r="A2247">
        <v>270047</v>
      </c>
      <c r="B2247">
        <v>216506</v>
      </c>
      <c r="C2247" t="s">
        <v>2687</v>
      </c>
      <c r="D2247" s="22">
        <v>1386</v>
      </c>
      <c r="E2247" s="17">
        <v>42135</v>
      </c>
      <c r="F2247" s="18">
        <v>0.6630787037037037</v>
      </c>
      <c r="G2247" s="22">
        <v>0</v>
      </c>
      <c r="H2247">
        <v>0</v>
      </c>
      <c r="I2247" s="19" t="e">
        <f>I2246 + (D2247-G2247)</f>
        <v>#VALUE!</v>
      </c>
      <c r="L2247">
        <v>216506</v>
      </c>
      <c r="N2247">
        <v>24</v>
      </c>
      <c r="O2247" t="s">
        <v>68</v>
      </c>
      <c r="P2247">
        <v>2</v>
      </c>
      <c r="R2247">
        <v>1378</v>
      </c>
      <c r="S2247" s="17">
        <v>42139</v>
      </c>
      <c r="T2247" s="17">
        <v>42139</v>
      </c>
      <c r="W2247">
        <v>2015</v>
      </c>
      <c r="X2247">
        <v>24</v>
      </c>
      <c r="AC2247" t="s">
        <v>108</v>
      </c>
      <c r="AD2247" t="s">
        <v>301</v>
      </c>
      <c r="AE2247" t="s">
        <v>46</v>
      </c>
      <c r="AG2247">
        <v>52</v>
      </c>
      <c r="AH2247">
        <v>2</v>
      </c>
      <c r="AI2247" t="s">
        <v>50</v>
      </c>
      <c r="AK2247">
        <v>0</v>
      </c>
      <c r="AM2247">
        <v>0</v>
      </c>
      <c r="AP2247" t="s">
        <v>325</v>
      </c>
    </row>
    <row r="2248" spans="1:42" customFormat="1">
      <c r="A2248">
        <v>270377</v>
      </c>
      <c r="B2248">
        <v>216716</v>
      </c>
      <c r="C2248" t="s">
        <v>3153</v>
      </c>
      <c r="D2248" s="22">
        <v>608.79999999999995</v>
      </c>
      <c r="E2248" s="17">
        <v>42138</v>
      </c>
      <c r="F2248" s="18">
        <v>0.42736111111111108</v>
      </c>
      <c r="G2248" s="22">
        <v>0</v>
      </c>
      <c r="H2248">
        <v>0</v>
      </c>
      <c r="I2248" s="19" t="e">
        <f>I2247 + (D2248-G2248)</f>
        <v>#VALUE!</v>
      </c>
      <c r="L2248">
        <v>216716</v>
      </c>
      <c r="N2248">
        <v>7</v>
      </c>
      <c r="O2248" t="s">
        <v>44</v>
      </c>
      <c r="P2248">
        <v>1</v>
      </c>
      <c r="R2248">
        <v>1378</v>
      </c>
      <c r="S2248" s="17">
        <v>42144</v>
      </c>
      <c r="T2248" s="17">
        <v>42144</v>
      </c>
      <c r="W2248">
        <v>2012</v>
      </c>
      <c r="X2248">
        <v>7</v>
      </c>
      <c r="AC2248" t="s">
        <v>108</v>
      </c>
      <c r="AD2248" t="s">
        <v>301</v>
      </c>
      <c r="AE2248" t="s">
        <v>46</v>
      </c>
      <c r="AG2248">
        <v>3</v>
      </c>
      <c r="AH2248">
        <v>11</v>
      </c>
      <c r="AI2248" t="s">
        <v>47</v>
      </c>
      <c r="AK2248">
        <v>0</v>
      </c>
      <c r="AM2248">
        <v>0</v>
      </c>
      <c r="AP2248" t="s">
        <v>80</v>
      </c>
    </row>
    <row r="2249" spans="1:42" customFormat="1">
      <c r="A2249">
        <v>270378</v>
      </c>
      <c r="B2249">
        <v>216717</v>
      </c>
      <c r="C2249" t="s">
        <v>3154</v>
      </c>
      <c r="D2249" s="22">
        <v>608.79999999999995</v>
      </c>
      <c r="E2249" s="17">
        <v>42138</v>
      </c>
      <c r="F2249" s="18">
        <v>0.42736111111111108</v>
      </c>
      <c r="G2249" s="22">
        <v>0</v>
      </c>
      <c r="H2249">
        <v>0</v>
      </c>
      <c r="I2249" s="19" t="e">
        <f>I2248 + (D2249-G2249)</f>
        <v>#VALUE!</v>
      </c>
      <c r="L2249">
        <v>216717</v>
      </c>
      <c r="N2249">
        <v>7</v>
      </c>
      <c r="O2249" t="s">
        <v>44</v>
      </c>
      <c r="P2249">
        <v>1</v>
      </c>
      <c r="R2249">
        <v>1378</v>
      </c>
      <c r="S2249" s="17">
        <v>42144</v>
      </c>
      <c r="T2249" s="17">
        <v>42144</v>
      </c>
      <c r="W2249">
        <v>2012</v>
      </c>
      <c r="X2249">
        <v>7</v>
      </c>
      <c r="AC2249" t="s">
        <v>108</v>
      </c>
      <c r="AD2249" t="s">
        <v>301</v>
      </c>
      <c r="AE2249" t="s">
        <v>46</v>
      </c>
      <c r="AG2249">
        <v>3</v>
      </c>
      <c r="AH2249">
        <v>11</v>
      </c>
      <c r="AI2249" t="s">
        <v>47</v>
      </c>
      <c r="AK2249">
        <v>0</v>
      </c>
      <c r="AM2249">
        <v>0</v>
      </c>
      <c r="AP2249" t="s">
        <v>80</v>
      </c>
    </row>
    <row r="2250" spans="1:42" customFormat="1">
      <c r="A2250">
        <v>270379</v>
      </c>
      <c r="B2250">
        <v>216718</v>
      </c>
      <c r="C2250" t="s">
        <v>3155</v>
      </c>
      <c r="D2250" s="22">
        <v>608.79999999999995</v>
      </c>
      <c r="E2250" s="17">
        <v>42138</v>
      </c>
      <c r="F2250" s="18">
        <v>0.42737268518518517</v>
      </c>
      <c r="G2250" s="22">
        <v>0</v>
      </c>
      <c r="H2250">
        <v>0</v>
      </c>
      <c r="I2250" s="19" t="e">
        <f>I2249 + (D2250-G2250)</f>
        <v>#VALUE!</v>
      </c>
      <c r="L2250">
        <v>216718</v>
      </c>
      <c r="N2250">
        <v>7</v>
      </c>
      <c r="O2250" t="s">
        <v>44</v>
      </c>
      <c r="P2250">
        <v>1</v>
      </c>
      <c r="R2250">
        <v>1378</v>
      </c>
      <c r="S2250" s="17">
        <v>42144</v>
      </c>
      <c r="T2250" s="17">
        <v>42144</v>
      </c>
      <c r="W2250">
        <v>2012</v>
      </c>
      <c r="X2250">
        <v>7</v>
      </c>
      <c r="AC2250" t="s">
        <v>108</v>
      </c>
      <c r="AD2250" t="s">
        <v>301</v>
      </c>
      <c r="AE2250" t="s">
        <v>46</v>
      </c>
      <c r="AG2250">
        <v>3</v>
      </c>
      <c r="AH2250">
        <v>11</v>
      </c>
      <c r="AI2250" t="s">
        <v>47</v>
      </c>
      <c r="AK2250">
        <v>0</v>
      </c>
      <c r="AM2250">
        <v>0</v>
      </c>
      <c r="AP2250" t="s">
        <v>80</v>
      </c>
    </row>
    <row r="2251" spans="1:42" customFormat="1">
      <c r="A2251">
        <v>270380</v>
      </c>
      <c r="B2251">
        <v>216719</v>
      </c>
      <c r="C2251" t="s">
        <v>3156</v>
      </c>
      <c r="D2251" s="22">
        <v>608.79999999999995</v>
      </c>
      <c r="E2251" s="17">
        <v>42138</v>
      </c>
      <c r="F2251" s="18">
        <v>0.42737268518518517</v>
      </c>
      <c r="G2251" s="22">
        <v>0</v>
      </c>
      <c r="H2251">
        <v>0</v>
      </c>
      <c r="I2251" s="19" t="e">
        <f>I2250 + (D2251-G2251)</f>
        <v>#VALUE!</v>
      </c>
      <c r="L2251">
        <v>216719</v>
      </c>
      <c r="N2251">
        <v>7</v>
      </c>
      <c r="O2251" t="s">
        <v>44</v>
      </c>
      <c r="P2251">
        <v>1</v>
      </c>
      <c r="R2251">
        <v>1378</v>
      </c>
      <c r="S2251" s="17">
        <v>42144</v>
      </c>
      <c r="T2251" s="17">
        <v>42144</v>
      </c>
      <c r="W2251">
        <v>2012</v>
      </c>
      <c r="X2251">
        <v>7</v>
      </c>
      <c r="AC2251" t="s">
        <v>108</v>
      </c>
      <c r="AD2251" t="s">
        <v>301</v>
      </c>
      <c r="AE2251" t="s">
        <v>46</v>
      </c>
      <c r="AG2251">
        <v>3</v>
      </c>
      <c r="AH2251">
        <v>11</v>
      </c>
      <c r="AI2251" t="s">
        <v>47</v>
      </c>
      <c r="AK2251">
        <v>0</v>
      </c>
      <c r="AM2251">
        <v>0</v>
      </c>
      <c r="AP2251" t="s">
        <v>80</v>
      </c>
    </row>
    <row r="2252" spans="1:42" customFormat="1">
      <c r="A2252">
        <v>270381</v>
      </c>
      <c r="B2252">
        <v>216708</v>
      </c>
      <c r="C2252" t="s">
        <v>3157</v>
      </c>
      <c r="D2252" s="22">
        <v>961</v>
      </c>
      <c r="E2252" s="17">
        <v>42138</v>
      </c>
      <c r="F2252" s="18">
        <v>0.42939814814814814</v>
      </c>
      <c r="G2252" s="22">
        <v>0</v>
      </c>
      <c r="H2252">
        <v>0</v>
      </c>
      <c r="I2252" s="19" t="e">
        <f>I2251 + (D2252-G2252)</f>
        <v>#VALUE!</v>
      </c>
      <c r="L2252">
        <v>216708</v>
      </c>
      <c r="N2252">
        <v>7</v>
      </c>
      <c r="O2252" t="s">
        <v>44</v>
      </c>
      <c r="P2252">
        <v>1</v>
      </c>
      <c r="R2252">
        <v>1378</v>
      </c>
      <c r="S2252" s="17">
        <v>42144</v>
      </c>
      <c r="T2252" s="17">
        <v>42144</v>
      </c>
      <c r="W2252">
        <v>2014</v>
      </c>
      <c r="X2252">
        <v>7</v>
      </c>
      <c r="AC2252" t="s">
        <v>108</v>
      </c>
      <c r="AD2252" t="s">
        <v>301</v>
      </c>
      <c r="AE2252" t="s">
        <v>46</v>
      </c>
      <c r="AG2252">
        <v>3</v>
      </c>
      <c r="AH2252">
        <v>11</v>
      </c>
      <c r="AI2252" t="s">
        <v>47</v>
      </c>
      <c r="AK2252">
        <v>0</v>
      </c>
      <c r="AM2252">
        <v>0</v>
      </c>
      <c r="AP2252" t="s">
        <v>80</v>
      </c>
    </row>
    <row r="2253" spans="1:42" customFormat="1">
      <c r="A2253">
        <v>271484</v>
      </c>
      <c r="B2253">
        <v>216514</v>
      </c>
      <c r="C2253" t="s">
        <v>3216</v>
      </c>
      <c r="D2253" s="22">
        <v>3202</v>
      </c>
      <c r="E2253" s="17">
        <v>42138</v>
      </c>
      <c r="F2253" s="18">
        <v>0.74712962962962959</v>
      </c>
      <c r="G2253" s="22">
        <v>0</v>
      </c>
      <c r="H2253">
        <v>0</v>
      </c>
      <c r="I2253" s="19" t="e">
        <f>I2252 + (D2253-G2253)</f>
        <v>#VALUE!</v>
      </c>
      <c r="L2253">
        <v>216514</v>
      </c>
      <c r="N2253">
        <v>8</v>
      </c>
      <c r="O2253" t="s">
        <v>63</v>
      </c>
      <c r="P2253">
        <v>1</v>
      </c>
      <c r="R2253">
        <v>1378</v>
      </c>
      <c r="S2253" s="17">
        <v>42152</v>
      </c>
      <c r="T2253" s="17">
        <v>42152</v>
      </c>
      <c r="W2253">
        <v>2014</v>
      </c>
      <c r="X2253">
        <v>8</v>
      </c>
      <c r="AC2253" t="s">
        <v>108</v>
      </c>
      <c r="AD2253" t="s">
        <v>301</v>
      </c>
      <c r="AE2253" t="s">
        <v>46</v>
      </c>
      <c r="AG2253">
        <v>4</v>
      </c>
      <c r="AH2253">
        <v>3</v>
      </c>
      <c r="AI2253" t="s">
        <v>64</v>
      </c>
      <c r="AK2253">
        <v>0</v>
      </c>
      <c r="AM2253">
        <v>0</v>
      </c>
      <c r="AP2253" t="s">
        <v>389</v>
      </c>
    </row>
    <row r="2254" spans="1:42" customFormat="1">
      <c r="A2254">
        <v>270308</v>
      </c>
      <c r="B2254">
        <v>216790</v>
      </c>
      <c r="C2254" t="s">
        <v>3229</v>
      </c>
      <c r="D2254" s="22">
        <v>1325.7</v>
      </c>
      <c r="E2254" s="17">
        <v>42139</v>
      </c>
      <c r="F2254" s="18">
        <v>0.38156250000000003</v>
      </c>
      <c r="G2254" s="22">
        <v>0</v>
      </c>
      <c r="H2254">
        <v>0</v>
      </c>
      <c r="I2254" s="19" t="e">
        <f>I2253 + (D2254-G2254)</f>
        <v>#VALUE!</v>
      </c>
      <c r="L2254">
        <v>216790</v>
      </c>
      <c r="N2254">
        <v>8</v>
      </c>
      <c r="O2254" t="s">
        <v>63</v>
      </c>
      <c r="P2254">
        <v>1</v>
      </c>
      <c r="R2254">
        <v>1378</v>
      </c>
      <c r="S2254" s="17">
        <v>42144</v>
      </c>
      <c r="T2254" s="17">
        <v>42144</v>
      </c>
      <c r="W2254">
        <v>2015</v>
      </c>
      <c r="X2254">
        <v>8</v>
      </c>
      <c r="AC2254" t="s">
        <v>108</v>
      </c>
      <c r="AD2254" t="s">
        <v>301</v>
      </c>
      <c r="AE2254" t="s">
        <v>46</v>
      </c>
      <c r="AG2254">
        <v>4</v>
      </c>
      <c r="AH2254">
        <v>3</v>
      </c>
      <c r="AI2254" t="s">
        <v>64</v>
      </c>
      <c r="AK2254">
        <v>0</v>
      </c>
      <c r="AM2254">
        <v>0</v>
      </c>
      <c r="AP2254" t="s">
        <v>389</v>
      </c>
    </row>
    <row r="2255" spans="1:42" customFormat="1">
      <c r="A2255">
        <v>270436</v>
      </c>
      <c r="B2255">
        <v>216516</v>
      </c>
      <c r="C2255" t="s">
        <v>3448</v>
      </c>
      <c r="D2255" s="22">
        <v>1482</v>
      </c>
      <c r="E2255" s="17">
        <v>42139</v>
      </c>
      <c r="F2255" s="18">
        <v>0.45748842592592592</v>
      </c>
      <c r="G2255" s="22">
        <v>0</v>
      </c>
      <c r="H2255">
        <v>0</v>
      </c>
      <c r="I2255" s="19" t="e">
        <f>I2254 + (D2255-G2255)</f>
        <v>#VALUE!</v>
      </c>
      <c r="L2255">
        <v>216516</v>
      </c>
      <c r="N2255">
        <v>8</v>
      </c>
      <c r="O2255" t="s">
        <v>63</v>
      </c>
      <c r="P2255">
        <v>2</v>
      </c>
      <c r="R2255">
        <v>1378</v>
      </c>
      <c r="S2255" s="17">
        <v>42144</v>
      </c>
      <c r="T2255" s="17">
        <v>42144</v>
      </c>
      <c r="W2255">
        <v>2015</v>
      </c>
      <c r="X2255">
        <v>8</v>
      </c>
      <c r="AC2255" t="s">
        <v>108</v>
      </c>
      <c r="AD2255" t="s">
        <v>301</v>
      </c>
      <c r="AE2255" t="s">
        <v>46</v>
      </c>
      <c r="AG2255">
        <v>56</v>
      </c>
      <c r="AH2255">
        <v>1</v>
      </c>
      <c r="AI2255" t="s">
        <v>58</v>
      </c>
      <c r="AK2255">
        <v>0</v>
      </c>
      <c r="AM2255">
        <v>0</v>
      </c>
      <c r="AP2255" t="s">
        <v>59</v>
      </c>
    </row>
    <row r="2256" spans="1:42" customFormat="1">
      <c r="A2256">
        <v>271485</v>
      </c>
      <c r="B2256">
        <v>216760</v>
      </c>
      <c r="C2256" t="s">
        <v>4151</v>
      </c>
      <c r="D2256" s="22">
        <v>1279.5</v>
      </c>
      <c r="E2256" s="17">
        <v>42146</v>
      </c>
      <c r="F2256" s="18">
        <v>0.43744212962962964</v>
      </c>
      <c r="G2256" s="22">
        <v>0</v>
      </c>
      <c r="H2256">
        <v>0</v>
      </c>
      <c r="I2256" s="19" t="e">
        <f>I2255 + (D2256-G2256)</f>
        <v>#VALUE!</v>
      </c>
      <c r="L2256">
        <v>216760</v>
      </c>
      <c r="N2256">
        <v>8</v>
      </c>
      <c r="O2256" t="s">
        <v>63</v>
      </c>
      <c r="P2256">
        <v>1</v>
      </c>
      <c r="R2256">
        <v>1378</v>
      </c>
      <c r="S2256" s="17">
        <v>42153</v>
      </c>
      <c r="T2256" s="17">
        <v>42153</v>
      </c>
      <c r="W2256">
        <v>2015</v>
      </c>
      <c r="X2256">
        <v>8</v>
      </c>
      <c r="AC2256" t="s">
        <v>108</v>
      </c>
      <c r="AD2256" t="s">
        <v>301</v>
      </c>
      <c r="AE2256" t="s">
        <v>46</v>
      </c>
      <c r="AG2256">
        <v>56</v>
      </c>
      <c r="AH2256">
        <v>1</v>
      </c>
      <c r="AI2256" t="s">
        <v>58</v>
      </c>
      <c r="AK2256">
        <v>0</v>
      </c>
      <c r="AM2256">
        <v>0</v>
      </c>
      <c r="AP2256" t="s">
        <v>59</v>
      </c>
    </row>
    <row r="2257" spans="1:42" customFormat="1">
      <c r="A2257">
        <v>272866</v>
      </c>
      <c r="B2257">
        <v>216965</v>
      </c>
      <c r="C2257" t="s">
        <v>4586</v>
      </c>
      <c r="D2257" s="22">
        <v>1400</v>
      </c>
      <c r="E2257" s="17">
        <v>42149</v>
      </c>
      <c r="F2257" s="18">
        <v>0.57616898148148155</v>
      </c>
      <c r="G2257" s="22">
        <v>0</v>
      </c>
      <c r="H2257">
        <v>0</v>
      </c>
      <c r="I2257" s="19" t="e">
        <f>I2256 + (D2257-G2257)</f>
        <v>#VALUE!</v>
      </c>
      <c r="L2257">
        <v>216965</v>
      </c>
      <c r="N2257">
        <v>60</v>
      </c>
      <c r="O2257" t="s">
        <v>60</v>
      </c>
      <c r="P2257">
        <v>1</v>
      </c>
      <c r="R2257">
        <v>1378</v>
      </c>
      <c r="S2257" s="17">
        <v>42166</v>
      </c>
      <c r="T2257" s="17">
        <v>42166</v>
      </c>
      <c r="W2257">
        <v>2014</v>
      </c>
      <c r="X2257">
        <v>60</v>
      </c>
      <c r="AC2257" t="s">
        <v>108</v>
      </c>
      <c r="AD2257" t="s">
        <v>301</v>
      </c>
      <c r="AE2257" t="s">
        <v>46</v>
      </c>
      <c r="AG2257">
        <v>52</v>
      </c>
      <c r="AH2257">
        <v>2</v>
      </c>
      <c r="AI2257" t="s">
        <v>50</v>
      </c>
      <c r="AK2257">
        <v>0</v>
      </c>
      <c r="AM2257">
        <v>0</v>
      </c>
      <c r="AP2257" t="s">
        <v>325</v>
      </c>
    </row>
    <row r="2258" spans="1:42" customFormat="1">
      <c r="A2258">
        <v>271271</v>
      </c>
      <c r="B2258">
        <v>216710</v>
      </c>
      <c r="C2258" t="s">
        <v>4786</v>
      </c>
      <c r="D2258" s="22">
        <v>961</v>
      </c>
      <c r="E2258" s="17">
        <v>42150</v>
      </c>
      <c r="F2258" s="18">
        <v>0.47528935185185189</v>
      </c>
      <c r="G2258" s="22">
        <v>0</v>
      </c>
      <c r="H2258">
        <v>0</v>
      </c>
      <c r="I2258" s="19" t="e">
        <f>I2257 + (D2258-G2258)</f>
        <v>#VALUE!</v>
      </c>
      <c r="L2258">
        <v>216710</v>
      </c>
      <c r="N2258">
        <v>24</v>
      </c>
      <c r="O2258" t="s">
        <v>68</v>
      </c>
      <c r="P2258">
        <v>1</v>
      </c>
      <c r="R2258">
        <v>1378</v>
      </c>
      <c r="S2258" s="17">
        <v>42151</v>
      </c>
      <c r="T2258" s="17">
        <v>42151</v>
      </c>
      <c r="W2258">
        <v>2015</v>
      </c>
      <c r="X2258">
        <v>24</v>
      </c>
      <c r="AC2258" t="s">
        <v>108</v>
      </c>
      <c r="AD2258" t="s">
        <v>301</v>
      </c>
      <c r="AE2258" t="s">
        <v>46</v>
      </c>
      <c r="AG2258">
        <v>55</v>
      </c>
      <c r="AH2258">
        <v>11</v>
      </c>
      <c r="AI2258" t="s">
        <v>47</v>
      </c>
      <c r="AK2258">
        <v>0</v>
      </c>
      <c r="AM2258">
        <v>0</v>
      </c>
      <c r="AP2258" t="s">
        <v>4767</v>
      </c>
    </row>
    <row r="2259" spans="1:42" customFormat="1">
      <c r="A2259">
        <v>271272</v>
      </c>
      <c r="B2259">
        <v>216709</v>
      </c>
      <c r="C2259" t="s">
        <v>4787</v>
      </c>
      <c r="D2259" s="22">
        <v>961</v>
      </c>
      <c r="E2259" s="17">
        <v>42150</v>
      </c>
      <c r="F2259" s="18">
        <v>0.47576388888888888</v>
      </c>
      <c r="G2259" s="22">
        <v>0</v>
      </c>
      <c r="H2259">
        <v>0</v>
      </c>
      <c r="I2259" s="19" t="e">
        <f>I2258 + (D2259-G2259)</f>
        <v>#VALUE!</v>
      </c>
      <c r="L2259">
        <v>216709</v>
      </c>
      <c r="N2259">
        <v>24</v>
      </c>
      <c r="O2259" t="s">
        <v>68</v>
      </c>
      <c r="P2259">
        <v>1</v>
      </c>
      <c r="R2259">
        <v>1378</v>
      </c>
      <c r="S2259" s="17">
        <v>42151</v>
      </c>
      <c r="T2259" s="17">
        <v>42151</v>
      </c>
      <c r="W2259">
        <v>2015</v>
      </c>
      <c r="X2259">
        <v>24</v>
      </c>
      <c r="AC2259" t="s">
        <v>108</v>
      </c>
      <c r="AD2259" t="s">
        <v>301</v>
      </c>
      <c r="AE2259" t="s">
        <v>46</v>
      </c>
      <c r="AG2259">
        <v>55</v>
      </c>
      <c r="AH2259">
        <v>11</v>
      </c>
      <c r="AI2259" t="s">
        <v>47</v>
      </c>
      <c r="AK2259">
        <v>0</v>
      </c>
      <c r="AM2259">
        <v>0</v>
      </c>
      <c r="AP2259" t="s">
        <v>4767</v>
      </c>
    </row>
    <row r="2260" spans="1:42" customFormat="1">
      <c r="A2260">
        <v>271502</v>
      </c>
      <c r="B2260">
        <v>216992</v>
      </c>
      <c r="C2260" t="s">
        <v>4836</v>
      </c>
      <c r="D2260" s="22">
        <v>191.12</v>
      </c>
      <c r="E2260" s="17">
        <v>42150</v>
      </c>
      <c r="F2260" s="18">
        <v>0.59283564814814815</v>
      </c>
      <c r="G2260" s="22">
        <v>0</v>
      </c>
      <c r="H2260">
        <v>0</v>
      </c>
      <c r="I2260" s="19" t="e">
        <f>I2259 + (D2260-G2260)</f>
        <v>#VALUE!</v>
      </c>
      <c r="L2260">
        <v>216992</v>
      </c>
      <c r="N2260">
        <v>8</v>
      </c>
      <c r="O2260" t="s">
        <v>63</v>
      </c>
      <c r="P2260">
        <v>2</v>
      </c>
      <c r="R2260">
        <v>1378</v>
      </c>
      <c r="S2260" s="17">
        <v>42156</v>
      </c>
      <c r="T2260" s="17">
        <v>42156</v>
      </c>
      <c r="W2260">
        <v>2015</v>
      </c>
      <c r="X2260">
        <v>8</v>
      </c>
      <c r="AC2260" t="s">
        <v>108</v>
      </c>
      <c r="AD2260" t="s">
        <v>301</v>
      </c>
      <c r="AE2260" t="s">
        <v>46</v>
      </c>
      <c r="AG2260">
        <v>56</v>
      </c>
      <c r="AH2260">
        <v>1</v>
      </c>
      <c r="AI2260" t="s">
        <v>58</v>
      </c>
      <c r="AK2260">
        <v>0</v>
      </c>
      <c r="AM2260">
        <v>0</v>
      </c>
      <c r="AP2260" t="s">
        <v>59</v>
      </c>
    </row>
    <row r="2261" spans="1:42" customFormat="1">
      <c r="A2261">
        <v>271503</v>
      </c>
      <c r="B2261">
        <v>216991</v>
      </c>
      <c r="C2261" t="s">
        <v>4837</v>
      </c>
      <c r="D2261" s="22">
        <v>1068.8800000000001</v>
      </c>
      <c r="E2261" s="17">
        <v>42150</v>
      </c>
      <c r="F2261" s="18">
        <v>0.59283564814814815</v>
      </c>
      <c r="G2261" s="22">
        <v>0</v>
      </c>
      <c r="H2261">
        <v>0</v>
      </c>
      <c r="I2261" s="19" t="e">
        <f>I2260 + (D2261-G2261)</f>
        <v>#VALUE!</v>
      </c>
      <c r="L2261">
        <v>216991</v>
      </c>
      <c r="N2261">
        <v>8</v>
      </c>
      <c r="O2261" t="s">
        <v>63</v>
      </c>
      <c r="P2261">
        <v>1</v>
      </c>
      <c r="R2261">
        <v>1378</v>
      </c>
      <c r="S2261" s="17">
        <v>42156</v>
      </c>
      <c r="T2261" s="17">
        <v>42156</v>
      </c>
      <c r="W2261">
        <v>2015</v>
      </c>
      <c r="X2261">
        <v>8</v>
      </c>
      <c r="AC2261" t="s">
        <v>108</v>
      </c>
      <c r="AD2261" t="s">
        <v>301</v>
      </c>
      <c r="AE2261" t="s">
        <v>46</v>
      </c>
      <c r="AG2261">
        <v>56</v>
      </c>
      <c r="AH2261">
        <v>1</v>
      </c>
      <c r="AI2261" t="s">
        <v>58</v>
      </c>
      <c r="AK2261">
        <v>0</v>
      </c>
      <c r="AM2261">
        <v>0</v>
      </c>
      <c r="AP2261" t="s">
        <v>59</v>
      </c>
    </row>
    <row r="2262" spans="1:42" customFormat="1">
      <c r="A2262">
        <v>272256</v>
      </c>
      <c r="B2262">
        <v>217309</v>
      </c>
      <c r="C2262" t="s">
        <v>5012</v>
      </c>
      <c r="D2262" s="22">
        <v>1386</v>
      </c>
      <c r="E2262" s="17">
        <v>42151</v>
      </c>
      <c r="F2262" s="18">
        <v>0.62275462962962969</v>
      </c>
      <c r="G2262" s="22">
        <v>0</v>
      </c>
      <c r="H2262">
        <v>0</v>
      </c>
      <c r="I2262" s="19" t="e">
        <f>I2261 + (D2262-G2262)</f>
        <v>#VALUE!</v>
      </c>
      <c r="L2262">
        <v>217309</v>
      </c>
      <c r="N2262">
        <v>8</v>
      </c>
      <c r="O2262" t="s">
        <v>63</v>
      </c>
      <c r="P2262">
        <v>2</v>
      </c>
      <c r="R2262">
        <v>1378</v>
      </c>
      <c r="S2262" s="17">
        <v>42163</v>
      </c>
      <c r="T2262" s="17">
        <v>42163</v>
      </c>
      <c r="W2262">
        <v>2015</v>
      </c>
      <c r="X2262">
        <v>8</v>
      </c>
      <c r="AC2262" t="s">
        <v>108</v>
      </c>
      <c r="AD2262" t="s">
        <v>301</v>
      </c>
      <c r="AE2262" t="s">
        <v>46</v>
      </c>
      <c r="AG2262">
        <v>46</v>
      </c>
      <c r="AH2262">
        <v>2</v>
      </c>
      <c r="AI2262" t="s">
        <v>50</v>
      </c>
      <c r="AK2262">
        <v>0</v>
      </c>
      <c r="AM2262">
        <v>0</v>
      </c>
      <c r="AP2262" t="s">
        <v>122</v>
      </c>
    </row>
    <row r="2263" spans="1:42" customFormat="1">
      <c r="A2263">
        <v>271391</v>
      </c>
      <c r="B2263">
        <v>215221</v>
      </c>
      <c r="C2263" t="s">
        <v>5169</v>
      </c>
      <c r="D2263" s="22">
        <v>1386</v>
      </c>
      <c r="E2263" s="17">
        <v>42152</v>
      </c>
      <c r="F2263" s="18">
        <v>0.71416666666666673</v>
      </c>
      <c r="G2263" s="22">
        <v>0</v>
      </c>
      <c r="H2263">
        <v>0</v>
      </c>
      <c r="I2263" s="19" t="e">
        <f>I2262 + (D2263-G2263)</f>
        <v>#VALUE!</v>
      </c>
      <c r="L2263">
        <v>215221</v>
      </c>
      <c r="N2263">
        <v>7</v>
      </c>
      <c r="O2263" t="s">
        <v>44</v>
      </c>
      <c r="P2263">
        <v>2</v>
      </c>
      <c r="R2263">
        <v>1378</v>
      </c>
      <c r="S2263" s="17">
        <v>42151</v>
      </c>
      <c r="T2263" s="17">
        <v>42151</v>
      </c>
      <c r="W2263">
        <v>2015</v>
      </c>
      <c r="X2263">
        <v>7</v>
      </c>
      <c r="AC2263" t="s">
        <v>108</v>
      </c>
      <c r="AD2263" t="s">
        <v>301</v>
      </c>
      <c r="AE2263" t="s">
        <v>46</v>
      </c>
      <c r="AG2263">
        <v>127</v>
      </c>
      <c r="AH2263">
        <v>2</v>
      </c>
      <c r="AI2263" t="s">
        <v>50</v>
      </c>
      <c r="AK2263">
        <v>0</v>
      </c>
      <c r="AM2263">
        <v>0</v>
      </c>
      <c r="AP2263" t="s">
        <v>5103</v>
      </c>
    </row>
    <row r="2264" spans="1:42" customFormat="1">
      <c r="A2264">
        <v>271392</v>
      </c>
      <c r="B2264">
        <v>215386</v>
      </c>
      <c r="C2264" t="s">
        <v>5170</v>
      </c>
      <c r="D2264" s="22">
        <v>1386</v>
      </c>
      <c r="E2264" s="17">
        <v>42152</v>
      </c>
      <c r="F2264" s="18">
        <v>0.71416666666666673</v>
      </c>
      <c r="G2264" s="22">
        <v>0</v>
      </c>
      <c r="H2264">
        <v>0</v>
      </c>
      <c r="I2264" s="19" t="e">
        <f>I2263 + (D2264-G2264)</f>
        <v>#VALUE!</v>
      </c>
      <c r="L2264">
        <v>215386</v>
      </c>
      <c r="N2264">
        <v>7</v>
      </c>
      <c r="O2264" t="s">
        <v>44</v>
      </c>
      <c r="P2264">
        <v>2</v>
      </c>
      <c r="R2264">
        <v>1378</v>
      </c>
      <c r="S2264" s="17">
        <v>42151</v>
      </c>
      <c r="T2264" s="17">
        <v>42151</v>
      </c>
      <c r="W2264">
        <v>2015</v>
      </c>
      <c r="X2264">
        <v>7</v>
      </c>
      <c r="AC2264" t="s">
        <v>108</v>
      </c>
      <c r="AD2264" t="s">
        <v>301</v>
      </c>
      <c r="AE2264" t="s">
        <v>46</v>
      </c>
      <c r="AG2264">
        <v>127</v>
      </c>
      <c r="AH2264">
        <v>2</v>
      </c>
      <c r="AI2264" t="s">
        <v>50</v>
      </c>
      <c r="AK2264">
        <v>0</v>
      </c>
      <c r="AM2264">
        <v>0</v>
      </c>
      <c r="AP2264" t="s">
        <v>5103</v>
      </c>
    </row>
    <row r="2265" spans="1:42" customFormat="1">
      <c r="A2265">
        <v>268644</v>
      </c>
      <c r="B2265" t="s">
        <v>235</v>
      </c>
      <c r="C2265" t="s">
        <v>348</v>
      </c>
      <c r="D2265" s="22">
        <v>1134.7</v>
      </c>
      <c r="E2265" s="17">
        <v>42128</v>
      </c>
      <c r="F2265" s="18">
        <v>0.38018518518518518</v>
      </c>
      <c r="G2265" s="22">
        <v>0</v>
      </c>
      <c r="H2265">
        <v>0</v>
      </c>
      <c r="I2265" s="19" t="e">
        <f>I2264 + (D2265-G2265)</f>
        <v>#VALUE!</v>
      </c>
      <c r="N2265">
        <v>60</v>
      </c>
      <c r="O2265" t="s">
        <v>60</v>
      </c>
      <c r="P2265">
        <v>1</v>
      </c>
      <c r="R2265">
        <v>1630</v>
      </c>
      <c r="S2265" s="17">
        <v>42131</v>
      </c>
      <c r="T2265" s="17">
        <v>42131</v>
      </c>
      <c r="W2265">
        <v>2015</v>
      </c>
      <c r="X2265">
        <v>60</v>
      </c>
      <c r="AC2265" t="s">
        <v>103</v>
      </c>
      <c r="AD2265" t="s">
        <v>301</v>
      </c>
      <c r="AE2265" t="s">
        <v>46</v>
      </c>
      <c r="AG2265">
        <v>52</v>
      </c>
      <c r="AH2265">
        <v>8</v>
      </c>
      <c r="AI2265" t="s">
        <v>52</v>
      </c>
      <c r="AM2265">
        <v>0</v>
      </c>
      <c r="AP2265" t="s">
        <v>325</v>
      </c>
    </row>
    <row r="2266" spans="1:42" customFormat="1">
      <c r="A2266">
        <v>268645</v>
      </c>
      <c r="B2266" t="s">
        <v>241</v>
      </c>
      <c r="C2266" t="s">
        <v>349</v>
      </c>
      <c r="D2266" s="22">
        <v>2208.12</v>
      </c>
      <c r="E2266" s="17">
        <v>42128</v>
      </c>
      <c r="F2266" s="18">
        <v>0.38089120370370372</v>
      </c>
      <c r="G2266" s="22">
        <v>0</v>
      </c>
      <c r="H2266">
        <v>0</v>
      </c>
      <c r="I2266" s="19" t="e">
        <f>I2265 + (D2266-G2266)</f>
        <v>#VALUE!</v>
      </c>
      <c r="N2266">
        <v>60</v>
      </c>
      <c r="O2266" t="s">
        <v>60</v>
      </c>
      <c r="P2266">
        <v>1</v>
      </c>
      <c r="R2266">
        <v>1630</v>
      </c>
      <c r="S2266" s="17">
        <v>42131</v>
      </c>
      <c r="T2266" s="17">
        <v>42131</v>
      </c>
      <c r="W2266">
        <v>2015</v>
      </c>
      <c r="X2266">
        <v>60</v>
      </c>
      <c r="AC2266" t="s">
        <v>103</v>
      </c>
      <c r="AD2266" t="s">
        <v>301</v>
      </c>
      <c r="AE2266" t="s">
        <v>46</v>
      </c>
      <c r="AG2266">
        <v>52</v>
      </c>
      <c r="AH2266">
        <v>8</v>
      </c>
      <c r="AI2266" t="s">
        <v>52</v>
      </c>
      <c r="AM2266">
        <v>0</v>
      </c>
      <c r="AP2266" t="s">
        <v>325</v>
      </c>
    </row>
    <row r="2267" spans="1:42" customFormat="1">
      <c r="A2267">
        <v>268646</v>
      </c>
      <c r="B2267" t="s">
        <v>241</v>
      </c>
      <c r="C2267" t="s">
        <v>349</v>
      </c>
      <c r="D2267" s="22">
        <v>2835.1</v>
      </c>
      <c r="E2267" s="17">
        <v>42128</v>
      </c>
      <c r="F2267" s="18">
        <v>0.38248842592592597</v>
      </c>
      <c r="G2267" s="22">
        <v>0</v>
      </c>
      <c r="H2267">
        <v>0</v>
      </c>
      <c r="I2267" s="19" t="e">
        <f>I2266 + (D2267-G2267)</f>
        <v>#VALUE!</v>
      </c>
      <c r="N2267">
        <v>60</v>
      </c>
      <c r="O2267" t="s">
        <v>60</v>
      </c>
      <c r="P2267">
        <v>1</v>
      </c>
      <c r="R2267">
        <v>1630</v>
      </c>
      <c r="S2267" s="17">
        <v>42131</v>
      </c>
      <c r="T2267" s="17">
        <v>42131</v>
      </c>
      <c r="W2267">
        <v>2015</v>
      </c>
      <c r="X2267">
        <v>60</v>
      </c>
      <c r="AC2267" t="s">
        <v>103</v>
      </c>
      <c r="AD2267" t="s">
        <v>301</v>
      </c>
      <c r="AE2267" t="s">
        <v>46</v>
      </c>
      <c r="AG2267">
        <v>52</v>
      </c>
      <c r="AH2267">
        <v>8</v>
      </c>
      <c r="AI2267" t="s">
        <v>52</v>
      </c>
      <c r="AM2267">
        <v>0</v>
      </c>
      <c r="AP2267" t="s">
        <v>325</v>
      </c>
    </row>
    <row r="2268" spans="1:42" customFormat="1">
      <c r="A2268">
        <v>268040</v>
      </c>
      <c r="B2268" t="s">
        <v>102</v>
      </c>
      <c r="C2268" t="s">
        <v>215</v>
      </c>
      <c r="D2268" s="22">
        <v>1842.25</v>
      </c>
      <c r="E2268" s="17">
        <v>42128</v>
      </c>
      <c r="F2268" s="18">
        <v>0.57778935185185187</v>
      </c>
      <c r="G2268" s="22">
        <v>0</v>
      </c>
      <c r="H2268">
        <v>0</v>
      </c>
      <c r="I2268" s="19" t="e">
        <f>I2267 + (D2268-G2268)</f>
        <v>#VALUE!</v>
      </c>
      <c r="N2268">
        <v>7</v>
      </c>
      <c r="O2268" t="s">
        <v>44</v>
      </c>
      <c r="P2268">
        <v>1</v>
      </c>
      <c r="R2268">
        <v>1630</v>
      </c>
      <c r="S2268" s="17">
        <v>42130</v>
      </c>
      <c r="T2268" s="17">
        <v>42130</v>
      </c>
      <c r="W2268">
        <v>2015</v>
      </c>
      <c r="X2268">
        <v>7</v>
      </c>
      <c r="AC2268" t="s">
        <v>103</v>
      </c>
      <c r="AD2268" t="s">
        <v>301</v>
      </c>
      <c r="AE2268" t="s">
        <v>46</v>
      </c>
      <c r="AG2268">
        <v>4</v>
      </c>
      <c r="AH2268">
        <v>12</v>
      </c>
      <c r="AI2268" t="s">
        <v>104</v>
      </c>
      <c r="AM2268">
        <v>0</v>
      </c>
      <c r="AP2268" t="s">
        <v>389</v>
      </c>
    </row>
    <row r="2269" spans="1:42" customFormat="1">
      <c r="A2269">
        <v>268081</v>
      </c>
      <c r="B2269" t="s">
        <v>235</v>
      </c>
      <c r="C2269" t="s">
        <v>132</v>
      </c>
      <c r="D2269" s="22">
        <v>1145.8</v>
      </c>
      <c r="E2269" s="17">
        <v>42128</v>
      </c>
      <c r="F2269" s="18">
        <v>0.60473379629629631</v>
      </c>
      <c r="G2269" s="22">
        <v>0</v>
      </c>
      <c r="H2269">
        <v>0</v>
      </c>
      <c r="I2269" s="19" t="e">
        <f>I2268 + (D2269-G2269)</f>
        <v>#VALUE!</v>
      </c>
      <c r="N2269">
        <v>60</v>
      </c>
      <c r="O2269" t="s">
        <v>60</v>
      </c>
      <c r="P2269">
        <v>1</v>
      </c>
      <c r="R2269">
        <v>1630</v>
      </c>
      <c r="S2269" s="17">
        <v>42130</v>
      </c>
      <c r="T2269" s="17">
        <v>42130</v>
      </c>
      <c r="W2269">
        <v>2015</v>
      </c>
      <c r="X2269">
        <v>60</v>
      </c>
      <c r="AC2269" t="s">
        <v>103</v>
      </c>
      <c r="AD2269" t="s">
        <v>301</v>
      </c>
      <c r="AE2269" t="s">
        <v>46</v>
      </c>
      <c r="AG2269">
        <v>74</v>
      </c>
      <c r="AH2269">
        <v>8</v>
      </c>
      <c r="AI2269" t="s">
        <v>52</v>
      </c>
      <c r="AM2269">
        <v>0</v>
      </c>
      <c r="AP2269" t="s">
        <v>506</v>
      </c>
    </row>
    <row r="2270" spans="1:42" customFormat="1">
      <c r="A2270">
        <v>268677</v>
      </c>
      <c r="B2270" t="s">
        <v>235</v>
      </c>
      <c r="C2270" t="s">
        <v>349</v>
      </c>
      <c r="D2270" s="22">
        <v>4249.54</v>
      </c>
      <c r="E2270" s="17">
        <v>42129</v>
      </c>
      <c r="F2270" s="18">
        <v>0.40581018518518519</v>
      </c>
      <c r="G2270" s="22">
        <v>0</v>
      </c>
      <c r="H2270">
        <v>0</v>
      </c>
      <c r="I2270" s="19" t="e">
        <f>I2269 + (D2270-G2270)</f>
        <v>#VALUE!</v>
      </c>
      <c r="N2270">
        <v>60</v>
      </c>
      <c r="O2270" t="s">
        <v>60</v>
      </c>
      <c r="P2270">
        <v>1</v>
      </c>
      <c r="R2270">
        <v>1630</v>
      </c>
      <c r="S2270" s="17">
        <v>42131</v>
      </c>
      <c r="T2270" s="17">
        <v>42131</v>
      </c>
      <c r="W2270">
        <v>2015</v>
      </c>
      <c r="X2270">
        <v>60</v>
      </c>
      <c r="AC2270" t="s">
        <v>103</v>
      </c>
      <c r="AD2270" t="s">
        <v>301</v>
      </c>
      <c r="AE2270" t="s">
        <v>46</v>
      </c>
      <c r="AG2270">
        <v>52</v>
      </c>
      <c r="AH2270">
        <v>8</v>
      </c>
      <c r="AI2270" t="s">
        <v>52</v>
      </c>
      <c r="AM2270">
        <v>0</v>
      </c>
      <c r="AP2270" t="s">
        <v>325</v>
      </c>
    </row>
    <row r="2271" spans="1:42" customFormat="1">
      <c r="A2271">
        <v>268484</v>
      </c>
      <c r="B2271" t="s">
        <v>102</v>
      </c>
      <c r="C2271" t="s">
        <v>1562</v>
      </c>
      <c r="D2271" s="22">
        <v>2486.1999999999998</v>
      </c>
      <c r="E2271" s="17">
        <v>42129</v>
      </c>
      <c r="F2271" s="18">
        <v>0.67767361111111113</v>
      </c>
      <c r="G2271" s="22">
        <v>0</v>
      </c>
      <c r="H2271">
        <v>0</v>
      </c>
      <c r="I2271" s="19" t="e">
        <f>I2270 + (D2271-G2271)</f>
        <v>#VALUE!</v>
      </c>
      <c r="N2271">
        <v>7</v>
      </c>
      <c r="O2271" t="s">
        <v>44</v>
      </c>
      <c r="P2271">
        <v>1</v>
      </c>
      <c r="R2271">
        <v>1630</v>
      </c>
      <c r="S2271" s="17">
        <v>42130</v>
      </c>
      <c r="T2271" s="17">
        <v>42130</v>
      </c>
      <c r="W2271">
        <v>2015</v>
      </c>
      <c r="X2271">
        <v>7</v>
      </c>
      <c r="AC2271" t="s">
        <v>103</v>
      </c>
      <c r="AD2271" t="s">
        <v>301</v>
      </c>
      <c r="AE2271" t="s">
        <v>46</v>
      </c>
      <c r="AG2271">
        <v>12</v>
      </c>
      <c r="AH2271">
        <v>2</v>
      </c>
      <c r="AI2271" t="s">
        <v>50</v>
      </c>
      <c r="AM2271">
        <v>0</v>
      </c>
      <c r="AP2271" t="s">
        <v>392</v>
      </c>
    </row>
    <row r="2272" spans="1:42" customFormat="1">
      <c r="A2272">
        <v>269913</v>
      </c>
      <c r="B2272" t="s">
        <v>102</v>
      </c>
      <c r="C2272" t="s">
        <v>1671</v>
      </c>
      <c r="D2272" s="22">
        <v>1579.55</v>
      </c>
      <c r="E2272" s="17">
        <v>42130</v>
      </c>
      <c r="F2272" s="18">
        <v>0.45701388888888889</v>
      </c>
      <c r="G2272" s="22">
        <v>0</v>
      </c>
      <c r="H2272">
        <v>0</v>
      </c>
      <c r="I2272" s="19" t="e">
        <f>I2271 + (D2272-G2272)</f>
        <v>#VALUE!</v>
      </c>
      <c r="N2272">
        <v>24</v>
      </c>
      <c r="O2272" t="s">
        <v>68</v>
      </c>
      <c r="P2272">
        <v>1</v>
      </c>
      <c r="R2272">
        <v>1630</v>
      </c>
      <c r="S2272" s="17">
        <v>42138</v>
      </c>
      <c r="T2272" s="17">
        <v>42138</v>
      </c>
      <c r="W2272">
        <v>2015</v>
      </c>
      <c r="X2272">
        <v>24</v>
      </c>
      <c r="AC2272" t="s">
        <v>103</v>
      </c>
      <c r="AD2272" t="s">
        <v>301</v>
      </c>
      <c r="AE2272" t="s">
        <v>46</v>
      </c>
      <c r="AG2272">
        <v>4</v>
      </c>
      <c r="AH2272">
        <v>3</v>
      </c>
      <c r="AI2272" t="s">
        <v>64</v>
      </c>
      <c r="AM2272">
        <v>0</v>
      </c>
      <c r="AP2272" t="s">
        <v>389</v>
      </c>
    </row>
    <row r="2273" spans="1:42" customFormat="1">
      <c r="A2273">
        <v>269914</v>
      </c>
      <c r="B2273" t="s">
        <v>102</v>
      </c>
      <c r="C2273" t="s">
        <v>1671</v>
      </c>
      <c r="D2273" s="22">
        <v>1386</v>
      </c>
      <c r="E2273" s="17">
        <v>42130</v>
      </c>
      <c r="F2273" s="18">
        <v>0.45743055555555556</v>
      </c>
      <c r="G2273" s="22">
        <v>0</v>
      </c>
      <c r="H2273">
        <v>0</v>
      </c>
      <c r="I2273" s="19" t="e">
        <f>I2272 + (D2273-G2273)</f>
        <v>#VALUE!</v>
      </c>
      <c r="N2273">
        <v>24</v>
      </c>
      <c r="O2273" t="s">
        <v>68</v>
      </c>
      <c r="P2273">
        <v>1</v>
      </c>
      <c r="R2273">
        <v>1630</v>
      </c>
      <c r="S2273" s="17">
        <v>42138</v>
      </c>
      <c r="T2273" s="17">
        <v>42138</v>
      </c>
      <c r="W2273">
        <v>2015</v>
      </c>
      <c r="X2273">
        <v>24</v>
      </c>
      <c r="AC2273" t="s">
        <v>103</v>
      </c>
      <c r="AD2273" t="s">
        <v>301</v>
      </c>
      <c r="AE2273" t="s">
        <v>46</v>
      </c>
      <c r="AG2273">
        <v>4</v>
      </c>
      <c r="AH2273">
        <v>3</v>
      </c>
      <c r="AI2273" t="s">
        <v>64</v>
      </c>
      <c r="AM2273">
        <v>0</v>
      </c>
      <c r="AP2273" t="s">
        <v>389</v>
      </c>
    </row>
    <row r="2274" spans="1:42" customFormat="1">
      <c r="A2274">
        <v>270839</v>
      </c>
      <c r="B2274" t="s">
        <v>102</v>
      </c>
      <c r="C2274" t="s">
        <v>1671</v>
      </c>
      <c r="D2274" s="22">
        <v>1300</v>
      </c>
      <c r="E2274" s="17">
        <v>42138</v>
      </c>
      <c r="F2274" s="18">
        <v>0.55334490740740738</v>
      </c>
      <c r="G2274" s="22">
        <v>0</v>
      </c>
      <c r="H2274">
        <v>0</v>
      </c>
      <c r="I2274" s="19" t="e">
        <f>I2273 + (D2274-G2274)</f>
        <v>#VALUE!</v>
      </c>
      <c r="N2274">
        <v>24</v>
      </c>
      <c r="O2274" t="s">
        <v>68</v>
      </c>
      <c r="P2274">
        <v>1</v>
      </c>
      <c r="R2274">
        <v>1630</v>
      </c>
      <c r="S2274" s="17">
        <v>42146</v>
      </c>
      <c r="T2274" s="17">
        <v>42146</v>
      </c>
      <c r="W2274">
        <v>2015</v>
      </c>
      <c r="X2274">
        <v>24</v>
      </c>
      <c r="AC2274" t="s">
        <v>103</v>
      </c>
      <c r="AD2274" t="s">
        <v>301</v>
      </c>
      <c r="AE2274" t="s">
        <v>46</v>
      </c>
      <c r="AG2274">
        <v>4</v>
      </c>
      <c r="AH2274">
        <v>9</v>
      </c>
      <c r="AI2274" t="s">
        <v>54</v>
      </c>
      <c r="AM2274">
        <v>0</v>
      </c>
      <c r="AP2274" t="s">
        <v>389</v>
      </c>
    </row>
    <row r="2275" spans="1:42" customFormat="1">
      <c r="A2275">
        <v>271039</v>
      </c>
      <c r="B2275" t="s">
        <v>102</v>
      </c>
      <c r="C2275" t="s">
        <v>215</v>
      </c>
      <c r="D2275" s="22">
        <v>1131.48</v>
      </c>
      <c r="E2275" s="17">
        <v>42139</v>
      </c>
      <c r="F2275" s="18">
        <v>0.4440162037037037</v>
      </c>
      <c r="G2275" s="22">
        <v>0</v>
      </c>
      <c r="H2275">
        <v>0</v>
      </c>
      <c r="I2275" s="19" t="e">
        <f>I2274 + (D2275-G2275)</f>
        <v>#VALUE!</v>
      </c>
      <c r="N2275">
        <v>7</v>
      </c>
      <c r="O2275" t="s">
        <v>44</v>
      </c>
      <c r="P2275">
        <v>1</v>
      </c>
      <c r="R2275">
        <v>1630</v>
      </c>
      <c r="S2275" s="17">
        <v>42150</v>
      </c>
      <c r="T2275" s="17">
        <v>42150</v>
      </c>
      <c r="W2275">
        <v>2015</v>
      </c>
      <c r="X2275">
        <v>7</v>
      </c>
      <c r="AC2275" t="s">
        <v>103</v>
      </c>
      <c r="AD2275" t="s">
        <v>301</v>
      </c>
      <c r="AE2275" t="s">
        <v>46</v>
      </c>
      <c r="AG2275">
        <v>26</v>
      </c>
      <c r="AH2275">
        <v>2</v>
      </c>
      <c r="AI2275" t="s">
        <v>50</v>
      </c>
      <c r="AM2275">
        <v>0</v>
      </c>
      <c r="AP2275" t="s">
        <v>501</v>
      </c>
    </row>
    <row r="2276" spans="1:42" customFormat="1">
      <c r="A2276">
        <v>274033</v>
      </c>
      <c r="B2276" t="s">
        <v>102</v>
      </c>
      <c r="C2276" t="s">
        <v>191</v>
      </c>
      <c r="D2276" s="22">
        <v>10000</v>
      </c>
      <c r="E2276" s="17">
        <v>42149</v>
      </c>
      <c r="F2276" s="18">
        <v>0.3775</v>
      </c>
      <c r="G2276" s="22">
        <v>0</v>
      </c>
      <c r="H2276">
        <v>0</v>
      </c>
      <c r="I2276" s="19" t="e">
        <f>I2275 + (D2276-G2276)</f>
        <v>#VALUE!</v>
      </c>
      <c r="N2276">
        <v>24</v>
      </c>
      <c r="O2276" t="s">
        <v>68</v>
      </c>
      <c r="P2276">
        <v>1</v>
      </c>
      <c r="R2276">
        <v>1630</v>
      </c>
      <c r="S2276" s="17">
        <v>42180</v>
      </c>
      <c r="T2276" s="17">
        <v>42180</v>
      </c>
      <c r="W2276">
        <v>2015</v>
      </c>
      <c r="X2276">
        <v>24</v>
      </c>
      <c r="AC2276" t="s">
        <v>103</v>
      </c>
      <c r="AD2276" t="s">
        <v>301</v>
      </c>
      <c r="AE2276" t="s">
        <v>46</v>
      </c>
      <c r="AG2276">
        <v>26</v>
      </c>
      <c r="AH2276">
        <v>1</v>
      </c>
      <c r="AI2276" t="s">
        <v>58</v>
      </c>
      <c r="AM2276">
        <v>0</v>
      </c>
      <c r="AP2276" t="s">
        <v>501</v>
      </c>
    </row>
    <row r="2277" spans="1:42" customFormat="1">
      <c r="A2277">
        <v>273973</v>
      </c>
      <c r="B2277" t="s">
        <v>102</v>
      </c>
      <c r="C2277" t="s">
        <v>191</v>
      </c>
      <c r="D2277" s="22">
        <v>930</v>
      </c>
      <c r="E2277" s="17">
        <v>42151</v>
      </c>
      <c r="F2277" s="18">
        <v>0.67836805555555557</v>
      </c>
      <c r="G2277" s="22">
        <v>0</v>
      </c>
      <c r="H2277">
        <v>0</v>
      </c>
      <c r="I2277" s="19" t="e">
        <f>I2276 + (D2277-G2277)</f>
        <v>#VALUE!</v>
      </c>
      <c r="N2277">
        <v>24</v>
      </c>
      <c r="O2277" t="s">
        <v>68</v>
      </c>
      <c r="P2277">
        <v>1</v>
      </c>
      <c r="R2277">
        <v>1630</v>
      </c>
      <c r="S2277" s="17">
        <v>42179</v>
      </c>
      <c r="T2277" s="17">
        <v>42179</v>
      </c>
      <c r="W2277">
        <v>2015</v>
      </c>
      <c r="X2277">
        <v>24</v>
      </c>
      <c r="AC2277" t="s">
        <v>103</v>
      </c>
      <c r="AD2277" t="s">
        <v>301</v>
      </c>
      <c r="AE2277" t="s">
        <v>46</v>
      </c>
      <c r="AG2277">
        <v>56</v>
      </c>
      <c r="AH2277">
        <v>1</v>
      </c>
      <c r="AI2277" t="s">
        <v>58</v>
      </c>
      <c r="AM2277">
        <v>0</v>
      </c>
      <c r="AP2277" t="s">
        <v>59</v>
      </c>
    </row>
    <row r="2278" spans="1:42" customFormat="1">
      <c r="A2278">
        <v>273976</v>
      </c>
      <c r="B2278" t="s">
        <v>102</v>
      </c>
      <c r="C2278" t="s">
        <v>1671</v>
      </c>
      <c r="D2278" s="22">
        <v>930</v>
      </c>
      <c r="E2278" s="17">
        <v>42151</v>
      </c>
      <c r="F2278" s="18">
        <v>0.6796875</v>
      </c>
      <c r="G2278" s="22">
        <v>0</v>
      </c>
      <c r="H2278">
        <v>0</v>
      </c>
      <c r="I2278" s="19" t="e">
        <f>I2277 + (D2278-G2278)</f>
        <v>#VALUE!</v>
      </c>
      <c r="N2278">
        <v>24</v>
      </c>
      <c r="O2278" t="s">
        <v>68</v>
      </c>
      <c r="P2278">
        <v>1</v>
      </c>
      <c r="R2278">
        <v>1630</v>
      </c>
      <c r="S2278" s="17">
        <v>42179</v>
      </c>
      <c r="T2278" s="17">
        <v>42179</v>
      </c>
      <c r="W2278">
        <v>2015</v>
      </c>
      <c r="X2278">
        <v>24</v>
      </c>
      <c r="AC2278" t="s">
        <v>103</v>
      </c>
      <c r="AD2278" t="s">
        <v>301</v>
      </c>
      <c r="AE2278" t="s">
        <v>46</v>
      </c>
      <c r="AG2278">
        <v>27</v>
      </c>
      <c r="AH2278">
        <v>1</v>
      </c>
      <c r="AI2278" t="s">
        <v>58</v>
      </c>
      <c r="AM2278">
        <v>0</v>
      </c>
      <c r="AP2278" t="s">
        <v>1337</v>
      </c>
    </row>
    <row r="2279" spans="1:42" customFormat="1">
      <c r="A2279">
        <v>273080</v>
      </c>
      <c r="B2279" t="s">
        <v>102</v>
      </c>
      <c r="C2279" t="s">
        <v>1671</v>
      </c>
      <c r="D2279" s="22">
        <v>1000</v>
      </c>
      <c r="E2279" s="17">
        <v>42151</v>
      </c>
      <c r="F2279" s="18">
        <v>0.73008101851851848</v>
      </c>
      <c r="G2279" s="22">
        <v>0</v>
      </c>
      <c r="H2279">
        <v>0</v>
      </c>
      <c r="I2279" s="19" t="e">
        <f>I2278 + (D2279-G2279)</f>
        <v>#VALUE!</v>
      </c>
      <c r="N2279">
        <v>24</v>
      </c>
      <c r="O2279" t="s">
        <v>68</v>
      </c>
      <c r="P2279">
        <v>2</v>
      </c>
      <c r="R2279">
        <v>1630</v>
      </c>
      <c r="S2279" s="17">
        <v>42170</v>
      </c>
      <c r="T2279" s="17">
        <v>42170</v>
      </c>
      <c r="W2279">
        <v>2015</v>
      </c>
      <c r="X2279">
        <v>24</v>
      </c>
      <c r="AC2279" t="s">
        <v>103</v>
      </c>
      <c r="AD2279" t="s">
        <v>301</v>
      </c>
      <c r="AE2279" t="s">
        <v>46</v>
      </c>
      <c r="AG2279">
        <v>4</v>
      </c>
      <c r="AH2279">
        <v>4</v>
      </c>
      <c r="AI2279" t="s">
        <v>78</v>
      </c>
      <c r="AM2279">
        <v>0</v>
      </c>
      <c r="AP2279" t="s">
        <v>389</v>
      </c>
    </row>
    <row r="2280" spans="1:42" customFormat="1">
      <c r="A2280">
        <v>273088</v>
      </c>
      <c r="B2280" t="s">
        <v>102</v>
      </c>
      <c r="C2280" t="s">
        <v>1671</v>
      </c>
      <c r="D2280" s="22">
        <v>854.3</v>
      </c>
      <c r="E2280" s="17">
        <v>42152</v>
      </c>
      <c r="F2280" s="18">
        <v>0.73456018518518518</v>
      </c>
      <c r="G2280" s="22">
        <v>0</v>
      </c>
      <c r="H2280">
        <v>0</v>
      </c>
      <c r="I2280" s="19" t="e">
        <f>I2279 + (D2280-G2280)</f>
        <v>#VALUE!</v>
      </c>
      <c r="N2280">
        <v>24</v>
      </c>
      <c r="O2280" t="s">
        <v>68</v>
      </c>
      <c r="P2280">
        <v>1</v>
      </c>
      <c r="R2280">
        <v>1630</v>
      </c>
      <c r="S2280" s="17">
        <v>42170</v>
      </c>
      <c r="T2280" s="17">
        <v>42170</v>
      </c>
      <c r="W2280">
        <v>2015</v>
      </c>
      <c r="X2280">
        <v>24</v>
      </c>
      <c r="AC2280" t="s">
        <v>103</v>
      </c>
      <c r="AD2280" t="s">
        <v>301</v>
      </c>
      <c r="AE2280" t="s">
        <v>46</v>
      </c>
      <c r="AG2280">
        <v>4</v>
      </c>
      <c r="AH2280">
        <v>9</v>
      </c>
      <c r="AI2280" t="s">
        <v>54</v>
      </c>
      <c r="AM2280">
        <v>0</v>
      </c>
      <c r="AP2280" t="s">
        <v>389</v>
      </c>
    </row>
    <row r="2281" spans="1:42" customFormat="1">
      <c r="A2281">
        <v>274042</v>
      </c>
      <c r="B2281" t="s">
        <v>102</v>
      </c>
      <c r="C2281" t="s">
        <v>1671</v>
      </c>
      <c r="D2281" s="22">
        <v>322</v>
      </c>
      <c r="E2281" s="17">
        <v>42153</v>
      </c>
      <c r="F2281" s="18">
        <v>0.38329861111111113</v>
      </c>
      <c r="G2281" s="22">
        <v>0</v>
      </c>
      <c r="H2281">
        <v>0</v>
      </c>
      <c r="I2281" s="19" t="e">
        <f>I2280 + (D2281-G2281)</f>
        <v>#VALUE!</v>
      </c>
      <c r="N2281">
        <v>24</v>
      </c>
      <c r="O2281" t="s">
        <v>68</v>
      </c>
      <c r="P2281">
        <v>1</v>
      </c>
      <c r="R2281">
        <v>1630</v>
      </c>
      <c r="S2281" s="17">
        <v>42180</v>
      </c>
      <c r="T2281" s="17">
        <v>42180</v>
      </c>
      <c r="W2281">
        <v>2015</v>
      </c>
      <c r="X2281">
        <v>24</v>
      </c>
      <c r="AC2281" t="s">
        <v>103</v>
      </c>
      <c r="AD2281" t="s">
        <v>301</v>
      </c>
      <c r="AE2281" t="s">
        <v>46</v>
      </c>
      <c r="AG2281">
        <v>26</v>
      </c>
      <c r="AH2281">
        <v>1</v>
      </c>
      <c r="AI2281" t="s">
        <v>58</v>
      </c>
      <c r="AM2281">
        <v>0</v>
      </c>
      <c r="AP2281" t="s">
        <v>501</v>
      </c>
    </row>
    <row r="2282" spans="1:42" customFormat="1">
      <c r="A2282">
        <v>268039</v>
      </c>
      <c r="B2282" t="s">
        <v>102</v>
      </c>
      <c r="C2282" t="s">
        <v>498</v>
      </c>
      <c r="D2282" s="22">
        <v>1088</v>
      </c>
      <c r="E2282" s="17">
        <v>42128</v>
      </c>
      <c r="F2282" s="18">
        <v>0.57704861111111116</v>
      </c>
      <c r="G2282" s="22">
        <v>0</v>
      </c>
      <c r="H2282">
        <v>0</v>
      </c>
      <c r="I2282" s="19" t="e">
        <f>I2281 + (D2282-G2282)</f>
        <v>#VALUE!</v>
      </c>
      <c r="N2282">
        <v>7</v>
      </c>
      <c r="O2282" t="s">
        <v>44</v>
      </c>
      <c r="P2282">
        <v>1</v>
      </c>
      <c r="R2282">
        <v>95</v>
      </c>
      <c r="S2282" s="17">
        <v>42130</v>
      </c>
      <c r="T2282" s="17">
        <v>42130</v>
      </c>
      <c r="W2282">
        <v>2015</v>
      </c>
      <c r="X2282">
        <v>7</v>
      </c>
      <c r="AC2282" t="s">
        <v>131</v>
      </c>
      <c r="AD2282" t="s">
        <v>301</v>
      </c>
      <c r="AE2282" t="s">
        <v>46</v>
      </c>
      <c r="AG2282">
        <v>4</v>
      </c>
      <c r="AH2282">
        <v>12</v>
      </c>
      <c r="AI2282" t="s">
        <v>104</v>
      </c>
      <c r="AM2282">
        <v>0</v>
      </c>
      <c r="AP2282" t="s">
        <v>389</v>
      </c>
    </row>
    <row r="2283" spans="1:42" customFormat="1">
      <c r="A2283">
        <v>268489</v>
      </c>
      <c r="B2283" t="s">
        <v>30</v>
      </c>
      <c r="C2283" t="s">
        <v>1565</v>
      </c>
      <c r="D2283" s="22">
        <v>0.01</v>
      </c>
      <c r="E2283" s="17">
        <v>42129</v>
      </c>
      <c r="F2283" s="18">
        <v>0.68540509259259252</v>
      </c>
      <c r="G2283" s="22">
        <v>0</v>
      </c>
      <c r="H2283">
        <v>0</v>
      </c>
      <c r="I2283" s="19" t="e">
        <f>I2282 + (D2283-G2283)</f>
        <v>#VALUE!</v>
      </c>
      <c r="N2283">
        <v>7</v>
      </c>
      <c r="O2283" t="s">
        <v>44</v>
      </c>
      <c r="P2283">
        <v>1</v>
      </c>
      <c r="R2283">
        <v>95</v>
      </c>
      <c r="S2283" s="17">
        <v>42130</v>
      </c>
      <c r="T2283" s="17">
        <v>42130</v>
      </c>
      <c r="W2283">
        <v>2015</v>
      </c>
      <c r="X2283">
        <v>7</v>
      </c>
      <c r="AC2283" t="s">
        <v>131</v>
      </c>
      <c r="AD2283" t="s">
        <v>301</v>
      </c>
      <c r="AE2283" t="s">
        <v>46</v>
      </c>
      <c r="AG2283">
        <v>8</v>
      </c>
      <c r="AH2283">
        <v>9</v>
      </c>
      <c r="AI2283" t="s">
        <v>54</v>
      </c>
      <c r="AM2283">
        <v>0</v>
      </c>
      <c r="AP2283" t="s">
        <v>1201</v>
      </c>
    </row>
    <row r="2284" spans="1:42" customFormat="1">
      <c r="A2284">
        <v>268579</v>
      </c>
      <c r="B2284" t="s">
        <v>102</v>
      </c>
      <c r="C2284" t="s">
        <v>1577</v>
      </c>
      <c r="D2284" s="22">
        <v>0.02</v>
      </c>
      <c r="E2284" s="17">
        <v>42129</v>
      </c>
      <c r="F2284" s="18">
        <v>0.70142361111111118</v>
      </c>
      <c r="G2284" s="22">
        <v>0</v>
      </c>
      <c r="H2284">
        <v>0</v>
      </c>
      <c r="I2284" s="19" t="e">
        <f>I2283 + (D2284-G2284)</f>
        <v>#VALUE!</v>
      </c>
      <c r="N2284">
        <v>7</v>
      </c>
      <c r="O2284" t="s">
        <v>44</v>
      </c>
      <c r="P2284">
        <v>2</v>
      </c>
      <c r="R2284">
        <v>95</v>
      </c>
      <c r="S2284" s="17">
        <v>42130</v>
      </c>
      <c r="T2284" s="17">
        <v>42130</v>
      </c>
      <c r="W2284">
        <v>2015</v>
      </c>
      <c r="X2284">
        <v>7</v>
      </c>
      <c r="AC2284" t="s">
        <v>131</v>
      </c>
      <c r="AD2284" t="s">
        <v>301</v>
      </c>
      <c r="AE2284" t="s">
        <v>46</v>
      </c>
      <c r="AG2284">
        <v>26</v>
      </c>
      <c r="AH2284">
        <v>8</v>
      </c>
      <c r="AI2284" t="s">
        <v>52</v>
      </c>
      <c r="AM2284">
        <v>0</v>
      </c>
      <c r="AP2284" t="s">
        <v>501</v>
      </c>
    </row>
    <row r="2285" spans="1:42" customFormat="1">
      <c r="A2285">
        <v>269548</v>
      </c>
      <c r="B2285" t="s">
        <v>102</v>
      </c>
      <c r="C2285" t="s">
        <v>2193</v>
      </c>
      <c r="D2285" s="22">
        <v>0.11</v>
      </c>
      <c r="E2285" s="17">
        <v>42132</v>
      </c>
      <c r="F2285" s="18">
        <v>0.46464120370370371</v>
      </c>
      <c r="G2285" s="22">
        <v>0</v>
      </c>
      <c r="H2285">
        <v>0</v>
      </c>
      <c r="I2285" s="19" t="e">
        <f>I2284 + (D2285-G2285)</f>
        <v>#VALUE!</v>
      </c>
      <c r="N2285">
        <v>60</v>
      </c>
      <c r="O2285" t="s">
        <v>60</v>
      </c>
      <c r="P2285">
        <v>1</v>
      </c>
      <c r="R2285">
        <v>95</v>
      </c>
      <c r="S2285" s="17">
        <v>42136</v>
      </c>
      <c r="T2285" s="17">
        <v>42138</v>
      </c>
      <c r="W2285">
        <v>2015</v>
      </c>
      <c r="X2285">
        <v>24</v>
      </c>
      <c r="AC2285" t="s">
        <v>131</v>
      </c>
      <c r="AD2285" t="s">
        <v>301</v>
      </c>
      <c r="AE2285" t="s">
        <v>46</v>
      </c>
      <c r="AG2285">
        <v>8</v>
      </c>
      <c r="AH2285">
        <v>9</v>
      </c>
      <c r="AI2285" t="s">
        <v>54</v>
      </c>
      <c r="AM2285">
        <v>0</v>
      </c>
      <c r="AP2285" t="s">
        <v>1201</v>
      </c>
    </row>
    <row r="2286" spans="1:42" customFormat="1">
      <c r="A2286">
        <v>269958</v>
      </c>
      <c r="B2286" t="s">
        <v>235</v>
      </c>
      <c r="C2286" t="s">
        <v>2688</v>
      </c>
      <c r="D2286" s="22">
        <v>1097.72</v>
      </c>
      <c r="E2286" s="17">
        <v>42135</v>
      </c>
      <c r="F2286" s="18">
        <v>0.66644675925925922</v>
      </c>
      <c r="G2286" s="22">
        <v>0</v>
      </c>
      <c r="H2286">
        <v>0</v>
      </c>
      <c r="I2286" s="19" t="e">
        <f>I2285 + (D2286-G2286)</f>
        <v>#VALUE!</v>
      </c>
      <c r="N2286">
        <v>7</v>
      </c>
      <c r="O2286" t="s">
        <v>44</v>
      </c>
      <c r="P2286">
        <v>1</v>
      </c>
      <c r="R2286">
        <v>95</v>
      </c>
      <c r="S2286" s="17">
        <v>42138</v>
      </c>
      <c r="T2286" s="17">
        <v>42157</v>
      </c>
      <c r="W2286">
        <v>2015</v>
      </c>
      <c r="X2286">
        <v>24</v>
      </c>
      <c r="AC2286" t="s">
        <v>131</v>
      </c>
      <c r="AD2286" t="s">
        <v>301</v>
      </c>
      <c r="AE2286" t="s">
        <v>46</v>
      </c>
      <c r="AG2286">
        <v>4</v>
      </c>
      <c r="AH2286">
        <v>8</v>
      </c>
      <c r="AI2286" t="s">
        <v>52</v>
      </c>
      <c r="AM2286">
        <v>0</v>
      </c>
      <c r="AP2286" t="s">
        <v>389</v>
      </c>
    </row>
    <row r="2287" spans="1:42" customFormat="1">
      <c r="A2287">
        <v>270840</v>
      </c>
      <c r="B2287" t="s">
        <v>102</v>
      </c>
      <c r="C2287" t="s">
        <v>3194</v>
      </c>
      <c r="D2287" s="22">
        <v>19700</v>
      </c>
      <c r="E2287" s="17">
        <v>42138</v>
      </c>
      <c r="F2287" s="18">
        <v>0.55364583333333328</v>
      </c>
      <c r="G2287" s="22">
        <v>0</v>
      </c>
      <c r="H2287">
        <v>0</v>
      </c>
      <c r="I2287" s="19" t="e">
        <f>I2286 + (D2287-G2287)</f>
        <v>#VALUE!</v>
      </c>
      <c r="N2287">
        <v>24</v>
      </c>
      <c r="O2287" t="s">
        <v>68</v>
      </c>
      <c r="P2287">
        <v>1</v>
      </c>
      <c r="R2287">
        <v>95</v>
      </c>
      <c r="S2287" s="17">
        <v>42146</v>
      </c>
      <c r="T2287" s="17">
        <v>42146</v>
      </c>
      <c r="W2287">
        <v>2015</v>
      </c>
      <c r="X2287">
        <v>24</v>
      </c>
      <c r="AC2287" t="s">
        <v>131</v>
      </c>
      <c r="AD2287" t="s">
        <v>301</v>
      </c>
      <c r="AE2287" t="s">
        <v>46</v>
      </c>
      <c r="AG2287">
        <v>4</v>
      </c>
      <c r="AH2287">
        <v>9</v>
      </c>
      <c r="AI2287" t="s">
        <v>54</v>
      </c>
      <c r="AM2287">
        <v>0</v>
      </c>
      <c r="AP2287" t="s">
        <v>389</v>
      </c>
    </row>
    <row r="2288" spans="1:42" customFormat="1">
      <c r="A2288">
        <v>270861</v>
      </c>
      <c r="B2288" t="s">
        <v>102</v>
      </c>
      <c r="C2288" t="s">
        <v>3476</v>
      </c>
      <c r="D2288" s="22">
        <v>0.01</v>
      </c>
      <c r="E2288" s="17">
        <v>42139</v>
      </c>
      <c r="F2288" s="18">
        <v>0.64523148148148146</v>
      </c>
      <c r="G2288" s="22">
        <v>0</v>
      </c>
      <c r="H2288">
        <v>0</v>
      </c>
      <c r="I2288" s="19" t="e">
        <f>I2287 + (D2288-G2288)</f>
        <v>#VALUE!</v>
      </c>
      <c r="N2288">
        <v>24</v>
      </c>
      <c r="O2288" t="s">
        <v>68</v>
      </c>
      <c r="P2288">
        <v>1</v>
      </c>
      <c r="R2288">
        <v>95</v>
      </c>
      <c r="S2288" s="17">
        <v>42146</v>
      </c>
      <c r="T2288" s="17">
        <v>42146</v>
      </c>
      <c r="W2288">
        <v>2015</v>
      </c>
      <c r="X2288">
        <v>24</v>
      </c>
      <c r="AC2288" t="s">
        <v>131</v>
      </c>
      <c r="AD2288" t="s">
        <v>301</v>
      </c>
      <c r="AE2288" t="s">
        <v>46</v>
      </c>
      <c r="AG2288">
        <v>26</v>
      </c>
      <c r="AH2288">
        <v>9</v>
      </c>
      <c r="AI2288" t="s">
        <v>54</v>
      </c>
      <c r="AM2288">
        <v>0</v>
      </c>
      <c r="AP2288" t="s">
        <v>501</v>
      </c>
    </row>
    <row r="2289" spans="1:42" customFormat="1">
      <c r="A2289">
        <v>270641</v>
      </c>
      <c r="B2289" t="s">
        <v>3541</v>
      </c>
      <c r="C2289" t="s">
        <v>3541</v>
      </c>
      <c r="D2289" s="22">
        <v>1050</v>
      </c>
      <c r="E2289" s="17">
        <v>42142</v>
      </c>
      <c r="F2289" s="18">
        <v>0.4362037037037037</v>
      </c>
      <c r="G2289" s="22">
        <v>0</v>
      </c>
      <c r="H2289">
        <v>0</v>
      </c>
      <c r="I2289" s="19" t="e">
        <f>I2288 + (D2289-G2289)</f>
        <v>#VALUE!</v>
      </c>
      <c r="N2289">
        <v>7</v>
      </c>
      <c r="O2289" t="s">
        <v>44</v>
      </c>
      <c r="P2289">
        <v>1</v>
      </c>
      <c r="R2289">
        <v>95</v>
      </c>
      <c r="S2289" s="17">
        <v>42145</v>
      </c>
      <c r="T2289" s="17">
        <v>42145</v>
      </c>
      <c r="W2289">
        <v>2015</v>
      </c>
      <c r="X2289">
        <v>7</v>
      </c>
      <c r="AC2289" t="s">
        <v>131</v>
      </c>
      <c r="AD2289" t="s">
        <v>301</v>
      </c>
      <c r="AE2289" t="s">
        <v>46</v>
      </c>
      <c r="AG2289">
        <v>7</v>
      </c>
      <c r="AH2289">
        <v>2</v>
      </c>
      <c r="AI2289" t="s">
        <v>50</v>
      </c>
      <c r="AM2289">
        <v>0</v>
      </c>
      <c r="AP2289" t="s">
        <v>220</v>
      </c>
    </row>
    <row r="2290" spans="1:42" customFormat="1">
      <c r="A2290">
        <v>270647</v>
      </c>
      <c r="B2290" t="s">
        <v>102</v>
      </c>
      <c r="C2290" t="s">
        <v>2531</v>
      </c>
      <c r="D2290" s="22">
        <v>0.02</v>
      </c>
      <c r="E2290" s="17">
        <v>42142</v>
      </c>
      <c r="F2290" s="18">
        <v>0.46393518518518517</v>
      </c>
      <c r="G2290" s="22">
        <v>0</v>
      </c>
      <c r="H2290">
        <v>0</v>
      </c>
      <c r="I2290" s="19" t="e">
        <f>I2289 + (D2290-G2290)</f>
        <v>#VALUE!</v>
      </c>
      <c r="N2290">
        <v>24</v>
      </c>
      <c r="O2290" t="s">
        <v>68</v>
      </c>
      <c r="P2290">
        <v>1</v>
      </c>
      <c r="R2290">
        <v>95</v>
      </c>
      <c r="S2290" s="17">
        <v>42145</v>
      </c>
      <c r="T2290" s="17">
        <v>42145</v>
      </c>
      <c r="W2290">
        <v>2015</v>
      </c>
      <c r="X2290">
        <v>24</v>
      </c>
      <c r="AC2290" t="s">
        <v>131</v>
      </c>
      <c r="AD2290" t="s">
        <v>301</v>
      </c>
      <c r="AE2290" t="s">
        <v>46</v>
      </c>
      <c r="AG2290">
        <v>8</v>
      </c>
      <c r="AH2290">
        <v>8</v>
      </c>
      <c r="AI2290" t="s">
        <v>52</v>
      </c>
      <c r="AM2290">
        <v>0</v>
      </c>
      <c r="AP2290" t="s">
        <v>1201</v>
      </c>
    </row>
    <row r="2291" spans="1:42" customFormat="1">
      <c r="A2291">
        <v>271051</v>
      </c>
      <c r="B2291" t="s">
        <v>102</v>
      </c>
      <c r="C2291" t="s">
        <v>4155</v>
      </c>
      <c r="D2291" s="22">
        <v>0.01</v>
      </c>
      <c r="E2291" s="17">
        <v>42146</v>
      </c>
      <c r="F2291" s="18">
        <v>0.48221064814814812</v>
      </c>
      <c r="G2291" s="22">
        <v>0</v>
      </c>
      <c r="H2291">
        <v>0</v>
      </c>
      <c r="I2291" s="19" t="e">
        <f>I2290 + (D2291-G2291)</f>
        <v>#VALUE!</v>
      </c>
      <c r="N2291">
        <v>7</v>
      </c>
      <c r="O2291" t="s">
        <v>44</v>
      </c>
      <c r="P2291">
        <v>1</v>
      </c>
      <c r="R2291">
        <v>95</v>
      </c>
      <c r="S2291" s="17">
        <v>42150</v>
      </c>
      <c r="T2291" s="17">
        <v>42150</v>
      </c>
      <c r="W2291">
        <v>2015</v>
      </c>
      <c r="X2291">
        <v>7</v>
      </c>
      <c r="AC2291" t="s">
        <v>131</v>
      </c>
      <c r="AD2291" t="s">
        <v>301</v>
      </c>
      <c r="AE2291" t="s">
        <v>46</v>
      </c>
      <c r="AG2291">
        <v>26</v>
      </c>
      <c r="AH2291">
        <v>8</v>
      </c>
      <c r="AI2291" t="s">
        <v>52</v>
      </c>
      <c r="AM2291">
        <v>0</v>
      </c>
      <c r="AP2291" t="s">
        <v>501</v>
      </c>
    </row>
    <row r="2292" spans="1:42" customFormat="1">
      <c r="A2292">
        <v>271416</v>
      </c>
      <c r="B2292" t="s">
        <v>235</v>
      </c>
      <c r="C2292" t="s">
        <v>4519</v>
      </c>
      <c r="D2292" s="22">
        <v>2700</v>
      </c>
      <c r="E2292" s="17">
        <v>42149</v>
      </c>
      <c r="F2292" s="18">
        <v>0.39136574074074071</v>
      </c>
      <c r="G2292" s="22">
        <v>0</v>
      </c>
      <c r="H2292">
        <v>0</v>
      </c>
      <c r="I2292" s="19" t="e">
        <f>I2291 + (D2292-G2292)</f>
        <v>#VALUE!</v>
      </c>
      <c r="N2292">
        <v>24</v>
      </c>
      <c r="O2292" t="s">
        <v>68</v>
      </c>
      <c r="P2292">
        <v>2</v>
      </c>
      <c r="R2292">
        <v>95</v>
      </c>
      <c r="S2292" s="17">
        <v>42152</v>
      </c>
      <c r="T2292" s="17">
        <v>42152</v>
      </c>
      <c r="W2292">
        <v>2015</v>
      </c>
      <c r="X2292">
        <v>24</v>
      </c>
      <c r="AC2292" t="s">
        <v>131</v>
      </c>
      <c r="AD2292" t="s">
        <v>301</v>
      </c>
      <c r="AE2292" t="s">
        <v>46</v>
      </c>
      <c r="AG2292">
        <v>56</v>
      </c>
      <c r="AH2292">
        <v>1</v>
      </c>
      <c r="AI2292" t="s">
        <v>58</v>
      </c>
      <c r="AM2292">
        <v>0</v>
      </c>
      <c r="AP2292" t="s">
        <v>59</v>
      </c>
    </row>
    <row r="2293" spans="1:42" customFormat="1">
      <c r="A2293">
        <v>271297</v>
      </c>
      <c r="B2293" t="s">
        <v>235</v>
      </c>
      <c r="C2293" t="s">
        <v>4820</v>
      </c>
      <c r="D2293" s="22">
        <v>2500</v>
      </c>
      <c r="E2293" s="17">
        <v>42150</v>
      </c>
      <c r="F2293" s="18">
        <v>0.58149305555555553</v>
      </c>
      <c r="G2293" s="22">
        <v>0</v>
      </c>
      <c r="H2293">
        <v>0</v>
      </c>
      <c r="I2293" s="19" t="e">
        <f>I2292 + (D2293-G2293)</f>
        <v>#VALUE!</v>
      </c>
      <c r="N2293">
        <v>24</v>
      </c>
      <c r="O2293" t="s">
        <v>68</v>
      </c>
      <c r="P2293">
        <v>1</v>
      </c>
      <c r="R2293">
        <v>95</v>
      </c>
      <c r="S2293" s="17">
        <v>42151</v>
      </c>
      <c r="T2293" s="17">
        <v>42151</v>
      </c>
      <c r="W2293">
        <v>2015</v>
      </c>
      <c r="X2293">
        <v>24</v>
      </c>
      <c r="AC2293" t="s">
        <v>131</v>
      </c>
      <c r="AD2293" t="s">
        <v>301</v>
      </c>
      <c r="AE2293" t="s">
        <v>46</v>
      </c>
      <c r="AG2293">
        <v>55</v>
      </c>
      <c r="AH2293">
        <v>8</v>
      </c>
      <c r="AI2293" t="s">
        <v>52</v>
      </c>
      <c r="AM2293">
        <v>0</v>
      </c>
      <c r="AP2293" t="s">
        <v>4767</v>
      </c>
    </row>
    <row r="2294" spans="1:42" customFormat="1">
      <c r="A2294">
        <v>271298</v>
      </c>
      <c r="B2294" t="s">
        <v>235</v>
      </c>
      <c r="C2294" t="s">
        <v>4821</v>
      </c>
      <c r="D2294" s="22">
        <v>2500</v>
      </c>
      <c r="E2294" s="17">
        <v>42150</v>
      </c>
      <c r="F2294" s="18">
        <v>0.58246527777777779</v>
      </c>
      <c r="G2294" s="22">
        <v>0</v>
      </c>
      <c r="H2294">
        <v>0</v>
      </c>
      <c r="I2294" s="19" t="e">
        <f>I2293 + (D2294-G2294)</f>
        <v>#VALUE!</v>
      </c>
      <c r="N2294">
        <v>24</v>
      </c>
      <c r="O2294" t="s">
        <v>68</v>
      </c>
      <c r="P2294">
        <v>1</v>
      </c>
      <c r="R2294">
        <v>95</v>
      </c>
      <c r="S2294" s="17">
        <v>42151</v>
      </c>
      <c r="T2294" s="17">
        <v>42151</v>
      </c>
      <c r="W2294">
        <v>2015</v>
      </c>
      <c r="X2294">
        <v>24</v>
      </c>
      <c r="AC2294" t="s">
        <v>131</v>
      </c>
      <c r="AD2294" t="s">
        <v>301</v>
      </c>
      <c r="AE2294" t="s">
        <v>46</v>
      </c>
      <c r="AG2294">
        <v>55</v>
      </c>
      <c r="AH2294">
        <v>8</v>
      </c>
      <c r="AI2294" t="s">
        <v>52</v>
      </c>
      <c r="AM2294">
        <v>0</v>
      </c>
      <c r="AP2294" t="s">
        <v>4767</v>
      </c>
    </row>
    <row r="2295" spans="1:42" customFormat="1">
      <c r="A2295">
        <v>273002</v>
      </c>
      <c r="B2295" t="s">
        <v>102</v>
      </c>
      <c r="C2295" t="s">
        <v>4940</v>
      </c>
      <c r="D2295" s="22">
        <v>0.01</v>
      </c>
      <c r="E2295" s="17">
        <v>42151</v>
      </c>
      <c r="F2295" s="18">
        <v>0.3979166666666667</v>
      </c>
      <c r="G2295" s="22">
        <v>0</v>
      </c>
      <c r="H2295">
        <v>0</v>
      </c>
      <c r="I2295" s="19" t="e">
        <f>I2294 + (D2295-G2295)</f>
        <v>#VALUE!</v>
      </c>
      <c r="N2295">
        <v>24</v>
      </c>
      <c r="O2295" t="s">
        <v>68</v>
      </c>
      <c r="P2295">
        <v>1</v>
      </c>
      <c r="R2295">
        <v>95</v>
      </c>
      <c r="S2295" s="17">
        <v>42167</v>
      </c>
      <c r="T2295" s="17">
        <v>42167</v>
      </c>
      <c r="W2295">
        <v>2015</v>
      </c>
      <c r="X2295">
        <v>24</v>
      </c>
      <c r="AC2295" t="s">
        <v>131</v>
      </c>
      <c r="AD2295" t="s">
        <v>301</v>
      </c>
      <c r="AE2295" t="s">
        <v>46</v>
      </c>
      <c r="AG2295">
        <v>8</v>
      </c>
      <c r="AH2295">
        <v>9</v>
      </c>
      <c r="AI2295" t="s">
        <v>54</v>
      </c>
      <c r="AM2295">
        <v>0</v>
      </c>
      <c r="AP2295" t="s">
        <v>1201</v>
      </c>
    </row>
    <row r="2296" spans="1:42" customFormat="1">
      <c r="A2296">
        <v>269378</v>
      </c>
      <c r="B2296" t="s">
        <v>1925</v>
      </c>
      <c r="C2296" t="s">
        <v>1926</v>
      </c>
      <c r="D2296" s="22">
        <v>377.8</v>
      </c>
      <c r="E2296" s="17">
        <v>42131</v>
      </c>
      <c r="F2296" s="18">
        <v>0.38160879629629635</v>
      </c>
      <c r="G2296" s="22">
        <v>0</v>
      </c>
      <c r="H2296">
        <v>0</v>
      </c>
      <c r="I2296" s="19" t="e">
        <f>I2295 + (D2296-G2296)</f>
        <v>#VALUE!</v>
      </c>
      <c r="N2296">
        <v>8</v>
      </c>
      <c r="O2296" t="s">
        <v>63</v>
      </c>
      <c r="P2296">
        <v>1</v>
      </c>
      <c r="R2296">
        <v>1434</v>
      </c>
      <c r="S2296" s="17">
        <v>42136</v>
      </c>
      <c r="T2296" s="17">
        <v>42136</v>
      </c>
      <c r="W2296">
        <v>2015</v>
      </c>
      <c r="X2296">
        <v>8</v>
      </c>
      <c r="AC2296" t="s">
        <v>67</v>
      </c>
      <c r="AD2296" t="s">
        <v>301</v>
      </c>
      <c r="AE2296" t="s">
        <v>46</v>
      </c>
      <c r="AG2296">
        <v>56</v>
      </c>
      <c r="AH2296">
        <v>1</v>
      </c>
      <c r="AI2296" t="s">
        <v>58</v>
      </c>
      <c r="AM2296">
        <v>0</v>
      </c>
      <c r="AP2296" t="s">
        <v>59</v>
      </c>
    </row>
    <row r="2297" spans="1:42" customFormat="1">
      <c r="A2297">
        <v>269734</v>
      </c>
      <c r="B2297" t="s">
        <v>2101</v>
      </c>
      <c r="C2297" t="s">
        <v>2102</v>
      </c>
      <c r="D2297" s="22">
        <v>856.75</v>
      </c>
      <c r="E2297" s="17">
        <v>42132</v>
      </c>
      <c r="F2297" s="18">
        <v>0.4131481481481481</v>
      </c>
      <c r="G2297" s="22">
        <v>0</v>
      </c>
      <c r="H2297">
        <v>0</v>
      </c>
      <c r="I2297" s="19" t="e">
        <f>I2296 + (D2297-G2297)</f>
        <v>#VALUE!</v>
      </c>
      <c r="N2297">
        <v>8</v>
      </c>
      <c r="O2297" t="s">
        <v>63</v>
      </c>
      <c r="P2297">
        <v>1</v>
      </c>
      <c r="R2297">
        <v>1434</v>
      </c>
      <c r="S2297" s="17">
        <v>42137</v>
      </c>
      <c r="T2297" s="17">
        <v>42137</v>
      </c>
      <c r="W2297">
        <v>2015</v>
      </c>
      <c r="X2297">
        <v>8</v>
      </c>
      <c r="AC2297" t="s">
        <v>67</v>
      </c>
      <c r="AD2297" t="s">
        <v>301</v>
      </c>
      <c r="AE2297" t="s">
        <v>46</v>
      </c>
      <c r="AG2297">
        <v>56</v>
      </c>
      <c r="AH2297">
        <v>1</v>
      </c>
      <c r="AI2297" t="s">
        <v>58</v>
      </c>
      <c r="AM2297">
        <v>0</v>
      </c>
      <c r="AP2297" t="s">
        <v>59</v>
      </c>
    </row>
    <row r="2298" spans="1:42" customFormat="1">
      <c r="A2298">
        <v>273301</v>
      </c>
      <c r="B2298" t="s">
        <v>2518</v>
      </c>
      <c r="C2298" t="s">
        <v>2577</v>
      </c>
      <c r="D2298" s="22">
        <v>353.13</v>
      </c>
      <c r="E2298" s="17">
        <v>42135</v>
      </c>
      <c r="F2298" s="18">
        <v>0.59160879629629626</v>
      </c>
      <c r="G2298" s="22">
        <v>0</v>
      </c>
      <c r="H2298">
        <v>0</v>
      </c>
      <c r="I2298" s="19" t="e">
        <f>I2297 + (D2298-G2298)</f>
        <v>#VALUE!</v>
      </c>
      <c r="N2298">
        <v>8</v>
      </c>
      <c r="O2298" t="s">
        <v>63</v>
      </c>
      <c r="P2298">
        <v>1</v>
      </c>
      <c r="R2298">
        <v>1434</v>
      </c>
      <c r="S2298" s="17">
        <v>42172</v>
      </c>
      <c r="T2298" s="17">
        <v>42172</v>
      </c>
      <c r="W2298">
        <v>2015</v>
      </c>
      <c r="X2298">
        <v>8</v>
      </c>
      <c r="AC2298" t="s">
        <v>67</v>
      </c>
      <c r="AD2298" t="s">
        <v>301</v>
      </c>
      <c r="AE2298" t="s">
        <v>46</v>
      </c>
      <c r="AG2298">
        <v>26</v>
      </c>
      <c r="AH2298">
        <v>3</v>
      </c>
      <c r="AI2298" t="s">
        <v>64</v>
      </c>
      <c r="AM2298">
        <v>0</v>
      </c>
      <c r="AP2298" t="s">
        <v>501</v>
      </c>
    </row>
    <row r="2299" spans="1:42" customFormat="1">
      <c r="A2299">
        <v>271458</v>
      </c>
      <c r="B2299" t="s">
        <v>3201</v>
      </c>
      <c r="C2299" t="s">
        <v>3202</v>
      </c>
      <c r="D2299" s="22">
        <v>636.67999999999995</v>
      </c>
      <c r="E2299" s="17">
        <v>42138</v>
      </c>
      <c r="F2299" s="18">
        <v>0.63998842592592597</v>
      </c>
      <c r="G2299" s="22">
        <v>0</v>
      </c>
      <c r="H2299">
        <v>0</v>
      </c>
      <c r="I2299" s="19" t="e">
        <f>I2298 + (D2299-G2299)</f>
        <v>#VALUE!</v>
      </c>
      <c r="N2299">
        <v>8</v>
      </c>
      <c r="O2299" t="s">
        <v>63</v>
      </c>
      <c r="P2299">
        <v>1</v>
      </c>
      <c r="R2299">
        <v>1434</v>
      </c>
      <c r="S2299" s="17">
        <v>42152</v>
      </c>
      <c r="T2299" s="17">
        <v>42152</v>
      </c>
      <c r="W2299">
        <v>2015</v>
      </c>
      <c r="X2299">
        <v>8</v>
      </c>
      <c r="AC2299" t="s">
        <v>67</v>
      </c>
      <c r="AD2299" t="s">
        <v>301</v>
      </c>
      <c r="AE2299" t="s">
        <v>46</v>
      </c>
      <c r="AG2299">
        <v>26</v>
      </c>
      <c r="AH2299">
        <v>3</v>
      </c>
      <c r="AI2299" t="s">
        <v>64</v>
      </c>
      <c r="AM2299">
        <v>0</v>
      </c>
      <c r="AP2299" t="s">
        <v>501</v>
      </c>
    </row>
    <row r="2300" spans="1:42" customFormat="1">
      <c r="A2300">
        <v>270312</v>
      </c>
      <c r="B2300" t="s">
        <v>3288</v>
      </c>
      <c r="C2300" t="s">
        <v>3289</v>
      </c>
      <c r="D2300" s="22">
        <v>22.5</v>
      </c>
      <c r="E2300" s="17">
        <v>42139</v>
      </c>
      <c r="F2300" s="18">
        <v>0.3903240740740741</v>
      </c>
      <c r="G2300" s="22">
        <v>0</v>
      </c>
      <c r="H2300">
        <v>0</v>
      </c>
      <c r="I2300" s="19" t="e">
        <f>I2299 + (D2300-G2300)</f>
        <v>#VALUE!</v>
      </c>
      <c r="N2300">
        <v>8</v>
      </c>
      <c r="O2300" t="s">
        <v>63</v>
      </c>
      <c r="P2300">
        <v>1</v>
      </c>
      <c r="R2300">
        <v>1434</v>
      </c>
      <c r="S2300" s="17">
        <v>42144</v>
      </c>
      <c r="T2300" s="17">
        <v>42144</v>
      </c>
      <c r="W2300">
        <v>2015</v>
      </c>
      <c r="X2300">
        <v>8</v>
      </c>
      <c r="AC2300" t="s">
        <v>67</v>
      </c>
      <c r="AD2300" t="s">
        <v>301</v>
      </c>
      <c r="AE2300" t="s">
        <v>46</v>
      </c>
      <c r="AG2300">
        <v>56</v>
      </c>
      <c r="AH2300">
        <v>1</v>
      </c>
      <c r="AI2300" t="s">
        <v>58</v>
      </c>
      <c r="AM2300">
        <v>0</v>
      </c>
      <c r="AP2300" t="s">
        <v>59</v>
      </c>
    </row>
    <row r="2301" spans="1:42" customFormat="1">
      <c r="A2301">
        <v>270313</v>
      </c>
      <c r="B2301" t="s">
        <v>3288</v>
      </c>
      <c r="C2301" t="s">
        <v>3354</v>
      </c>
      <c r="D2301" s="22">
        <v>379</v>
      </c>
      <c r="E2301" s="17">
        <v>42139</v>
      </c>
      <c r="F2301" s="18">
        <v>0.39333333333333331</v>
      </c>
      <c r="G2301" s="22">
        <v>0</v>
      </c>
      <c r="H2301">
        <v>0</v>
      </c>
      <c r="I2301" s="19" t="e">
        <f>I2300 + (D2301-G2301)</f>
        <v>#VALUE!</v>
      </c>
      <c r="N2301">
        <v>8</v>
      </c>
      <c r="O2301" t="s">
        <v>63</v>
      </c>
      <c r="P2301">
        <v>1</v>
      </c>
      <c r="R2301">
        <v>1434</v>
      </c>
      <c r="S2301" s="17">
        <v>42144</v>
      </c>
      <c r="T2301" s="17">
        <v>42144</v>
      </c>
      <c r="W2301">
        <v>2015</v>
      </c>
      <c r="X2301">
        <v>8</v>
      </c>
      <c r="AC2301" t="s">
        <v>67</v>
      </c>
      <c r="AD2301" t="s">
        <v>301</v>
      </c>
      <c r="AE2301" t="s">
        <v>46</v>
      </c>
      <c r="AG2301">
        <v>56</v>
      </c>
      <c r="AH2301">
        <v>1</v>
      </c>
      <c r="AI2301" t="s">
        <v>58</v>
      </c>
      <c r="AM2301">
        <v>0</v>
      </c>
      <c r="AP2301" t="s">
        <v>59</v>
      </c>
    </row>
    <row r="2302" spans="1:42" customFormat="1">
      <c r="A2302">
        <v>270345</v>
      </c>
      <c r="B2302" t="s">
        <v>3288</v>
      </c>
      <c r="C2302" t="s">
        <v>3393</v>
      </c>
      <c r="D2302" s="22">
        <v>1096</v>
      </c>
      <c r="E2302" s="17">
        <v>42139</v>
      </c>
      <c r="F2302" s="18">
        <v>0.42120370370370369</v>
      </c>
      <c r="G2302" s="22">
        <v>0</v>
      </c>
      <c r="H2302">
        <v>0</v>
      </c>
      <c r="I2302" s="19" t="e">
        <f>I2301 + (D2302-G2302)</f>
        <v>#VALUE!</v>
      </c>
      <c r="N2302">
        <v>8</v>
      </c>
      <c r="O2302" t="s">
        <v>63</v>
      </c>
      <c r="P2302">
        <v>1</v>
      </c>
      <c r="R2302">
        <v>1434</v>
      </c>
      <c r="S2302" s="17">
        <v>42144</v>
      </c>
      <c r="T2302" s="17">
        <v>42144</v>
      </c>
      <c r="W2302">
        <v>2015</v>
      </c>
      <c r="X2302">
        <v>8</v>
      </c>
      <c r="AC2302" t="s">
        <v>67</v>
      </c>
      <c r="AD2302" t="s">
        <v>301</v>
      </c>
      <c r="AE2302" t="s">
        <v>46</v>
      </c>
      <c r="AG2302">
        <v>56</v>
      </c>
      <c r="AH2302">
        <v>1</v>
      </c>
      <c r="AI2302" t="s">
        <v>58</v>
      </c>
      <c r="AM2302">
        <v>0</v>
      </c>
      <c r="AP2302" t="s">
        <v>59</v>
      </c>
    </row>
    <row r="2303" spans="1:42" customFormat="1">
      <c r="A2303">
        <v>270362</v>
      </c>
      <c r="B2303" t="s">
        <v>3288</v>
      </c>
      <c r="C2303" t="s">
        <v>3396</v>
      </c>
      <c r="D2303" s="22">
        <v>318</v>
      </c>
      <c r="E2303" s="17">
        <v>42139</v>
      </c>
      <c r="F2303" s="18">
        <v>0.42390046296296297</v>
      </c>
      <c r="G2303" s="22">
        <v>0</v>
      </c>
      <c r="H2303">
        <v>0</v>
      </c>
      <c r="I2303" s="19" t="e">
        <f>I2302 + (D2303-G2303)</f>
        <v>#VALUE!</v>
      </c>
      <c r="N2303">
        <v>8</v>
      </c>
      <c r="O2303" t="s">
        <v>63</v>
      </c>
      <c r="P2303">
        <v>1</v>
      </c>
      <c r="R2303">
        <v>1434</v>
      </c>
      <c r="S2303" s="17">
        <v>42144</v>
      </c>
      <c r="T2303" s="17">
        <v>42144</v>
      </c>
      <c r="W2303">
        <v>2015</v>
      </c>
      <c r="X2303">
        <v>8</v>
      </c>
      <c r="AC2303" t="s">
        <v>67</v>
      </c>
      <c r="AD2303" t="s">
        <v>301</v>
      </c>
      <c r="AE2303" t="s">
        <v>46</v>
      </c>
      <c r="AG2303">
        <v>56</v>
      </c>
      <c r="AH2303">
        <v>1</v>
      </c>
      <c r="AI2303" t="s">
        <v>58</v>
      </c>
      <c r="AM2303">
        <v>0</v>
      </c>
      <c r="AP2303" t="s">
        <v>59</v>
      </c>
    </row>
    <row r="2304" spans="1:42" customFormat="1">
      <c r="A2304">
        <v>271462</v>
      </c>
      <c r="B2304" t="s">
        <v>3477</v>
      </c>
      <c r="C2304" t="s">
        <v>3478</v>
      </c>
      <c r="D2304" s="22">
        <v>318</v>
      </c>
      <c r="E2304" s="17">
        <v>42139</v>
      </c>
      <c r="F2304" s="18">
        <v>0.65013888888888893</v>
      </c>
      <c r="G2304" s="22">
        <v>0</v>
      </c>
      <c r="H2304">
        <v>0</v>
      </c>
      <c r="I2304" s="19" t="e">
        <f>I2303 + (D2304-G2304)</f>
        <v>#VALUE!</v>
      </c>
      <c r="N2304">
        <v>8</v>
      </c>
      <c r="O2304" t="s">
        <v>63</v>
      </c>
      <c r="P2304">
        <v>1</v>
      </c>
      <c r="R2304">
        <v>1434</v>
      </c>
      <c r="S2304" s="17">
        <v>42152</v>
      </c>
      <c r="T2304" s="17">
        <v>42152</v>
      </c>
      <c r="W2304">
        <v>2015</v>
      </c>
      <c r="X2304">
        <v>8</v>
      </c>
      <c r="AC2304" t="s">
        <v>67</v>
      </c>
      <c r="AD2304" t="s">
        <v>301</v>
      </c>
      <c r="AE2304" t="s">
        <v>46</v>
      </c>
      <c r="AG2304">
        <v>26</v>
      </c>
      <c r="AH2304">
        <v>3</v>
      </c>
      <c r="AI2304" t="s">
        <v>64</v>
      </c>
      <c r="AM2304">
        <v>0</v>
      </c>
      <c r="AP2304" t="s">
        <v>501</v>
      </c>
    </row>
    <row r="2305" spans="1:42" customFormat="1">
      <c r="A2305">
        <v>271463</v>
      </c>
      <c r="B2305" t="s">
        <v>3567</v>
      </c>
      <c r="C2305" t="s">
        <v>3568</v>
      </c>
      <c r="D2305" s="22">
        <v>319.75</v>
      </c>
      <c r="E2305" s="17">
        <v>42142</v>
      </c>
      <c r="F2305" s="18">
        <v>0.65322916666666664</v>
      </c>
      <c r="G2305" s="22">
        <v>0</v>
      </c>
      <c r="H2305">
        <v>0</v>
      </c>
      <c r="I2305" s="19" t="e">
        <f>I2304 + (D2305-G2305)</f>
        <v>#VALUE!</v>
      </c>
      <c r="N2305">
        <v>8</v>
      </c>
      <c r="O2305" t="s">
        <v>63</v>
      </c>
      <c r="P2305">
        <v>1</v>
      </c>
      <c r="R2305">
        <v>1434</v>
      </c>
      <c r="S2305" s="17">
        <v>42152</v>
      </c>
      <c r="T2305" s="17">
        <v>42152</v>
      </c>
      <c r="W2305">
        <v>2015</v>
      </c>
      <c r="X2305">
        <v>8</v>
      </c>
      <c r="AC2305" t="s">
        <v>67</v>
      </c>
      <c r="AD2305" t="s">
        <v>301</v>
      </c>
      <c r="AE2305" t="s">
        <v>46</v>
      </c>
      <c r="AG2305">
        <v>26</v>
      </c>
      <c r="AH2305">
        <v>3</v>
      </c>
      <c r="AI2305" t="s">
        <v>64</v>
      </c>
      <c r="AM2305">
        <v>0</v>
      </c>
      <c r="AP2305" t="s">
        <v>501</v>
      </c>
    </row>
    <row r="2306" spans="1:42" customFormat="1">
      <c r="A2306">
        <v>271464</v>
      </c>
      <c r="B2306" t="s">
        <v>3567</v>
      </c>
      <c r="C2306" t="s">
        <v>3569</v>
      </c>
      <c r="D2306" s="22">
        <v>743.3</v>
      </c>
      <c r="E2306" s="17">
        <v>42142</v>
      </c>
      <c r="F2306" s="18">
        <v>0.65562500000000001</v>
      </c>
      <c r="G2306" s="22">
        <v>0</v>
      </c>
      <c r="H2306">
        <v>0</v>
      </c>
      <c r="I2306" s="19" t="e">
        <f>I2305 + (D2306-G2306)</f>
        <v>#VALUE!</v>
      </c>
      <c r="N2306">
        <v>8</v>
      </c>
      <c r="O2306" t="s">
        <v>63</v>
      </c>
      <c r="P2306">
        <v>1</v>
      </c>
      <c r="R2306">
        <v>1434</v>
      </c>
      <c r="S2306" s="17">
        <v>42152</v>
      </c>
      <c r="T2306" s="17">
        <v>42152</v>
      </c>
      <c r="W2306">
        <v>2015</v>
      </c>
      <c r="X2306">
        <v>8</v>
      </c>
      <c r="AC2306" t="s">
        <v>67</v>
      </c>
      <c r="AD2306" t="s">
        <v>301</v>
      </c>
      <c r="AE2306" t="s">
        <v>46</v>
      </c>
      <c r="AG2306">
        <v>26</v>
      </c>
      <c r="AH2306">
        <v>3</v>
      </c>
      <c r="AI2306" t="s">
        <v>64</v>
      </c>
      <c r="AM2306">
        <v>0</v>
      </c>
      <c r="AP2306" t="s">
        <v>501</v>
      </c>
    </row>
    <row r="2307" spans="1:42" customFormat="1">
      <c r="A2307">
        <v>271479</v>
      </c>
      <c r="B2307" t="s">
        <v>3819</v>
      </c>
      <c r="C2307" t="s">
        <v>3911</v>
      </c>
      <c r="D2307" s="22">
        <v>330</v>
      </c>
      <c r="E2307" s="17">
        <v>42144</v>
      </c>
      <c r="F2307" s="18">
        <v>0.73806712962962961</v>
      </c>
      <c r="G2307" s="22">
        <v>0</v>
      </c>
      <c r="H2307">
        <v>0</v>
      </c>
      <c r="I2307" s="19" t="e">
        <f>I2306 + (D2307-G2307)</f>
        <v>#VALUE!</v>
      </c>
      <c r="N2307">
        <v>24</v>
      </c>
      <c r="O2307" t="s">
        <v>68</v>
      </c>
      <c r="P2307">
        <v>1</v>
      </c>
      <c r="R2307">
        <v>1434</v>
      </c>
      <c r="S2307" s="17">
        <v>42152</v>
      </c>
      <c r="T2307" s="17">
        <v>42180</v>
      </c>
      <c r="W2307">
        <v>2015</v>
      </c>
      <c r="X2307">
        <v>8</v>
      </c>
      <c r="AC2307" t="s">
        <v>67</v>
      </c>
      <c r="AD2307" t="s">
        <v>301</v>
      </c>
      <c r="AE2307" t="s">
        <v>46</v>
      </c>
      <c r="AG2307">
        <v>26</v>
      </c>
      <c r="AH2307">
        <v>3</v>
      </c>
      <c r="AI2307" t="s">
        <v>64</v>
      </c>
      <c r="AM2307">
        <v>0</v>
      </c>
      <c r="AP2307" t="s">
        <v>501</v>
      </c>
    </row>
    <row r="2308" spans="1:42" customFormat="1">
      <c r="A2308">
        <v>271487</v>
      </c>
      <c r="B2308" t="s">
        <v>4152</v>
      </c>
      <c r="C2308" t="s">
        <v>4154</v>
      </c>
      <c r="D2308" s="22">
        <v>369</v>
      </c>
      <c r="E2308" s="17">
        <v>42146</v>
      </c>
      <c r="F2308" s="18">
        <v>0.4490277777777778</v>
      </c>
      <c r="G2308" s="22">
        <v>0</v>
      </c>
      <c r="H2308">
        <v>0</v>
      </c>
      <c r="I2308" s="19" t="e">
        <f>I2307 + (D2308-G2308)</f>
        <v>#VALUE!</v>
      </c>
      <c r="N2308">
        <v>8</v>
      </c>
      <c r="O2308" t="s">
        <v>63</v>
      </c>
      <c r="P2308">
        <v>1</v>
      </c>
      <c r="R2308">
        <v>1434</v>
      </c>
      <c r="S2308" s="17">
        <v>42153</v>
      </c>
      <c r="T2308" s="17">
        <v>42153</v>
      </c>
      <c r="W2308">
        <v>2015</v>
      </c>
      <c r="X2308">
        <v>8</v>
      </c>
      <c r="AC2308" t="s">
        <v>67</v>
      </c>
      <c r="AD2308" t="s">
        <v>301</v>
      </c>
      <c r="AE2308" t="s">
        <v>46</v>
      </c>
      <c r="AG2308">
        <v>56</v>
      </c>
      <c r="AH2308">
        <v>1</v>
      </c>
      <c r="AI2308" t="s">
        <v>58</v>
      </c>
      <c r="AM2308">
        <v>0</v>
      </c>
      <c r="AP2308" t="s">
        <v>59</v>
      </c>
    </row>
    <row r="2309" spans="1:42" customFormat="1">
      <c r="A2309">
        <v>271450</v>
      </c>
      <c r="B2309" t="s">
        <v>4152</v>
      </c>
      <c r="C2309" t="s">
        <v>4236</v>
      </c>
      <c r="D2309" s="22">
        <v>745</v>
      </c>
      <c r="E2309" s="17">
        <v>42146</v>
      </c>
      <c r="F2309" s="18">
        <v>0.58247685185185183</v>
      </c>
      <c r="G2309" s="22">
        <v>0</v>
      </c>
      <c r="H2309">
        <v>0</v>
      </c>
      <c r="I2309" s="19" t="e">
        <f>I2308 + (D2309-G2309)</f>
        <v>#VALUE!</v>
      </c>
      <c r="N2309">
        <v>8</v>
      </c>
      <c r="O2309" t="s">
        <v>63</v>
      </c>
      <c r="P2309">
        <v>1</v>
      </c>
      <c r="R2309">
        <v>1434</v>
      </c>
      <c r="S2309" s="17">
        <v>42152</v>
      </c>
      <c r="T2309" s="17">
        <v>42152</v>
      </c>
      <c r="W2309">
        <v>2015</v>
      </c>
      <c r="X2309">
        <v>8</v>
      </c>
      <c r="AC2309" t="s">
        <v>67</v>
      </c>
      <c r="AD2309" t="s">
        <v>301</v>
      </c>
      <c r="AE2309" t="s">
        <v>46</v>
      </c>
      <c r="AG2309">
        <v>56</v>
      </c>
      <c r="AH2309">
        <v>1</v>
      </c>
      <c r="AI2309" t="s">
        <v>58</v>
      </c>
      <c r="AM2309">
        <v>0</v>
      </c>
      <c r="AP2309" t="s">
        <v>59</v>
      </c>
    </row>
    <row r="2310" spans="1:42" customFormat="1">
      <c r="A2310">
        <v>271454</v>
      </c>
      <c r="B2310" t="s">
        <v>4152</v>
      </c>
      <c r="C2310" t="s">
        <v>4472</v>
      </c>
      <c r="D2310" s="22">
        <v>713</v>
      </c>
      <c r="E2310" s="17">
        <v>42146</v>
      </c>
      <c r="F2310" s="18">
        <v>0.60935185185185181</v>
      </c>
      <c r="G2310" s="22">
        <v>0</v>
      </c>
      <c r="H2310">
        <v>0</v>
      </c>
      <c r="I2310" s="19" t="e">
        <f>I2309 + (D2310-G2310)</f>
        <v>#VALUE!</v>
      </c>
      <c r="N2310">
        <v>8</v>
      </c>
      <c r="O2310" t="s">
        <v>63</v>
      </c>
      <c r="P2310">
        <v>1</v>
      </c>
      <c r="R2310">
        <v>1434</v>
      </c>
      <c r="S2310" s="17">
        <v>42152</v>
      </c>
      <c r="T2310" s="17">
        <v>42152</v>
      </c>
      <c r="W2310">
        <v>2015</v>
      </c>
      <c r="X2310">
        <v>8</v>
      </c>
      <c r="AC2310" t="s">
        <v>67</v>
      </c>
      <c r="AD2310" t="s">
        <v>301</v>
      </c>
      <c r="AE2310" t="s">
        <v>46</v>
      </c>
      <c r="AG2310">
        <v>56</v>
      </c>
      <c r="AH2310">
        <v>1</v>
      </c>
      <c r="AI2310" t="s">
        <v>58</v>
      </c>
      <c r="AM2310">
        <v>0</v>
      </c>
      <c r="AP2310" t="s">
        <v>59</v>
      </c>
    </row>
    <row r="2311" spans="1:42" customFormat="1">
      <c r="A2311">
        <v>271803</v>
      </c>
      <c r="B2311" t="s">
        <v>4524</v>
      </c>
      <c r="C2311" t="s">
        <v>4525</v>
      </c>
      <c r="D2311" s="22">
        <v>354.4</v>
      </c>
      <c r="E2311" s="17">
        <v>42149</v>
      </c>
      <c r="F2311" s="18">
        <v>0.41246527777777775</v>
      </c>
      <c r="G2311" s="22">
        <v>0</v>
      </c>
      <c r="H2311">
        <v>0</v>
      </c>
      <c r="I2311" s="19" t="e">
        <f>I2310 + (D2311-G2311)</f>
        <v>#VALUE!</v>
      </c>
      <c r="N2311">
        <v>8</v>
      </c>
      <c r="O2311" t="s">
        <v>63</v>
      </c>
      <c r="P2311">
        <v>1</v>
      </c>
      <c r="R2311">
        <v>1434</v>
      </c>
      <c r="S2311" s="17">
        <v>42160</v>
      </c>
      <c r="T2311" s="17">
        <v>42160</v>
      </c>
      <c r="W2311">
        <v>2015</v>
      </c>
      <c r="X2311">
        <v>8</v>
      </c>
      <c r="AC2311" t="s">
        <v>67</v>
      </c>
      <c r="AD2311" t="s">
        <v>301</v>
      </c>
      <c r="AE2311" t="s">
        <v>46</v>
      </c>
      <c r="AG2311">
        <v>26</v>
      </c>
      <c r="AH2311">
        <v>3</v>
      </c>
      <c r="AI2311" t="s">
        <v>64</v>
      </c>
      <c r="AM2311">
        <v>0</v>
      </c>
      <c r="AP2311" t="s">
        <v>501</v>
      </c>
    </row>
    <row r="2312" spans="1:42" customFormat="1">
      <c r="A2312">
        <v>271804</v>
      </c>
      <c r="B2312" t="s">
        <v>4524</v>
      </c>
      <c r="C2312" t="s">
        <v>4526</v>
      </c>
      <c r="D2312" s="22">
        <v>360</v>
      </c>
      <c r="E2312" s="17">
        <v>42149</v>
      </c>
      <c r="F2312" s="18">
        <v>0.41638888888888892</v>
      </c>
      <c r="G2312" s="22">
        <v>0</v>
      </c>
      <c r="H2312">
        <v>0</v>
      </c>
      <c r="I2312" s="19" t="e">
        <f>I2311 + (D2312-G2312)</f>
        <v>#VALUE!</v>
      </c>
      <c r="N2312">
        <v>8</v>
      </c>
      <c r="O2312" t="s">
        <v>63</v>
      </c>
      <c r="P2312">
        <v>1</v>
      </c>
      <c r="R2312">
        <v>1434</v>
      </c>
      <c r="S2312" s="17">
        <v>42160</v>
      </c>
      <c r="T2312" s="17">
        <v>42160</v>
      </c>
      <c r="W2312">
        <v>2015</v>
      </c>
      <c r="X2312">
        <v>8</v>
      </c>
      <c r="AC2312" t="s">
        <v>67</v>
      </c>
      <c r="AD2312" t="s">
        <v>301</v>
      </c>
      <c r="AE2312" t="s">
        <v>46</v>
      </c>
      <c r="AG2312">
        <v>26</v>
      </c>
      <c r="AH2312">
        <v>3</v>
      </c>
      <c r="AI2312" t="s">
        <v>64</v>
      </c>
      <c r="AM2312">
        <v>0</v>
      </c>
      <c r="AP2312" t="s">
        <v>501</v>
      </c>
    </row>
    <row r="2313" spans="1:42" customFormat="1">
      <c r="A2313">
        <v>271396</v>
      </c>
      <c r="B2313" t="s">
        <v>67</v>
      </c>
      <c r="C2313" t="s">
        <v>67</v>
      </c>
      <c r="D2313" s="22">
        <v>2428.9</v>
      </c>
      <c r="E2313" s="17">
        <v>42150</v>
      </c>
      <c r="F2313" s="18">
        <v>0.73274305555555552</v>
      </c>
      <c r="G2313" s="22">
        <v>0</v>
      </c>
      <c r="H2313">
        <v>0</v>
      </c>
      <c r="I2313" s="19" t="e">
        <f>I2312 + (D2313-G2313)</f>
        <v>#VALUE!</v>
      </c>
      <c r="N2313">
        <v>7</v>
      </c>
      <c r="O2313" t="s">
        <v>44</v>
      </c>
      <c r="P2313">
        <v>1</v>
      </c>
      <c r="R2313">
        <v>1434</v>
      </c>
      <c r="S2313" s="17">
        <v>42151</v>
      </c>
      <c r="T2313" s="17">
        <v>42151</v>
      </c>
      <c r="W2313">
        <v>2015</v>
      </c>
      <c r="X2313">
        <v>7</v>
      </c>
      <c r="AC2313" t="s">
        <v>67</v>
      </c>
      <c r="AD2313" t="s">
        <v>301</v>
      </c>
      <c r="AE2313" t="s">
        <v>46</v>
      </c>
      <c r="AG2313">
        <v>55</v>
      </c>
      <c r="AH2313">
        <v>9</v>
      </c>
      <c r="AI2313" t="s">
        <v>54</v>
      </c>
      <c r="AM2313">
        <v>0</v>
      </c>
      <c r="AP2313" t="s">
        <v>4767</v>
      </c>
    </row>
    <row r="2314" spans="1:42" customFormat="1">
      <c r="A2314">
        <v>273620</v>
      </c>
      <c r="B2314" t="s">
        <v>67</v>
      </c>
      <c r="C2314" t="s">
        <v>67</v>
      </c>
      <c r="D2314" s="22">
        <v>1095.99</v>
      </c>
      <c r="E2314" s="17">
        <v>42152</v>
      </c>
      <c r="F2314" s="18">
        <v>0.58315972222222223</v>
      </c>
      <c r="G2314" s="22">
        <v>0</v>
      </c>
      <c r="H2314">
        <v>0</v>
      </c>
      <c r="I2314" s="19" t="e">
        <f>I2313 + (D2314-G2314)</f>
        <v>#VALUE!</v>
      </c>
      <c r="N2314">
        <v>60</v>
      </c>
      <c r="O2314" t="s">
        <v>60</v>
      </c>
      <c r="P2314">
        <v>1</v>
      </c>
      <c r="R2314">
        <v>1434</v>
      </c>
      <c r="S2314" s="17">
        <v>42173</v>
      </c>
      <c r="T2314" s="17">
        <v>42173</v>
      </c>
      <c r="W2314">
        <v>2015</v>
      </c>
      <c r="X2314">
        <v>60</v>
      </c>
      <c r="AC2314" t="s">
        <v>67</v>
      </c>
      <c r="AD2314" t="s">
        <v>301</v>
      </c>
      <c r="AE2314" t="s">
        <v>46</v>
      </c>
      <c r="AG2314">
        <v>3</v>
      </c>
      <c r="AH2314">
        <v>11</v>
      </c>
      <c r="AI2314" t="s">
        <v>47</v>
      </c>
      <c r="AM2314">
        <v>0</v>
      </c>
      <c r="AP2314" t="s">
        <v>80</v>
      </c>
    </row>
    <row r="2315" spans="1:42" customFormat="1">
      <c r="A2315">
        <v>271806</v>
      </c>
      <c r="B2315" t="s">
        <v>5185</v>
      </c>
      <c r="C2315" t="s">
        <v>5301</v>
      </c>
      <c r="D2315" s="22">
        <v>306</v>
      </c>
      <c r="E2315" s="17">
        <v>42153</v>
      </c>
      <c r="F2315" s="18">
        <v>0.41989583333333336</v>
      </c>
      <c r="G2315" s="22">
        <v>0</v>
      </c>
      <c r="H2315">
        <v>0</v>
      </c>
      <c r="I2315" s="19" t="e">
        <f>I2314 + (D2315-G2315)</f>
        <v>#VALUE!</v>
      </c>
      <c r="N2315">
        <v>8</v>
      </c>
      <c r="O2315" t="s">
        <v>63</v>
      </c>
      <c r="P2315">
        <v>1</v>
      </c>
      <c r="R2315">
        <v>1434</v>
      </c>
      <c r="S2315" s="17">
        <v>42160</v>
      </c>
      <c r="T2315" s="17">
        <v>42160</v>
      </c>
      <c r="W2315">
        <v>2015</v>
      </c>
      <c r="X2315">
        <v>8</v>
      </c>
      <c r="AC2315" t="s">
        <v>67</v>
      </c>
      <c r="AD2315" t="s">
        <v>301</v>
      </c>
      <c r="AE2315" t="s">
        <v>46</v>
      </c>
      <c r="AG2315">
        <v>56</v>
      </c>
      <c r="AH2315">
        <v>1</v>
      </c>
      <c r="AI2315" t="s">
        <v>58</v>
      </c>
      <c r="AM2315">
        <v>0</v>
      </c>
      <c r="AP2315" t="s">
        <v>59</v>
      </c>
    </row>
    <row r="2316" spans="1:42" customFormat="1">
      <c r="A2316">
        <v>268810</v>
      </c>
      <c r="B2316" t="s">
        <v>111</v>
      </c>
      <c r="C2316" t="s">
        <v>111</v>
      </c>
      <c r="D2316" s="22">
        <v>2859.07</v>
      </c>
      <c r="E2316" s="17">
        <v>42129</v>
      </c>
      <c r="F2316" s="18">
        <v>0.60960648148148155</v>
      </c>
      <c r="G2316" s="22">
        <v>0</v>
      </c>
      <c r="H2316">
        <v>0</v>
      </c>
      <c r="I2316" s="19" t="e">
        <f>I2315 + (D2316-G2316)</f>
        <v>#VALUE!</v>
      </c>
      <c r="N2316">
        <v>24</v>
      </c>
      <c r="O2316" t="s">
        <v>68</v>
      </c>
      <c r="P2316">
        <v>1</v>
      </c>
      <c r="R2316">
        <v>1526</v>
      </c>
      <c r="S2316" s="17">
        <v>42132</v>
      </c>
      <c r="T2316" s="17">
        <v>42132</v>
      </c>
      <c r="W2316">
        <v>2015</v>
      </c>
      <c r="X2316">
        <v>24</v>
      </c>
      <c r="AC2316" t="s">
        <v>111</v>
      </c>
      <c r="AD2316" t="s">
        <v>301</v>
      </c>
      <c r="AE2316" t="s">
        <v>46</v>
      </c>
      <c r="AG2316">
        <v>12</v>
      </c>
      <c r="AH2316">
        <v>4</v>
      </c>
      <c r="AI2316" t="s">
        <v>78</v>
      </c>
      <c r="AM2316">
        <v>0</v>
      </c>
      <c r="AP2316" t="s">
        <v>392</v>
      </c>
    </row>
    <row r="2317" spans="1:42" customFormat="1">
      <c r="A2317">
        <v>268812</v>
      </c>
      <c r="B2317" t="s">
        <v>111</v>
      </c>
      <c r="C2317" t="s">
        <v>111</v>
      </c>
      <c r="D2317" s="22">
        <v>4727.6400000000003</v>
      </c>
      <c r="E2317" s="17">
        <v>42130</v>
      </c>
      <c r="F2317" s="18">
        <v>0.61778935185185191</v>
      </c>
      <c r="G2317" s="22">
        <v>0</v>
      </c>
      <c r="H2317">
        <v>0</v>
      </c>
      <c r="I2317" s="19" t="e">
        <f>I2316 + (D2317-G2317)</f>
        <v>#VALUE!</v>
      </c>
      <c r="N2317">
        <v>24</v>
      </c>
      <c r="O2317" t="s">
        <v>68</v>
      </c>
      <c r="P2317">
        <v>1</v>
      </c>
      <c r="R2317">
        <v>1526</v>
      </c>
      <c r="S2317" s="17">
        <v>42132</v>
      </c>
      <c r="T2317" s="17">
        <v>42137</v>
      </c>
      <c r="W2317">
        <v>2015</v>
      </c>
      <c r="X2317">
        <v>24</v>
      </c>
      <c r="AC2317" t="s">
        <v>111</v>
      </c>
      <c r="AD2317" t="s">
        <v>301</v>
      </c>
      <c r="AE2317" t="s">
        <v>46</v>
      </c>
      <c r="AG2317">
        <v>12</v>
      </c>
      <c r="AH2317">
        <v>4</v>
      </c>
      <c r="AI2317" t="s">
        <v>78</v>
      </c>
      <c r="AM2317">
        <v>0</v>
      </c>
      <c r="AP2317" t="s">
        <v>392</v>
      </c>
    </row>
    <row r="2318" spans="1:42" customFormat="1">
      <c r="A2318">
        <v>269884</v>
      </c>
      <c r="B2318" t="s">
        <v>111</v>
      </c>
      <c r="C2318" t="s">
        <v>111</v>
      </c>
      <c r="D2318" s="22">
        <v>3269.42</v>
      </c>
      <c r="E2318" s="17">
        <v>42132</v>
      </c>
      <c r="F2318" s="18">
        <v>0.4294560185185185</v>
      </c>
      <c r="G2318" s="22">
        <v>0</v>
      </c>
      <c r="H2318">
        <v>0</v>
      </c>
      <c r="I2318" s="19" t="e">
        <f>I2317 + (D2318-G2318)</f>
        <v>#VALUE!</v>
      </c>
      <c r="N2318">
        <v>24</v>
      </c>
      <c r="O2318" t="s">
        <v>68</v>
      </c>
      <c r="P2318">
        <v>1</v>
      </c>
      <c r="R2318">
        <v>1526</v>
      </c>
      <c r="S2318" s="17">
        <v>42138</v>
      </c>
      <c r="T2318" s="17">
        <v>42138</v>
      </c>
      <c r="W2318">
        <v>2015</v>
      </c>
      <c r="X2318">
        <v>24</v>
      </c>
      <c r="AC2318" t="s">
        <v>111</v>
      </c>
      <c r="AD2318" t="s">
        <v>301</v>
      </c>
      <c r="AE2318" t="s">
        <v>46</v>
      </c>
      <c r="AG2318">
        <v>12</v>
      </c>
      <c r="AH2318">
        <v>4</v>
      </c>
      <c r="AI2318" t="s">
        <v>78</v>
      </c>
      <c r="AM2318">
        <v>0</v>
      </c>
      <c r="AP2318" t="s">
        <v>392</v>
      </c>
    </row>
    <row r="2319" spans="1:42" customFormat="1">
      <c r="A2319">
        <v>269893</v>
      </c>
      <c r="B2319" t="s">
        <v>111</v>
      </c>
      <c r="C2319" t="s">
        <v>111</v>
      </c>
      <c r="D2319" s="22">
        <v>3773.45</v>
      </c>
      <c r="E2319" s="17">
        <v>42135</v>
      </c>
      <c r="F2319" s="18">
        <v>0.4343981481481482</v>
      </c>
      <c r="G2319" s="22">
        <v>0</v>
      </c>
      <c r="H2319">
        <v>0</v>
      </c>
      <c r="I2319" s="19" t="e">
        <f>I2318 + (D2319-G2319)</f>
        <v>#VALUE!</v>
      </c>
      <c r="N2319">
        <v>24</v>
      </c>
      <c r="O2319" t="s">
        <v>68</v>
      </c>
      <c r="P2319">
        <v>1</v>
      </c>
      <c r="R2319">
        <v>1526</v>
      </c>
      <c r="S2319" s="17">
        <v>42138</v>
      </c>
      <c r="T2319" s="17">
        <v>42138</v>
      </c>
      <c r="W2319">
        <v>2015</v>
      </c>
      <c r="X2319">
        <v>24</v>
      </c>
      <c r="AC2319" t="s">
        <v>111</v>
      </c>
      <c r="AD2319" t="s">
        <v>301</v>
      </c>
      <c r="AE2319" t="s">
        <v>46</v>
      </c>
      <c r="AG2319">
        <v>12</v>
      </c>
      <c r="AH2319">
        <v>4</v>
      </c>
      <c r="AI2319" t="s">
        <v>78</v>
      </c>
      <c r="AM2319">
        <v>0</v>
      </c>
      <c r="AP2319" t="s">
        <v>392</v>
      </c>
    </row>
    <row r="2320" spans="1:42" customFormat="1">
      <c r="A2320">
        <v>271028</v>
      </c>
      <c r="B2320" t="s">
        <v>111</v>
      </c>
      <c r="C2320" t="s">
        <v>111</v>
      </c>
      <c r="D2320" s="22">
        <v>1637.8</v>
      </c>
      <c r="E2320" s="17">
        <v>42136</v>
      </c>
      <c r="F2320" s="18">
        <v>0.43259259259259258</v>
      </c>
      <c r="G2320" s="22">
        <v>0</v>
      </c>
      <c r="H2320">
        <v>0</v>
      </c>
      <c r="I2320" s="19" t="e">
        <f>I2319 + (D2320-G2320)</f>
        <v>#VALUE!</v>
      </c>
      <c r="N2320">
        <v>24</v>
      </c>
      <c r="O2320" t="s">
        <v>68</v>
      </c>
      <c r="P2320">
        <v>1</v>
      </c>
      <c r="R2320">
        <v>1526</v>
      </c>
      <c r="S2320" s="17">
        <v>42150</v>
      </c>
      <c r="T2320" s="17">
        <v>42166</v>
      </c>
      <c r="W2320">
        <v>2015</v>
      </c>
      <c r="X2320">
        <v>7</v>
      </c>
      <c r="AC2320" t="s">
        <v>111</v>
      </c>
      <c r="AD2320" t="s">
        <v>301</v>
      </c>
      <c r="AE2320" t="s">
        <v>46</v>
      </c>
      <c r="AG2320">
        <v>12</v>
      </c>
      <c r="AH2320">
        <v>4</v>
      </c>
      <c r="AI2320" t="s">
        <v>78</v>
      </c>
      <c r="AM2320">
        <v>0</v>
      </c>
      <c r="AP2320" t="s">
        <v>392</v>
      </c>
    </row>
    <row r="2321" spans="1:42" customFormat="1">
      <c r="A2321">
        <v>271030</v>
      </c>
      <c r="B2321" t="s">
        <v>111</v>
      </c>
      <c r="C2321" t="s">
        <v>111</v>
      </c>
      <c r="D2321" s="22">
        <v>2688.8</v>
      </c>
      <c r="E2321" s="17">
        <v>42137</v>
      </c>
      <c r="F2321" s="18">
        <v>0.43413194444444447</v>
      </c>
      <c r="G2321" s="22">
        <v>0</v>
      </c>
      <c r="H2321">
        <v>0</v>
      </c>
      <c r="I2321" s="19" t="e">
        <f>I2320 + (D2321-G2321)</f>
        <v>#VALUE!</v>
      </c>
      <c r="N2321">
        <v>24</v>
      </c>
      <c r="O2321" t="s">
        <v>68</v>
      </c>
      <c r="P2321">
        <v>1</v>
      </c>
      <c r="R2321">
        <v>1526</v>
      </c>
      <c r="S2321" s="17">
        <v>42150</v>
      </c>
      <c r="T2321" s="17">
        <v>42166</v>
      </c>
      <c r="W2321">
        <v>2015</v>
      </c>
      <c r="X2321">
        <v>7</v>
      </c>
      <c r="AC2321" t="s">
        <v>111</v>
      </c>
      <c r="AD2321" t="s">
        <v>301</v>
      </c>
      <c r="AE2321" t="s">
        <v>46</v>
      </c>
      <c r="AG2321">
        <v>12</v>
      </c>
      <c r="AH2321">
        <v>4</v>
      </c>
      <c r="AI2321" t="s">
        <v>78</v>
      </c>
      <c r="AM2321">
        <v>0</v>
      </c>
      <c r="AP2321" t="s">
        <v>392</v>
      </c>
    </row>
    <row r="2322" spans="1:42" customFormat="1">
      <c r="A2322">
        <v>270401</v>
      </c>
      <c r="B2322" t="s">
        <v>111</v>
      </c>
      <c r="C2322" t="s">
        <v>111</v>
      </c>
      <c r="D2322" s="22">
        <v>400</v>
      </c>
      <c r="E2322" s="17">
        <v>42138</v>
      </c>
      <c r="F2322" s="18">
        <v>0.44951388888888894</v>
      </c>
      <c r="G2322" s="22">
        <v>0</v>
      </c>
      <c r="H2322">
        <v>0</v>
      </c>
      <c r="I2322" s="19" t="e">
        <f>I2321 + (D2322-G2322)</f>
        <v>#VALUE!</v>
      </c>
      <c r="N2322">
        <v>7</v>
      </c>
      <c r="O2322" t="s">
        <v>44</v>
      </c>
      <c r="P2322">
        <v>1</v>
      </c>
      <c r="R2322">
        <v>1526</v>
      </c>
      <c r="S2322" s="17">
        <v>42144</v>
      </c>
      <c r="T2322" s="17">
        <v>42144</v>
      </c>
      <c r="W2322">
        <v>2014</v>
      </c>
      <c r="X2322">
        <v>7</v>
      </c>
      <c r="AC2322" t="s">
        <v>111</v>
      </c>
      <c r="AD2322" t="s">
        <v>301</v>
      </c>
      <c r="AE2322" t="s">
        <v>46</v>
      </c>
      <c r="AG2322">
        <v>3</v>
      </c>
      <c r="AH2322">
        <v>11</v>
      </c>
      <c r="AI2322" t="s">
        <v>47</v>
      </c>
      <c r="AM2322">
        <v>0</v>
      </c>
      <c r="AP2322" t="s">
        <v>80</v>
      </c>
    </row>
    <row r="2323" spans="1:42" customFormat="1">
      <c r="A2323">
        <v>272796</v>
      </c>
      <c r="B2323" t="s">
        <v>111</v>
      </c>
      <c r="C2323" t="s">
        <v>111</v>
      </c>
      <c r="D2323" s="22">
        <v>1051</v>
      </c>
      <c r="E2323" s="17">
        <v>42139</v>
      </c>
      <c r="F2323" s="18">
        <v>0.44023148148148145</v>
      </c>
      <c r="G2323" s="22">
        <v>0</v>
      </c>
      <c r="H2323">
        <v>0</v>
      </c>
      <c r="I2323" s="19" t="e">
        <f>I2322 + (D2323-G2323)</f>
        <v>#VALUE!</v>
      </c>
      <c r="N2323">
        <v>24</v>
      </c>
      <c r="O2323" t="s">
        <v>68</v>
      </c>
      <c r="P2323">
        <v>1</v>
      </c>
      <c r="R2323">
        <v>1526</v>
      </c>
      <c r="S2323" s="17">
        <v>42166</v>
      </c>
      <c r="T2323" s="17">
        <v>42166</v>
      </c>
      <c r="W2323">
        <v>2015</v>
      </c>
      <c r="X2323">
        <v>24</v>
      </c>
      <c r="AC2323" t="s">
        <v>111</v>
      </c>
      <c r="AD2323" t="s">
        <v>301</v>
      </c>
      <c r="AE2323" t="s">
        <v>46</v>
      </c>
      <c r="AG2323">
        <v>12</v>
      </c>
      <c r="AH2323">
        <v>4</v>
      </c>
      <c r="AI2323" t="s">
        <v>78</v>
      </c>
      <c r="AM2323">
        <v>0</v>
      </c>
      <c r="AP2323" t="s">
        <v>392</v>
      </c>
    </row>
    <row r="2324" spans="1:42" customFormat="1">
      <c r="A2324">
        <v>271476</v>
      </c>
      <c r="B2324" t="s">
        <v>3819</v>
      </c>
      <c r="C2324" t="s">
        <v>3820</v>
      </c>
      <c r="D2324" s="22">
        <v>1121.72</v>
      </c>
      <c r="E2324" s="17">
        <v>42143</v>
      </c>
      <c r="F2324" s="18">
        <v>0.72333333333333327</v>
      </c>
      <c r="G2324" s="22">
        <v>0</v>
      </c>
      <c r="H2324">
        <v>0</v>
      </c>
      <c r="I2324" s="19" t="e">
        <f>I2323 + (D2324-G2324)</f>
        <v>#VALUE!</v>
      </c>
      <c r="N2324">
        <v>8</v>
      </c>
      <c r="O2324" t="s">
        <v>63</v>
      </c>
      <c r="P2324">
        <v>1</v>
      </c>
      <c r="R2324">
        <v>1526</v>
      </c>
      <c r="S2324" s="17">
        <v>42152</v>
      </c>
      <c r="T2324" s="17">
        <v>42152</v>
      </c>
      <c r="W2324">
        <v>2015</v>
      </c>
      <c r="X2324">
        <v>8</v>
      </c>
      <c r="AC2324" t="s">
        <v>111</v>
      </c>
      <c r="AD2324" t="s">
        <v>301</v>
      </c>
      <c r="AE2324" t="s">
        <v>46</v>
      </c>
      <c r="AG2324">
        <v>4</v>
      </c>
      <c r="AH2324">
        <v>3</v>
      </c>
      <c r="AI2324" t="s">
        <v>64</v>
      </c>
      <c r="AM2324">
        <v>0</v>
      </c>
      <c r="AP2324" t="s">
        <v>389</v>
      </c>
    </row>
    <row r="2325" spans="1:42" customFormat="1">
      <c r="A2325">
        <v>272824</v>
      </c>
      <c r="B2325" t="s">
        <v>111</v>
      </c>
      <c r="C2325" t="s">
        <v>111</v>
      </c>
      <c r="D2325" s="22">
        <v>4345.3500000000004</v>
      </c>
      <c r="E2325" s="17">
        <v>42144</v>
      </c>
      <c r="F2325" s="18">
        <v>0.54439814814814813</v>
      </c>
      <c r="G2325" s="22">
        <v>0</v>
      </c>
      <c r="H2325">
        <v>0</v>
      </c>
      <c r="I2325" s="19" t="e">
        <f>I2324 + (D2325-G2325)</f>
        <v>#VALUE!</v>
      </c>
      <c r="N2325">
        <v>24</v>
      </c>
      <c r="O2325" t="s">
        <v>68</v>
      </c>
      <c r="P2325">
        <v>1</v>
      </c>
      <c r="R2325">
        <v>1526</v>
      </c>
      <c r="S2325" s="17">
        <v>42166</v>
      </c>
      <c r="T2325" s="17">
        <v>42166</v>
      </c>
      <c r="W2325">
        <v>2010</v>
      </c>
      <c r="X2325">
        <v>24</v>
      </c>
      <c r="AC2325" t="s">
        <v>111</v>
      </c>
      <c r="AD2325" t="s">
        <v>301</v>
      </c>
      <c r="AE2325" t="s">
        <v>46</v>
      </c>
      <c r="AG2325">
        <v>12</v>
      </c>
      <c r="AH2325">
        <v>4</v>
      </c>
      <c r="AI2325" t="s">
        <v>78</v>
      </c>
      <c r="AM2325">
        <v>0</v>
      </c>
      <c r="AP2325" t="s">
        <v>392</v>
      </c>
    </row>
    <row r="2326" spans="1:42" customFormat="1">
      <c r="A2326">
        <v>272829</v>
      </c>
      <c r="B2326" t="s">
        <v>111</v>
      </c>
      <c r="C2326" t="s">
        <v>111</v>
      </c>
      <c r="D2326" s="22">
        <v>1637.8</v>
      </c>
      <c r="E2326" s="17">
        <v>42146</v>
      </c>
      <c r="F2326" s="18">
        <v>0.54789351851851853</v>
      </c>
      <c r="G2326" s="22">
        <v>0</v>
      </c>
      <c r="H2326">
        <v>0</v>
      </c>
      <c r="I2326" s="19" t="e">
        <f>I2325 + (D2326-G2326)</f>
        <v>#VALUE!</v>
      </c>
      <c r="N2326">
        <v>24</v>
      </c>
      <c r="O2326" t="s">
        <v>68</v>
      </c>
      <c r="P2326">
        <v>1</v>
      </c>
      <c r="R2326">
        <v>1526</v>
      </c>
      <c r="S2326" s="17">
        <v>42166</v>
      </c>
      <c r="T2326" s="17">
        <v>42166</v>
      </c>
      <c r="W2326">
        <v>2010</v>
      </c>
      <c r="X2326">
        <v>24</v>
      </c>
      <c r="AC2326" t="s">
        <v>111</v>
      </c>
      <c r="AD2326" t="s">
        <v>301</v>
      </c>
      <c r="AE2326" t="s">
        <v>46</v>
      </c>
      <c r="AG2326">
        <v>12</v>
      </c>
      <c r="AH2326">
        <v>2</v>
      </c>
      <c r="AI2326" t="s">
        <v>50</v>
      </c>
      <c r="AM2326">
        <v>0</v>
      </c>
      <c r="AP2326" t="s">
        <v>392</v>
      </c>
    </row>
    <row r="2327" spans="1:42" customFormat="1">
      <c r="A2327">
        <v>272833</v>
      </c>
      <c r="B2327" t="s">
        <v>111</v>
      </c>
      <c r="C2327" t="s">
        <v>111</v>
      </c>
      <c r="D2327" s="22">
        <v>1724</v>
      </c>
      <c r="E2327" s="17">
        <v>42149</v>
      </c>
      <c r="F2327" s="18">
        <v>0.55334490740740738</v>
      </c>
      <c r="G2327" s="22">
        <v>0</v>
      </c>
      <c r="H2327">
        <v>0</v>
      </c>
      <c r="I2327" s="19" t="e">
        <f>I2326 + (D2327-G2327)</f>
        <v>#VALUE!</v>
      </c>
      <c r="N2327">
        <v>24</v>
      </c>
      <c r="O2327" t="s">
        <v>68</v>
      </c>
      <c r="P2327">
        <v>1</v>
      </c>
      <c r="R2327">
        <v>1526</v>
      </c>
      <c r="S2327" s="17">
        <v>42166</v>
      </c>
      <c r="T2327" s="17">
        <v>42166</v>
      </c>
      <c r="W2327">
        <v>2015</v>
      </c>
      <c r="X2327">
        <v>24</v>
      </c>
      <c r="AC2327" t="s">
        <v>111</v>
      </c>
      <c r="AD2327" t="s">
        <v>301</v>
      </c>
      <c r="AE2327" t="s">
        <v>46</v>
      </c>
      <c r="AG2327">
        <v>12</v>
      </c>
      <c r="AH2327">
        <v>4</v>
      </c>
      <c r="AI2327" t="s">
        <v>78</v>
      </c>
      <c r="AM2327">
        <v>0</v>
      </c>
      <c r="AP2327" t="s">
        <v>392</v>
      </c>
    </row>
    <row r="2328" spans="1:42" customFormat="1">
      <c r="A2328">
        <v>272842</v>
      </c>
      <c r="B2328" t="s">
        <v>111</v>
      </c>
      <c r="C2328" t="s">
        <v>111</v>
      </c>
      <c r="D2328" s="22">
        <v>4576.2</v>
      </c>
      <c r="E2328" s="17">
        <v>42150</v>
      </c>
      <c r="F2328" s="18">
        <v>0.55626157407407406</v>
      </c>
      <c r="G2328" s="22">
        <v>0</v>
      </c>
      <c r="H2328">
        <v>0</v>
      </c>
      <c r="I2328" s="19" t="e">
        <f>I2327 + (D2328-G2328)</f>
        <v>#VALUE!</v>
      </c>
      <c r="N2328">
        <v>24</v>
      </c>
      <c r="O2328" t="s">
        <v>68</v>
      </c>
      <c r="P2328">
        <v>2</v>
      </c>
      <c r="R2328">
        <v>1526</v>
      </c>
      <c r="S2328" s="17">
        <v>42166</v>
      </c>
      <c r="T2328" s="17">
        <v>42166</v>
      </c>
      <c r="W2328">
        <v>2015</v>
      </c>
      <c r="X2328">
        <v>24</v>
      </c>
      <c r="AC2328" t="s">
        <v>111</v>
      </c>
      <c r="AD2328" t="s">
        <v>301</v>
      </c>
      <c r="AE2328" t="s">
        <v>46</v>
      </c>
      <c r="AG2328">
        <v>12</v>
      </c>
      <c r="AH2328">
        <v>4</v>
      </c>
      <c r="AI2328" t="s">
        <v>78</v>
      </c>
      <c r="AM2328">
        <v>0</v>
      </c>
      <c r="AP2328" t="s">
        <v>392</v>
      </c>
    </row>
    <row r="2329" spans="1:42" customFormat="1">
      <c r="A2329">
        <v>271394</v>
      </c>
      <c r="B2329" t="s">
        <v>111</v>
      </c>
      <c r="C2329" t="s">
        <v>111</v>
      </c>
      <c r="D2329" s="22">
        <v>14154</v>
      </c>
      <c r="E2329" s="17">
        <v>42150</v>
      </c>
      <c r="F2329" s="18">
        <v>0.72232638888888889</v>
      </c>
      <c r="G2329" s="22">
        <v>0</v>
      </c>
      <c r="H2329">
        <v>0</v>
      </c>
      <c r="I2329" s="19" t="e">
        <f>I2328 + (D2329-G2329)</f>
        <v>#VALUE!</v>
      </c>
      <c r="N2329">
        <v>7</v>
      </c>
      <c r="O2329" t="s">
        <v>44</v>
      </c>
      <c r="P2329">
        <v>1</v>
      </c>
      <c r="R2329">
        <v>1526</v>
      </c>
      <c r="S2329" s="17">
        <v>42151</v>
      </c>
      <c r="T2329" s="17">
        <v>42151</v>
      </c>
      <c r="W2329">
        <v>2015</v>
      </c>
      <c r="X2329">
        <v>7</v>
      </c>
      <c r="AC2329" t="s">
        <v>111</v>
      </c>
      <c r="AD2329" t="s">
        <v>301</v>
      </c>
      <c r="AE2329" t="s">
        <v>46</v>
      </c>
      <c r="AG2329">
        <v>55</v>
      </c>
      <c r="AH2329">
        <v>9</v>
      </c>
      <c r="AI2329" t="s">
        <v>54</v>
      </c>
      <c r="AM2329">
        <v>0</v>
      </c>
      <c r="AP2329" t="s">
        <v>4767</v>
      </c>
    </row>
    <row r="2330" spans="1:42" customFormat="1">
      <c r="A2330">
        <v>271449</v>
      </c>
      <c r="B2330" t="s">
        <v>4963</v>
      </c>
      <c r="C2330" t="s">
        <v>4964</v>
      </c>
      <c r="D2330" s="22">
        <v>1386</v>
      </c>
      <c r="E2330" s="17">
        <v>42151</v>
      </c>
      <c r="F2330" s="18">
        <v>0.45861111111111108</v>
      </c>
      <c r="G2330" s="22">
        <v>0</v>
      </c>
      <c r="H2330">
        <v>0</v>
      </c>
      <c r="I2330" s="19" t="e">
        <f>I2329 + (D2330-G2330)</f>
        <v>#VALUE!</v>
      </c>
      <c r="N2330">
        <v>8</v>
      </c>
      <c r="O2330" t="s">
        <v>63</v>
      </c>
      <c r="P2330">
        <v>2</v>
      </c>
      <c r="R2330">
        <v>1526</v>
      </c>
      <c r="S2330" s="17">
        <v>42152</v>
      </c>
      <c r="T2330" s="17">
        <v>42152</v>
      </c>
      <c r="W2330">
        <v>2015</v>
      </c>
      <c r="X2330">
        <v>8</v>
      </c>
      <c r="AC2330" t="s">
        <v>111</v>
      </c>
      <c r="AD2330" t="s">
        <v>301</v>
      </c>
      <c r="AE2330" t="s">
        <v>46</v>
      </c>
      <c r="AG2330">
        <v>4</v>
      </c>
      <c r="AH2330">
        <v>3</v>
      </c>
      <c r="AI2330" t="s">
        <v>64</v>
      </c>
      <c r="AM2330">
        <v>0</v>
      </c>
      <c r="AP2330" t="s">
        <v>389</v>
      </c>
    </row>
    <row r="2331" spans="1:42" customFormat="1">
      <c r="A2331">
        <v>272860</v>
      </c>
      <c r="B2331" t="s">
        <v>111</v>
      </c>
      <c r="C2331" t="s">
        <v>111</v>
      </c>
      <c r="D2331" s="22">
        <v>5322.7</v>
      </c>
      <c r="E2331" s="17">
        <v>42152</v>
      </c>
      <c r="F2331" s="18">
        <v>0.56130787037037033</v>
      </c>
      <c r="G2331" s="22">
        <v>0</v>
      </c>
      <c r="H2331">
        <v>0</v>
      </c>
      <c r="I2331" s="19" t="e">
        <f>I2330 + (D2331-G2331)</f>
        <v>#VALUE!</v>
      </c>
      <c r="N2331">
        <v>24</v>
      </c>
      <c r="O2331" t="s">
        <v>68</v>
      </c>
      <c r="P2331">
        <v>1</v>
      </c>
      <c r="R2331">
        <v>1526</v>
      </c>
      <c r="S2331" s="17">
        <v>42166</v>
      </c>
      <c r="T2331" s="17">
        <v>42166</v>
      </c>
      <c r="W2331">
        <v>2015</v>
      </c>
      <c r="X2331">
        <v>24</v>
      </c>
      <c r="AC2331" t="s">
        <v>111</v>
      </c>
      <c r="AD2331" t="s">
        <v>301</v>
      </c>
      <c r="AE2331" t="s">
        <v>46</v>
      </c>
      <c r="AG2331">
        <v>12</v>
      </c>
      <c r="AH2331">
        <v>4</v>
      </c>
      <c r="AI2331" t="s">
        <v>78</v>
      </c>
      <c r="AM2331">
        <v>0</v>
      </c>
      <c r="AP2331" t="s">
        <v>392</v>
      </c>
    </row>
    <row r="2332" spans="1:42" customFormat="1">
      <c r="A2332">
        <v>273604</v>
      </c>
      <c r="B2332" t="s">
        <v>5179</v>
      </c>
      <c r="C2332" t="s">
        <v>5180</v>
      </c>
      <c r="D2332" s="22">
        <v>4800</v>
      </c>
      <c r="E2332" s="17">
        <v>42152</v>
      </c>
      <c r="F2332" s="18">
        <v>0.73158564814814808</v>
      </c>
      <c r="G2332" s="22">
        <v>0</v>
      </c>
      <c r="H2332">
        <v>0</v>
      </c>
      <c r="I2332" s="19" t="e">
        <f>I2331 + (D2332-G2332)</f>
        <v>#VALUE!</v>
      </c>
      <c r="N2332">
        <v>8</v>
      </c>
      <c r="O2332" t="s">
        <v>63</v>
      </c>
      <c r="P2332">
        <v>1</v>
      </c>
      <c r="R2332">
        <v>1526</v>
      </c>
      <c r="S2332" s="17">
        <v>42172</v>
      </c>
      <c r="T2332" s="17">
        <v>42172</v>
      </c>
      <c r="W2332">
        <v>2015</v>
      </c>
      <c r="X2332">
        <v>8</v>
      </c>
      <c r="AC2332" t="s">
        <v>111</v>
      </c>
      <c r="AD2332" t="s">
        <v>301</v>
      </c>
      <c r="AE2332" t="s">
        <v>46</v>
      </c>
      <c r="AG2332">
        <v>4</v>
      </c>
      <c r="AH2332">
        <v>3</v>
      </c>
      <c r="AI2332" t="s">
        <v>64</v>
      </c>
      <c r="AM2332">
        <v>0</v>
      </c>
      <c r="AP2332" t="s">
        <v>389</v>
      </c>
    </row>
    <row r="2333" spans="1:42" customFormat="1">
      <c r="A2333">
        <v>272861</v>
      </c>
      <c r="B2333" t="s">
        <v>111</v>
      </c>
      <c r="C2333" t="s">
        <v>111</v>
      </c>
      <c r="D2333" s="22">
        <v>24308.2</v>
      </c>
      <c r="E2333" s="17">
        <v>42153</v>
      </c>
      <c r="F2333" s="18">
        <v>0.56256944444444446</v>
      </c>
      <c r="G2333" s="22">
        <v>0</v>
      </c>
      <c r="H2333">
        <v>0</v>
      </c>
      <c r="I2333" s="19" t="e">
        <f>I2332 + (D2333-G2333)</f>
        <v>#VALUE!</v>
      </c>
      <c r="N2333">
        <v>24</v>
      </c>
      <c r="O2333" t="s">
        <v>68</v>
      </c>
      <c r="P2333">
        <v>1</v>
      </c>
      <c r="R2333">
        <v>1526</v>
      </c>
      <c r="S2333" s="17">
        <v>42166</v>
      </c>
      <c r="T2333" s="17">
        <v>42166</v>
      </c>
      <c r="W2333">
        <v>2015</v>
      </c>
      <c r="X2333">
        <v>24</v>
      </c>
      <c r="AC2333" t="s">
        <v>111</v>
      </c>
      <c r="AD2333" t="s">
        <v>301</v>
      </c>
      <c r="AE2333" t="s">
        <v>46</v>
      </c>
      <c r="AG2333">
        <v>12</v>
      </c>
      <c r="AH2333">
        <v>4</v>
      </c>
      <c r="AI2333" t="s">
        <v>78</v>
      </c>
      <c r="AM2333">
        <v>0</v>
      </c>
      <c r="AP2333" t="s">
        <v>392</v>
      </c>
    </row>
    <row r="2334" spans="1:42" customFormat="1">
      <c r="A2334">
        <v>271509</v>
      </c>
      <c r="B2334" t="s">
        <v>5537</v>
      </c>
      <c r="C2334" t="s">
        <v>5538</v>
      </c>
      <c r="D2334" s="22">
        <v>1425</v>
      </c>
      <c r="E2334" s="17">
        <v>42153</v>
      </c>
      <c r="F2334" s="18">
        <v>0.6620949074074074</v>
      </c>
      <c r="G2334" s="22">
        <v>0</v>
      </c>
      <c r="H2334">
        <v>0</v>
      </c>
      <c r="I2334" s="19" t="e">
        <f>I2333 + (D2334-G2334)</f>
        <v>#VALUE!</v>
      </c>
      <c r="N2334">
        <v>8</v>
      </c>
      <c r="O2334" t="s">
        <v>63</v>
      </c>
      <c r="P2334">
        <v>1</v>
      </c>
      <c r="R2334">
        <v>1526</v>
      </c>
      <c r="S2334" s="17">
        <v>42156</v>
      </c>
      <c r="T2334" s="17">
        <v>42156</v>
      </c>
      <c r="W2334">
        <v>2015</v>
      </c>
      <c r="X2334">
        <v>8</v>
      </c>
      <c r="AC2334" t="s">
        <v>111</v>
      </c>
      <c r="AD2334" t="s">
        <v>301</v>
      </c>
      <c r="AE2334" t="s">
        <v>46</v>
      </c>
      <c r="AG2334">
        <v>4</v>
      </c>
      <c r="AH2334">
        <v>3</v>
      </c>
      <c r="AI2334" t="s">
        <v>64</v>
      </c>
      <c r="AM2334">
        <v>0</v>
      </c>
      <c r="AP2334" t="s">
        <v>389</v>
      </c>
    </row>
    <row r="2335" spans="1:42" customFormat="1">
      <c r="A2335">
        <v>273605</v>
      </c>
      <c r="B2335" t="s">
        <v>5537</v>
      </c>
      <c r="C2335" t="s">
        <v>5180</v>
      </c>
      <c r="D2335" s="22">
        <v>392.7</v>
      </c>
      <c r="E2335" s="17">
        <v>42153</v>
      </c>
      <c r="F2335" s="18">
        <v>0.73271990740740733</v>
      </c>
      <c r="G2335" s="22">
        <v>0</v>
      </c>
      <c r="H2335">
        <v>0</v>
      </c>
      <c r="I2335" s="19" t="e">
        <f>I2334 + (D2335-G2335)</f>
        <v>#VALUE!</v>
      </c>
      <c r="N2335">
        <v>8</v>
      </c>
      <c r="O2335" t="s">
        <v>63</v>
      </c>
      <c r="P2335">
        <v>1</v>
      </c>
      <c r="R2335">
        <v>1526</v>
      </c>
      <c r="S2335" s="17">
        <v>42172</v>
      </c>
      <c r="T2335" s="17">
        <v>42172</v>
      </c>
      <c r="W2335">
        <v>2015</v>
      </c>
      <c r="X2335">
        <v>8</v>
      </c>
      <c r="AC2335" t="s">
        <v>111</v>
      </c>
      <c r="AD2335" t="s">
        <v>301</v>
      </c>
      <c r="AE2335" t="s">
        <v>46</v>
      </c>
      <c r="AG2335">
        <v>4</v>
      </c>
      <c r="AH2335">
        <v>3</v>
      </c>
      <c r="AI2335" t="s">
        <v>64</v>
      </c>
      <c r="AM2335">
        <v>0</v>
      </c>
      <c r="AP2335" t="s">
        <v>389</v>
      </c>
    </row>
    <row r="2336" spans="1:42" customFormat="1">
      <c r="A2336">
        <v>270673</v>
      </c>
      <c r="B2336" t="s">
        <v>3186</v>
      </c>
      <c r="C2336" t="s">
        <v>3186</v>
      </c>
      <c r="D2336" s="22">
        <v>660</v>
      </c>
      <c r="E2336" s="17">
        <v>42138</v>
      </c>
      <c r="F2336" s="18">
        <v>0.47947916666666668</v>
      </c>
      <c r="G2336" s="22">
        <v>0</v>
      </c>
      <c r="H2336">
        <v>0</v>
      </c>
      <c r="I2336" s="19" t="e">
        <f>I2335 + (D2336-G2336)</f>
        <v>#VALUE!</v>
      </c>
      <c r="N2336">
        <v>7</v>
      </c>
      <c r="O2336" t="s">
        <v>44</v>
      </c>
      <c r="P2336">
        <v>1</v>
      </c>
      <c r="R2336">
        <v>1433</v>
      </c>
      <c r="S2336" s="17">
        <v>42145</v>
      </c>
      <c r="T2336" s="17">
        <v>42145</v>
      </c>
      <c r="W2336">
        <v>2015</v>
      </c>
      <c r="X2336">
        <v>7</v>
      </c>
      <c r="AC2336" t="s">
        <v>193</v>
      </c>
      <c r="AD2336" t="s">
        <v>301</v>
      </c>
      <c r="AE2336" t="s">
        <v>46</v>
      </c>
      <c r="AG2336">
        <v>27</v>
      </c>
      <c r="AH2336">
        <v>8</v>
      </c>
      <c r="AI2336" t="s">
        <v>52</v>
      </c>
      <c r="AM2336">
        <v>0</v>
      </c>
      <c r="AP2336" t="s">
        <v>1337</v>
      </c>
    </row>
    <row r="2337" spans="1:42" customFormat="1">
      <c r="A2337">
        <v>270674</v>
      </c>
      <c r="B2337" t="s">
        <v>3186</v>
      </c>
      <c r="C2337" t="s">
        <v>3186</v>
      </c>
      <c r="D2337" s="22">
        <v>2070</v>
      </c>
      <c r="E2337" s="17">
        <v>42139</v>
      </c>
      <c r="F2337" s="18">
        <v>0.48002314814814812</v>
      </c>
      <c r="G2337" s="22">
        <v>0</v>
      </c>
      <c r="H2337">
        <v>0</v>
      </c>
      <c r="I2337" s="19" t="e">
        <f>I2336 + (D2337-G2337)</f>
        <v>#VALUE!</v>
      </c>
      <c r="N2337">
        <v>7</v>
      </c>
      <c r="O2337" t="s">
        <v>44</v>
      </c>
      <c r="P2337">
        <v>1</v>
      </c>
      <c r="R2337">
        <v>1433</v>
      </c>
      <c r="S2337" s="17">
        <v>42145</v>
      </c>
      <c r="T2337" s="17">
        <v>42145</v>
      </c>
      <c r="W2337">
        <v>2015</v>
      </c>
      <c r="X2337">
        <v>7</v>
      </c>
      <c r="AC2337" t="s">
        <v>193</v>
      </c>
      <c r="AD2337" t="s">
        <v>301</v>
      </c>
      <c r="AE2337" t="s">
        <v>46</v>
      </c>
      <c r="AG2337">
        <v>27</v>
      </c>
      <c r="AH2337">
        <v>8</v>
      </c>
      <c r="AI2337" t="s">
        <v>52</v>
      </c>
      <c r="AM2337">
        <v>0</v>
      </c>
      <c r="AP2337" t="s">
        <v>1337</v>
      </c>
    </row>
    <row r="2338" spans="1:42" customFormat="1">
      <c r="A2338">
        <v>268636</v>
      </c>
      <c r="B2338" t="s">
        <v>70</v>
      </c>
      <c r="C2338" t="s">
        <v>338</v>
      </c>
      <c r="D2338" s="22">
        <v>2087.17</v>
      </c>
      <c r="E2338" s="17">
        <v>42128</v>
      </c>
      <c r="F2338" s="18">
        <v>0.37248842592592596</v>
      </c>
      <c r="G2338" s="22">
        <v>0</v>
      </c>
      <c r="H2338">
        <v>0</v>
      </c>
      <c r="I2338" s="19" t="e">
        <f>I2337 + (D2338-G2338)</f>
        <v>#VALUE!</v>
      </c>
      <c r="N2338">
        <v>60</v>
      </c>
      <c r="O2338" t="s">
        <v>60</v>
      </c>
      <c r="P2338">
        <v>1</v>
      </c>
      <c r="R2338">
        <v>1431</v>
      </c>
      <c r="S2338" s="17">
        <v>42131</v>
      </c>
      <c r="T2338" s="17">
        <v>42131</v>
      </c>
      <c r="W2338">
        <v>2015</v>
      </c>
      <c r="X2338">
        <v>60</v>
      </c>
      <c r="AC2338" t="s">
        <v>70</v>
      </c>
      <c r="AD2338" t="s">
        <v>301</v>
      </c>
      <c r="AE2338" t="s">
        <v>46</v>
      </c>
      <c r="AG2338">
        <v>52</v>
      </c>
      <c r="AH2338">
        <v>2</v>
      </c>
      <c r="AI2338" t="s">
        <v>50</v>
      </c>
      <c r="AM2338">
        <v>0</v>
      </c>
      <c r="AP2338" t="s">
        <v>325</v>
      </c>
    </row>
    <row r="2339" spans="1:42" customFormat="1">
      <c r="A2339">
        <v>269725</v>
      </c>
      <c r="B2339" t="s">
        <v>387</v>
      </c>
      <c r="C2339" t="s">
        <v>388</v>
      </c>
      <c r="D2339" s="22">
        <v>3709.17</v>
      </c>
      <c r="E2339" s="17">
        <v>42128</v>
      </c>
      <c r="F2339" s="18">
        <v>0.40261574074074075</v>
      </c>
      <c r="G2339" s="22">
        <v>0</v>
      </c>
      <c r="H2339">
        <v>0</v>
      </c>
      <c r="I2339" s="19" t="e">
        <f>I2338 + (D2339-G2339)</f>
        <v>#VALUE!</v>
      </c>
      <c r="N2339">
        <v>8</v>
      </c>
      <c r="O2339" t="s">
        <v>63</v>
      </c>
      <c r="P2339">
        <v>1</v>
      </c>
      <c r="R2339">
        <v>1431</v>
      </c>
      <c r="S2339" s="17">
        <v>42137</v>
      </c>
      <c r="T2339" s="17">
        <v>42137</v>
      </c>
      <c r="W2339">
        <v>2015</v>
      </c>
      <c r="X2339">
        <v>8</v>
      </c>
      <c r="AC2339" t="s">
        <v>70</v>
      </c>
      <c r="AD2339" t="s">
        <v>301</v>
      </c>
      <c r="AE2339" t="s">
        <v>46</v>
      </c>
      <c r="AG2339">
        <v>4</v>
      </c>
      <c r="AH2339">
        <v>3</v>
      </c>
      <c r="AI2339" t="s">
        <v>64</v>
      </c>
      <c r="AM2339">
        <v>0</v>
      </c>
      <c r="AP2339" t="s">
        <v>389</v>
      </c>
    </row>
    <row r="2340" spans="1:42" customFormat="1">
      <c r="A2340">
        <v>267989</v>
      </c>
      <c r="B2340" t="s">
        <v>70</v>
      </c>
      <c r="C2340" t="s">
        <v>70</v>
      </c>
      <c r="D2340" s="22">
        <v>1213.0999999999999</v>
      </c>
      <c r="E2340" s="17">
        <v>42128</v>
      </c>
      <c r="F2340" s="18">
        <v>0.52997685185185184</v>
      </c>
      <c r="G2340" s="22">
        <v>0</v>
      </c>
      <c r="H2340">
        <v>0</v>
      </c>
      <c r="I2340" s="19" t="e">
        <f>I2339 + (D2340-G2340)</f>
        <v>#VALUE!</v>
      </c>
      <c r="N2340">
        <v>7</v>
      </c>
      <c r="O2340" t="s">
        <v>44</v>
      </c>
      <c r="P2340">
        <v>1</v>
      </c>
      <c r="R2340">
        <v>1431</v>
      </c>
      <c r="S2340" s="17">
        <v>42130</v>
      </c>
      <c r="T2340" s="17">
        <v>42130</v>
      </c>
      <c r="W2340">
        <v>2015</v>
      </c>
      <c r="X2340">
        <v>7</v>
      </c>
      <c r="AC2340" t="s">
        <v>70</v>
      </c>
      <c r="AD2340" t="s">
        <v>301</v>
      </c>
      <c r="AE2340" t="s">
        <v>46</v>
      </c>
      <c r="AG2340">
        <v>56</v>
      </c>
      <c r="AH2340">
        <v>1</v>
      </c>
      <c r="AI2340" t="s">
        <v>58</v>
      </c>
      <c r="AM2340">
        <v>0</v>
      </c>
      <c r="AP2340" t="s">
        <v>59</v>
      </c>
    </row>
    <row r="2341" spans="1:42" customFormat="1">
      <c r="A2341">
        <v>268048</v>
      </c>
      <c r="B2341" t="s">
        <v>70</v>
      </c>
      <c r="C2341" t="s">
        <v>70</v>
      </c>
      <c r="D2341" s="22">
        <v>365.5</v>
      </c>
      <c r="E2341" s="17">
        <v>42129</v>
      </c>
      <c r="F2341" s="18">
        <v>0.58824074074074073</v>
      </c>
      <c r="G2341" s="22">
        <v>0</v>
      </c>
      <c r="H2341">
        <v>0</v>
      </c>
      <c r="I2341" s="19" t="e">
        <f>I2340 + (D2341-G2341)</f>
        <v>#VALUE!</v>
      </c>
      <c r="N2341">
        <v>7</v>
      </c>
      <c r="O2341" t="s">
        <v>44</v>
      </c>
      <c r="P2341">
        <v>1</v>
      </c>
      <c r="R2341">
        <v>1431</v>
      </c>
      <c r="S2341" s="17">
        <v>42130</v>
      </c>
      <c r="T2341" s="17">
        <v>42130</v>
      </c>
      <c r="W2341">
        <v>2015</v>
      </c>
      <c r="X2341">
        <v>7</v>
      </c>
      <c r="AC2341" t="s">
        <v>70</v>
      </c>
      <c r="AD2341" t="s">
        <v>301</v>
      </c>
      <c r="AE2341" t="s">
        <v>46</v>
      </c>
      <c r="AG2341">
        <v>27</v>
      </c>
      <c r="AH2341">
        <v>2</v>
      </c>
      <c r="AI2341" t="s">
        <v>50</v>
      </c>
      <c r="AM2341">
        <v>0</v>
      </c>
      <c r="AP2341" t="s">
        <v>1337</v>
      </c>
    </row>
    <row r="2342" spans="1:42" customFormat="1">
      <c r="A2342">
        <v>268076</v>
      </c>
      <c r="B2342" t="s">
        <v>67</v>
      </c>
      <c r="C2342" t="s">
        <v>70</v>
      </c>
      <c r="D2342" s="22">
        <v>328.7</v>
      </c>
      <c r="E2342" s="17">
        <v>42129</v>
      </c>
      <c r="F2342" s="18">
        <v>0.6023263888888889</v>
      </c>
      <c r="G2342" s="22">
        <v>0</v>
      </c>
      <c r="H2342">
        <v>0</v>
      </c>
      <c r="I2342" s="19" t="e">
        <f>I2341 + (D2342-G2342)</f>
        <v>#VALUE!</v>
      </c>
      <c r="N2342">
        <v>7</v>
      </c>
      <c r="O2342" t="s">
        <v>44</v>
      </c>
      <c r="P2342">
        <v>1</v>
      </c>
      <c r="R2342">
        <v>1431</v>
      </c>
      <c r="S2342" s="17">
        <v>42130</v>
      </c>
      <c r="T2342" s="17">
        <v>42130</v>
      </c>
      <c r="W2342">
        <v>2015</v>
      </c>
      <c r="X2342">
        <v>7</v>
      </c>
      <c r="AC2342" t="s">
        <v>70</v>
      </c>
      <c r="AD2342" t="s">
        <v>301</v>
      </c>
      <c r="AE2342" t="s">
        <v>46</v>
      </c>
      <c r="AG2342">
        <v>27</v>
      </c>
      <c r="AH2342">
        <v>9</v>
      </c>
      <c r="AI2342" t="s">
        <v>54</v>
      </c>
      <c r="AM2342">
        <v>0</v>
      </c>
      <c r="AP2342" t="s">
        <v>1337</v>
      </c>
    </row>
    <row r="2343" spans="1:42" customFormat="1">
      <c r="A2343">
        <v>269407</v>
      </c>
      <c r="B2343" t="s">
        <v>102</v>
      </c>
      <c r="C2343" t="s">
        <v>70</v>
      </c>
      <c r="D2343" s="22">
        <v>3236.12</v>
      </c>
      <c r="E2343" s="17">
        <v>42130</v>
      </c>
      <c r="F2343" s="18">
        <v>0.41229166666666667</v>
      </c>
      <c r="G2343" s="22">
        <v>0</v>
      </c>
      <c r="H2343">
        <v>0</v>
      </c>
      <c r="I2343" s="19" t="e">
        <f>I2342 + (D2343-G2343)</f>
        <v>#VALUE!</v>
      </c>
      <c r="N2343">
        <v>24</v>
      </c>
      <c r="O2343" t="s">
        <v>68</v>
      </c>
      <c r="P2343">
        <v>1</v>
      </c>
      <c r="R2343">
        <v>1431</v>
      </c>
      <c r="S2343" s="17">
        <v>42136</v>
      </c>
      <c r="T2343" s="17">
        <v>42136</v>
      </c>
      <c r="W2343">
        <v>2015</v>
      </c>
      <c r="X2343">
        <v>24</v>
      </c>
      <c r="AC2343" t="s">
        <v>70</v>
      </c>
      <c r="AD2343" t="s">
        <v>301</v>
      </c>
      <c r="AE2343" t="s">
        <v>46</v>
      </c>
      <c r="AG2343">
        <v>52</v>
      </c>
      <c r="AH2343">
        <v>10</v>
      </c>
      <c r="AI2343" t="s">
        <v>95</v>
      </c>
      <c r="AM2343">
        <v>0</v>
      </c>
      <c r="AP2343" t="s">
        <v>325</v>
      </c>
    </row>
    <row r="2344" spans="1:42" customFormat="1">
      <c r="A2344">
        <v>268806</v>
      </c>
      <c r="B2344" t="s">
        <v>1925</v>
      </c>
      <c r="C2344" t="s">
        <v>1935</v>
      </c>
      <c r="D2344" s="22">
        <v>350</v>
      </c>
      <c r="E2344" s="17">
        <v>42131</v>
      </c>
      <c r="F2344" s="18">
        <v>0.42017361111111112</v>
      </c>
      <c r="G2344" s="22">
        <v>0</v>
      </c>
      <c r="H2344">
        <v>0</v>
      </c>
      <c r="I2344" s="19" t="e">
        <f>I2343 + (D2344-G2344)</f>
        <v>#VALUE!</v>
      </c>
      <c r="N2344">
        <v>8</v>
      </c>
      <c r="O2344" t="s">
        <v>63</v>
      </c>
      <c r="P2344">
        <v>1</v>
      </c>
      <c r="R2344">
        <v>1431</v>
      </c>
      <c r="S2344" s="17">
        <v>42132</v>
      </c>
      <c r="T2344" s="17">
        <v>42132</v>
      </c>
      <c r="W2344">
        <v>2015</v>
      </c>
      <c r="X2344">
        <v>8</v>
      </c>
      <c r="AC2344" t="s">
        <v>70</v>
      </c>
      <c r="AD2344" t="s">
        <v>301</v>
      </c>
      <c r="AE2344" t="s">
        <v>46</v>
      </c>
      <c r="AG2344">
        <v>56</v>
      </c>
      <c r="AH2344">
        <v>1</v>
      </c>
      <c r="AI2344" t="s">
        <v>58</v>
      </c>
      <c r="AM2344">
        <v>0</v>
      </c>
      <c r="AP2344" t="s">
        <v>59</v>
      </c>
    </row>
    <row r="2345" spans="1:42" customFormat="1">
      <c r="A2345">
        <v>269453</v>
      </c>
      <c r="B2345" t="s">
        <v>102</v>
      </c>
      <c r="C2345" t="s">
        <v>70</v>
      </c>
      <c r="D2345" s="22">
        <v>2186.81</v>
      </c>
      <c r="E2345" s="17">
        <v>42131</v>
      </c>
      <c r="F2345" s="18">
        <v>0.42873842592592593</v>
      </c>
      <c r="G2345" s="22">
        <v>0</v>
      </c>
      <c r="H2345">
        <v>0</v>
      </c>
      <c r="I2345" s="19" t="e">
        <f>I2344 + (D2345-G2345)</f>
        <v>#VALUE!</v>
      </c>
      <c r="N2345">
        <v>24</v>
      </c>
      <c r="O2345" t="s">
        <v>68</v>
      </c>
      <c r="P2345">
        <v>1</v>
      </c>
      <c r="R2345">
        <v>1431</v>
      </c>
      <c r="S2345" s="17">
        <v>42136</v>
      </c>
      <c r="T2345" s="17">
        <v>42136</v>
      </c>
      <c r="W2345">
        <v>2015</v>
      </c>
      <c r="X2345">
        <v>24</v>
      </c>
      <c r="AC2345" t="s">
        <v>70</v>
      </c>
      <c r="AD2345" t="s">
        <v>301</v>
      </c>
      <c r="AE2345" t="s">
        <v>46</v>
      </c>
      <c r="AG2345">
        <v>52</v>
      </c>
      <c r="AH2345">
        <v>4</v>
      </c>
      <c r="AI2345" t="s">
        <v>78</v>
      </c>
      <c r="AM2345">
        <v>0</v>
      </c>
      <c r="AP2345" t="s">
        <v>325</v>
      </c>
    </row>
    <row r="2346" spans="1:42" customFormat="1">
      <c r="A2346">
        <v>270321</v>
      </c>
      <c r="B2346" t="s">
        <v>2097</v>
      </c>
      <c r="C2346" t="s">
        <v>2098</v>
      </c>
      <c r="D2346" s="22">
        <v>1193.73</v>
      </c>
      <c r="E2346" s="17">
        <v>42132</v>
      </c>
      <c r="F2346" s="18">
        <v>0.40915509259259258</v>
      </c>
      <c r="G2346" s="22">
        <v>0</v>
      </c>
      <c r="H2346">
        <v>0</v>
      </c>
      <c r="I2346" s="19" t="e">
        <f>I2345 + (D2346-G2346)</f>
        <v>#VALUE!</v>
      </c>
      <c r="N2346">
        <v>8</v>
      </c>
      <c r="O2346" t="s">
        <v>63</v>
      </c>
      <c r="P2346">
        <v>1</v>
      </c>
      <c r="R2346">
        <v>1431</v>
      </c>
      <c r="S2346" s="17">
        <v>42144</v>
      </c>
      <c r="T2346" s="17">
        <v>42144</v>
      </c>
      <c r="W2346">
        <v>2015</v>
      </c>
      <c r="X2346">
        <v>8</v>
      </c>
      <c r="AC2346" t="s">
        <v>70</v>
      </c>
      <c r="AD2346" t="s">
        <v>301</v>
      </c>
      <c r="AE2346" t="s">
        <v>46</v>
      </c>
      <c r="AG2346">
        <v>26</v>
      </c>
      <c r="AH2346">
        <v>3</v>
      </c>
      <c r="AI2346" t="s">
        <v>64</v>
      </c>
      <c r="AM2346">
        <v>0</v>
      </c>
      <c r="AP2346" t="s">
        <v>501</v>
      </c>
    </row>
    <row r="2347" spans="1:42" customFormat="1">
      <c r="A2347">
        <v>270326</v>
      </c>
      <c r="B2347" t="s">
        <v>2097</v>
      </c>
      <c r="C2347" t="s">
        <v>2100</v>
      </c>
      <c r="D2347" s="22">
        <v>1084.98</v>
      </c>
      <c r="E2347" s="17">
        <v>42132</v>
      </c>
      <c r="F2347" s="18">
        <v>0.41196759259259258</v>
      </c>
      <c r="G2347" s="22">
        <v>0</v>
      </c>
      <c r="H2347">
        <v>0</v>
      </c>
      <c r="I2347" s="19" t="e">
        <f>I2346 + (D2347-G2347)</f>
        <v>#VALUE!</v>
      </c>
      <c r="N2347">
        <v>8</v>
      </c>
      <c r="O2347" t="s">
        <v>63</v>
      </c>
      <c r="P2347">
        <v>1</v>
      </c>
      <c r="R2347">
        <v>1431</v>
      </c>
      <c r="S2347" s="17">
        <v>42144</v>
      </c>
      <c r="T2347" s="17">
        <v>42144</v>
      </c>
      <c r="W2347">
        <v>2015</v>
      </c>
      <c r="X2347">
        <v>8</v>
      </c>
      <c r="AC2347" t="s">
        <v>70</v>
      </c>
      <c r="AD2347" t="s">
        <v>301</v>
      </c>
      <c r="AE2347" t="s">
        <v>46</v>
      </c>
      <c r="AG2347">
        <v>26</v>
      </c>
      <c r="AH2347">
        <v>3</v>
      </c>
      <c r="AI2347" t="s">
        <v>64</v>
      </c>
      <c r="AM2347">
        <v>0</v>
      </c>
      <c r="AP2347" t="s">
        <v>501</v>
      </c>
    </row>
    <row r="2348" spans="1:42" customFormat="1">
      <c r="A2348">
        <v>269455</v>
      </c>
      <c r="B2348" t="s">
        <v>102</v>
      </c>
      <c r="C2348" t="s">
        <v>70</v>
      </c>
      <c r="D2348" s="22">
        <v>2211</v>
      </c>
      <c r="E2348" s="17">
        <v>42132</v>
      </c>
      <c r="F2348" s="18">
        <v>0.4291550925925926</v>
      </c>
      <c r="G2348" s="22">
        <v>0</v>
      </c>
      <c r="H2348">
        <v>0</v>
      </c>
      <c r="I2348" s="19" t="e">
        <f>I2347 + (D2348-G2348)</f>
        <v>#VALUE!</v>
      </c>
      <c r="N2348">
        <v>24</v>
      </c>
      <c r="O2348" t="s">
        <v>68</v>
      </c>
      <c r="P2348">
        <v>1</v>
      </c>
      <c r="R2348">
        <v>1431</v>
      </c>
      <c r="S2348" s="17">
        <v>42136</v>
      </c>
      <c r="T2348" s="17">
        <v>42136</v>
      </c>
      <c r="W2348">
        <v>2015</v>
      </c>
      <c r="X2348">
        <v>24</v>
      </c>
      <c r="AC2348" t="s">
        <v>70</v>
      </c>
      <c r="AD2348" t="s">
        <v>301</v>
      </c>
      <c r="AE2348" t="s">
        <v>46</v>
      </c>
      <c r="AG2348">
        <v>52</v>
      </c>
      <c r="AH2348">
        <v>4</v>
      </c>
      <c r="AI2348" t="s">
        <v>78</v>
      </c>
      <c r="AM2348">
        <v>0</v>
      </c>
      <c r="AP2348" t="s">
        <v>325</v>
      </c>
    </row>
    <row r="2349" spans="1:42" customFormat="1">
      <c r="A2349">
        <v>269746</v>
      </c>
      <c r="B2349" t="s">
        <v>2119</v>
      </c>
      <c r="C2349" t="s">
        <v>2120</v>
      </c>
      <c r="D2349" s="22">
        <v>692</v>
      </c>
      <c r="E2349" s="17">
        <v>42132</v>
      </c>
      <c r="F2349" s="18">
        <v>0.43972222222222218</v>
      </c>
      <c r="G2349" s="22">
        <v>0</v>
      </c>
      <c r="H2349">
        <v>0</v>
      </c>
      <c r="I2349" s="19" t="e">
        <f>I2348 + (D2349-G2349)</f>
        <v>#VALUE!</v>
      </c>
      <c r="N2349">
        <v>8</v>
      </c>
      <c r="O2349" t="s">
        <v>63</v>
      </c>
      <c r="P2349">
        <v>1</v>
      </c>
      <c r="R2349">
        <v>1431</v>
      </c>
      <c r="S2349" s="17">
        <v>42137</v>
      </c>
      <c r="T2349" s="17">
        <v>42137</v>
      </c>
      <c r="W2349">
        <v>2015</v>
      </c>
      <c r="X2349">
        <v>8</v>
      </c>
      <c r="AC2349" t="s">
        <v>70</v>
      </c>
      <c r="AD2349" t="s">
        <v>301</v>
      </c>
      <c r="AE2349" t="s">
        <v>46</v>
      </c>
      <c r="AG2349">
        <v>56</v>
      </c>
      <c r="AH2349">
        <v>1</v>
      </c>
      <c r="AI2349" t="s">
        <v>58</v>
      </c>
      <c r="AM2349">
        <v>0</v>
      </c>
      <c r="AP2349" t="s">
        <v>59</v>
      </c>
    </row>
    <row r="2350" spans="1:42" customFormat="1">
      <c r="A2350">
        <v>269501</v>
      </c>
      <c r="B2350" t="s">
        <v>102</v>
      </c>
      <c r="C2350" t="s">
        <v>70</v>
      </c>
      <c r="D2350" s="22">
        <v>4396.82</v>
      </c>
      <c r="E2350" s="17">
        <v>42132</v>
      </c>
      <c r="F2350" s="18">
        <v>0.4470486111111111</v>
      </c>
      <c r="G2350" s="22">
        <v>0</v>
      </c>
      <c r="H2350">
        <v>0</v>
      </c>
      <c r="I2350" s="19" t="e">
        <f>I2349 + (D2350-G2350)</f>
        <v>#VALUE!</v>
      </c>
      <c r="N2350">
        <v>24</v>
      </c>
      <c r="O2350" t="s">
        <v>68</v>
      </c>
      <c r="P2350">
        <v>1</v>
      </c>
      <c r="R2350">
        <v>1431</v>
      </c>
      <c r="S2350" s="17">
        <v>42136</v>
      </c>
      <c r="T2350" s="17">
        <v>42136</v>
      </c>
      <c r="W2350">
        <v>2015</v>
      </c>
      <c r="X2350">
        <v>24</v>
      </c>
      <c r="AC2350" t="s">
        <v>70</v>
      </c>
      <c r="AD2350" t="s">
        <v>301</v>
      </c>
      <c r="AE2350" t="s">
        <v>46</v>
      </c>
      <c r="AG2350">
        <v>52</v>
      </c>
      <c r="AH2350">
        <v>4</v>
      </c>
      <c r="AI2350" t="s">
        <v>78</v>
      </c>
      <c r="AM2350">
        <v>0</v>
      </c>
      <c r="AP2350" t="s">
        <v>325</v>
      </c>
    </row>
    <row r="2351" spans="1:42" customFormat="1">
      <c r="A2351">
        <v>270386</v>
      </c>
      <c r="B2351" t="s">
        <v>102</v>
      </c>
      <c r="C2351" t="s">
        <v>70</v>
      </c>
      <c r="D2351" s="22">
        <v>1051</v>
      </c>
      <c r="E2351" s="17">
        <v>42135</v>
      </c>
      <c r="F2351" s="18">
        <v>0.43390046296296297</v>
      </c>
      <c r="G2351" s="22">
        <v>0</v>
      </c>
      <c r="H2351">
        <v>0</v>
      </c>
      <c r="I2351" s="19" t="e">
        <f>I2350 + (D2351-G2351)</f>
        <v>#VALUE!</v>
      </c>
      <c r="N2351">
        <v>24</v>
      </c>
      <c r="O2351" t="s">
        <v>68</v>
      </c>
      <c r="P2351">
        <v>1</v>
      </c>
      <c r="R2351">
        <v>1431</v>
      </c>
      <c r="S2351" s="17">
        <v>42144</v>
      </c>
      <c r="T2351" s="17">
        <v>42144</v>
      </c>
      <c r="W2351">
        <v>2015</v>
      </c>
      <c r="X2351">
        <v>24</v>
      </c>
      <c r="AC2351" t="s">
        <v>70</v>
      </c>
      <c r="AD2351" t="s">
        <v>301</v>
      </c>
      <c r="AE2351" t="s">
        <v>46</v>
      </c>
      <c r="AG2351">
        <v>52</v>
      </c>
      <c r="AH2351">
        <v>2</v>
      </c>
      <c r="AI2351" t="s">
        <v>50</v>
      </c>
      <c r="AM2351">
        <v>0</v>
      </c>
      <c r="AP2351" t="s">
        <v>325</v>
      </c>
    </row>
    <row r="2352" spans="1:42" customFormat="1">
      <c r="A2352">
        <v>270389</v>
      </c>
      <c r="B2352" t="s">
        <v>2518</v>
      </c>
      <c r="C2352" t="s">
        <v>2519</v>
      </c>
      <c r="D2352" s="22">
        <v>1118</v>
      </c>
      <c r="E2352" s="17">
        <v>42135</v>
      </c>
      <c r="F2352" s="18">
        <v>0.44153935185185184</v>
      </c>
      <c r="G2352" s="22">
        <v>0</v>
      </c>
      <c r="H2352">
        <v>0</v>
      </c>
      <c r="I2352" s="19" t="e">
        <f>I2351 + (D2352-G2352)</f>
        <v>#VALUE!</v>
      </c>
      <c r="N2352">
        <v>8</v>
      </c>
      <c r="O2352" t="s">
        <v>63</v>
      </c>
      <c r="P2352">
        <v>1</v>
      </c>
      <c r="R2352">
        <v>1431</v>
      </c>
      <c r="S2352" s="17">
        <v>42144</v>
      </c>
      <c r="T2352" s="17">
        <v>42144</v>
      </c>
      <c r="W2352">
        <v>2015</v>
      </c>
      <c r="X2352">
        <v>8</v>
      </c>
      <c r="AC2352" t="s">
        <v>70</v>
      </c>
      <c r="AD2352" t="s">
        <v>301</v>
      </c>
      <c r="AE2352" t="s">
        <v>46</v>
      </c>
      <c r="AG2352">
        <v>26</v>
      </c>
      <c r="AH2352">
        <v>3</v>
      </c>
      <c r="AI2352" t="s">
        <v>64</v>
      </c>
      <c r="AM2352">
        <v>0</v>
      </c>
      <c r="AP2352" t="s">
        <v>501</v>
      </c>
    </row>
    <row r="2353" spans="1:42" customFormat="1">
      <c r="A2353">
        <v>270050</v>
      </c>
      <c r="B2353" t="s">
        <v>70</v>
      </c>
      <c r="C2353" t="s">
        <v>70</v>
      </c>
      <c r="D2353" s="22">
        <v>945</v>
      </c>
      <c r="E2353" s="17">
        <v>42135</v>
      </c>
      <c r="F2353" s="18">
        <v>0.66957175925925927</v>
      </c>
      <c r="G2353" s="22">
        <v>0</v>
      </c>
      <c r="H2353">
        <v>0</v>
      </c>
      <c r="I2353" s="19" t="e">
        <f>I2352 + (D2353-G2353)</f>
        <v>#VALUE!</v>
      </c>
      <c r="N2353">
        <v>24</v>
      </c>
      <c r="O2353" t="s">
        <v>68</v>
      </c>
      <c r="P2353">
        <v>1</v>
      </c>
      <c r="R2353">
        <v>1431</v>
      </c>
      <c r="S2353" s="17">
        <v>42139</v>
      </c>
      <c r="T2353" s="17">
        <v>42139</v>
      </c>
      <c r="W2353">
        <v>2015</v>
      </c>
      <c r="X2353">
        <v>24</v>
      </c>
      <c r="AC2353" t="s">
        <v>70</v>
      </c>
      <c r="AD2353" t="s">
        <v>301</v>
      </c>
      <c r="AE2353" t="s">
        <v>46</v>
      </c>
      <c r="AG2353">
        <v>52</v>
      </c>
      <c r="AH2353">
        <v>2</v>
      </c>
      <c r="AI2353" t="s">
        <v>50</v>
      </c>
      <c r="AM2353">
        <v>0</v>
      </c>
      <c r="AP2353" t="s">
        <v>325</v>
      </c>
    </row>
    <row r="2354" spans="1:42" customFormat="1">
      <c r="A2354">
        <v>269903</v>
      </c>
      <c r="B2354" t="s">
        <v>70</v>
      </c>
      <c r="C2354" t="s">
        <v>70</v>
      </c>
      <c r="D2354" s="22">
        <v>3110.8</v>
      </c>
      <c r="E2354" s="17">
        <v>42136</v>
      </c>
      <c r="F2354" s="18">
        <v>0.44895833333333335</v>
      </c>
      <c r="G2354" s="22">
        <v>0</v>
      </c>
      <c r="H2354">
        <v>0</v>
      </c>
      <c r="I2354" s="19" t="e">
        <f>I2353 + (D2354-G2354)</f>
        <v>#VALUE!</v>
      </c>
      <c r="N2354">
        <v>24</v>
      </c>
      <c r="O2354" t="s">
        <v>68</v>
      </c>
      <c r="P2354">
        <v>1</v>
      </c>
      <c r="R2354">
        <v>1431</v>
      </c>
      <c r="S2354" s="17">
        <v>42138</v>
      </c>
      <c r="T2354" s="17">
        <v>42138</v>
      </c>
      <c r="W2354">
        <v>2015</v>
      </c>
      <c r="X2354">
        <v>24</v>
      </c>
      <c r="AC2354" t="s">
        <v>70</v>
      </c>
      <c r="AD2354" t="s">
        <v>301</v>
      </c>
      <c r="AE2354" t="s">
        <v>46</v>
      </c>
      <c r="AG2354">
        <v>12</v>
      </c>
      <c r="AH2354">
        <v>2</v>
      </c>
      <c r="AI2354" t="s">
        <v>50</v>
      </c>
      <c r="AM2354">
        <v>0</v>
      </c>
      <c r="AP2354" t="s">
        <v>392</v>
      </c>
    </row>
    <row r="2355" spans="1:42" customFormat="1">
      <c r="A2355">
        <v>271472</v>
      </c>
      <c r="B2355" t="s">
        <v>2932</v>
      </c>
      <c r="C2355" t="s">
        <v>2933</v>
      </c>
      <c r="D2355" s="22">
        <v>1130.42</v>
      </c>
      <c r="E2355" s="17">
        <v>42136</v>
      </c>
      <c r="F2355" s="18">
        <v>0.69869212962962957</v>
      </c>
      <c r="G2355" s="22">
        <v>0</v>
      </c>
      <c r="H2355">
        <v>0</v>
      </c>
      <c r="I2355" s="19" t="e">
        <f>I2354 + (D2355-G2355)</f>
        <v>#VALUE!</v>
      </c>
      <c r="N2355">
        <v>8</v>
      </c>
      <c r="O2355" t="s">
        <v>63</v>
      </c>
      <c r="P2355">
        <v>1</v>
      </c>
      <c r="R2355">
        <v>1431</v>
      </c>
      <c r="S2355" s="17">
        <v>42152</v>
      </c>
      <c r="T2355" s="17">
        <v>42152</v>
      </c>
      <c r="W2355">
        <v>2015</v>
      </c>
      <c r="X2355">
        <v>8</v>
      </c>
      <c r="AC2355" t="s">
        <v>70</v>
      </c>
      <c r="AD2355" t="s">
        <v>301</v>
      </c>
      <c r="AE2355" t="s">
        <v>46</v>
      </c>
      <c r="AG2355">
        <v>26</v>
      </c>
      <c r="AH2355">
        <v>3</v>
      </c>
      <c r="AI2355" t="s">
        <v>64</v>
      </c>
      <c r="AM2355">
        <v>0</v>
      </c>
      <c r="AP2355" t="s">
        <v>501</v>
      </c>
    </row>
    <row r="2356" spans="1:42" customFormat="1">
      <c r="A2356">
        <v>270400</v>
      </c>
      <c r="B2356" t="s">
        <v>70</v>
      </c>
      <c r="C2356" t="s">
        <v>70</v>
      </c>
      <c r="D2356" s="22">
        <v>4597</v>
      </c>
      <c r="E2356" s="17">
        <v>42138</v>
      </c>
      <c r="F2356" s="18">
        <v>0.44886574074074076</v>
      </c>
      <c r="G2356" s="22">
        <v>0</v>
      </c>
      <c r="H2356">
        <v>0</v>
      </c>
      <c r="I2356" s="19" t="e">
        <f>I2355 + (D2356-G2356)</f>
        <v>#VALUE!</v>
      </c>
      <c r="N2356">
        <v>7</v>
      </c>
      <c r="O2356" t="s">
        <v>44</v>
      </c>
      <c r="P2356">
        <v>1</v>
      </c>
      <c r="R2356">
        <v>1431</v>
      </c>
      <c r="S2356" s="17">
        <v>42144</v>
      </c>
      <c r="T2356" s="17">
        <v>42144</v>
      </c>
      <c r="W2356">
        <v>2014</v>
      </c>
      <c r="X2356">
        <v>7</v>
      </c>
      <c r="AC2356" t="s">
        <v>70</v>
      </c>
      <c r="AD2356" t="s">
        <v>301</v>
      </c>
      <c r="AE2356" t="s">
        <v>46</v>
      </c>
      <c r="AG2356">
        <v>3</v>
      </c>
      <c r="AH2356">
        <v>11</v>
      </c>
      <c r="AI2356" t="s">
        <v>47</v>
      </c>
      <c r="AM2356">
        <v>0</v>
      </c>
      <c r="AP2356" t="s">
        <v>80</v>
      </c>
    </row>
    <row r="2357" spans="1:42" customFormat="1">
      <c r="A2357">
        <v>270402</v>
      </c>
      <c r="B2357" t="s">
        <v>70</v>
      </c>
      <c r="C2357" t="s">
        <v>70</v>
      </c>
      <c r="D2357" s="22">
        <v>1146</v>
      </c>
      <c r="E2357" s="17">
        <v>42138</v>
      </c>
      <c r="F2357" s="18">
        <v>0.44990740740740742</v>
      </c>
      <c r="G2357" s="22">
        <v>0</v>
      </c>
      <c r="H2357">
        <v>0</v>
      </c>
      <c r="I2357" s="19" t="e">
        <f>I2356 + (D2357-G2357)</f>
        <v>#VALUE!</v>
      </c>
      <c r="N2357">
        <v>7</v>
      </c>
      <c r="O2357" t="s">
        <v>44</v>
      </c>
      <c r="P2357">
        <v>1</v>
      </c>
      <c r="R2357">
        <v>1431</v>
      </c>
      <c r="S2357" s="17">
        <v>42144</v>
      </c>
      <c r="T2357" s="17">
        <v>42144</v>
      </c>
      <c r="W2357">
        <v>2014</v>
      </c>
      <c r="X2357">
        <v>7</v>
      </c>
      <c r="AC2357" t="s">
        <v>70</v>
      </c>
      <c r="AD2357" t="s">
        <v>301</v>
      </c>
      <c r="AE2357" t="s">
        <v>46</v>
      </c>
      <c r="AG2357">
        <v>27</v>
      </c>
      <c r="AH2357">
        <v>2</v>
      </c>
      <c r="AI2357" t="s">
        <v>50</v>
      </c>
      <c r="AM2357">
        <v>0</v>
      </c>
      <c r="AP2357" t="s">
        <v>1337</v>
      </c>
    </row>
    <row r="2358" spans="1:42" customFormat="1">
      <c r="A2358">
        <v>271478</v>
      </c>
      <c r="B2358" t="s">
        <v>3201</v>
      </c>
      <c r="C2358" t="s">
        <v>3215</v>
      </c>
      <c r="D2358" s="22">
        <v>1122.1099999999999</v>
      </c>
      <c r="E2358" s="17">
        <v>42138</v>
      </c>
      <c r="F2358" s="18">
        <v>0.72962962962962974</v>
      </c>
      <c r="G2358" s="22">
        <v>0</v>
      </c>
      <c r="H2358">
        <v>0</v>
      </c>
      <c r="I2358" s="19" t="e">
        <f>I2357 + (D2358-G2358)</f>
        <v>#VALUE!</v>
      </c>
      <c r="N2358">
        <v>8</v>
      </c>
      <c r="O2358" t="s">
        <v>63</v>
      </c>
      <c r="P2358">
        <v>1</v>
      </c>
      <c r="R2358">
        <v>1431</v>
      </c>
      <c r="S2358" s="17">
        <v>42152</v>
      </c>
      <c r="T2358" s="17">
        <v>42152</v>
      </c>
      <c r="W2358">
        <v>2015</v>
      </c>
      <c r="X2358">
        <v>8</v>
      </c>
      <c r="AC2358" t="s">
        <v>70</v>
      </c>
      <c r="AD2358" t="s">
        <v>301</v>
      </c>
      <c r="AE2358" t="s">
        <v>46</v>
      </c>
      <c r="AG2358">
        <v>26</v>
      </c>
      <c r="AH2358">
        <v>3</v>
      </c>
      <c r="AI2358" t="s">
        <v>64</v>
      </c>
      <c r="AM2358">
        <v>0</v>
      </c>
      <c r="AP2358" t="s">
        <v>501</v>
      </c>
    </row>
    <row r="2359" spans="1:42" customFormat="1">
      <c r="A2359">
        <v>270460</v>
      </c>
      <c r="B2359" t="s">
        <v>102</v>
      </c>
      <c r="C2359" t="s">
        <v>70</v>
      </c>
      <c r="D2359" s="22">
        <v>6171.9</v>
      </c>
      <c r="E2359" s="17">
        <v>42139</v>
      </c>
      <c r="F2359" s="18">
        <v>0.37679398148148152</v>
      </c>
      <c r="G2359" s="22">
        <v>0</v>
      </c>
      <c r="H2359">
        <v>0</v>
      </c>
      <c r="I2359" s="19" t="e">
        <f>I2358 + (D2359-G2359)</f>
        <v>#VALUE!</v>
      </c>
      <c r="N2359">
        <v>24</v>
      </c>
      <c r="O2359" t="s">
        <v>68</v>
      </c>
      <c r="P2359">
        <v>1</v>
      </c>
      <c r="R2359">
        <v>1431</v>
      </c>
      <c r="S2359" s="17">
        <v>42145</v>
      </c>
      <c r="T2359" s="17">
        <v>42145</v>
      </c>
      <c r="W2359">
        <v>2015</v>
      </c>
      <c r="X2359">
        <v>24</v>
      </c>
      <c r="AC2359" t="s">
        <v>70</v>
      </c>
      <c r="AD2359" t="s">
        <v>301</v>
      </c>
      <c r="AE2359" t="s">
        <v>46</v>
      </c>
      <c r="AG2359">
        <v>52</v>
      </c>
      <c r="AH2359">
        <v>2</v>
      </c>
      <c r="AI2359" t="s">
        <v>50</v>
      </c>
      <c r="AM2359">
        <v>0</v>
      </c>
      <c r="AP2359" t="s">
        <v>325</v>
      </c>
    </row>
    <row r="2360" spans="1:42" customFormat="1">
      <c r="A2360">
        <v>270320</v>
      </c>
      <c r="B2360" t="s">
        <v>3288</v>
      </c>
      <c r="C2360" t="s">
        <v>3388</v>
      </c>
      <c r="D2360" s="22">
        <v>1076.25</v>
      </c>
      <c r="E2360" s="17">
        <v>42139</v>
      </c>
      <c r="F2360" s="18">
        <v>0.40402777777777782</v>
      </c>
      <c r="G2360" s="22">
        <v>0</v>
      </c>
      <c r="H2360">
        <v>0</v>
      </c>
      <c r="I2360" s="19" t="e">
        <f>I2359 + (D2360-G2360)</f>
        <v>#VALUE!</v>
      </c>
      <c r="N2360">
        <v>8</v>
      </c>
      <c r="O2360" t="s">
        <v>63</v>
      </c>
      <c r="P2360">
        <v>1</v>
      </c>
      <c r="R2360">
        <v>1431</v>
      </c>
      <c r="S2360" s="17">
        <v>42144</v>
      </c>
      <c r="T2360" s="17">
        <v>42144</v>
      </c>
      <c r="W2360">
        <v>2015</v>
      </c>
      <c r="X2360">
        <v>8</v>
      </c>
      <c r="AC2360" t="s">
        <v>70</v>
      </c>
      <c r="AD2360" t="s">
        <v>301</v>
      </c>
      <c r="AE2360" t="s">
        <v>46</v>
      </c>
      <c r="AG2360">
        <v>56</v>
      </c>
      <c r="AH2360">
        <v>1</v>
      </c>
      <c r="AI2360" t="s">
        <v>58</v>
      </c>
      <c r="AM2360">
        <v>0</v>
      </c>
      <c r="AP2360" t="s">
        <v>59</v>
      </c>
    </row>
    <row r="2361" spans="1:42" customFormat="1">
      <c r="A2361">
        <v>271465</v>
      </c>
      <c r="B2361" t="s">
        <v>3477</v>
      </c>
      <c r="C2361" t="s">
        <v>3483</v>
      </c>
      <c r="D2361" s="22">
        <v>1120.32</v>
      </c>
      <c r="E2361" s="17">
        <v>42139</v>
      </c>
      <c r="F2361" s="18">
        <v>0.67451388888888886</v>
      </c>
      <c r="G2361" s="22">
        <v>0</v>
      </c>
      <c r="H2361">
        <v>0</v>
      </c>
      <c r="I2361" s="19" t="e">
        <f>I2360 + (D2361-G2361)</f>
        <v>#VALUE!</v>
      </c>
      <c r="N2361">
        <v>8</v>
      </c>
      <c r="O2361" t="s">
        <v>63</v>
      </c>
      <c r="P2361">
        <v>1</v>
      </c>
      <c r="R2361">
        <v>1431</v>
      </c>
      <c r="S2361" s="17">
        <v>42152</v>
      </c>
      <c r="T2361" s="17">
        <v>42152</v>
      </c>
      <c r="W2361">
        <v>2015</v>
      </c>
      <c r="X2361">
        <v>8</v>
      </c>
      <c r="AC2361" t="s">
        <v>70</v>
      </c>
      <c r="AD2361" t="s">
        <v>301</v>
      </c>
      <c r="AE2361" t="s">
        <v>46</v>
      </c>
      <c r="AG2361">
        <v>26</v>
      </c>
      <c r="AH2361">
        <v>3</v>
      </c>
      <c r="AI2361" t="s">
        <v>64</v>
      </c>
      <c r="AM2361">
        <v>0</v>
      </c>
      <c r="AP2361" t="s">
        <v>501</v>
      </c>
    </row>
    <row r="2362" spans="1:42" customFormat="1">
      <c r="A2362">
        <v>270733</v>
      </c>
      <c r="B2362" t="s">
        <v>70</v>
      </c>
      <c r="C2362" t="s">
        <v>70</v>
      </c>
      <c r="D2362" s="22">
        <v>400</v>
      </c>
      <c r="E2362" s="17">
        <v>42142</v>
      </c>
      <c r="F2362" s="18">
        <v>0.42234953703703698</v>
      </c>
      <c r="G2362" s="22">
        <v>0</v>
      </c>
      <c r="H2362">
        <v>0</v>
      </c>
      <c r="I2362" s="19" t="e">
        <f>I2361 + (D2362-G2362)</f>
        <v>#VALUE!</v>
      </c>
      <c r="N2362">
        <v>7</v>
      </c>
      <c r="O2362" t="s">
        <v>44</v>
      </c>
      <c r="P2362">
        <v>2</v>
      </c>
      <c r="R2362">
        <v>1431</v>
      </c>
      <c r="S2362" s="17">
        <v>42146</v>
      </c>
      <c r="T2362" s="17">
        <v>42146</v>
      </c>
      <c r="W2362">
        <v>2015</v>
      </c>
      <c r="X2362">
        <v>7</v>
      </c>
      <c r="AC2362" t="s">
        <v>70</v>
      </c>
      <c r="AD2362" t="s">
        <v>301</v>
      </c>
      <c r="AE2362" t="s">
        <v>46</v>
      </c>
      <c r="AG2362">
        <v>27</v>
      </c>
      <c r="AH2362">
        <v>2</v>
      </c>
      <c r="AI2362" t="s">
        <v>50</v>
      </c>
      <c r="AM2362">
        <v>0</v>
      </c>
      <c r="AP2362" t="s">
        <v>1337</v>
      </c>
    </row>
    <row r="2363" spans="1:42" customFormat="1">
      <c r="A2363">
        <v>270301</v>
      </c>
      <c r="B2363" t="s">
        <v>3563</v>
      </c>
      <c r="C2363" t="s">
        <v>3564</v>
      </c>
      <c r="D2363" s="22">
        <v>945</v>
      </c>
      <c r="E2363" s="17">
        <v>42142</v>
      </c>
      <c r="F2363" s="18">
        <v>0.59761574074074075</v>
      </c>
      <c r="G2363" s="22">
        <v>0</v>
      </c>
      <c r="H2363">
        <v>0</v>
      </c>
      <c r="I2363" s="19" t="e">
        <f>I2362 + (D2363-G2363)</f>
        <v>#VALUE!</v>
      </c>
      <c r="N2363">
        <v>8</v>
      </c>
      <c r="O2363" t="s">
        <v>63</v>
      </c>
      <c r="P2363">
        <v>1</v>
      </c>
      <c r="R2363">
        <v>1431</v>
      </c>
      <c r="S2363" s="17">
        <v>42143</v>
      </c>
      <c r="T2363" s="17">
        <v>42143</v>
      </c>
      <c r="W2363">
        <v>2015</v>
      </c>
      <c r="X2363">
        <v>8</v>
      </c>
      <c r="AC2363" t="s">
        <v>70</v>
      </c>
      <c r="AD2363" t="s">
        <v>301</v>
      </c>
      <c r="AE2363" t="s">
        <v>46</v>
      </c>
      <c r="AG2363">
        <v>56</v>
      </c>
      <c r="AH2363">
        <v>1</v>
      </c>
      <c r="AI2363" t="s">
        <v>58</v>
      </c>
      <c r="AM2363">
        <v>0</v>
      </c>
      <c r="AP2363" t="s">
        <v>59</v>
      </c>
    </row>
    <row r="2364" spans="1:42" customFormat="1">
      <c r="A2364">
        <v>271477</v>
      </c>
      <c r="B2364" t="s">
        <v>3567</v>
      </c>
      <c r="C2364" t="s">
        <v>3592</v>
      </c>
      <c r="D2364" s="22">
        <v>1126.7</v>
      </c>
      <c r="E2364" s="17">
        <v>42142</v>
      </c>
      <c r="F2364" s="18">
        <v>0.72546296296296298</v>
      </c>
      <c r="G2364" s="22">
        <v>0</v>
      </c>
      <c r="H2364">
        <v>0</v>
      </c>
      <c r="I2364" s="19" t="e">
        <f>I2363 + (D2364-G2364)</f>
        <v>#VALUE!</v>
      </c>
      <c r="N2364">
        <v>8</v>
      </c>
      <c r="O2364" t="s">
        <v>63</v>
      </c>
      <c r="P2364">
        <v>1</v>
      </c>
      <c r="R2364">
        <v>1431</v>
      </c>
      <c r="S2364" s="17">
        <v>42152</v>
      </c>
      <c r="T2364" s="17">
        <v>42152</v>
      </c>
      <c r="W2364">
        <v>2015</v>
      </c>
      <c r="X2364">
        <v>8</v>
      </c>
      <c r="AC2364" t="s">
        <v>70</v>
      </c>
      <c r="AD2364" t="s">
        <v>301</v>
      </c>
      <c r="AE2364" t="s">
        <v>46</v>
      </c>
      <c r="AG2364">
        <v>26</v>
      </c>
      <c r="AH2364">
        <v>3</v>
      </c>
      <c r="AI2364" t="s">
        <v>64</v>
      </c>
      <c r="AM2364">
        <v>0</v>
      </c>
      <c r="AP2364" t="s">
        <v>501</v>
      </c>
    </row>
    <row r="2365" spans="1:42" customFormat="1">
      <c r="A2365">
        <v>270794</v>
      </c>
      <c r="B2365" t="s">
        <v>70</v>
      </c>
      <c r="C2365" t="s">
        <v>70</v>
      </c>
      <c r="D2365" s="22">
        <v>2775</v>
      </c>
      <c r="E2365" s="17">
        <v>42144</v>
      </c>
      <c r="F2365" s="18">
        <v>0.54244212962962968</v>
      </c>
      <c r="G2365" s="22">
        <v>0</v>
      </c>
      <c r="H2365">
        <v>0</v>
      </c>
      <c r="I2365" s="19" t="e">
        <f>I2364 + (D2365-G2365)</f>
        <v>#VALUE!</v>
      </c>
      <c r="N2365">
        <v>24</v>
      </c>
      <c r="O2365" t="s">
        <v>68</v>
      </c>
      <c r="P2365">
        <v>1</v>
      </c>
      <c r="R2365">
        <v>1431</v>
      </c>
      <c r="S2365" s="17">
        <v>42146</v>
      </c>
      <c r="T2365" s="17">
        <v>42146</v>
      </c>
      <c r="W2365">
        <v>2015</v>
      </c>
      <c r="X2365">
        <v>24</v>
      </c>
      <c r="AC2365" t="s">
        <v>70</v>
      </c>
      <c r="AD2365" t="s">
        <v>301</v>
      </c>
      <c r="AE2365" t="s">
        <v>46</v>
      </c>
      <c r="AG2365">
        <v>52</v>
      </c>
      <c r="AH2365">
        <v>10</v>
      </c>
      <c r="AI2365" t="s">
        <v>95</v>
      </c>
      <c r="AM2365">
        <v>0</v>
      </c>
      <c r="AP2365" t="s">
        <v>325</v>
      </c>
    </row>
    <row r="2366" spans="1:42" customFormat="1">
      <c r="A2366">
        <v>270803</v>
      </c>
      <c r="B2366" t="s">
        <v>70</v>
      </c>
      <c r="C2366" t="s">
        <v>70</v>
      </c>
      <c r="D2366" s="22">
        <v>1111</v>
      </c>
      <c r="E2366" s="17">
        <v>42145</v>
      </c>
      <c r="F2366" s="18">
        <v>0.54653935185185187</v>
      </c>
      <c r="G2366" s="22">
        <v>0</v>
      </c>
      <c r="H2366">
        <v>0</v>
      </c>
      <c r="I2366" s="19" t="e">
        <f>I2365 + (D2366-G2366)</f>
        <v>#VALUE!</v>
      </c>
      <c r="N2366">
        <v>24</v>
      </c>
      <c r="O2366" t="s">
        <v>68</v>
      </c>
      <c r="P2366">
        <v>1</v>
      </c>
      <c r="R2366">
        <v>1431</v>
      </c>
      <c r="S2366" s="17">
        <v>42146</v>
      </c>
      <c r="T2366" s="17">
        <v>42146</v>
      </c>
      <c r="W2366">
        <v>2015</v>
      </c>
      <c r="X2366">
        <v>24</v>
      </c>
      <c r="AC2366" t="s">
        <v>70</v>
      </c>
      <c r="AD2366" t="s">
        <v>301</v>
      </c>
      <c r="AE2366" t="s">
        <v>46</v>
      </c>
      <c r="AG2366">
        <v>52</v>
      </c>
      <c r="AH2366">
        <v>10</v>
      </c>
      <c r="AI2366" t="s">
        <v>95</v>
      </c>
      <c r="AM2366">
        <v>0</v>
      </c>
      <c r="AP2366" t="s">
        <v>325</v>
      </c>
    </row>
    <row r="2367" spans="1:42" customFormat="1">
      <c r="A2367">
        <v>271482</v>
      </c>
      <c r="B2367" t="s">
        <v>4109</v>
      </c>
      <c r="C2367" t="s">
        <v>4110</v>
      </c>
      <c r="D2367" s="22">
        <v>2332</v>
      </c>
      <c r="E2367" s="17">
        <v>42145</v>
      </c>
      <c r="F2367" s="18">
        <v>0.74247685185185175</v>
      </c>
      <c r="G2367" s="22">
        <v>0</v>
      </c>
      <c r="H2367">
        <v>0</v>
      </c>
      <c r="I2367" s="19" t="e">
        <f>I2366 + (D2367-G2367)</f>
        <v>#VALUE!</v>
      </c>
      <c r="N2367">
        <v>8</v>
      </c>
      <c r="O2367" t="s">
        <v>63</v>
      </c>
      <c r="P2367">
        <v>1</v>
      </c>
      <c r="R2367">
        <v>1431</v>
      </c>
      <c r="S2367" s="17">
        <v>42152</v>
      </c>
      <c r="T2367" s="17">
        <v>42152</v>
      </c>
      <c r="W2367">
        <v>2015</v>
      </c>
      <c r="X2367">
        <v>8</v>
      </c>
      <c r="AC2367" t="s">
        <v>70</v>
      </c>
      <c r="AD2367" t="s">
        <v>301</v>
      </c>
      <c r="AE2367" t="s">
        <v>46</v>
      </c>
      <c r="AG2367">
        <v>26</v>
      </c>
      <c r="AH2367">
        <v>3</v>
      </c>
      <c r="AI2367" t="s">
        <v>64</v>
      </c>
      <c r="AM2367">
        <v>0</v>
      </c>
      <c r="AP2367" t="s">
        <v>501</v>
      </c>
    </row>
    <row r="2368" spans="1:42" customFormat="1">
      <c r="A2368">
        <v>271486</v>
      </c>
      <c r="B2368" t="s">
        <v>4152</v>
      </c>
      <c r="C2368" t="s">
        <v>4153</v>
      </c>
      <c r="D2368" s="22">
        <v>2034.5</v>
      </c>
      <c r="E2368" s="17">
        <v>42146</v>
      </c>
      <c r="F2368" s="18">
        <v>0.43815972222222221</v>
      </c>
      <c r="G2368" s="22">
        <v>0</v>
      </c>
      <c r="H2368">
        <v>0</v>
      </c>
      <c r="I2368" s="19" t="e">
        <f>I2367 + (D2368-G2368)</f>
        <v>#VALUE!</v>
      </c>
      <c r="N2368">
        <v>8</v>
      </c>
      <c r="O2368" t="s">
        <v>63</v>
      </c>
      <c r="P2368">
        <v>1</v>
      </c>
      <c r="R2368">
        <v>1431</v>
      </c>
      <c r="S2368" s="17">
        <v>42153</v>
      </c>
      <c r="T2368" s="17">
        <v>42153</v>
      </c>
      <c r="W2368">
        <v>2015</v>
      </c>
      <c r="X2368">
        <v>8</v>
      </c>
      <c r="AC2368" t="s">
        <v>70</v>
      </c>
      <c r="AD2368" t="s">
        <v>301</v>
      </c>
      <c r="AE2368" t="s">
        <v>46</v>
      </c>
      <c r="AG2368">
        <v>56</v>
      </c>
      <c r="AH2368">
        <v>1</v>
      </c>
      <c r="AI2368" t="s">
        <v>58</v>
      </c>
      <c r="AM2368">
        <v>0</v>
      </c>
      <c r="AP2368" t="s">
        <v>59</v>
      </c>
    </row>
    <row r="2369" spans="1:42" customFormat="1">
      <c r="A2369">
        <v>271219</v>
      </c>
      <c r="B2369" t="s">
        <v>102</v>
      </c>
      <c r="C2369" t="s">
        <v>70</v>
      </c>
      <c r="D2369" s="22">
        <v>1111</v>
      </c>
      <c r="E2369" s="17">
        <v>42146</v>
      </c>
      <c r="F2369" s="18">
        <v>0.60627314814814814</v>
      </c>
      <c r="G2369" s="22">
        <v>0</v>
      </c>
      <c r="H2369">
        <v>0</v>
      </c>
      <c r="I2369" s="19" t="e">
        <f>I2368 + (D2369-G2369)</f>
        <v>#VALUE!</v>
      </c>
      <c r="N2369">
        <v>24</v>
      </c>
      <c r="O2369" t="s">
        <v>68</v>
      </c>
      <c r="P2369">
        <v>1</v>
      </c>
      <c r="R2369">
        <v>1431</v>
      </c>
      <c r="S2369" s="17">
        <v>42150</v>
      </c>
      <c r="T2369" s="17">
        <v>42150</v>
      </c>
      <c r="W2369">
        <v>2015</v>
      </c>
      <c r="X2369">
        <v>24</v>
      </c>
      <c r="AC2369" t="s">
        <v>70</v>
      </c>
      <c r="AD2369" t="s">
        <v>301</v>
      </c>
      <c r="AE2369" t="s">
        <v>46</v>
      </c>
      <c r="AG2369">
        <v>52</v>
      </c>
      <c r="AH2369">
        <v>9</v>
      </c>
      <c r="AI2369" t="s">
        <v>54</v>
      </c>
      <c r="AM2369">
        <v>0</v>
      </c>
      <c r="AP2369" t="s">
        <v>325</v>
      </c>
    </row>
    <row r="2370" spans="1:42" customFormat="1">
      <c r="A2370">
        <v>271457</v>
      </c>
      <c r="B2370" t="s">
        <v>4152</v>
      </c>
      <c r="C2370" t="s">
        <v>4473</v>
      </c>
      <c r="D2370" s="22">
        <v>5570</v>
      </c>
      <c r="E2370" s="17">
        <v>42146</v>
      </c>
      <c r="F2370" s="18">
        <v>0.63608796296296299</v>
      </c>
      <c r="G2370" s="22">
        <v>0</v>
      </c>
      <c r="H2370">
        <v>0</v>
      </c>
      <c r="I2370" s="19" t="e">
        <f>I2369 + (D2370-G2370)</f>
        <v>#VALUE!</v>
      </c>
      <c r="N2370">
        <v>8</v>
      </c>
      <c r="O2370" t="s">
        <v>63</v>
      </c>
      <c r="P2370">
        <v>1</v>
      </c>
      <c r="R2370">
        <v>1431</v>
      </c>
      <c r="S2370" s="17">
        <v>42152</v>
      </c>
      <c r="T2370" s="17">
        <v>42152</v>
      </c>
      <c r="W2370">
        <v>2015</v>
      </c>
      <c r="X2370">
        <v>8</v>
      </c>
      <c r="AC2370" t="s">
        <v>70</v>
      </c>
      <c r="AD2370" t="s">
        <v>301</v>
      </c>
      <c r="AE2370" t="s">
        <v>46</v>
      </c>
      <c r="AG2370">
        <v>56</v>
      </c>
      <c r="AH2370">
        <v>1</v>
      </c>
      <c r="AI2370" t="s">
        <v>58</v>
      </c>
      <c r="AM2370">
        <v>0</v>
      </c>
      <c r="AP2370" t="s">
        <v>59</v>
      </c>
    </row>
    <row r="2371" spans="1:42" customFormat="1">
      <c r="A2371">
        <v>271470</v>
      </c>
      <c r="B2371" t="s">
        <v>4152</v>
      </c>
      <c r="C2371" t="s">
        <v>4479</v>
      </c>
      <c r="D2371" s="22">
        <v>1186</v>
      </c>
      <c r="E2371" s="17">
        <v>42146</v>
      </c>
      <c r="F2371" s="18">
        <v>0.69451388888888888</v>
      </c>
      <c r="G2371" s="22">
        <v>0</v>
      </c>
      <c r="H2371">
        <v>0</v>
      </c>
      <c r="I2371" s="19" t="e">
        <f>I2370 + (D2371-G2371)</f>
        <v>#VALUE!</v>
      </c>
      <c r="N2371">
        <v>8</v>
      </c>
      <c r="O2371" t="s">
        <v>63</v>
      </c>
      <c r="P2371">
        <v>1</v>
      </c>
      <c r="R2371">
        <v>1431</v>
      </c>
      <c r="S2371" s="17">
        <v>42152</v>
      </c>
      <c r="T2371" s="17">
        <v>42152</v>
      </c>
      <c r="W2371">
        <v>2015</v>
      </c>
      <c r="X2371">
        <v>8</v>
      </c>
      <c r="AC2371" t="s">
        <v>70</v>
      </c>
      <c r="AD2371" t="s">
        <v>301</v>
      </c>
      <c r="AE2371" t="s">
        <v>46</v>
      </c>
      <c r="AG2371">
        <v>56</v>
      </c>
      <c r="AH2371">
        <v>1</v>
      </c>
      <c r="AI2371" t="s">
        <v>58</v>
      </c>
      <c r="AM2371">
        <v>0</v>
      </c>
      <c r="AP2371" t="s">
        <v>59</v>
      </c>
    </row>
    <row r="2372" spans="1:42" customFormat="1">
      <c r="A2372">
        <v>276022</v>
      </c>
      <c r="B2372" t="s">
        <v>4524</v>
      </c>
      <c r="C2372" t="s">
        <v>4548</v>
      </c>
      <c r="D2372" s="22">
        <v>1473</v>
      </c>
      <c r="E2372" s="17">
        <v>42149</v>
      </c>
      <c r="F2372" s="18">
        <v>0.48543981481481485</v>
      </c>
      <c r="G2372" s="22">
        <v>0</v>
      </c>
      <c r="H2372">
        <v>0</v>
      </c>
      <c r="I2372" s="19" t="e">
        <f>I2371 + (D2372-G2372)</f>
        <v>#VALUE!</v>
      </c>
      <c r="N2372">
        <v>8</v>
      </c>
      <c r="O2372" t="s">
        <v>63</v>
      </c>
      <c r="P2372">
        <v>1</v>
      </c>
      <c r="R2372">
        <v>1431</v>
      </c>
      <c r="S2372" s="17">
        <v>42188</v>
      </c>
      <c r="T2372" s="17">
        <v>42188</v>
      </c>
      <c r="W2372">
        <v>2015</v>
      </c>
      <c r="X2372">
        <v>8</v>
      </c>
      <c r="AC2372" t="s">
        <v>70</v>
      </c>
      <c r="AD2372" t="s">
        <v>301</v>
      </c>
      <c r="AE2372" t="s">
        <v>46</v>
      </c>
      <c r="AG2372">
        <v>26</v>
      </c>
      <c r="AH2372">
        <v>3</v>
      </c>
      <c r="AI2372" t="s">
        <v>64</v>
      </c>
      <c r="AM2372">
        <v>0</v>
      </c>
      <c r="AP2372" t="s">
        <v>501</v>
      </c>
    </row>
    <row r="2373" spans="1:42" customFormat="1">
      <c r="A2373">
        <v>276026</v>
      </c>
      <c r="B2373" t="s">
        <v>4524</v>
      </c>
      <c r="C2373" t="s">
        <v>4548</v>
      </c>
      <c r="D2373" s="22">
        <v>1473</v>
      </c>
      <c r="E2373" s="17">
        <v>42149</v>
      </c>
      <c r="F2373" s="18">
        <v>0.48656250000000001</v>
      </c>
      <c r="G2373" s="22">
        <v>0</v>
      </c>
      <c r="H2373">
        <v>0</v>
      </c>
      <c r="I2373" s="19" t="e">
        <f>I2372 + (D2373-G2373)</f>
        <v>#VALUE!</v>
      </c>
      <c r="N2373">
        <v>8</v>
      </c>
      <c r="O2373" t="s">
        <v>63</v>
      </c>
      <c r="P2373">
        <v>1</v>
      </c>
      <c r="R2373">
        <v>1431</v>
      </c>
      <c r="S2373" s="17">
        <v>42188</v>
      </c>
      <c r="T2373" s="17">
        <v>42188</v>
      </c>
      <c r="W2373">
        <v>2015</v>
      </c>
      <c r="X2373">
        <v>8</v>
      </c>
      <c r="AC2373" t="s">
        <v>70</v>
      </c>
      <c r="AD2373" t="s">
        <v>301</v>
      </c>
      <c r="AE2373" t="s">
        <v>46</v>
      </c>
      <c r="AG2373">
        <v>26</v>
      </c>
      <c r="AH2373">
        <v>3</v>
      </c>
      <c r="AI2373" t="s">
        <v>64</v>
      </c>
      <c r="AM2373">
        <v>0</v>
      </c>
      <c r="AP2373" t="s">
        <v>501</v>
      </c>
    </row>
    <row r="2374" spans="1:42" customFormat="1">
      <c r="A2374">
        <v>276028</v>
      </c>
      <c r="B2374" t="s">
        <v>4524</v>
      </c>
      <c r="C2374" t="s">
        <v>4549</v>
      </c>
      <c r="D2374" s="22">
        <v>1111</v>
      </c>
      <c r="E2374" s="17">
        <v>42149</v>
      </c>
      <c r="F2374" s="18">
        <v>0.49030092592592589</v>
      </c>
      <c r="G2374" s="22">
        <v>0</v>
      </c>
      <c r="H2374">
        <v>0</v>
      </c>
      <c r="I2374" s="19" t="e">
        <f>I2373 + (D2374-G2374)</f>
        <v>#VALUE!</v>
      </c>
      <c r="N2374">
        <v>8</v>
      </c>
      <c r="O2374" t="s">
        <v>63</v>
      </c>
      <c r="P2374">
        <v>1</v>
      </c>
      <c r="R2374">
        <v>1431</v>
      </c>
      <c r="S2374" s="17">
        <v>42188</v>
      </c>
      <c r="T2374" s="17">
        <v>42188</v>
      </c>
      <c r="W2374">
        <v>2015</v>
      </c>
      <c r="X2374">
        <v>8</v>
      </c>
      <c r="AC2374" t="s">
        <v>70</v>
      </c>
      <c r="AD2374" t="s">
        <v>301</v>
      </c>
      <c r="AE2374" t="s">
        <v>46</v>
      </c>
      <c r="AG2374">
        <v>26</v>
      </c>
      <c r="AH2374">
        <v>3</v>
      </c>
      <c r="AI2374" t="s">
        <v>64</v>
      </c>
      <c r="AM2374">
        <v>0</v>
      </c>
      <c r="AP2374" t="s">
        <v>501</v>
      </c>
    </row>
    <row r="2375" spans="1:42" customFormat="1">
      <c r="A2375">
        <v>276029</v>
      </c>
      <c r="B2375" t="s">
        <v>4524</v>
      </c>
      <c r="C2375" t="s">
        <v>4549</v>
      </c>
      <c r="D2375" s="22">
        <v>1111</v>
      </c>
      <c r="E2375" s="17">
        <v>42149</v>
      </c>
      <c r="F2375" s="18">
        <v>0.49083333333333329</v>
      </c>
      <c r="G2375" s="22">
        <v>0</v>
      </c>
      <c r="H2375">
        <v>0</v>
      </c>
      <c r="I2375" s="19" t="e">
        <f>I2374 + (D2375-G2375)</f>
        <v>#VALUE!</v>
      </c>
      <c r="N2375">
        <v>8</v>
      </c>
      <c r="O2375" t="s">
        <v>63</v>
      </c>
      <c r="P2375">
        <v>1</v>
      </c>
      <c r="R2375">
        <v>1431</v>
      </c>
      <c r="S2375" s="17">
        <v>42188</v>
      </c>
      <c r="T2375" s="17">
        <v>42188</v>
      </c>
      <c r="W2375">
        <v>2015</v>
      </c>
      <c r="X2375">
        <v>8</v>
      </c>
      <c r="AC2375" t="s">
        <v>70</v>
      </c>
      <c r="AD2375" t="s">
        <v>301</v>
      </c>
      <c r="AE2375" t="s">
        <v>46</v>
      </c>
      <c r="AG2375">
        <v>26</v>
      </c>
      <c r="AH2375">
        <v>3</v>
      </c>
      <c r="AI2375" t="s">
        <v>64</v>
      </c>
      <c r="AM2375">
        <v>0</v>
      </c>
      <c r="AP2375" t="s">
        <v>501</v>
      </c>
    </row>
    <row r="2376" spans="1:42" customFormat="1">
      <c r="A2376">
        <v>272868</v>
      </c>
      <c r="B2376" t="s">
        <v>70</v>
      </c>
      <c r="C2376" t="s">
        <v>70</v>
      </c>
      <c r="D2376" s="22">
        <v>5007.7</v>
      </c>
      <c r="E2376" s="17">
        <v>42149</v>
      </c>
      <c r="F2376" s="18">
        <v>0.58297453703703705</v>
      </c>
      <c r="G2376" s="22">
        <v>0</v>
      </c>
      <c r="H2376">
        <v>0</v>
      </c>
      <c r="I2376" s="19" t="e">
        <f>I2375 + (D2376-G2376)</f>
        <v>#VALUE!</v>
      </c>
      <c r="N2376">
        <v>60</v>
      </c>
      <c r="O2376" t="s">
        <v>60</v>
      </c>
      <c r="P2376">
        <v>2</v>
      </c>
      <c r="R2376">
        <v>1431</v>
      </c>
      <c r="S2376" s="17">
        <v>42166</v>
      </c>
      <c r="T2376" s="17">
        <v>42166</v>
      </c>
      <c r="W2376">
        <v>2015</v>
      </c>
      <c r="X2376">
        <v>60</v>
      </c>
      <c r="AC2376" t="s">
        <v>70</v>
      </c>
      <c r="AD2376" t="s">
        <v>301</v>
      </c>
      <c r="AE2376" t="s">
        <v>46</v>
      </c>
      <c r="AG2376">
        <v>52</v>
      </c>
      <c r="AH2376">
        <v>8</v>
      </c>
      <c r="AI2376" t="s">
        <v>52</v>
      </c>
      <c r="AM2376">
        <v>0</v>
      </c>
      <c r="AP2376" t="s">
        <v>325</v>
      </c>
    </row>
    <row r="2377" spans="1:42" customFormat="1">
      <c r="A2377">
        <v>272890</v>
      </c>
      <c r="B2377" t="s">
        <v>70</v>
      </c>
      <c r="C2377" t="s">
        <v>70</v>
      </c>
      <c r="D2377" s="22">
        <v>1051</v>
      </c>
      <c r="E2377" s="17">
        <v>42150</v>
      </c>
      <c r="F2377" s="18">
        <v>0.60188657407407409</v>
      </c>
      <c r="G2377" s="22">
        <v>0</v>
      </c>
      <c r="H2377">
        <v>0</v>
      </c>
      <c r="I2377" s="19" t="e">
        <f>I2376 + (D2377-G2377)</f>
        <v>#VALUE!</v>
      </c>
      <c r="N2377">
        <v>60</v>
      </c>
      <c r="O2377" t="s">
        <v>60</v>
      </c>
      <c r="P2377">
        <v>2</v>
      </c>
      <c r="R2377">
        <v>1431</v>
      </c>
      <c r="S2377" s="17">
        <v>42166</v>
      </c>
      <c r="T2377" s="17">
        <v>42166</v>
      </c>
      <c r="W2377">
        <v>2015</v>
      </c>
      <c r="X2377">
        <v>60</v>
      </c>
      <c r="AC2377" t="s">
        <v>70</v>
      </c>
      <c r="AD2377" t="s">
        <v>301</v>
      </c>
      <c r="AE2377" t="s">
        <v>46</v>
      </c>
      <c r="AG2377">
        <v>52</v>
      </c>
      <c r="AH2377">
        <v>8</v>
      </c>
      <c r="AI2377" t="s">
        <v>52</v>
      </c>
      <c r="AM2377">
        <v>0</v>
      </c>
      <c r="AP2377" t="s">
        <v>325</v>
      </c>
    </row>
    <row r="2378" spans="1:42" customFormat="1">
      <c r="A2378">
        <v>271393</v>
      </c>
      <c r="B2378" t="s">
        <v>70</v>
      </c>
      <c r="C2378" t="s">
        <v>70</v>
      </c>
      <c r="D2378" s="22">
        <v>8264.5</v>
      </c>
      <c r="E2378" s="17">
        <v>42150</v>
      </c>
      <c r="F2378" s="18">
        <v>0.71868055555555566</v>
      </c>
      <c r="G2378" s="22">
        <v>0</v>
      </c>
      <c r="H2378">
        <v>0</v>
      </c>
      <c r="I2378" s="19" t="e">
        <f>I2377 + (D2378-G2378)</f>
        <v>#VALUE!</v>
      </c>
      <c r="N2378">
        <v>7</v>
      </c>
      <c r="O2378" t="s">
        <v>44</v>
      </c>
      <c r="P2378">
        <v>1</v>
      </c>
      <c r="R2378">
        <v>1431</v>
      </c>
      <c r="S2378" s="17">
        <v>42151</v>
      </c>
      <c r="T2378" s="17">
        <v>42151</v>
      </c>
      <c r="W2378">
        <v>2015</v>
      </c>
      <c r="X2378">
        <v>7</v>
      </c>
      <c r="AC2378" t="s">
        <v>70</v>
      </c>
      <c r="AD2378" t="s">
        <v>301</v>
      </c>
      <c r="AE2378" t="s">
        <v>46</v>
      </c>
      <c r="AG2378">
        <v>55</v>
      </c>
      <c r="AH2378">
        <v>2</v>
      </c>
      <c r="AI2378" t="s">
        <v>50</v>
      </c>
      <c r="AM2378">
        <v>0</v>
      </c>
      <c r="AP2378" t="s">
        <v>4767</v>
      </c>
    </row>
    <row r="2379" spans="1:42" customFormat="1">
      <c r="A2379">
        <v>272904</v>
      </c>
      <c r="B2379" t="s">
        <v>70</v>
      </c>
      <c r="C2379" t="s">
        <v>70</v>
      </c>
      <c r="D2379" s="22">
        <v>1051</v>
      </c>
      <c r="E2379" s="17">
        <v>42151</v>
      </c>
      <c r="F2379" s="18">
        <v>0.62237268518518518</v>
      </c>
      <c r="G2379" s="22">
        <v>0</v>
      </c>
      <c r="H2379">
        <v>0</v>
      </c>
      <c r="I2379" s="19" t="e">
        <f>I2378 + (D2379-G2379)</f>
        <v>#VALUE!</v>
      </c>
      <c r="N2379">
        <v>60</v>
      </c>
      <c r="O2379" t="s">
        <v>60</v>
      </c>
      <c r="P2379">
        <v>2</v>
      </c>
      <c r="R2379">
        <v>1431</v>
      </c>
      <c r="S2379" s="17">
        <v>42166</v>
      </c>
      <c r="T2379" s="17">
        <v>42166</v>
      </c>
      <c r="W2379">
        <v>2015</v>
      </c>
      <c r="X2379">
        <v>60</v>
      </c>
      <c r="AC2379" t="s">
        <v>70</v>
      </c>
      <c r="AD2379" t="s">
        <v>301</v>
      </c>
      <c r="AE2379" t="s">
        <v>46</v>
      </c>
      <c r="AG2379">
        <v>52</v>
      </c>
      <c r="AH2379">
        <v>8</v>
      </c>
      <c r="AI2379" t="s">
        <v>52</v>
      </c>
      <c r="AM2379">
        <v>0</v>
      </c>
      <c r="AP2379" t="s">
        <v>325</v>
      </c>
    </row>
    <row r="2380" spans="1:42" customFormat="1">
      <c r="A2380">
        <v>273114</v>
      </c>
      <c r="B2380" t="s">
        <v>167</v>
      </c>
      <c r="C2380" t="s">
        <v>167</v>
      </c>
      <c r="D2380" s="22">
        <v>1051</v>
      </c>
      <c r="E2380" s="17">
        <v>42152</v>
      </c>
      <c r="F2380" s="18">
        <v>0.38158564814814816</v>
      </c>
      <c r="G2380" s="22">
        <v>0</v>
      </c>
      <c r="H2380">
        <v>0</v>
      </c>
      <c r="I2380" s="19" t="e">
        <f>I2379 + (D2380-G2380)</f>
        <v>#VALUE!</v>
      </c>
      <c r="N2380">
        <v>60</v>
      </c>
      <c r="O2380" t="s">
        <v>60</v>
      </c>
      <c r="P2380">
        <v>1</v>
      </c>
      <c r="R2380">
        <v>1431</v>
      </c>
      <c r="S2380" s="17">
        <v>42171</v>
      </c>
      <c r="T2380" s="17">
        <v>42178</v>
      </c>
      <c r="W2380">
        <v>2015</v>
      </c>
      <c r="X2380">
        <v>24</v>
      </c>
      <c r="AC2380" t="s">
        <v>70</v>
      </c>
      <c r="AD2380" t="s">
        <v>301</v>
      </c>
      <c r="AE2380" t="s">
        <v>46</v>
      </c>
      <c r="AG2380">
        <v>2</v>
      </c>
      <c r="AH2380">
        <v>9</v>
      </c>
      <c r="AI2380" t="s">
        <v>54</v>
      </c>
      <c r="AM2380">
        <v>0</v>
      </c>
      <c r="AP2380" t="s">
        <v>2544</v>
      </c>
    </row>
    <row r="2381" spans="1:42" customFormat="1">
      <c r="A2381">
        <v>271691</v>
      </c>
      <c r="B2381" t="s">
        <v>349</v>
      </c>
      <c r="C2381" t="s">
        <v>70</v>
      </c>
      <c r="D2381" s="22">
        <v>6048</v>
      </c>
      <c r="E2381" s="17">
        <v>42152</v>
      </c>
      <c r="F2381" s="18">
        <v>0.58437499999999998</v>
      </c>
      <c r="G2381" s="22">
        <v>0</v>
      </c>
      <c r="H2381">
        <v>0</v>
      </c>
      <c r="I2381" s="19" t="e">
        <f>I2380 + (D2381-G2381)</f>
        <v>#VALUE!</v>
      </c>
      <c r="N2381">
        <v>24</v>
      </c>
      <c r="O2381" t="s">
        <v>68</v>
      </c>
      <c r="P2381">
        <v>1</v>
      </c>
      <c r="R2381">
        <v>1431</v>
      </c>
      <c r="S2381" s="17">
        <v>42158</v>
      </c>
      <c r="T2381" s="17">
        <v>42158</v>
      </c>
      <c r="W2381">
        <v>2015</v>
      </c>
      <c r="X2381">
        <v>24</v>
      </c>
      <c r="AC2381" t="s">
        <v>70</v>
      </c>
      <c r="AD2381" t="s">
        <v>301</v>
      </c>
      <c r="AE2381" t="s">
        <v>46</v>
      </c>
      <c r="AG2381">
        <v>52</v>
      </c>
      <c r="AH2381">
        <v>10</v>
      </c>
      <c r="AI2381" t="s">
        <v>95</v>
      </c>
      <c r="AM2381">
        <v>0</v>
      </c>
      <c r="AP2381" t="s">
        <v>325</v>
      </c>
    </row>
    <row r="2382" spans="1:42" customFormat="1">
      <c r="A2382">
        <v>271793</v>
      </c>
      <c r="B2382" t="s">
        <v>5185</v>
      </c>
      <c r="C2382" t="s">
        <v>5186</v>
      </c>
      <c r="D2382" s="22">
        <v>1121</v>
      </c>
      <c r="E2382" s="17">
        <v>42153</v>
      </c>
      <c r="F2382" s="18">
        <v>0.35752314814814817</v>
      </c>
      <c r="G2382" s="22">
        <v>0</v>
      </c>
      <c r="H2382">
        <v>0</v>
      </c>
      <c r="I2382" s="19" t="e">
        <f>I2381 + (D2382-G2382)</f>
        <v>#VALUE!</v>
      </c>
      <c r="N2382">
        <v>8</v>
      </c>
      <c r="O2382" t="s">
        <v>63</v>
      </c>
      <c r="P2382">
        <v>1</v>
      </c>
      <c r="R2382">
        <v>1431</v>
      </c>
      <c r="S2382" s="17">
        <v>42160</v>
      </c>
      <c r="T2382" s="17">
        <v>42160</v>
      </c>
      <c r="W2382">
        <v>2015</v>
      </c>
      <c r="X2382">
        <v>8</v>
      </c>
      <c r="AC2382" t="s">
        <v>70</v>
      </c>
      <c r="AD2382" t="s">
        <v>301</v>
      </c>
      <c r="AE2382" t="s">
        <v>46</v>
      </c>
      <c r="AG2382">
        <v>56</v>
      </c>
      <c r="AH2382">
        <v>1</v>
      </c>
      <c r="AI2382" t="s">
        <v>58</v>
      </c>
      <c r="AM2382">
        <v>0</v>
      </c>
      <c r="AP2382" t="s">
        <v>59</v>
      </c>
    </row>
    <row r="2383" spans="1:42" customFormat="1">
      <c r="A2383">
        <v>271799</v>
      </c>
      <c r="B2383" t="s">
        <v>5185</v>
      </c>
      <c r="C2383" t="s">
        <v>5191</v>
      </c>
      <c r="D2383" s="22">
        <v>600</v>
      </c>
      <c r="E2383" s="17">
        <v>42153</v>
      </c>
      <c r="F2383" s="18">
        <v>0.38263888888888892</v>
      </c>
      <c r="G2383" s="22">
        <v>0</v>
      </c>
      <c r="H2383">
        <v>0</v>
      </c>
      <c r="I2383" s="19" t="e">
        <f>I2382 + (D2383-G2383)</f>
        <v>#VALUE!</v>
      </c>
      <c r="N2383">
        <v>8</v>
      </c>
      <c r="O2383" t="s">
        <v>63</v>
      </c>
      <c r="P2383">
        <v>1</v>
      </c>
      <c r="R2383">
        <v>1431</v>
      </c>
      <c r="S2383" s="17">
        <v>42160</v>
      </c>
      <c r="T2383" s="17">
        <v>42160</v>
      </c>
      <c r="W2383">
        <v>2015</v>
      </c>
      <c r="X2383">
        <v>8</v>
      </c>
      <c r="AC2383" t="s">
        <v>70</v>
      </c>
      <c r="AD2383" t="s">
        <v>301</v>
      </c>
      <c r="AE2383" t="s">
        <v>46</v>
      </c>
      <c r="AG2383">
        <v>56</v>
      </c>
      <c r="AH2383">
        <v>1</v>
      </c>
      <c r="AI2383" t="s">
        <v>58</v>
      </c>
      <c r="AM2383">
        <v>0</v>
      </c>
      <c r="AP2383" t="s">
        <v>59</v>
      </c>
    </row>
    <row r="2384" spans="1:42" customFormat="1">
      <c r="A2384">
        <v>271702</v>
      </c>
      <c r="B2384" t="s">
        <v>349</v>
      </c>
      <c r="C2384" t="s">
        <v>70</v>
      </c>
      <c r="D2384" s="22">
        <v>16184.45</v>
      </c>
      <c r="E2384" s="17">
        <v>42153</v>
      </c>
      <c r="F2384" s="18">
        <v>0.58765046296296297</v>
      </c>
      <c r="G2384" s="22">
        <v>0</v>
      </c>
      <c r="H2384">
        <v>0</v>
      </c>
      <c r="I2384" s="19" t="e">
        <f>I2383 + (D2384-G2384)</f>
        <v>#VALUE!</v>
      </c>
      <c r="N2384">
        <v>24</v>
      </c>
      <c r="O2384" t="s">
        <v>68</v>
      </c>
      <c r="P2384">
        <v>1</v>
      </c>
      <c r="R2384">
        <v>1431</v>
      </c>
      <c r="S2384" s="17">
        <v>42158</v>
      </c>
      <c r="T2384" s="17">
        <v>42158</v>
      </c>
      <c r="W2384">
        <v>2015</v>
      </c>
      <c r="X2384">
        <v>24</v>
      </c>
      <c r="AC2384" t="s">
        <v>70</v>
      </c>
      <c r="AD2384" t="s">
        <v>301</v>
      </c>
      <c r="AE2384" t="s">
        <v>46</v>
      </c>
      <c r="AG2384">
        <v>52</v>
      </c>
      <c r="AH2384">
        <v>10</v>
      </c>
      <c r="AI2384" t="s">
        <v>95</v>
      </c>
      <c r="AM2384">
        <v>0</v>
      </c>
      <c r="AP2384" t="s">
        <v>325</v>
      </c>
    </row>
    <row r="2385" spans="1:42" customFormat="1">
      <c r="A2385">
        <v>268634</v>
      </c>
      <c r="B2385" t="s">
        <v>114</v>
      </c>
      <c r="C2385" t="s">
        <v>114</v>
      </c>
      <c r="D2385" s="22">
        <v>1037</v>
      </c>
      <c r="E2385" s="17">
        <v>42128</v>
      </c>
      <c r="F2385" s="18">
        <v>0.37195601851851851</v>
      </c>
      <c r="G2385" s="22">
        <v>0</v>
      </c>
      <c r="H2385">
        <v>0</v>
      </c>
      <c r="I2385" s="19" t="e">
        <f>I2384 + (D2385-G2385)</f>
        <v>#VALUE!</v>
      </c>
      <c r="N2385">
        <v>60</v>
      </c>
      <c r="O2385" t="s">
        <v>60</v>
      </c>
      <c r="P2385">
        <v>1</v>
      </c>
      <c r="R2385">
        <v>1528</v>
      </c>
      <c r="S2385" s="17">
        <v>42131</v>
      </c>
      <c r="T2385" s="17">
        <v>42131</v>
      </c>
      <c r="W2385">
        <v>2015</v>
      </c>
      <c r="X2385">
        <v>60</v>
      </c>
      <c r="AC2385" t="s">
        <v>114</v>
      </c>
      <c r="AD2385" t="s">
        <v>301</v>
      </c>
      <c r="AE2385" t="s">
        <v>46</v>
      </c>
      <c r="AG2385">
        <v>52</v>
      </c>
      <c r="AH2385">
        <v>2</v>
      </c>
      <c r="AI2385" t="s">
        <v>50</v>
      </c>
      <c r="AM2385">
        <v>0</v>
      </c>
      <c r="AP2385" t="s">
        <v>325</v>
      </c>
    </row>
    <row r="2386" spans="1:42" customFormat="1">
      <c r="A2386">
        <v>271395</v>
      </c>
      <c r="B2386" t="s">
        <v>226</v>
      </c>
      <c r="C2386" t="s">
        <v>226</v>
      </c>
      <c r="D2386" s="22">
        <v>6470</v>
      </c>
      <c r="E2386" s="17">
        <v>42150</v>
      </c>
      <c r="F2386" s="18">
        <v>0.73228009259259252</v>
      </c>
      <c r="G2386" s="22">
        <v>0</v>
      </c>
      <c r="H2386">
        <v>0</v>
      </c>
      <c r="I2386" s="19" t="e">
        <f>I2385 + (D2386-G2386)</f>
        <v>#VALUE!</v>
      </c>
      <c r="N2386">
        <v>7</v>
      </c>
      <c r="O2386" t="s">
        <v>44</v>
      </c>
      <c r="P2386">
        <v>1</v>
      </c>
      <c r="R2386">
        <v>1528</v>
      </c>
      <c r="S2386" s="17">
        <v>42151</v>
      </c>
      <c r="T2386" s="17">
        <v>42151</v>
      </c>
      <c r="W2386">
        <v>2015</v>
      </c>
      <c r="X2386">
        <v>7</v>
      </c>
      <c r="AC2386" t="s">
        <v>114</v>
      </c>
      <c r="AD2386" t="s">
        <v>301</v>
      </c>
      <c r="AE2386" t="s">
        <v>46</v>
      </c>
      <c r="AG2386">
        <v>55</v>
      </c>
      <c r="AH2386">
        <v>9</v>
      </c>
      <c r="AI2386" t="s">
        <v>54</v>
      </c>
      <c r="AM2386">
        <v>0</v>
      </c>
      <c r="AP2386" t="s">
        <v>4767</v>
      </c>
    </row>
    <row r="2387" spans="1:42" customFormat="1">
      <c r="A2387">
        <v>270121</v>
      </c>
      <c r="B2387" t="s">
        <v>2942</v>
      </c>
      <c r="C2387" t="s">
        <v>2943</v>
      </c>
      <c r="D2387" s="22">
        <v>0</v>
      </c>
      <c r="E2387" s="17">
        <v>42136</v>
      </c>
      <c r="F2387" s="18">
        <v>0.71</v>
      </c>
      <c r="G2387" s="22">
        <v>500</v>
      </c>
      <c r="H2387">
        <v>0</v>
      </c>
      <c r="I2387" s="19" t="e">
        <f>I2386 + (D2387-G2387)</f>
        <v>#VALUE!</v>
      </c>
      <c r="M2387">
        <v>121955</v>
      </c>
      <c r="N2387">
        <v>24</v>
      </c>
      <c r="O2387" t="s">
        <v>68</v>
      </c>
      <c r="P2387">
        <v>1</v>
      </c>
      <c r="R2387">
        <v>1499</v>
      </c>
      <c r="S2387" s="17">
        <v>42139</v>
      </c>
      <c r="T2387" s="17">
        <v>42139</v>
      </c>
      <c r="W2387">
        <v>2015</v>
      </c>
      <c r="X2387">
        <v>24</v>
      </c>
      <c r="AC2387" t="s">
        <v>89</v>
      </c>
      <c r="AD2387" t="s">
        <v>301</v>
      </c>
      <c r="AE2387" t="s">
        <v>46</v>
      </c>
      <c r="AG2387">
        <v>52</v>
      </c>
      <c r="AH2387">
        <v>2</v>
      </c>
      <c r="AI2387" t="s">
        <v>50</v>
      </c>
      <c r="AK2387">
        <v>0</v>
      </c>
      <c r="AM2387">
        <v>0</v>
      </c>
      <c r="AP2387" t="s">
        <v>325</v>
      </c>
    </row>
    <row r="2388" spans="1:42" customFormat="1">
      <c r="A2388">
        <v>270686</v>
      </c>
      <c r="B2388" t="s">
        <v>3901</v>
      </c>
      <c r="C2388" t="s">
        <v>3902</v>
      </c>
      <c r="D2388" s="22">
        <v>0</v>
      </c>
      <c r="E2388" s="17">
        <v>42144</v>
      </c>
      <c r="F2388" s="18">
        <v>0.71699074074074076</v>
      </c>
      <c r="G2388" s="22">
        <v>335.53</v>
      </c>
      <c r="H2388">
        <v>0</v>
      </c>
      <c r="I2388" s="19" t="e">
        <f>I2387 + (D2388-G2388)</f>
        <v>#VALUE!</v>
      </c>
      <c r="M2388">
        <v>110715</v>
      </c>
      <c r="N2388">
        <v>24</v>
      </c>
      <c r="O2388" t="s">
        <v>68</v>
      </c>
      <c r="P2388">
        <v>1</v>
      </c>
      <c r="R2388">
        <v>1499</v>
      </c>
      <c r="S2388" s="17">
        <v>42145</v>
      </c>
      <c r="T2388" s="17">
        <v>42145</v>
      </c>
      <c r="W2388">
        <v>2015</v>
      </c>
      <c r="X2388">
        <v>24</v>
      </c>
      <c r="AC2388" t="s">
        <v>89</v>
      </c>
      <c r="AD2388" t="s">
        <v>301</v>
      </c>
      <c r="AE2388" t="s">
        <v>46</v>
      </c>
      <c r="AG2388">
        <v>4</v>
      </c>
      <c r="AH2388">
        <v>8</v>
      </c>
      <c r="AI2388" t="s">
        <v>52</v>
      </c>
      <c r="AK2388">
        <v>0</v>
      </c>
      <c r="AM2388">
        <v>0</v>
      </c>
      <c r="AP2388" t="s">
        <v>389</v>
      </c>
    </row>
    <row r="2389" spans="1:42" customFormat="1">
      <c r="A2389">
        <v>270690</v>
      </c>
      <c r="B2389" t="s">
        <v>3909</v>
      </c>
      <c r="C2389" t="s">
        <v>3910</v>
      </c>
      <c r="D2389" s="22">
        <v>0</v>
      </c>
      <c r="E2389" s="17">
        <v>42144</v>
      </c>
      <c r="F2389" s="18">
        <v>0.73125000000000007</v>
      </c>
      <c r="G2389" s="22">
        <v>1547.4</v>
      </c>
      <c r="H2389">
        <v>0</v>
      </c>
      <c r="I2389" s="19" t="e">
        <f>I2388 + (D2389-G2389)</f>
        <v>#VALUE!</v>
      </c>
      <c r="M2389">
        <v>111604</v>
      </c>
      <c r="N2389">
        <v>24</v>
      </c>
      <c r="O2389" t="s">
        <v>68</v>
      </c>
      <c r="P2389">
        <v>1</v>
      </c>
      <c r="R2389">
        <v>1441</v>
      </c>
      <c r="S2389" s="17">
        <v>42145</v>
      </c>
      <c r="T2389" s="17">
        <v>42145</v>
      </c>
      <c r="W2389">
        <v>2015</v>
      </c>
      <c r="X2389">
        <v>24</v>
      </c>
      <c r="AC2389" t="s">
        <v>234</v>
      </c>
      <c r="AD2389" t="s">
        <v>301</v>
      </c>
      <c r="AE2389" t="s">
        <v>46</v>
      </c>
      <c r="AG2389">
        <v>4</v>
      </c>
      <c r="AH2389">
        <v>9</v>
      </c>
      <c r="AI2389" t="s">
        <v>54</v>
      </c>
      <c r="AK2389">
        <v>0</v>
      </c>
      <c r="AM2389">
        <v>0</v>
      </c>
      <c r="AP2389" t="s">
        <v>389</v>
      </c>
    </row>
    <row r="2390" spans="1:42" customFormat="1">
      <c r="A2390">
        <v>271641</v>
      </c>
      <c r="B2390" t="s">
        <v>5109</v>
      </c>
      <c r="C2390" t="s">
        <v>5110</v>
      </c>
      <c r="D2390" s="22">
        <v>0</v>
      </c>
      <c r="E2390" s="17">
        <v>42152</v>
      </c>
      <c r="F2390" s="18">
        <v>0.46756944444444448</v>
      </c>
      <c r="G2390" s="22">
        <v>531.89</v>
      </c>
      <c r="H2390">
        <v>0</v>
      </c>
      <c r="I2390" s="19" t="e">
        <f>I2389 + (D2390-G2390)</f>
        <v>#VALUE!</v>
      </c>
      <c r="M2390">
        <v>109651</v>
      </c>
      <c r="N2390">
        <v>24</v>
      </c>
      <c r="O2390" t="s">
        <v>68</v>
      </c>
      <c r="P2390">
        <v>1</v>
      </c>
      <c r="R2390">
        <v>1501</v>
      </c>
      <c r="S2390" s="17">
        <v>42157</v>
      </c>
      <c r="T2390" s="17">
        <v>42157</v>
      </c>
      <c r="W2390">
        <v>2015</v>
      </c>
      <c r="X2390">
        <v>24</v>
      </c>
      <c r="AC2390" t="s">
        <v>83</v>
      </c>
      <c r="AD2390" t="s">
        <v>301</v>
      </c>
      <c r="AE2390" t="s">
        <v>46</v>
      </c>
      <c r="AG2390">
        <v>56</v>
      </c>
      <c r="AH2390">
        <v>1</v>
      </c>
      <c r="AI2390" t="s">
        <v>58</v>
      </c>
      <c r="AK2390">
        <v>0</v>
      </c>
      <c r="AM2390">
        <v>0</v>
      </c>
      <c r="AP2390" t="s">
        <v>59</v>
      </c>
    </row>
    <row r="2391" spans="1:42" customFormat="1">
      <c r="A2391">
        <v>271536</v>
      </c>
      <c r="B2391" t="s">
        <v>5232</v>
      </c>
      <c r="C2391" t="s">
        <v>5233</v>
      </c>
      <c r="D2391" s="22">
        <v>0</v>
      </c>
      <c r="E2391" s="17">
        <v>42153</v>
      </c>
      <c r="F2391" s="18">
        <v>0.39771990740740742</v>
      </c>
      <c r="G2391" s="22">
        <v>1151.5</v>
      </c>
      <c r="H2391">
        <v>0</v>
      </c>
      <c r="I2391" s="19" t="e">
        <f>I2390 + (D2391-G2391)</f>
        <v>#VALUE!</v>
      </c>
      <c r="M2391">
        <v>124378</v>
      </c>
      <c r="N2391">
        <v>24</v>
      </c>
      <c r="O2391" t="s">
        <v>68</v>
      </c>
      <c r="P2391">
        <v>1</v>
      </c>
      <c r="R2391">
        <v>815</v>
      </c>
      <c r="S2391" s="17">
        <v>42157</v>
      </c>
      <c r="T2391" s="17">
        <v>42157</v>
      </c>
      <c r="W2391">
        <v>2015</v>
      </c>
      <c r="X2391">
        <v>24</v>
      </c>
      <c r="AC2391" t="s">
        <v>285</v>
      </c>
      <c r="AD2391" t="s">
        <v>301</v>
      </c>
      <c r="AE2391" t="s">
        <v>46</v>
      </c>
      <c r="AG2391">
        <v>4</v>
      </c>
      <c r="AH2391">
        <v>9</v>
      </c>
      <c r="AI2391" t="s">
        <v>54</v>
      </c>
      <c r="AK2391">
        <v>0</v>
      </c>
      <c r="AM2391">
        <v>0</v>
      </c>
      <c r="AP2391" t="s">
        <v>389</v>
      </c>
    </row>
    <row r="2392" spans="1:42" customFormat="1">
      <c r="A2392">
        <v>271537</v>
      </c>
      <c r="B2392" t="s">
        <v>5234</v>
      </c>
      <c r="C2392" t="s">
        <v>5235</v>
      </c>
      <c r="D2392" s="22">
        <v>0</v>
      </c>
      <c r="E2392" s="17">
        <v>42153</v>
      </c>
      <c r="F2392" s="18">
        <v>0.39817129629629627</v>
      </c>
      <c r="G2392" s="22">
        <v>340.23</v>
      </c>
      <c r="H2392">
        <v>0</v>
      </c>
      <c r="I2392" s="19" t="e">
        <f>I2391 + (D2392-G2392)</f>
        <v>#VALUE!</v>
      </c>
      <c r="M2392">
        <v>124379</v>
      </c>
      <c r="N2392">
        <v>24</v>
      </c>
      <c r="O2392" t="s">
        <v>68</v>
      </c>
      <c r="P2392">
        <v>1</v>
      </c>
      <c r="R2392">
        <v>815</v>
      </c>
      <c r="S2392" s="17">
        <v>42157</v>
      </c>
      <c r="T2392" s="17">
        <v>42157</v>
      </c>
      <c r="W2392">
        <v>2015</v>
      </c>
      <c r="X2392">
        <v>24</v>
      </c>
      <c r="AC2392" t="s">
        <v>285</v>
      </c>
      <c r="AD2392" t="s">
        <v>301</v>
      </c>
      <c r="AE2392" t="s">
        <v>46</v>
      </c>
      <c r="AG2392">
        <v>4</v>
      </c>
      <c r="AH2392">
        <v>9</v>
      </c>
      <c r="AI2392" t="s">
        <v>54</v>
      </c>
      <c r="AK2392">
        <v>0</v>
      </c>
      <c r="AM2392">
        <v>0</v>
      </c>
      <c r="AP2392" t="s">
        <v>389</v>
      </c>
    </row>
    <row r="2393" spans="1:42" customFormat="1">
      <c r="A2393">
        <v>271538</v>
      </c>
      <c r="B2393" t="s">
        <v>5236</v>
      </c>
      <c r="C2393" t="s">
        <v>5237</v>
      </c>
      <c r="D2393" s="22">
        <v>0</v>
      </c>
      <c r="E2393" s="17">
        <v>42153</v>
      </c>
      <c r="F2393" s="18">
        <v>0.39868055555555554</v>
      </c>
      <c r="G2393" s="22">
        <v>581.76</v>
      </c>
      <c r="H2393">
        <v>0</v>
      </c>
      <c r="I2393" s="19" t="e">
        <f>I2392 + (D2393-G2393)</f>
        <v>#VALUE!</v>
      </c>
      <c r="M2393">
        <v>124380</v>
      </c>
      <c r="N2393">
        <v>24</v>
      </c>
      <c r="O2393" t="s">
        <v>68</v>
      </c>
      <c r="P2393">
        <v>1</v>
      </c>
      <c r="R2393">
        <v>815</v>
      </c>
      <c r="S2393" s="17">
        <v>42157</v>
      </c>
      <c r="T2393" s="17">
        <v>42157</v>
      </c>
      <c r="W2393">
        <v>2015</v>
      </c>
      <c r="X2393">
        <v>24</v>
      </c>
      <c r="AC2393" t="s">
        <v>285</v>
      </c>
      <c r="AD2393" t="s">
        <v>301</v>
      </c>
      <c r="AE2393" t="s">
        <v>46</v>
      </c>
      <c r="AG2393">
        <v>4</v>
      </c>
      <c r="AH2393">
        <v>9</v>
      </c>
      <c r="AI2393" t="s">
        <v>54</v>
      </c>
      <c r="AK2393">
        <v>0</v>
      </c>
      <c r="AM2393">
        <v>0</v>
      </c>
      <c r="AP2393" t="s">
        <v>389</v>
      </c>
    </row>
    <row r="2394" spans="1:42" customFormat="1">
      <c r="A2394">
        <v>271539</v>
      </c>
      <c r="B2394" t="s">
        <v>5238</v>
      </c>
      <c r="C2394" t="s">
        <v>5239</v>
      </c>
      <c r="D2394" s="22">
        <v>0</v>
      </c>
      <c r="E2394" s="17">
        <v>42153</v>
      </c>
      <c r="F2394" s="18">
        <v>0.39915509259259258</v>
      </c>
      <c r="G2394" s="22">
        <v>713.47</v>
      </c>
      <c r="H2394">
        <v>0</v>
      </c>
      <c r="I2394" s="19" t="e">
        <f>I2393 + (D2394-G2394)</f>
        <v>#VALUE!</v>
      </c>
      <c r="M2394">
        <v>124381</v>
      </c>
      <c r="N2394">
        <v>24</v>
      </c>
      <c r="O2394" t="s">
        <v>68</v>
      </c>
      <c r="P2394">
        <v>1</v>
      </c>
      <c r="R2394">
        <v>815</v>
      </c>
      <c r="S2394" s="17">
        <v>42157</v>
      </c>
      <c r="T2394" s="17">
        <v>42157</v>
      </c>
      <c r="W2394">
        <v>2015</v>
      </c>
      <c r="X2394">
        <v>24</v>
      </c>
      <c r="AC2394" t="s">
        <v>285</v>
      </c>
      <c r="AD2394" t="s">
        <v>301</v>
      </c>
      <c r="AE2394" t="s">
        <v>46</v>
      </c>
      <c r="AG2394">
        <v>4</v>
      </c>
      <c r="AH2394">
        <v>9</v>
      </c>
      <c r="AI2394" t="s">
        <v>54</v>
      </c>
      <c r="AK2394">
        <v>0</v>
      </c>
      <c r="AM2394">
        <v>0</v>
      </c>
      <c r="AP2394" t="s">
        <v>389</v>
      </c>
    </row>
    <row r="2395" spans="1:42" customFormat="1">
      <c r="A2395">
        <v>269729</v>
      </c>
      <c r="B2395" t="s">
        <v>1644</v>
      </c>
      <c r="C2395" t="s">
        <v>1645</v>
      </c>
      <c r="D2395" s="22">
        <v>0</v>
      </c>
      <c r="E2395" s="17">
        <v>42130</v>
      </c>
      <c r="F2395" s="18">
        <v>0.40586805555555555</v>
      </c>
      <c r="G2395" s="22">
        <v>161.26</v>
      </c>
      <c r="H2395">
        <v>0</v>
      </c>
      <c r="I2395" s="19" t="e">
        <f>I2394 + (D2395-G2395)</f>
        <v>#VALUE!</v>
      </c>
      <c r="M2395">
        <v>110409</v>
      </c>
      <c r="N2395">
        <v>24</v>
      </c>
      <c r="O2395" t="s">
        <v>68</v>
      </c>
      <c r="P2395">
        <v>1</v>
      </c>
      <c r="R2395">
        <v>1439</v>
      </c>
      <c r="S2395" s="17">
        <v>42137</v>
      </c>
      <c r="T2395" s="17">
        <v>42137</v>
      </c>
      <c r="W2395">
        <v>2015</v>
      </c>
      <c r="X2395">
        <v>24</v>
      </c>
      <c r="AC2395" t="s">
        <v>173</v>
      </c>
      <c r="AD2395" t="s">
        <v>301</v>
      </c>
      <c r="AE2395" t="s">
        <v>46</v>
      </c>
      <c r="AG2395">
        <v>4</v>
      </c>
      <c r="AH2395">
        <v>9</v>
      </c>
      <c r="AI2395" t="s">
        <v>54</v>
      </c>
      <c r="AK2395">
        <v>0</v>
      </c>
      <c r="AM2395">
        <v>0</v>
      </c>
      <c r="AP2395" t="s">
        <v>389</v>
      </c>
    </row>
    <row r="2396" spans="1:42" customFormat="1">
      <c r="A2396">
        <v>269730</v>
      </c>
      <c r="B2396" t="s">
        <v>1646</v>
      </c>
      <c r="C2396" t="s">
        <v>1647</v>
      </c>
      <c r="D2396" s="22">
        <v>0</v>
      </c>
      <c r="E2396" s="17">
        <v>42130</v>
      </c>
      <c r="F2396" s="18">
        <v>0.40857638888888892</v>
      </c>
      <c r="G2396" s="22">
        <v>22.1</v>
      </c>
      <c r="H2396">
        <v>0</v>
      </c>
      <c r="I2396" s="19" t="e">
        <f>I2395 + (D2396-G2396)</f>
        <v>#VALUE!</v>
      </c>
      <c r="M2396">
        <v>110421</v>
      </c>
      <c r="N2396">
        <v>24</v>
      </c>
      <c r="O2396" t="s">
        <v>68</v>
      </c>
      <c r="P2396">
        <v>1</v>
      </c>
      <c r="R2396">
        <v>1439</v>
      </c>
      <c r="S2396" s="17">
        <v>42137</v>
      </c>
      <c r="T2396" s="17">
        <v>42137</v>
      </c>
      <c r="W2396">
        <v>2015</v>
      </c>
      <c r="X2396">
        <v>24</v>
      </c>
      <c r="AC2396" t="s">
        <v>173</v>
      </c>
      <c r="AD2396" t="s">
        <v>301</v>
      </c>
      <c r="AE2396" t="s">
        <v>46</v>
      </c>
      <c r="AG2396">
        <v>4</v>
      </c>
      <c r="AH2396">
        <v>9</v>
      </c>
      <c r="AI2396" t="s">
        <v>54</v>
      </c>
      <c r="AK2396">
        <v>0</v>
      </c>
      <c r="AM2396">
        <v>0</v>
      </c>
      <c r="AP2396" t="s">
        <v>389</v>
      </c>
    </row>
    <row r="2397" spans="1:42" customFormat="1">
      <c r="A2397">
        <v>270687</v>
      </c>
      <c r="B2397" t="s">
        <v>3903</v>
      </c>
      <c r="C2397" t="s">
        <v>3904</v>
      </c>
      <c r="D2397" s="22">
        <v>0</v>
      </c>
      <c r="E2397" s="17">
        <v>42144</v>
      </c>
      <c r="F2397" s="18">
        <v>0.71777777777777774</v>
      </c>
      <c r="G2397" s="22">
        <v>921.69</v>
      </c>
      <c r="H2397">
        <v>0</v>
      </c>
      <c r="I2397" s="19" t="e">
        <f>I2396 + (D2397-G2397)</f>
        <v>#VALUE!</v>
      </c>
      <c r="M2397">
        <v>110436</v>
      </c>
      <c r="N2397">
        <v>24</v>
      </c>
      <c r="O2397" t="s">
        <v>68</v>
      </c>
      <c r="P2397">
        <v>1</v>
      </c>
      <c r="R2397">
        <v>1439</v>
      </c>
      <c r="S2397" s="17">
        <v>42145</v>
      </c>
      <c r="T2397" s="17">
        <v>42145</v>
      </c>
      <c r="W2397">
        <v>2015</v>
      </c>
      <c r="X2397">
        <v>24</v>
      </c>
      <c r="AC2397" t="s">
        <v>173</v>
      </c>
      <c r="AD2397" t="s">
        <v>301</v>
      </c>
      <c r="AE2397" t="s">
        <v>46</v>
      </c>
      <c r="AG2397">
        <v>4</v>
      </c>
      <c r="AH2397">
        <v>8</v>
      </c>
      <c r="AI2397" t="s">
        <v>52</v>
      </c>
      <c r="AK2397">
        <v>0</v>
      </c>
      <c r="AM2397">
        <v>0</v>
      </c>
      <c r="AP2397" t="s">
        <v>389</v>
      </c>
    </row>
    <row r="2398" spans="1:42" customFormat="1">
      <c r="A2398">
        <v>270431</v>
      </c>
      <c r="B2398" t="s">
        <v>3022</v>
      </c>
      <c r="C2398" t="s">
        <v>3023</v>
      </c>
      <c r="D2398" s="22">
        <v>0</v>
      </c>
      <c r="E2398" s="17">
        <v>42137</v>
      </c>
      <c r="F2398" s="18">
        <v>0.45664351851851853</v>
      </c>
      <c r="G2398" s="22">
        <v>1062.01</v>
      </c>
      <c r="H2398">
        <v>0</v>
      </c>
      <c r="I2398" s="19" t="e">
        <f>I2397 + (D2398-G2398)</f>
        <v>#VALUE!</v>
      </c>
      <c r="M2398">
        <v>123588</v>
      </c>
      <c r="N2398">
        <v>24</v>
      </c>
      <c r="O2398" t="s">
        <v>68</v>
      </c>
      <c r="P2398">
        <v>1</v>
      </c>
      <c r="R2398">
        <v>1509</v>
      </c>
      <c r="S2398" s="17">
        <v>42144</v>
      </c>
      <c r="T2398" s="17">
        <v>42144</v>
      </c>
      <c r="W2398">
        <v>2015</v>
      </c>
      <c r="X2398">
        <v>24</v>
      </c>
      <c r="AC2398" t="s">
        <v>3024</v>
      </c>
      <c r="AD2398" t="s">
        <v>301</v>
      </c>
      <c r="AE2398" t="s">
        <v>46</v>
      </c>
      <c r="AG2398">
        <v>52</v>
      </c>
      <c r="AH2398">
        <v>2</v>
      </c>
      <c r="AI2398" t="s">
        <v>50</v>
      </c>
      <c r="AK2398">
        <v>0</v>
      </c>
      <c r="AM2398">
        <v>0</v>
      </c>
      <c r="AP2398" t="s">
        <v>325</v>
      </c>
    </row>
    <row r="2399" spans="1:42" customFormat="1">
      <c r="A2399">
        <v>271642</v>
      </c>
      <c r="B2399" t="s">
        <v>1676</v>
      </c>
      <c r="C2399" t="s">
        <v>1677</v>
      </c>
      <c r="D2399" s="22">
        <v>0</v>
      </c>
      <c r="E2399" s="17">
        <v>42130</v>
      </c>
      <c r="F2399" s="18">
        <v>0.46890046296296295</v>
      </c>
      <c r="G2399" s="22">
        <v>237.54</v>
      </c>
      <c r="H2399">
        <v>0</v>
      </c>
      <c r="I2399" s="19" t="e">
        <f>I2398 + (D2399-G2399)</f>
        <v>#VALUE!</v>
      </c>
      <c r="M2399">
        <v>124432</v>
      </c>
      <c r="N2399">
        <v>24</v>
      </c>
      <c r="O2399" t="s">
        <v>68</v>
      </c>
      <c r="P2399">
        <v>1</v>
      </c>
      <c r="R2399">
        <v>830</v>
      </c>
      <c r="S2399" s="17">
        <v>42157</v>
      </c>
      <c r="T2399" s="17">
        <v>42157</v>
      </c>
      <c r="W2399">
        <v>2015</v>
      </c>
      <c r="X2399">
        <v>24</v>
      </c>
      <c r="AC2399" t="s">
        <v>264</v>
      </c>
      <c r="AD2399" t="s">
        <v>301</v>
      </c>
      <c r="AE2399" t="s">
        <v>46</v>
      </c>
      <c r="AG2399">
        <v>56</v>
      </c>
      <c r="AH2399">
        <v>1</v>
      </c>
      <c r="AI2399" t="s">
        <v>58</v>
      </c>
      <c r="AK2399">
        <v>0</v>
      </c>
      <c r="AM2399">
        <v>0</v>
      </c>
      <c r="AP2399" t="s">
        <v>59</v>
      </c>
    </row>
    <row r="2400" spans="1:42" customFormat="1">
      <c r="A2400">
        <v>271534</v>
      </c>
      <c r="B2400" t="s">
        <v>5228</v>
      </c>
      <c r="C2400" t="s">
        <v>5229</v>
      </c>
      <c r="D2400" s="22">
        <v>0</v>
      </c>
      <c r="E2400" s="17">
        <v>42153</v>
      </c>
      <c r="F2400" s="18">
        <v>0.39557870370370374</v>
      </c>
      <c r="G2400" s="22">
        <v>2331.02</v>
      </c>
      <c r="H2400">
        <v>0</v>
      </c>
      <c r="I2400" s="19" t="e">
        <f>I2399 + (D2400-G2400)</f>
        <v>#VALUE!</v>
      </c>
      <c r="M2400">
        <v>124376</v>
      </c>
      <c r="N2400">
        <v>24</v>
      </c>
      <c r="O2400" t="s">
        <v>68</v>
      </c>
      <c r="P2400">
        <v>1</v>
      </c>
      <c r="R2400">
        <v>830</v>
      </c>
      <c r="S2400" s="17">
        <v>42157</v>
      </c>
      <c r="T2400" s="17">
        <v>42157</v>
      </c>
      <c r="W2400">
        <v>2015</v>
      </c>
      <c r="X2400">
        <v>24</v>
      </c>
      <c r="AC2400" t="s">
        <v>264</v>
      </c>
      <c r="AD2400" t="s">
        <v>301</v>
      </c>
      <c r="AE2400" t="s">
        <v>46</v>
      </c>
      <c r="AG2400">
        <v>4</v>
      </c>
      <c r="AH2400">
        <v>9</v>
      </c>
      <c r="AI2400" t="s">
        <v>54</v>
      </c>
      <c r="AK2400">
        <v>0</v>
      </c>
      <c r="AM2400">
        <v>0</v>
      </c>
      <c r="AP2400" t="s">
        <v>389</v>
      </c>
    </row>
    <row r="2401" spans="1:42" customFormat="1">
      <c r="A2401">
        <v>271535</v>
      </c>
      <c r="B2401" t="s">
        <v>5230</v>
      </c>
      <c r="C2401" t="s">
        <v>5231</v>
      </c>
      <c r="D2401" s="22">
        <v>0</v>
      </c>
      <c r="E2401" s="17">
        <v>42153</v>
      </c>
      <c r="F2401" s="18">
        <v>0.39702546296296298</v>
      </c>
      <c r="G2401" s="22">
        <v>4307.57</v>
      </c>
      <c r="H2401">
        <v>0</v>
      </c>
      <c r="I2401" s="19" t="e">
        <f>I2400 + (D2401-G2401)</f>
        <v>#VALUE!</v>
      </c>
      <c r="M2401">
        <v>124377</v>
      </c>
      <c r="N2401">
        <v>24</v>
      </c>
      <c r="O2401" t="s">
        <v>68</v>
      </c>
      <c r="P2401">
        <v>1</v>
      </c>
      <c r="R2401">
        <v>830</v>
      </c>
      <c r="S2401" s="17">
        <v>42157</v>
      </c>
      <c r="T2401" s="17">
        <v>42157</v>
      </c>
      <c r="W2401">
        <v>2015</v>
      </c>
      <c r="X2401">
        <v>24</v>
      </c>
      <c r="AC2401" t="s">
        <v>264</v>
      </c>
      <c r="AD2401" t="s">
        <v>301</v>
      </c>
      <c r="AE2401" t="s">
        <v>46</v>
      </c>
      <c r="AG2401">
        <v>4</v>
      </c>
      <c r="AH2401">
        <v>9</v>
      </c>
      <c r="AI2401" t="s">
        <v>54</v>
      </c>
      <c r="AK2401">
        <v>0</v>
      </c>
      <c r="AM2401">
        <v>0</v>
      </c>
      <c r="AP2401" t="s">
        <v>389</v>
      </c>
    </row>
    <row r="2402" spans="1:42" customFormat="1">
      <c r="A2402">
        <v>271525</v>
      </c>
      <c r="B2402" t="s">
        <v>3587</v>
      </c>
      <c r="C2402" t="s">
        <v>3588</v>
      </c>
      <c r="D2402" s="22">
        <v>0</v>
      </c>
      <c r="E2402" s="17">
        <v>42142</v>
      </c>
      <c r="F2402" s="18">
        <v>0.72225694444444455</v>
      </c>
      <c r="G2402" s="22">
        <v>1149</v>
      </c>
      <c r="H2402">
        <v>0</v>
      </c>
      <c r="I2402" s="19" t="e">
        <f>I2401 + (D2402-G2402)</f>
        <v>#VALUE!</v>
      </c>
      <c r="M2402">
        <v>124358</v>
      </c>
      <c r="N2402">
        <v>24</v>
      </c>
      <c r="O2402" t="s">
        <v>68</v>
      </c>
      <c r="P2402">
        <v>1</v>
      </c>
      <c r="R2402">
        <v>1496</v>
      </c>
      <c r="S2402" s="17">
        <v>42156</v>
      </c>
      <c r="T2402" s="17">
        <v>42156</v>
      </c>
      <c r="W2402">
        <v>2015</v>
      </c>
      <c r="X2402">
        <v>24</v>
      </c>
      <c r="AC2402" t="s">
        <v>3589</v>
      </c>
      <c r="AD2402" t="s">
        <v>301</v>
      </c>
      <c r="AE2402" t="s">
        <v>46</v>
      </c>
      <c r="AG2402">
        <v>56</v>
      </c>
      <c r="AH2402">
        <v>1</v>
      </c>
      <c r="AI2402" t="s">
        <v>58</v>
      </c>
      <c r="AK2402">
        <v>0</v>
      </c>
      <c r="AM2402">
        <v>0</v>
      </c>
      <c r="AP2402" t="s">
        <v>59</v>
      </c>
    </row>
    <row r="2403" spans="1:42" customFormat="1">
      <c r="A2403">
        <v>271399</v>
      </c>
      <c r="B2403" t="s">
        <v>4932</v>
      </c>
      <c r="C2403" t="s">
        <v>4933</v>
      </c>
      <c r="D2403" s="22">
        <v>0</v>
      </c>
      <c r="E2403" s="17">
        <v>42151</v>
      </c>
      <c r="F2403" s="18">
        <v>0.38013888888888886</v>
      </c>
      <c r="G2403" s="22">
        <v>230</v>
      </c>
      <c r="H2403">
        <v>0</v>
      </c>
      <c r="I2403" s="19" t="e">
        <f>I2402 + (D2403-G2403)</f>
        <v>#VALUE!</v>
      </c>
      <c r="M2403">
        <v>124250</v>
      </c>
      <c r="N2403">
        <v>24</v>
      </c>
      <c r="O2403" t="s">
        <v>68</v>
      </c>
      <c r="P2403">
        <v>1</v>
      </c>
      <c r="R2403">
        <v>1572</v>
      </c>
      <c r="S2403" s="17">
        <v>42152</v>
      </c>
      <c r="T2403" s="17">
        <v>42152</v>
      </c>
      <c r="W2403">
        <v>2015</v>
      </c>
      <c r="X2403">
        <v>24</v>
      </c>
      <c r="AC2403" t="s">
        <v>75</v>
      </c>
      <c r="AD2403" t="s">
        <v>301</v>
      </c>
      <c r="AE2403" t="s">
        <v>46</v>
      </c>
      <c r="AG2403">
        <v>56</v>
      </c>
      <c r="AH2403">
        <v>1</v>
      </c>
      <c r="AI2403" t="s">
        <v>58</v>
      </c>
      <c r="AK2403">
        <v>0</v>
      </c>
      <c r="AM2403">
        <v>0</v>
      </c>
      <c r="AP2403" t="s">
        <v>59</v>
      </c>
    </row>
    <row r="2404" spans="1:42" customFormat="1">
      <c r="A2404">
        <v>271531</v>
      </c>
      <c r="B2404" t="s">
        <v>5222</v>
      </c>
      <c r="C2404" t="s">
        <v>5223</v>
      </c>
      <c r="D2404" s="22">
        <v>0</v>
      </c>
      <c r="E2404" s="17">
        <v>42153</v>
      </c>
      <c r="F2404" s="18">
        <v>0.39332175925925927</v>
      </c>
      <c r="G2404" s="22">
        <v>230</v>
      </c>
      <c r="H2404">
        <v>0</v>
      </c>
      <c r="I2404" s="19" t="e">
        <f>I2403 + (D2404-G2404)</f>
        <v>#VALUE!</v>
      </c>
      <c r="M2404">
        <v>109637</v>
      </c>
      <c r="N2404">
        <v>24</v>
      </c>
      <c r="O2404" t="s">
        <v>68</v>
      </c>
      <c r="P2404">
        <v>1</v>
      </c>
      <c r="R2404">
        <v>1572</v>
      </c>
      <c r="S2404" s="17">
        <v>42157</v>
      </c>
      <c r="T2404" s="17">
        <v>42157</v>
      </c>
      <c r="W2404">
        <v>2015</v>
      </c>
      <c r="X2404">
        <v>24</v>
      </c>
      <c r="AC2404" t="s">
        <v>75</v>
      </c>
      <c r="AD2404" t="s">
        <v>301</v>
      </c>
      <c r="AE2404" t="s">
        <v>46</v>
      </c>
      <c r="AG2404">
        <v>4</v>
      </c>
      <c r="AH2404">
        <v>9</v>
      </c>
      <c r="AI2404" t="s">
        <v>54</v>
      </c>
      <c r="AK2404">
        <v>0</v>
      </c>
      <c r="AM2404">
        <v>0</v>
      </c>
      <c r="AP2404" t="s">
        <v>389</v>
      </c>
    </row>
    <row r="2405" spans="1:42" customFormat="1">
      <c r="A2405">
        <v>271532</v>
      </c>
      <c r="B2405" t="s">
        <v>5224</v>
      </c>
      <c r="C2405" t="s">
        <v>5225</v>
      </c>
      <c r="D2405" s="22">
        <v>0</v>
      </c>
      <c r="E2405" s="17">
        <v>42153</v>
      </c>
      <c r="F2405" s="18">
        <v>0.39386574074074071</v>
      </c>
      <c r="G2405" s="22">
        <v>230</v>
      </c>
      <c r="H2405">
        <v>0</v>
      </c>
      <c r="I2405" s="19" t="e">
        <f>I2404 + (D2405-G2405)</f>
        <v>#VALUE!</v>
      </c>
      <c r="M2405">
        <v>109635</v>
      </c>
      <c r="N2405">
        <v>24</v>
      </c>
      <c r="O2405" t="s">
        <v>68</v>
      </c>
      <c r="P2405">
        <v>1</v>
      </c>
      <c r="R2405">
        <v>1572</v>
      </c>
      <c r="S2405" s="17">
        <v>42157</v>
      </c>
      <c r="T2405" s="17">
        <v>42157</v>
      </c>
      <c r="W2405">
        <v>2015</v>
      </c>
      <c r="X2405">
        <v>24</v>
      </c>
      <c r="AC2405" t="s">
        <v>75</v>
      </c>
      <c r="AD2405" t="s">
        <v>301</v>
      </c>
      <c r="AE2405" t="s">
        <v>46</v>
      </c>
      <c r="AG2405">
        <v>4</v>
      </c>
      <c r="AH2405">
        <v>9</v>
      </c>
      <c r="AI2405" t="s">
        <v>54</v>
      </c>
      <c r="AK2405">
        <v>0</v>
      </c>
      <c r="AM2405">
        <v>0</v>
      </c>
      <c r="AP2405" t="s">
        <v>389</v>
      </c>
    </row>
    <row r="2406" spans="1:42" customFormat="1">
      <c r="A2406">
        <v>270125</v>
      </c>
      <c r="B2406" t="s">
        <v>2835</v>
      </c>
      <c r="C2406" t="s">
        <v>2836</v>
      </c>
      <c r="D2406" s="22">
        <v>0</v>
      </c>
      <c r="E2406" s="17">
        <v>42135</v>
      </c>
      <c r="F2406" s="18">
        <v>0.73540509259259268</v>
      </c>
      <c r="G2406" s="22">
        <v>40714.14</v>
      </c>
      <c r="H2406">
        <v>0</v>
      </c>
      <c r="I2406" s="19" t="e">
        <f>I2405 + (D2406-G2406)</f>
        <v>#VALUE!</v>
      </c>
      <c r="M2406">
        <v>121393</v>
      </c>
      <c r="N2406">
        <v>12</v>
      </c>
      <c r="O2406" t="s">
        <v>214</v>
      </c>
      <c r="P2406">
        <v>1</v>
      </c>
      <c r="R2406">
        <v>877</v>
      </c>
      <c r="S2406" s="17">
        <v>42139</v>
      </c>
      <c r="T2406" s="17">
        <v>42139</v>
      </c>
      <c r="W2406">
        <v>2015</v>
      </c>
      <c r="X2406">
        <v>12</v>
      </c>
      <c r="AC2406" t="s">
        <v>126</v>
      </c>
      <c r="AD2406" t="s">
        <v>301</v>
      </c>
      <c r="AE2406" t="s">
        <v>46</v>
      </c>
      <c r="AG2406">
        <v>26</v>
      </c>
      <c r="AH2406">
        <v>9</v>
      </c>
      <c r="AI2406" t="s">
        <v>54</v>
      </c>
      <c r="AK2406">
        <v>0</v>
      </c>
      <c r="AM2406">
        <v>0</v>
      </c>
      <c r="AP2406" t="s">
        <v>501</v>
      </c>
    </row>
    <row r="2407" spans="1:42" customFormat="1">
      <c r="A2407">
        <v>270126</v>
      </c>
      <c r="B2407" t="s">
        <v>2837</v>
      </c>
      <c r="C2407" t="s">
        <v>2838</v>
      </c>
      <c r="D2407" s="22">
        <v>0</v>
      </c>
      <c r="E2407" s="17">
        <v>42135</v>
      </c>
      <c r="F2407" s="18">
        <v>0.73824074074074064</v>
      </c>
      <c r="G2407" s="22">
        <v>2416.61</v>
      </c>
      <c r="H2407">
        <v>0</v>
      </c>
      <c r="I2407" s="19" t="e">
        <f>I2406 + (D2407-G2407)</f>
        <v>#VALUE!</v>
      </c>
      <c r="M2407">
        <v>123501</v>
      </c>
      <c r="N2407">
        <v>12</v>
      </c>
      <c r="O2407" t="s">
        <v>214</v>
      </c>
      <c r="P2407">
        <v>1</v>
      </c>
      <c r="R2407">
        <v>877</v>
      </c>
      <c r="S2407" s="17">
        <v>42139</v>
      </c>
      <c r="T2407" s="17">
        <v>42139</v>
      </c>
      <c r="W2407">
        <v>2015</v>
      </c>
      <c r="X2407">
        <v>12</v>
      </c>
      <c r="AC2407" t="s">
        <v>126</v>
      </c>
      <c r="AD2407" t="s">
        <v>301</v>
      </c>
      <c r="AE2407" t="s">
        <v>46</v>
      </c>
      <c r="AG2407">
        <v>26</v>
      </c>
      <c r="AH2407">
        <v>9</v>
      </c>
      <c r="AI2407" t="s">
        <v>54</v>
      </c>
      <c r="AK2407">
        <v>0</v>
      </c>
      <c r="AM2407">
        <v>0</v>
      </c>
      <c r="AP2407" t="s">
        <v>501</v>
      </c>
    </row>
    <row r="2408" spans="1:42" customFormat="1">
      <c r="A2408">
        <v>270127</v>
      </c>
      <c r="B2408" t="s">
        <v>2839</v>
      </c>
      <c r="C2408" t="s">
        <v>2840</v>
      </c>
      <c r="D2408" s="22">
        <v>0</v>
      </c>
      <c r="E2408" s="17">
        <v>42135</v>
      </c>
      <c r="F2408" s="18">
        <v>0.74071759259259251</v>
      </c>
      <c r="G2408" s="22">
        <v>195.22</v>
      </c>
      <c r="H2408">
        <v>0</v>
      </c>
      <c r="I2408" s="19" t="e">
        <f>I2407 + (D2408-G2408)</f>
        <v>#VALUE!</v>
      </c>
      <c r="M2408">
        <v>121403</v>
      </c>
      <c r="N2408">
        <v>12</v>
      </c>
      <c r="O2408" t="s">
        <v>214</v>
      </c>
      <c r="P2408">
        <v>1</v>
      </c>
      <c r="R2408">
        <v>877</v>
      </c>
      <c r="S2408" s="17">
        <v>42139</v>
      </c>
      <c r="T2408" s="17">
        <v>42139</v>
      </c>
      <c r="W2408">
        <v>2015</v>
      </c>
      <c r="X2408">
        <v>12</v>
      </c>
      <c r="AC2408" t="s">
        <v>126</v>
      </c>
      <c r="AD2408" t="s">
        <v>301</v>
      </c>
      <c r="AE2408" t="s">
        <v>46</v>
      </c>
      <c r="AG2408">
        <v>56</v>
      </c>
      <c r="AH2408">
        <v>1</v>
      </c>
      <c r="AI2408" t="s">
        <v>58</v>
      </c>
      <c r="AK2408">
        <v>0</v>
      </c>
      <c r="AM2408">
        <v>0</v>
      </c>
      <c r="AP2408" t="s">
        <v>59</v>
      </c>
    </row>
    <row r="2409" spans="1:42" customFormat="1">
      <c r="A2409">
        <v>270128</v>
      </c>
      <c r="B2409" t="s">
        <v>2841</v>
      </c>
      <c r="C2409" t="s">
        <v>2842</v>
      </c>
      <c r="D2409" s="22">
        <v>0</v>
      </c>
      <c r="E2409" s="17">
        <v>42135</v>
      </c>
      <c r="F2409" s="18">
        <v>0.74092592592592599</v>
      </c>
      <c r="G2409" s="22">
        <v>156.15</v>
      </c>
      <c r="H2409">
        <v>0</v>
      </c>
      <c r="I2409" s="19" t="e">
        <f>I2408 + (D2409-G2409)</f>
        <v>#VALUE!</v>
      </c>
      <c r="M2409">
        <v>121406</v>
      </c>
      <c r="N2409">
        <v>12</v>
      </c>
      <c r="O2409" t="s">
        <v>214</v>
      </c>
      <c r="P2409">
        <v>1</v>
      </c>
      <c r="R2409">
        <v>877</v>
      </c>
      <c r="S2409" s="17">
        <v>42139</v>
      </c>
      <c r="T2409" s="17">
        <v>42139</v>
      </c>
      <c r="W2409">
        <v>2015</v>
      </c>
      <c r="X2409">
        <v>12</v>
      </c>
      <c r="AC2409" t="s">
        <v>126</v>
      </c>
      <c r="AD2409" t="s">
        <v>301</v>
      </c>
      <c r="AE2409" t="s">
        <v>46</v>
      </c>
      <c r="AG2409">
        <v>56</v>
      </c>
      <c r="AH2409">
        <v>1</v>
      </c>
      <c r="AI2409" t="s">
        <v>58</v>
      </c>
      <c r="AK2409">
        <v>0</v>
      </c>
      <c r="AM2409">
        <v>0</v>
      </c>
      <c r="AP2409" t="s">
        <v>59</v>
      </c>
    </row>
    <row r="2410" spans="1:42" customFormat="1">
      <c r="A2410">
        <v>270129</v>
      </c>
      <c r="B2410" t="s">
        <v>2843</v>
      </c>
      <c r="C2410" t="s">
        <v>2844</v>
      </c>
      <c r="D2410" s="22">
        <v>0</v>
      </c>
      <c r="E2410" s="17">
        <v>42135</v>
      </c>
      <c r="F2410" s="18">
        <v>0.74118055555555562</v>
      </c>
      <c r="G2410" s="22">
        <v>390.6</v>
      </c>
      <c r="H2410">
        <v>0</v>
      </c>
      <c r="I2410" s="19" t="e">
        <f>I2409 + (D2410-G2410)</f>
        <v>#VALUE!</v>
      </c>
      <c r="M2410">
        <v>121409</v>
      </c>
      <c r="N2410">
        <v>12</v>
      </c>
      <c r="O2410" t="s">
        <v>214</v>
      </c>
      <c r="P2410">
        <v>1</v>
      </c>
      <c r="R2410">
        <v>877</v>
      </c>
      <c r="S2410" s="17">
        <v>42139</v>
      </c>
      <c r="T2410" s="17">
        <v>42139</v>
      </c>
      <c r="W2410">
        <v>2015</v>
      </c>
      <c r="X2410">
        <v>12</v>
      </c>
      <c r="AC2410" t="s">
        <v>126</v>
      </c>
      <c r="AD2410" t="s">
        <v>301</v>
      </c>
      <c r="AE2410" t="s">
        <v>46</v>
      </c>
      <c r="AG2410">
        <v>56</v>
      </c>
      <c r="AH2410">
        <v>1</v>
      </c>
      <c r="AI2410" t="s">
        <v>58</v>
      </c>
      <c r="AK2410">
        <v>0</v>
      </c>
      <c r="AM2410">
        <v>0</v>
      </c>
      <c r="AP2410" t="s">
        <v>59</v>
      </c>
    </row>
    <row r="2411" spans="1:42" customFormat="1">
      <c r="A2411">
        <v>270130</v>
      </c>
      <c r="B2411" t="s">
        <v>2845</v>
      </c>
      <c r="C2411" t="s">
        <v>2846</v>
      </c>
      <c r="D2411" s="22">
        <v>0</v>
      </c>
      <c r="E2411" s="17">
        <v>42135</v>
      </c>
      <c r="F2411" s="18">
        <v>0.74137731481481473</v>
      </c>
      <c r="G2411" s="22">
        <v>290.56</v>
      </c>
      <c r="H2411">
        <v>0</v>
      </c>
      <c r="I2411" s="19" t="e">
        <f>I2410 + (D2411-G2411)</f>
        <v>#VALUE!</v>
      </c>
      <c r="M2411">
        <v>121415</v>
      </c>
      <c r="N2411">
        <v>12</v>
      </c>
      <c r="O2411" t="s">
        <v>214</v>
      </c>
      <c r="P2411">
        <v>1</v>
      </c>
      <c r="R2411">
        <v>877</v>
      </c>
      <c r="S2411" s="17">
        <v>42139</v>
      </c>
      <c r="T2411" s="17">
        <v>42139</v>
      </c>
      <c r="W2411">
        <v>2015</v>
      </c>
      <c r="X2411">
        <v>12</v>
      </c>
      <c r="AC2411" t="s">
        <v>126</v>
      </c>
      <c r="AD2411" t="s">
        <v>301</v>
      </c>
      <c r="AE2411" t="s">
        <v>46</v>
      </c>
      <c r="AG2411">
        <v>56</v>
      </c>
      <c r="AH2411">
        <v>1</v>
      </c>
      <c r="AI2411" t="s">
        <v>58</v>
      </c>
      <c r="AK2411">
        <v>0</v>
      </c>
      <c r="AM2411">
        <v>0</v>
      </c>
      <c r="AP2411" t="s">
        <v>59</v>
      </c>
    </row>
    <row r="2412" spans="1:42" customFormat="1">
      <c r="A2412">
        <v>270131</v>
      </c>
      <c r="B2412" t="s">
        <v>2847</v>
      </c>
      <c r="C2412" t="s">
        <v>2848</v>
      </c>
      <c r="D2412" s="22">
        <v>0</v>
      </c>
      <c r="E2412" s="17">
        <v>42135</v>
      </c>
      <c r="F2412" s="18">
        <v>0.74304398148148154</v>
      </c>
      <c r="G2412" s="22">
        <v>182.69</v>
      </c>
      <c r="H2412">
        <v>0</v>
      </c>
      <c r="I2412" s="19" t="e">
        <f>I2411 + (D2412-G2412)</f>
        <v>#VALUE!</v>
      </c>
      <c r="M2412">
        <v>123502</v>
      </c>
      <c r="N2412">
        <v>12</v>
      </c>
      <c r="O2412" t="s">
        <v>214</v>
      </c>
      <c r="P2412">
        <v>1</v>
      </c>
      <c r="R2412">
        <v>877</v>
      </c>
      <c r="S2412" s="17">
        <v>42139</v>
      </c>
      <c r="T2412" s="17">
        <v>42139</v>
      </c>
      <c r="W2412">
        <v>2015</v>
      </c>
      <c r="X2412">
        <v>12</v>
      </c>
      <c r="AC2412" t="s">
        <v>126</v>
      </c>
      <c r="AD2412" t="s">
        <v>301</v>
      </c>
      <c r="AE2412" t="s">
        <v>46</v>
      </c>
      <c r="AG2412">
        <v>56</v>
      </c>
      <c r="AH2412">
        <v>1</v>
      </c>
      <c r="AI2412" t="s">
        <v>58</v>
      </c>
      <c r="AK2412">
        <v>0</v>
      </c>
      <c r="AM2412">
        <v>0</v>
      </c>
      <c r="AP2412" t="s">
        <v>59</v>
      </c>
    </row>
    <row r="2413" spans="1:42" customFormat="1">
      <c r="A2413">
        <v>271241</v>
      </c>
      <c r="B2413" t="s">
        <v>2874</v>
      </c>
      <c r="C2413" t="s">
        <v>2875</v>
      </c>
      <c r="D2413" s="22">
        <v>0</v>
      </c>
      <c r="E2413" s="17">
        <v>42136</v>
      </c>
      <c r="F2413" s="18">
        <v>0.4199074074074074</v>
      </c>
      <c r="G2413" s="22">
        <v>650.41999999999996</v>
      </c>
      <c r="H2413">
        <v>0</v>
      </c>
      <c r="I2413" s="19" t="e">
        <f>I2412 + (D2413-G2413)</f>
        <v>#VALUE!</v>
      </c>
      <c r="M2413">
        <v>121416</v>
      </c>
      <c r="N2413">
        <v>24</v>
      </c>
      <c r="O2413" t="s">
        <v>68</v>
      </c>
      <c r="P2413">
        <v>1</v>
      </c>
      <c r="R2413">
        <v>877</v>
      </c>
      <c r="S2413" s="17">
        <v>42151</v>
      </c>
      <c r="T2413" s="17">
        <v>42151</v>
      </c>
      <c r="W2413">
        <v>2015</v>
      </c>
      <c r="X2413">
        <v>24</v>
      </c>
      <c r="AC2413" t="s">
        <v>126</v>
      </c>
      <c r="AD2413" t="s">
        <v>301</v>
      </c>
      <c r="AE2413" t="s">
        <v>46</v>
      </c>
      <c r="AG2413">
        <v>52</v>
      </c>
      <c r="AH2413">
        <v>2</v>
      </c>
      <c r="AI2413" t="s">
        <v>50</v>
      </c>
      <c r="AK2413">
        <v>0</v>
      </c>
      <c r="AM2413">
        <v>0</v>
      </c>
      <c r="AP2413" t="s">
        <v>325</v>
      </c>
    </row>
    <row r="2414" spans="1:42" customFormat="1">
      <c r="A2414">
        <v>271242</v>
      </c>
      <c r="B2414" t="s">
        <v>2876</v>
      </c>
      <c r="C2414" t="s">
        <v>2877</v>
      </c>
      <c r="D2414" s="22">
        <v>0</v>
      </c>
      <c r="E2414" s="17">
        <v>42136</v>
      </c>
      <c r="F2414" s="18">
        <v>0.42006944444444444</v>
      </c>
      <c r="G2414" s="22">
        <v>541</v>
      </c>
      <c r="H2414">
        <v>0</v>
      </c>
      <c r="I2414" s="19" t="e">
        <f>I2413 + (D2414-G2414)</f>
        <v>#VALUE!</v>
      </c>
      <c r="M2414">
        <v>121413</v>
      </c>
      <c r="N2414">
        <v>24</v>
      </c>
      <c r="O2414" t="s">
        <v>68</v>
      </c>
      <c r="P2414">
        <v>1</v>
      </c>
      <c r="R2414">
        <v>877</v>
      </c>
      <c r="S2414" s="17">
        <v>42151</v>
      </c>
      <c r="T2414" s="17">
        <v>42151</v>
      </c>
      <c r="W2414">
        <v>2015</v>
      </c>
      <c r="X2414">
        <v>24</v>
      </c>
      <c r="AC2414" t="s">
        <v>126</v>
      </c>
      <c r="AD2414" t="s">
        <v>301</v>
      </c>
      <c r="AE2414" t="s">
        <v>46</v>
      </c>
      <c r="AG2414">
        <v>52</v>
      </c>
      <c r="AH2414">
        <v>2</v>
      </c>
      <c r="AI2414" t="s">
        <v>50</v>
      </c>
      <c r="AK2414">
        <v>0</v>
      </c>
      <c r="AM2414">
        <v>0</v>
      </c>
      <c r="AP2414" t="s">
        <v>325</v>
      </c>
    </row>
    <row r="2415" spans="1:42" customFormat="1">
      <c r="A2415">
        <v>270120</v>
      </c>
      <c r="B2415" t="s">
        <v>2940</v>
      </c>
      <c r="C2415" t="s">
        <v>2941</v>
      </c>
      <c r="D2415" s="22">
        <v>0</v>
      </c>
      <c r="E2415" s="17">
        <v>42136</v>
      </c>
      <c r="F2415" s="18">
        <v>0.70983796296296298</v>
      </c>
      <c r="G2415" s="22">
        <v>2350</v>
      </c>
      <c r="H2415">
        <v>0</v>
      </c>
      <c r="I2415" s="19" t="e">
        <f>I2414 + (D2415-G2415)</f>
        <v>#VALUE!</v>
      </c>
      <c r="M2415">
        <v>120575</v>
      </c>
      <c r="N2415">
        <v>24</v>
      </c>
      <c r="O2415" t="s">
        <v>68</v>
      </c>
      <c r="P2415">
        <v>1</v>
      </c>
      <c r="R2415">
        <v>877</v>
      </c>
      <c r="S2415" s="17">
        <v>42139</v>
      </c>
      <c r="T2415" s="17">
        <v>42139</v>
      </c>
      <c r="W2415">
        <v>2015</v>
      </c>
      <c r="X2415">
        <v>24</v>
      </c>
      <c r="AC2415" t="s">
        <v>126</v>
      </c>
      <c r="AD2415" t="s">
        <v>301</v>
      </c>
      <c r="AE2415" t="s">
        <v>46</v>
      </c>
      <c r="AG2415">
        <v>52</v>
      </c>
      <c r="AH2415">
        <v>2</v>
      </c>
      <c r="AI2415" t="s">
        <v>50</v>
      </c>
      <c r="AK2415">
        <v>0</v>
      </c>
      <c r="AM2415">
        <v>0</v>
      </c>
      <c r="AP2415" t="s">
        <v>325</v>
      </c>
    </row>
    <row r="2416" spans="1:42" customFormat="1">
      <c r="A2416">
        <v>271054</v>
      </c>
      <c r="B2416" t="s">
        <v>3039</v>
      </c>
      <c r="C2416" t="s">
        <v>3040</v>
      </c>
      <c r="D2416" s="22">
        <v>0</v>
      </c>
      <c r="E2416" s="17">
        <v>42137</v>
      </c>
      <c r="F2416" s="18">
        <v>0.48649305555555555</v>
      </c>
      <c r="G2416" s="22">
        <v>2550.79</v>
      </c>
      <c r="H2416">
        <v>0</v>
      </c>
      <c r="I2416" s="19" t="e">
        <f>I2415 + (D2416-G2416)</f>
        <v>#VALUE!</v>
      </c>
      <c r="M2416">
        <v>124034</v>
      </c>
      <c r="N2416">
        <v>24</v>
      </c>
      <c r="O2416" t="s">
        <v>68</v>
      </c>
      <c r="P2416">
        <v>1</v>
      </c>
      <c r="R2416">
        <v>877</v>
      </c>
      <c r="S2416" s="17">
        <v>42150</v>
      </c>
      <c r="T2416" s="17">
        <v>42150</v>
      </c>
      <c r="W2416">
        <v>2015</v>
      </c>
      <c r="X2416">
        <v>24</v>
      </c>
      <c r="AC2416" t="s">
        <v>126</v>
      </c>
      <c r="AD2416" t="s">
        <v>301</v>
      </c>
      <c r="AE2416" t="s">
        <v>46</v>
      </c>
      <c r="AG2416">
        <v>52</v>
      </c>
      <c r="AH2416">
        <v>2</v>
      </c>
      <c r="AI2416" t="s">
        <v>50</v>
      </c>
      <c r="AK2416">
        <v>0</v>
      </c>
      <c r="AM2416">
        <v>0</v>
      </c>
      <c r="AP2416" t="s">
        <v>325</v>
      </c>
    </row>
    <row r="2417" spans="1:42" customFormat="1">
      <c r="A2417">
        <v>271055</v>
      </c>
      <c r="B2417" t="s">
        <v>3041</v>
      </c>
      <c r="C2417" t="s">
        <v>3042</v>
      </c>
      <c r="D2417" s="22">
        <v>0</v>
      </c>
      <c r="E2417" s="17">
        <v>42137</v>
      </c>
      <c r="F2417" s="18">
        <v>0.48668981481481483</v>
      </c>
      <c r="G2417" s="22">
        <v>500</v>
      </c>
      <c r="H2417">
        <v>0</v>
      </c>
      <c r="I2417" s="19" t="e">
        <f>I2416 + (D2417-G2417)</f>
        <v>#VALUE!</v>
      </c>
      <c r="M2417">
        <v>121408</v>
      </c>
      <c r="N2417">
        <v>24</v>
      </c>
      <c r="O2417" t="s">
        <v>68</v>
      </c>
      <c r="P2417">
        <v>1</v>
      </c>
      <c r="R2417">
        <v>877</v>
      </c>
      <c r="S2417" s="17">
        <v>42150</v>
      </c>
      <c r="T2417" s="17">
        <v>42150</v>
      </c>
      <c r="W2417">
        <v>2015</v>
      </c>
      <c r="X2417">
        <v>24</v>
      </c>
      <c r="AC2417" t="s">
        <v>126</v>
      </c>
      <c r="AD2417" t="s">
        <v>301</v>
      </c>
      <c r="AE2417" t="s">
        <v>46</v>
      </c>
      <c r="AG2417">
        <v>52</v>
      </c>
      <c r="AH2417">
        <v>2</v>
      </c>
      <c r="AI2417" t="s">
        <v>50</v>
      </c>
      <c r="AK2417">
        <v>0</v>
      </c>
      <c r="AM2417">
        <v>0</v>
      </c>
      <c r="AP2417" t="s">
        <v>325</v>
      </c>
    </row>
    <row r="2418" spans="1:42" customFormat="1">
      <c r="A2418">
        <v>271056</v>
      </c>
      <c r="B2418" t="s">
        <v>3043</v>
      </c>
      <c r="C2418" t="s">
        <v>3044</v>
      </c>
      <c r="D2418" s="22">
        <v>0</v>
      </c>
      <c r="E2418" s="17">
        <v>42137</v>
      </c>
      <c r="F2418" s="18">
        <v>0.48689814814814819</v>
      </c>
      <c r="G2418" s="22">
        <v>878.47</v>
      </c>
      <c r="H2418">
        <v>0</v>
      </c>
      <c r="I2418" s="19" t="e">
        <f>I2417 + (D2418-G2418)</f>
        <v>#VALUE!</v>
      </c>
      <c r="M2418">
        <v>121402</v>
      </c>
      <c r="N2418">
        <v>24</v>
      </c>
      <c r="O2418" t="s">
        <v>68</v>
      </c>
      <c r="P2418">
        <v>1</v>
      </c>
      <c r="R2418">
        <v>877</v>
      </c>
      <c r="S2418" s="17">
        <v>42150</v>
      </c>
      <c r="T2418" s="17">
        <v>42150</v>
      </c>
      <c r="W2418">
        <v>2015</v>
      </c>
      <c r="X2418">
        <v>24</v>
      </c>
      <c r="AC2418" t="s">
        <v>126</v>
      </c>
      <c r="AD2418" t="s">
        <v>301</v>
      </c>
      <c r="AE2418" t="s">
        <v>46</v>
      </c>
      <c r="AG2418">
        <v>52</v>
      </c>
      <c r="AH2418">
        <v>2</v>
      </c>
      <c r="AI2418" t="s">
        <v>50</v>
      </c>
      <c r="AK2418">
        <v>0</v>
      </c>
      <c r="AM2418">
        <v>0</v>
      </c>
      <c r="AP2418" t="s">
        <v>325</v>
      </c>
    </row>
    <row r="2419" spans="1:42" customFormat="1">
      <c r="A2419">
        <v>270330</v>
      </c>
      <c r="B2419" t="s">
        <v>3140</v>
      </c>
      <c r="C2419" t="s">
        <v>3141</v>
      </c>
      <c r="D2419" s="22">
        <v>0</v>
      </c>
      <c r="E2419" s="17">
        <v>42138</v>
      </c>
      <c r="F2419" s="18">
        <v>0.41534722222222226</v>
      </c>
      <c r="G2419" s="22">
        <v>479.95</v>
      </c>
      <c r="H2419">
        <v>0</v>
      </c>
      <c r="I2419" s="19" t="e">
        <f>I2418 + (D2419-G2419)</f>
        <v>#VALUE!</v>
      </c>
      <c r="M2419">
        <v>123643</v>
      </c>
      <c r="N2419">
        <v>25</v>
      </c>
      <c r="O2419" t="s">
        <v>71</v>
      </c>
      <c r="P2419">
        <v>1</v>
      </c>
      <c r="R2419">
        <v>877</v>
      </c>
      <c r="S2419" s="17">
        <v>42144</v>
      </c>
      <c r="T2419" s="17">
        <v>42144</v>
      </c>
      <c r="W2419">
        <v>2015</v>
      </c>
      <c r="X2419">
        <v>25</v>
      </c>
      <c r="AC2419" t="s">
        <v>126</v>
      </c>
      <c r="AD2419" t="s">
        <v>301</v>
      </c>
      <c r="AE2419" t="s">
        <v>46</v>
      </c>
      <c r="AG2419">
        <v>26</v>
      </c>
      <c r="AH2419">
        <v>9</v>
      </c>
      <c r="AI2419" t="s">
        <v>54</v>
      </c>
      <c r="AK2419">
        <v>0</v>
      </c>
      <c r="AM2419">
        <v>0</v>
      </c>
      <c r="AP2419" t="s">
        <v>501</v>
      </c>
    </row>
    <row r="2420" spans="1:42" customFormat="1">
      <c r="A2420">
        <v>271059</v>
      </c>
      <c r="B2420" t="s">
        <v>3187</v>
      </c>
      <c r="C2420" t="s">
        <v>3188</v>
      </c>
      <c r="D2420" s="22">
        <v>0</v>
      </c>
      <c r="E2420" s="17">
        <v>42138</v>
      </c>
      <c r="F2420" s="18">
        <v>0.48901620370370374</v>
      </c>
      <c r="G2420" s="22">
        <v>1464.12</v>
      </c>
      <c r="H2420">
        <v>0</v>
      </c>
      <c r="I2420" s="19" t="e">
        <f>I2419 + (D2420-G2420)</f>
        <v>#VALUE!</v>
      </c>
      <c r="M2420">
        <v>121411</v>
      </c>
      <c r="N2420">
        <v>24</v>
      </c>
      <c r="O2420" t="s">
        <v>68</v>
      </c>
      <c r="P2420">
        <v>1</v>
      </c>
      <c r="R2420">
        <v>877</v>
      </c>
      <c r="S2420" s="17">
        <v>42150</v>
      </c>
      <c r="T2420" s="17">
        <v>42150</v>
      </c>
      <c r="W2420">
        <v>2015</v>
      </c>
      <c r="X2420">
        <v>24</v>
      </c>
      <c r="AC2420" t="s">
        <v>126</v>
      </c>
      <c r="AD2420" t="s">
        <v>301</v>
      </c>
      <c r="AE2420" t="s">
        <v>46</v>
      </c>
      <c r="AG2420">
        <v>52</v>
      </c>
      <c r="AH2420">
        <v>2</v>
      </c>
      <c r="AI2420" t="s">
        <v>50</v>
      </c>
      <c r="AK2420">
        <v>0</v>
      </c>
      <c r="AM2420">
        <v>0</v>
      </c>
      <c r="AP2420" t="s">
        <v>325</v>
      </c>
    </row>
    <row r="2421" spans="1:42" customFormat="1">
      <c r="A2421">
        <v>271060</v>
      </c>
      <c r="B2421" t="s">
        <v>3189</v>
      </c>
      <c r="C2421" t="s">
        <v>3190</v>
      </c>
      <c r="D2421" s="22">
        <v>0</v>
      </c>
      <c r="E2421" s="17">
        <v>42138</v>
      </c>
      <c r="F2421" s="18">
        <v>0.48918981481481483</v>
      </c>
      <c r="G2421" s="22">
        <v>1204.56</v>
      </c>
      <c r="H2421">
        <v>0</v>
      </c>
      <c r="I2421" s="19" t="e">
        <f>I2420 + (D2421-G2421)</f>
        <v>#VALUE!</v>
      </c>
      <c r="M2421">
        <v>121410</v>
      </c>
      <c r="N2421">
        <v>24</v>
      </c>
      <c r="O2421" t="s">
        <v>68</v>
      </c>
      <c r="P2421">
        <v>1</v>
      </c>
      <c r="R2421">
        <v>877</v>
      </c>
      <c r="S2421" s="17">
        <v>42150</v>
      </c>
      <c r="T2421" s="17">
        <v>42150</v>
      </c>
      <c r="W2421">
        <v>2015</v>
      </c>
      <c r="X2421">
        <v>24</v>
      </c>
      <c r="AC2421" t="s">
        <v>126</v>
      </c>
      <c r="AD2421" t="s">
        <v>301</v>
      </c>
      <c r="AE2421" t="s">
        <v>46</v>
      </c>
      <c r="AG2421">
        <v>52</v>
      </c>
      <c r="AH2421">
        <v>2</v>
      </c>
      <c r="AI2421" t="s">
        <v>50</v>
      </c>
      <c r="AK2421">
        <v>0</v>
      </c>
      <c r="AM2421">
        <v>0</v>
      </c>
      <c r="AP2421" t="s">
        <v>325</v>
      </c>
    </row>
    <row r="2422" spans="1:42" customFormat="1">
      <c r="A2422">
        <v>271061</v>
      </c>
      <c r="B2422" t="s">
        <v>3191</v>
      </c>
      <c r="C2422" t="s">
        <v>3192</v>
      </c>
      <c r="D2422" s="22">
        <v>0</v>
      </c>
      <c r="E2422" s="17">
        <v>42138</v>
      </c>
      <c r="F2422" s="18">
        <v>0.48949074074074073</v>
      </c>
      <c r="G2422" s="22">
        <v>390.42</v>
      </c>
      <c r="H2422">
        <v>0</v>
      </c>
      <c r="I2422" s="19" t="e">
        <f>I2421 + (D2422-G2422)</f>
        <v>#VALUE!</v>
      </c>
      <c r="M2422">
        <v>121404</v>
      </c>
      <c r="N2422">
        <v>24</v>
      </c>
      <c r="O2422" t="s">
        <v>68</v>
      </c>
      <c r="P2422">
        <v>1</v>
      </c>
      <c r="R2422">
        <v>877</v>
      </c>
      <c r="S2422" s="17">
        <v>42150</v>
      </c>
      <c r="T2422" s="17">
        <v>42150</v>
      </c>
      <c r="W2422">
        <v>2015</v>
      </c>
      <c r="X2422">
        <v>24</v>
      </c>
      <c r="AC2422" t="s">
        <v>126</v>
      </c>
      <c r="AD2422" t="s">
        <v>301</v>
      </c>
      <c r="AE2422" t="s">
        <v>46</v>
      </c>
      <c r="AG2422">
        <v>52</v>
      </c>
      <c r="AH2422">
        <v>2</v>
      </c>
      <c r="AI2422" t="s">
        <v>50</v>
      </c>
      <c r="AK2422">
        <v>0</v>
      </c>
      <c r="AM2422">
        <v>0</v>
      </c>
      <c r="AP2422" t="s">
        <v>325</v>
      </c>
    </row>
    <row r="2423" spans="1:42" customFormat="1">
      <c r="A2423">
        <v>271062</v>
      </c>
      <c r="B2423" t="s">
        <v>4036</v>
      </c>
      <c r="C2423" t="s">
        <v>4037</v>
      </c>
      <c r="D2423" s="22">
        <v>0</v>
      </c>
      <c r="E2423" s="17">
        <v>42145</v>
      </c>
      <c r="F2423" s="18">
        <v>0.49438657407407405</v>
      </c>
      <c r="G2423" s="22">
        <v>500</v>
      </c>
      <c r="H2423">
        <v>0</v>
      </c>
      <c r="I2423" s="19" t="e">
        <f>I2422 + (D2423-G2423)</f>
        <v>#VALUE!</v>
      </c>
      <c r="M2423">
        <v>121407</v>
      </c>
      <c r="N2423">
        <v>24</v>
      </c>
      <c r="O2423" t="s">
        <v>68</v>
      </c>
      <c r="P2423">
        <v>1</v>
      </c>
      <c r="R2423">
        <v>877</v>
      </c>
      <c r="S2423" s="17">
        <v>42150</v>
      </c>
      <c r="T2423" s="17">
        <v>42150</v>
      </c>
      <c r="W2423">
        <v>2015</v>
      </c>
      <c r="X2423">
        <v>24</v>
      </c>
      <c r="AC2423" t="s">
        <v>126</v>
      </c>
      <c r="AD2423" t="s">
        <v>301</v>
      </c>
      <c r="AE2423" t="s">
        <v>46</v>
      </c>
      <c r="AG2423">
        <v>52</v>
      </c>
      <c r="AH2423">
        <v>2</v>
      </c>
      <c r="AI2423" t="s">
        <v>50</v>
      </c>
      <c r="AK2423">
        <v>0</v>
      </c>
      <c r="AM2423">
        <v>0</v>
      </c>
      <c r="AP2423" t="s">
        <v>325</v>
      </c>
    </row>
    <row r="2424" spans="1:42" customFormat="1">
      <c r="A2424">
        <v>272825</v>
      </c>
      <c r="B2424" t="s">
        <v>4564</v>
      </c>
      <c r="C2424" t="s">
        <v>4565</v>
      </c>
      <c r="D2424" s="22">
        <v>0</v>
      </c>
      <c r="E2424" s="17">
        <v>42149</v>
      </c>
      <c r="F2424" s="18">
        <v>0.54465277777777776</v>
      </c>
      <c r="G2424" s="22">
        <v>488.04</v>
      </c>
      <c r="H2424">
        <v>0</v>
      </c>
      <c r="I2424" s="19" t="e">
        <f>I2423 + (D2424-G2424)</f>
        <v>#VALUE!</v>
      </c>
      <c r="M2424">
        <v>121414</v>
      </c>
      <c r="N2424">
        <v>60</v>
      </c>
      <c r="O2424" t="s">
        <v>60</v>
      </c>
      <c r="P2424">
        <v>1</v>
      </c>
      <c r="R2424">
        <v>877</v>
      </c>
      <c r="S2424" s="17">
        <v>42166</v>
      </c>
      <c r="T2424" s="17">
        <v>42166</v>
      </c>
      <c r="W2424">
        <v>2015</v>
      </c>
      <c r="X2424">
        <v>60</v>
      </c>
      <c r="AC2424" t="s">
        <v>126</v>
      </c>
      <c r="AD2424" t="s">
        <v>301</v>
      </c>
      <c r="AE2424" t="s">
        <v>46</v>
      </c>
      <c r="AG2424">
        <v>52</v>
      </c>
      <c r="AH2424">
        <v>2</v>
      </c>
      <c r="AI2424" t="s">
        <v>50</v>
      </c>
      <c r="AK2424">
        <v>0</v>
      </c>
      <c r="AM2424">
        <v>0</v>
      </c>
      <c r="AP2424" t="s">
        <v>325</v>
      </c>
    </row>
    <row r="2425" spans="1:42" customFormat="1">
      <c r="A2425">
        <v>271240</v>
      </c>
      <c r="B2425" t="s">
        <v>2871</v>
      </c>
      <c r="C2425" t="s">
        <v>2872</v>
      </c>
      <c r="D2425" s="22">
        <v>0</v>
      </c>
      <c r="E2425" s="17">
        <v>42136</v>
      </c>
      <c r="F2425" s="18">
        <v>0.41969907407407409</v>
      </c>
      <c r="G2425" s="22">
        <v>2379.9699999999998</v>
      </c>
      <c r="H2425">
        <v>0</v>
      </c>
      <c r="I2425" s="19" t="e">
        <f>I2424 + (D2425-G2425)</f>
        <v>#VALUE!</v>
      </c>
      <c r="M2425">
        <v>121421</v>
      </c>
      <c r="N2425">
        <v>24</v>
      </c>
      <c r="O2425" t="s">
        <v>68</v>
      </c>
      <c r="P2425">
        <v>1</v>
      </c>
      <c r="R2425">
        <v>1510</v>
      </c>
      <c r="S2425" s="17">
        <v>42151</v>
      </c>
      <c r="T2425" s="17">
        <v>42151</v>
      </c>
      <c r="W2425">
        <v>2015</v>
      </c>
      <c r="X2425">
        <v>24</v>
      </c>
      <c r="AC2425" t="s">
        <v>2873</v>
      </c>
      <c r="AD2425" t="s">
        <v>301</v>
      </c>
      <c r="AE2425" t="s">
        <v>46</v>
      </c>
      <c r="AG2425">
        <v>52</v>
      </c>
      <c r="AH2425">
        <v>2</v>
      </c>
      <c r="AI2425" t="s">
        <v>50</v>
      </c>
      <c r="AK2425">
        <v>0</v>
      </c>
      <c r="AM2425">
        <v>0</v>
      </c>
      <c r="AP2425" t="s">
        <v>325</v>
      </c>
    </row>
    <row r="2426" spans="1:42" customFormat="1">
      <c r="A2426">
        <v>271383</v>
      </c>
      <c r="B2426" t="s">
        <v>4920</v>
      </c>
      <c r="C2426" t="s">
        <v>4921</v>
      </c>
      <c r="D2426" s="22">
        <v>0</v>
      </c>
      <c r="E2426" s="17">
        <v>42150</v>
      </c>
      <c r="F2426" s="18">
        <v>0.69237268518518524</v>
      </c>
      <c r="G2426" s="22">
        <v>208.19</v>
      </c>
      <c r="H2426">
        <v>0</v>
      </c>
      <c r="I2426" s="19" t="e">
        <f>I2425 + (D2426-G2426)</f>
        <v>#VALUE!</v>
      </c>
      <c r="M2426">
        <v>58532</v>
      </c>
      <c r="N2426">
        <v>24</v>
      </c>
      <c r="O2426" t="s">
        <v>68</v>
      </c>
      <c r="P2426">
        <v>1</v>
      </c>
      <c r="R2426">
        <v>1443</v>
      </c>
      <c r="S2426" s="17">
        <v>42151</v>
      </c>
      <c r="T2426" s="17">
        <v>42151</v>
      </c>
      <c r="W2426">
        <v>2015</v>
      </c>
      <c r="X2426">
        <v>24</v>
      </c>
      <c r="AC2426" t="s">
        <v>140</v>
      </c>
      <c r="AD2426" t="s">
        <v>301</v>
      </c>
      <c r="AE2426" t="s">
        <v>46</v>
      </c>
      <c r="AG2426">
        <v>26</v>
      </c>
      <c r="AH2426">
        <v>9</v>
      </c>
      <c r="AI2426" t="s">
        <v>54</v>
      </c>
      <c r="AK2426">
        <v>0</v>
      </c>
      <c r="AM2426">
        <v>0</v>
      </c>
      <c r="AP2426" t="s">
        <v>501</v>
      </c>
    </row>
    <row r="2427" spans="1:42" customFormat="1">
      <c r="A2427">
        <v>272072</v>
      </c>
      <c r="B2427" t="s">
        <v>4990</v>
      </c>
      <c r="C2427" t="s">
        <v>4991</v>
      </c>
      <c r="D2427" s="22">
        <v>0</v>
      </c>
      <c r="E2427" s="17">
        <v>42151</v>
      </c>
      <c r="F2427" s="18">
        <v>0.59527777777777779</v>
      </c>
      <c r="G2427" s="22">
        <v>488.96</v>
      </c>
      <c r="H2427">
        <v>0</v>
      </c>
      <c r="I2427" s="19" t="e">
        <f>I2426 + (D2427-G2427)</f>
        <v>#VALUE!</v>
      </c>
      <c r="M2427">
        <v>110454</v>
      </c>
      <c r="N2427">
        <v>24</v>
      </c>
      <c r="O2427" t="s">
        <v>68</v>
      </c>
      <c r="P2427">
        <v>1</v>
      </c>
      <c r="R2427">
        <v>1566</v>
      </c>
      <c r="S2427" s="17">
        <v>42160</v>
      </c>
      <c r="T2427" s="17">
        <v>42160</v>
      </c>
      <c r="W2427">
        <v>2015</v>
      </c>
      <c r="X2427">
        <v>24</v>
      </c>
      <c r="AC2427" t="s">
        <v>4992</v>
      </c>
      <c r="AD2427" t="s">
        <v>301</v>
      </c>
      <c r="AE2427" t="s">
        <v>46</v>
      </c>
      <c r="AG2427">
        <v>2</v>
      </c>
      <c r="AH2427">
        <v>9</v>
      </c>
      <c r="AI2427" t="s">
        <v>54</v>
      </c>
      <c r="AK2427">
        <v>0</v>
      </c>
      <c r="AM2427">
        <v>0</v>
      </c>
      <c r="AP2427" t="s">
        <v>2544</v>
      </c>
    </row>
    <row r="2428" spans="1:42" customFormat="1">
      <c r="A2428">
        <v>271402</v>
      </c>
      <c r="B2428" t="s">
        <v>4712</v>
      </c>
      <c r="C2428" t="s">
        <v>4713</v>
      </c>
      <c r="D2428" s="22">
        <v>0</v>
      </c>
      <c r="E2428" s="17">
        <v>42150</v>
      </c>
      <c r="F2428" s="18">
        <v>0.38215277777777779</v>
      </c>
      <c r="G2428" s="22">
        <v>207.68</v>
      </c>
      <c r="H2428">
        <v>0</v>
      </c>
      <c r="I2428" s="19" t="e">
        <f>I2427 + (D2428-G2428)</f>
        <v>#VALUE!</v>
      </c>
      <c r="M2428">
        <v>124252</v>
      </c>
      <c r="N2428">
        <v>24</v>
      </c>
      <c r="O2428" t="s">
        <v>68</v>
      </c>
      <c r="P2428">
        <v>1</v>
      </c>
      <c r="R2428">
        <v>1399</v>
      </c>
      <c r="S2428" s="17">
        <v>42152</v>
      </c>
      <c r="T2428" s="17">
        <v>42152</v>
      </c>
      <c r="W2428">
        <v>2015</v>
      </c>
      <c r="X2428">
        <v>24</v>
      </c>
      <c r="AC2428" t="s">
        <v>4714</v>
      </c>
      <c r="AD2428" t="s">
        <v>301</v>
      </c>
      <c r="AE2428" t="s">
        <v>46</v>
      </c>
      <c r="AG2428">
        <v>8</v>
      </c>
      <c r="AH2428">
        <v>9</v>
      </c>
      <c r="AI2428" t="s">
        <v>54</v>
      </c>
      <c r="AK2428">
        <v>0</v>
      </c>
      <c r="AM2428">
        <v>0</v>
      </c>
      <c r="AP2428" t="s">
        <v>1201</v>
      </c>
    </row>
    <row r="2429" spans="1:42" customFormat="1">
      <c r="A2429">
        <v>269731</v>
      </c>
      <c r="B2429" t="s">
        <v>1648</v>
      </c>
      <c r="C2429" t="s">
        <v>1649</v>
      </c>
      <c r="D2429" s="22">
        <v>0</v>
      </c>
      <c r="E2429" s="17">
        <v>42130</v>
      </c>
      <c r="F2429" s="18">
        <v>0.40944444444444444</v>
      </c>
      <c r="G2429" s="22">
        <v>236.82</v>
      </c>
      <c r="H2429">
        <v>0</v>
      </c>
      <c r="I2429" s="19" t="e">
        <f>I2428 + (D2429-G2429)</f>
        <v>#VALUE!</v>
      </c>
      <c r="M2429">
        <v>111431</v>
      </c>
      <c r="N2429">
        <v>24</v>
      </c>
      <c r="O2429" t="s">
        <v>68</v>
      </c>
      <c r="P2429">
        <v>1</v>
      </c>
      <c r="R2429">
        <v>1476</v>
      </c>
      <c r="S2429" s="17">
        <v>42137</v>
      </c>
      <c r="T2429" s="17">
        <v>42137</v>
      </c>
      <c r="W2429">
        <v>2015</v>
      </c>
      <c r="X2429">
        <v>24</v>
      </c>
      <c r="AC2429" t="s">
        <v>174</v>
      </c>
      <c r="AD2429" t="s">
        <v>301</v>
      </c>
      <c r="AE2429" t="s">
        <v>46</v>
      </c>
      <c r="AG2429">
        <v>4</v>
      </c>
      <c r="AH2429">
        <v>9</v>
      </c>
      <c r="AI2429" t="s">
        <v>54</v>
      </c>
      <c r="AK2429">
        <v>0</v>
      </c>
      <c r="AM2429">
        <v>0</v>
      </c>
      <c r="AP2429" t="s">
        <v>389</v>
      </c>
    </row>
    <row r="2430" spans="1:42" customFormat="1">
      <c r="A2430">
        <v>267680</v>
      </c>
      <c r="B2430" t="s">
        <v>1247</v>
      </c>
      <c r="C2430" t="s">
        <v>1248</v>
      </c>
      <c r="D2430" s="22">
        <v>0</v>
      </c>
      <c r="E2430" s="17">
        <v>42128</v>
      </c>
      <c r="F2430" s="18">
        <v>0.75430555555555545</v>
      </c>
      <c r="G2430" s="22">
        <v>1763.75</v>
      </c>
      <c r="H2430">
        <v>0</v>
      </c>
      <c r="I2430" s="19" t="e">
        <f>I2429 + (D2430-G2430)</f>
        <v>#VALUE!</v>
      </c>
      <c r="M2430">
        <v>120653</v>
      </c>
      <c r="N2430">
        <v>24</v>
      </c>
      <c r="O2430" t="s">
        <v>68</v>
      </c>
      <c r="P2430">
        <v>1</v>
      </c>
      <c r="R2430">
        <v>1444</v>
      </c>
      <c r="S2430" s="17">
        <v>42129</v>
      </c>
      <c r="T2430" s="17">
        <v>42129</v>
      </c>
      <c r="W2430">
        <v>2015</v>
      </c>
      <c r="X2430">
        <v>24</v>
      </c>
      <c r="AC2430" t="s">
        <v>99</v>
      </c>
      <c r="AD2430" t="s">
        <v>301</v>
      </c>
      <c r="AE2430" t="s">
        <v>46</v>
      </c>
      <c r="AG2430">
        <v>26</v>
      </c>
      <c r="AH2430">
        <v>9</v>
      </c>
      <c r="AI2430" t="s">
        <v>54</v>
      </c>
      <c r="AK2430">
        <v>0</v>
      </c>
      <c r="AM2430">
        <v>0</v>
      </c>
      <c r="AP2430" t="s">
        <v>501</v>
      </c>
    </row>
    <row r="2431" spans="1:42" customFormat="1">
      <c r="A2431">
        <v>271398</v>
      </c>
      <c r="B2431" t="s">
        <v>4683</v>
      </c>
      <c r="C2431" t="s">
        <v>4684</v>
      </c>
      <c r="D2431" s="22">
        <v>0</v>
      </c>
      <c r="E2431" s="17">
        <v>42150</v>
      </c>
      <c r="F2431" s="18">
        <v>0.37234953703703705</v>
      </c>
      <c r="G2431" s="22">
        <v>252.26</v>
      </c>
      <c r="H2431">
        <v>0</v>
      </c>
      <c r="I2431" s="19" t="e">
        <f>I2430 + (D2431-G2431)</f>
        <v>#VALUE!</v>
      </c>
      <c r="M2431">
        <v>122151</v>
      </c>
      <c r="N2431">
        <v>24</v>
      </c>
      <c r="O2431" t="s">
        <v>68</v>
      </c>
      <c r="P2431">
        <v>1</v>
      </c>
      <c r="R2431">
        <v>1398</v>
      </c>
      <c r="S2431" s="17">
        <v>42152</v>
      </c>
      <c r="T2431" s="17">
        <v>42152</v>
      </c>
      <c r="W2431">
        <v>2015</v>
      </c>
      <c r="X2431">
        <v>24</v>
      </c>
      <c r="AC2431" t="s">
        <v>212</v>
      </c>
      <c r="AD2431" t="s">
        <v>301</v>
      </c>
      <c r="AE2431" t="s">
        <v>46</v>
      </c>
      <c r="AG2431">
        <v>26</v>
      </c>
      <c r="AH2431">
        <v>9</v>
      </c>
      <c r="AI2431" t="s">
        <v>54</v>
      </c>
      <c r="AK2431">
        <v>0</v>
      </c>
      <c r="AM2431">
        <v>0</v>
      </c>
      <c r="AP2431" t="s">
        <v>501</v>
      </c>
    </row>
    <row r="2432" spans="1:42" customFormat="1">
      <c r="A2432">
        <v>271414</v>
      </c>
      <c r="B2432" t="s">
        <v>4729</v>
      </c>
      <c r="C2432" t="s">
        <v>4730</v>
      </c>
      <c r="D2432" s="22">
        <v>0</v>
      </c>
      <c r="E2432" s="17">
        <v>42150</v>
      </c>
      <c r="F2432" s="18">
        <v>0.39067129629629632</v>
      </c>
      <c r="G2432" s="22">
        <v>375.8</v>
      </c>
      <c r="H2432">
        <v>0</v>
      </c>
      <c r="I2432" s="19" t="e">
        <f>I2431 + (D2432-G2432)</f>
        <v>#VALUE!</v>
      </c>
      <c r="M2432">
        <v>122150</v>
      </c>
      <c r="N2432">
        <v>24</v>
      </c>
      <c r="O2432" t="s">
        <v>68</v>
      </c>
      <c r="P2432">
        <v>1</v>
      </c>
      <c r="R2432">
        <v>1398</v>
      </c>
      <c r="S2432" s="17">
        <v>42152</v>
      </c>
      <c r="T2432" s="17">
        <v>42152</v>
      </c>
      <c r="W2432">
        <v>2015</v>
      </c>
      <c r="X2432">
        <v>24</v>
      </c>
      <c r="AC2432" t="s">
        <v>212</v>
      </c>
      <c r="AD2432" t="s">
        <v>301</v>
      </c>
      <c r="AE2432" t="s">
        <v>46</v>
      </c>
      <c r="AG2432">
        <v>26</v>
      </c>
      <c r="AH2432">
        <v>9</v>
      </c>
      <c r="AI2432" t="s">
        <v>54</v>
      </c>
      <c r="AK2432">
        <v>0</v>
      </c>
      <c r="AM2432">
        <v>0</v>
      </c>
      <c r="AP2432" t="s">
        <v>501</v>
      </c>
    </row>
    <row r="2433" spans="1:42" customFormat="1">
      <c r="A2433">
        <v>271530</v>
      </c>
      <c r="B2433" t="s">
        <v>5219</v>
      </c>
      <c r="C2433" t="s">
        <v>5220</v>
      </c>
      <c r="D2433" s="22">
        <v>0</v>
      </c>
      <c r="E2433" s="17">
        <v>42153</v>
      </c>
      <c r="F2433" s="18">
        <v>0.39223379629629629</v>
      </c>
      <c r="G2433" s="22">
        <v>918.44</v>
      </c>
      <c r="H2433">
        <v>0</v>
      </c>
      <c r="I2433" s="19" t="e">
        <f>I2432 + (D2433-G2433)</f>
        <v>#VALUE!</v>
      </c>
      <c r="M2433">
        <v>114137</v>
      </c>
      <c r="N2433">
        <v>24</v>
      </c>
      <c r="O2433" t="s">
        <v>68</v>
      </c>
      <c r="P2433">
        <v>1</v>
      </c>
      <c r="R2433">
        <v>1636</v>
      </c>
      <c r="S2433" s="17">
        <v>42157</v>
      </c>
      <c r="T2433" s="17">
        <v>42157</v>
      </c>
      <c r="W2433">
        <v>2015</v>
      </c>
      <c r="X2433">
        <v>24</v>
      </c>
      <c r="AC2433" t="s">
        <v>5221</v>
      </c>
      <c r="AD2433" t="s">
        <v>301</v>
      </c>
      <c r="AE2433" t="s">
        <v>46</v>
      </c>
      <c r="AG2433">
        <v>4</v>
      </c>
      <c r="AH2433">
        <v>9</v>
      </c>
      <c r="AI2433" t="s">
        <v>54</v>
      </c>
      <c r="AK2433">
        <v>0</v>
      </c>
      <c r="AM2433">
        <v>0</v>
      </c>
      <c r="AP2433" t="s">
        <v>389</v>
      </c>
    </row>
    <row r="2434" spans="1:42" customFormat="1">
      <c r="A2434">
        <v>267689</v>
      </c>
      <c r="B2434" t="s">
        <v>1264</v>
      </c>
      <c r="C2434" t="s">
        <v>1265</v>
      </c>
      <c r="D2434" s="22">
        <v>0</v>
      </c>
      <c r="E2434" s="17">
        <v>42128</v>
      </c>
      <c r="F2434" s="18">
        <v>0.75790509259259264</v>
      </c>
      <c r="G2434" s="22">
        <v>111.2</v>
      </c>
      <c r="H2434">
        <v>0</v>
      </c>
      <c r="I2434" s="19" t="e">
        <f>I2433 + (D2434-G2434)</f>
        <v>#VALUE!</v>
      </c>
      <c r="M2434">
        <v>118062</v>
      </c>
      <c r="N2434">
        <v>24</v>
      </c>
      <c r="O2434" t="s">
        <v>68</v>
      </c>
      <c r="P2434">
        <v>1</v>
      </c>
      <c r="R2434">
        <v>1407</v>
      </c>
      <c r="S2434" s="17">
        <v>42129</v>
      </c>
      <c r="T2434" s="17">
        <v>42129</v>
      </c>
      <c r="W2434">
        <v>2015</v>
      </c>
      <c r="X2434">
        <v>24</v>
      </c>
      <c r="AC2434" t="s">
        <v>1266</v>
      </c>
      <c r="AD2434" t="s">
        <v>301</v>
      </c>
      <c r="AE2434" t="s">
        <v>46</v>
      </c>
      <c r="AG2434">
        <v>26</v>
      </c>
      <c r="AH2434">
        <v>9</v>
      </c>
      <c r="AI2434" t="s">
        <v>54</v>
      </c>
      <c r="AK2434">
        <v>0</v>
      </c>
      <c r="AM2434">
        <v>0</v>
      </c>
      <c r="AP2434" t="s">
        <v>501</v>
      </c>
    </row>
    <row r="2435" spans="1:42" customFormat="1">
      <c r="A2435">
        <v>270691</v>
      </c>
      <c r="B2435" t="s">
        <v>3821</v>
      </c>
      <c r="C2435" t="s">
        <v>3822</v>
      </c>
      <c r="D2435" s="22">
        <v>0</v>
      </c>
      <c r="E2435" s="17">
        <v>42144</v>
      </c>
      <c r="F2435" s="18">
        <v>0.37761574074074072</v>
      </c>
      <c r="G2435" s="22">
        <v>1148.31</v>
      </c>
      <c r="H2435">
        <v>0</v>
      </c>
      <c r="I2435" s="19" t="e">
        <f>I2434 + (D2435-G2435)</f>
        <v>#VALUE!</v>
      </c>
      <c r="M2435">
        <v>110375</v>
      </c>
      <c r="N2435">
        <v>24</v>
      </c>
      <c r="O2435" t="s">
        <v>68</v>
      </c>
      <c r="P2435">
        <v>1</v>
      </c>
      <c r="R2435">
        <v>1429</v>
      </c>
      <c r="S2435" s="17">
        <v>42146</v>
      </c>
      <c r="T2435" s="17">
        <v>42146</v>
      </c>
      <c r="W2435">
        <v>2015</v>
      </c>
      <c r="X2435">
        <v>24</v>
      </c>
      <c r="AC2435" t="s">
        <v>244</v>
      </c>
      <c r="AD2435" t="s">
        <v>301</v>
      </c>
      <c r="AE2435" t="s">
        <v>46</v>
      </c>
      <c r="AG2435">
        <v>4</v>
      </c>
      <c r="AH2435">
        <v>9</v>
      </c>
      <c r="AI2435" t="s">
        <v>54</v>
      </c>
      <c r="AK2435">
        <v>0</v>
      </c>
      <c r="AM2435">
        <v>0</v>
      </c>
      <c r="AP2435" t="s">
        <v>389</v>
      </c>
    </row>
    <row r="2436" spans="1:42" customFormat="1">
      <c r="A2436">
        <v>271519</v>
      </c>
      <c r="B2436" t="s">
        <v>4930</v>
      </c>
      <c r="C2436" t="s">
        <v>4931</v>
      </c>
      <c r="D2436" s="22">
        <v>0</v>
      </c>
      <c r="E2436" s="17">
        <v>42150</v>
      </c>
      <c r="F2436" s="18">
        <v>0.7102546296296296</v>
      </c>
      <c r="G2436" s="22">
        <v>2307.54</v>
      </c>
      <c r="H2436">
        <v>0</v>
      </c>
      <c r="I2436" s="19" t="e">
        <f>I2435 + (D2436-G2436)</f>
        <v>#VALUE!</v>
      </c>
      <c r="M2436">
        <v>111590</v>
      </c>
      <c r="N2436">
        <v>24</v>
      </c>
      <c r="O2436" t="s">
        <v>68</v>
      </c>
      <c r="P2436">
        <v>1</v>
      </c>
      <c r="R2436">
        <v>1429</v>
      </c>
      <c r="S2436" s="17">
        <v>42156</v>
      </c>
      <c r="T2436" s="17">
        <v>42156</v>
      </c>
      <c r="W2436">
        <v>2015</v>
      </c>
      <c r="X2436">
        <v>24</v>
      </c>
      <c r="AC2436" t="s">
        <v>244</v>
      </c>
      <c r="AD2436" t="s">
        <v>301</v>
      </c>
      <c r="AE2436" t="s">
        <v>46</v>
      </c>
      <c r="AG2436">
        <v>8</v>
      </c>
      <c r="AH2436">
        <v>9</v>
      </c>
      <c r="AI2436" t="s">
        <v>54</v>
      </c>
      <c r="AK2436">
        <v>0</v>
      </c>
      <c r="AM2436">
        <v>0</v>
      </c>
      <c r="AP2436" t="s">
        <v>1201</v>
      </c>
    </row>
    <row r="2437" spans="1:42" customFormat="1">
      <c r="A2437">
        <v>271408</v>
      </c>
      <c r="B2437" t="s">
        <v>4511</v>
      </c>
      <c r="C2437" t="s">
        <v>4512</v>
      </c>
      <c r="D2437" s="22">
        <v>0</v>
      </c>
      <c r="E2437" s="17">
        <v>42149</v>
      </c>
      <c r="F2437" s="18">
        <v>0.38500000000000001</v>
      </c>
      <c r="G2437" s="22">
        <v>3451.04</v>
      </c>
      <c r="H2437">
        <v>0</v>
      </c>
      <c r="I2437" s="19" t="e">
        <f>I2436 + (D2437-G2437)</f>
        <v>#VALUE!</v>
      </c>
      <c r="M2437">
        <v>110981</v>
      </c>
      <c r="N2437">
        <v>24</v>
      </c>
      <c r="O2437" t="s">
        <v>68</v>
      </c>
      <c r="P2437">
        <v>1</v>
      </c>
      <c r="R2437">
        <v>1397</v>
      </c>
      <c r="S2437" s="17">
        <v>42152</v>
      </c>
      <c r="T2437" s="17">
        <v>42152</v>
      </c>
      <c r="W2437">
        <v>2015</v>
      </c>
      <c r="X2437">
        <v>24</v>
      </c>
      <c r="AC2437" t="s">
        <v>225</v>
      </c>
      <c r="AD2437" t="s">
        <v>301</v>
      </c>
      <c r="AE2437" t="s">
        <v>46</v>
      </c>
      <c r="AG2437">
        <v>56</v>
      </c>
      <c r="AH2437">
        <v>1</v>
      </c>
      <c r="AI2437" t="s">
        <v>58</v>
      </c>
      <c r="AK2437">
        <v>0</v>
      </c>
      <c r="AM2437">
        <v>0</v>
      </c>
      <c r="AP2437" t="s">
        <v>59</v>
      </c>
    </row>
    <row r="2438" spans="1:42" customFormat="1">
      <c r="A2438">
        <v>271422</v>
      </c>
      <c r="B2438" t="s">
        <v>4738</v>
      </c>
      <c r="C2438" t="s">
        <v>4739</v>
      </c>
      <c r="D2438" s="22">
        <v>0</v>
      </c>
      <c r="E2438" s="17">
        <v>42150</v>
      </c>
      <c r="F2438" s="18">
        <v>0.40087962962962959</v>
      </c>
      <c r="G2438" s="22">
        <v>774</v>
      </c>
      <c r="H2438">
        <v>0</v>
      </c>
      <c r="I2438" s="19" t="e">
        <f>I2437 + (D2438-G2438)</f>
        <v>#VALUE!</v>
      </c>
      <c r="M2438">
        <v>124273</v>
      </c>
      <c r="N2438">
        <v>24</v>
      </c>
      <c r="O2438" t="s">
        <v>68</v>
      </c>
      <c r="P2438">
        <v>2</v>
      </c>
      <c r="R2438">
        <v>1521</v>
      </c>
      <c r="S2438" s="17">
        <v>42152</v>
      </c>
      <c r="T2438" s="17">
        <v>42152</v>
      </c>
      <c r="W2438">
        <v>2015</v>
      </c>
      <c r="X2438">
        <v>24</v>
      </c>
      <c r="AC2438" t="s">
        <v>171</v>
      </c>
      <c r="AD2438" t="s">
        <v>301</v>
      </c>
      <c r="AE2438" t="s">
        <v>46</v>
      </c>
      <c r="AG2438">
        <v>56</v>
      </c>
      <c r="AH2438">
        <v>1</v>
      </c>
      <c r="AI2438" t="s">
        <v>58</v>
      </c>
      <c r="AK2438">
        <v>0</v>
      </c>
      <c r="AM2438">
        <v>0</v>
      </c>
      <c r="AP2438" t="s">
        <v>59</v>
      </c>
    </row>
    <row r="2439" spans="1:42" customFormat="1">
      <c r="A2439">
        <v>268598</v>
      </c>
      <c r="B2439" t="s">
        <v>1597</v>
      </c>
      <c r="C2439" t="s">
        <v>1598</v>
      </c>
      <c r="D2439" s="22">
        <v>0</v>
      </c>
      <c r="E2439" s="17">
        <v>42129</v>
      </c>
      <c r="F2439" s="18">
        <v>0.7102546296296296</v>
      </c>
      <c r="G2439" s="22">
        <v>1051</v>
      </c>
      <c r="H2439">
        <v>0</v>
      </c>
      <c r="I2439" s="19" t="e">
        <f>I2438 + (D2439-G2439)</f>
        <v>#VALUE!</v>
      </c>
      <c r="M2439">
        <v>122865</v>
      </c>
      <c r="N2439">
        <v>60</v>
      </c>
      <c r="O2439" t="s">
        <v>60</v>
      </c>
      <c r="P2439">
        <v>1</v>
      </c>
      <c r="R2439">
        <v>1579</v>
      </c>
      <c r="S2439" s="17">
        <v>42130</v>
      </c>
      <c r="T2439" s="17">
        <v>42130</v>
      </c>
      <c r="W2439">
        <v>2015</v>
      </c>
      <c r="X2439">
        <v>60</v>
      </c>
      <c r="AC2439" t="s">
        <v>94</v>
      </c>
      <c r="AD2439" t="s">
        <v>302</v>
      </c>
      <c r="AE2439" t="s">
        <v>46</v>
      </c>
      <c r="AG2439">
        <v>52</v>
      </c>
      <c r="AH2439">
        <v>11</v>
      </c>
      <c r="AI2439" t="s">
        <v>47</v>
      </c>
      <c r="AK2439">
        <v>0</v>
      </c>
      <c r="AM2439">
        <v>0</v>
      </c>
      <c r="AP2439" t="s">
        <v>325</v>
      </c>
    </row>
    <row r="2440" spans="1:42" customFormat="1">
      <c r="A2440">
        <v>268599</v>
      </c>
      <c r="B2440" t="s">
        <v>1599</v>
      </c>
      <c r="C2440" t="s">
        <v>1600</v>
      </c>
      <c r="D2440" s="22">
        <v>0</v>
      </c>
      <c r="E2440" s="17">
        <v>42129</v>
      </c>
      <c r="F2440" s="18">
        <v>0.7102546296296296</v>
      </c>
      <c r="G2440" s="22">
        <v>1051</v>
      </c>
      <c r="H2440">
        <v>0</v>
      </c>
      <c r="I2440" s="19" t="e">
        <f>I2439 + (D2440-G2440)</f>
        <v>#VALUE!</v>
      </c>
      <c r="M2440">
        <v>122866</v>
      </c>
      <c r="N2440">
        <v>60</v>
      </c>
      <c r="O2440" t="s">
        <v>60</v>
      </c>
      <c r="P2440">
        <v>1</v>
      </c>
      <c r="R2440">
        <v>1579</v>
      </c>
      <c r="S2440" s="17">
        <v>42130</v>
      </c>
      <c r="T2440" s="17">
        <v>42130</v>
      </c>
      <c r="W2440">
        <v>2015</v>
      </c>
      <c r="X2440">
        <v>60</v>
      </c>
      <c r="AC2440" t="s">
        <v>94</v>
      </c>
      <c r="AD2440" t="s">
        <v>302</v>
      </c>
      <c r="AE2440" t="s">
        <v>46</v>
      </c>
      <c r="AG2440">
        <v>52</v>
      </c>
      <c r="AH2440">
        <v>11</v>
      </c>
      <c r="AI2440" t="s">
        <v>47</v>
      </c>
      <c r="AK2440">
        <v>0</v>
      </c>
      <c r="AM2440">
        <v>0</v>
      </c>
      <c r="AP2440" t="s">
        <v>325</v>
      </c>
    </row>
    <row r="2441" spans="1:42" customFormat="1">
      <c r="A2441">
        <v>269419</v>
      </c>
      <c r="B2441" t="s">
        <v>1665</v>
      </c>
      <c r="C2441" t="s">
        <v>1666</v>
      </c>
      <c r="D2441" s="22">
        <v>0</v>
      </c>
      <c r="E2441" s="17">
        <v>42130</v>
      </c>
      <c r="F2441" s="18">
        <v>0.41763888888888889</v>
      </c>
      <c r="G2441" s="22">
        <v>1111</v>
      </c>
      <c r="H2441">
        <v>0</v>
      </c>
      <c r="I2441" s="19" t="e">
        <f>I2440 + (D2441-G2441)</f>
        <v>#VALUE!</v>
      </c>
      <c r="M2441">
        <v>123120</v>
      </c>
      <c r="N2441">
        <v>24</v>
      </c>
      <c r="O2441" t="s">
        <v>68</v>
      </c>
      <c r="P2441">
        <v>1</v>
      </c>
      <c r="R2441">
        <v>1579</v>
      </c>
      <c r="S2441" s="17">
        <v>42136</v>
      </c>
      <c r="T2441" s="17">
        <v>42136</v>
      </c>
      <c r="W2441">
        <v>2015</v>
      </c>
      <c r="X2441">
        <v>24</v>
      </c>
      <c r="AC2441" t="s">
        <v>94</v>
      </c>
      <c r="AD2441" t="s">
        <v>302</v>
      </c>
      <c r="AE2441" t="s">
        <v>46</v>
      </c>
      <c r="AG2441">
        <v>52</v>
      </c>
      <c r="AH2441">
        <v>10</v>
      </c>
      <c r="AI2441" t="s">
        <v>95</v>
      </c>
      <c r="AK2441">
        <v>0</v>
      </c>
      <c r="AM2441">
        <v>0</v>
      </c>
      <c r="AP2441" t="s">
        <v>325</v>
      </c>
    </row>
    <row r="2442" spans="1:42" customFormat="1">
      <c r="A2442">
        <v>269420</v>
      </c>
      <c r="B2442" t="s">
        <v>1667</v>
      </c>
      <c r="C2442" t="s">
        <v>1668</v>
      </c>
      <c r="D2442" s="22">
        <v>0</v>
      </c>
      <c r="E2442" s="17">
        <v>42130</v>
      </c>
      <c r="F2442" s="18">
        <v>0.41763888888888889</v>
      </c>
      <c r="G2442" s="22">
        <v>1051</v>
      </c>
      <c r="H2442">
        <v>0</v>
      </c>
      <c r="I2442" s="19" t="e">
        <f>I2441 + (D2442-G2442)</f>
        <v>#VALUE!</v>
      </c>
      <c r="M2442">
        <v>123121</v>
      </c>
      <c r="N2442">
        <v>24</v>
      </c>
      <c r="O2442" t="s">
        <v>68</v>
      </c>
      <c r="P2442">
        <v>1</v>
      </c>
      <c r="R2442">
        <v>1579</v>
      </c>
      <c r="S2442" s="17">
        <v>42136</v>
      </c>
      <c r="T2442" s="17">
        <v>42136</v>
      </c>
      <c r="W2442">
        <v>2015</v>
      </c>
      <c r="X2442">
        <v>24</v>
      </c>
      <c r="AC2442" t="s">
        <v>94</v>
      </c>
      <c r="AD2442" t="s">
        <v>302</v>
      </c>
      <c r="AE2442" t="s">
        <v>46</v>
      </c>
      <c r="AG2442">
        <v>52</v>
      </c>
      <c r="AH2442">
        <v>10</v>
      </c>
      <c r="AI2442" t="s">
        <v>95</v>
      </c>
      <c r="AK2442">
        <v>0</v>
      </c>
      <c r="AM2442">
        <v>0</v>
      </c>
      <c r="AP2442" t="s">
        <v>325</v>
      </c>
    </row>
    <row r="2443" spans="1:42" customFormat="1">
      <c r="A2443">
        <v>269451</v>
      </c>
      <c r="B2443" t="s">
        <v>1976</v>
      </c>
      <c r="C2443" t="s">
        <v>1977</v>
      </c>
      <c r="D2443" s="22">
        <v>0</v>
      </c>
      <c r="E2443" s="17">
        <v>42131</v>
      </c>
      <c r="F2443" s="18">
        <v>0.42774305555555553</v>
      </c>
      <c r="G2443" s="22">
        <v>1051</v>
      </c>
      <c r="H2443">
        <v>0</v>
      </c>
      <c r="I2443" s="19" t="e">
        <f>I2442 + (D2443-G2443)</f>
        <v>#VALUE!</v>
      </c>
      <c r="M2443">
        <v>123143</v>
      </c>
      <c r="N2443">
        <v>24</v>
      </c>
      <c r="O2443" t="s">
        <v>68</v>
      </c>
      <c r="P2443">
        <v>1</v>
      </c>
      <c r="R2443">
        <v>1579</v>
      </c>
      <c r="S2443" s="17">
        <v>42136</v>
      </c>
      <c r="T2443" s="17">
        <v>42136</v>
      </c>
      <c r="W2443">
        <v>2015</v>
      </c>
      <c r="X2443">
        <v>24</v>
      </c>
      <c r="AC2443" t="s">
        <v>94</v>
      </c>
      <c r="AD2443" t="s">
        <v>302</v>
      </c>
      <c r="AE2443" t="s">
        <v>46</v>
      </c>
      <c r="AG2443">
        <v>52</v>
      </c>
      <c r="AH2443">
        <v>10</v>
      </c>
      <c r="AI2443" t="s">
        <v>95</v>
      </c>
      <c r="AK2443">
        <v>0</v>
      </c>
      <c r="AM2443">
        <v>0</v>
      </c>
      <c r="AP2443" t="s">
        <v>325</v>
      </c>
    </row>
    <row r="2444" spans="1:42" customFormat="1">
      <c r="A2444">
        <v>269500</v>
      </c>
      <c r="B2444" t="s">
        <v>2180</v>
      </c>
      <c r="C2444" t="s">
        <v>2181</v>
      </c>
      <c r="D2444" s="22">
        <v>0</v>
      </c>
      <c r="E2444" s="17">
        <v>42132</v>
      </c>
      <c r="F2444" s="18">
        <v>0.4468287037037037</v>
      </c>
      <c r="G2444" s="22">
        <v>1111</v>
      </c>
      <c r="H2444">
        <v>0</v>
      </c>
      <c r="I2444" s="19" t="e">
        <f>I2443 + (D2444-G2444)</f>
        <v>#VALUE!</v>
      </c>
      <c r="M2444">
        <v>123170</v>
      </c>
      <c r="N2444">
        <v>24</v>
      </c>
      <c r="O2444" t="s">
        <v>68</v>
      </c>
      <c r="P2444">
        <v>1</v>
      </c>
      <c r="R2444">
        <v>1579</v>
      </c>
      <c r="S2444" s="17">
        <v>42136</v>
      </c>
      <c r="T2444" s="17">
        <v>42136</v>
      </c>
      <c r="W2444">
        <v>2015</v>
      </c>
      <c r="X2444">
        <v>24</v>
      </c>
      <c r="AC2444" t="s">
        <v>94</v>
      </c>
      <c r="AD2444" t="s">
        <v>302</v>
      </c>
      <c r="AE2444" t="s">
        <v>46</v>
      </c>
      <c r="AG2444">
        <v>52</v>
      </c>
      <c r="AH2444">
        <v>10</v>
      </c>
      <c r="AI2444" t="s">
        <v>95</v>
      </c>
      <c r="AK2444">
        <v>0</v>
      </c>
      <c r="AM2444">
        <v>0</v>
      </c>
      <c r="AP2444" t="s">
        <v>325</v>
      </c>
    </row>
    <row r="2445" spans="1:42" customFormat="1">
      <c r="A2445">
        <v>270115</v>
      </c>
      <c r="B2445" t="s">
        <v>2827</v>
      </c>
      <c r="C2445" t="s">
        <v>2828</v>
      </c>
      <c r="D2445" s="22">
        <v>0</v>
      </c>
      <c r="E2445" s="17">
        <v>42135</v>
      </c>
      <c r="F2445" s="18">
        <v>0.69900462962962961</v>
      </c>
      <c r="G2445" s="22">
        <v>1051</v>
      </c>
      <c r="H2445">
        <v>0</v>
      </c>
      <c r="I2445" s="19" t="e">
        <f>I2444 + (D2445-G2445)</f>
        <v>#VALUE!</v>
      </c>
      <c r="M2445">
        <v>123479</v>
      </c>
      <c r="N2445">
        <v>24</v>
      </c>
      <c r="O2445" t="s">
        <v>68</v>
      </c>
      <c r="P2445">
        <v>1</v>
      </c>
      <c r="R2445">
        <v>1579</v>
      </c>
      <c r="S2445" s="17">
        <v>42139</v>
      </c>
      <c r="T2445" s="17">
        <v>42139</v>
      </c>
      <c r="W2445">
        <v>2015</v>
      </c>
      <c r="X2445">
        <v>24</v>
      </c>
      <c r="AC2445" t="s">
        <v>94</v>
      </c>
      <c r="AD2445" t="s">
        <v>302</v>
      </c>
      <c r="AE2445" t="s">
        <v>46</v>
      </c>
      <c r="AG2445">
        <v>52</v>
      </c>
      <c r="AH2445">
        <v>10</v>
      </c>
      <c r="AI2445" t="s">
        <v>95</v>
      </c>
      <c r="AK2445">
        <v>0</v>
      </c>
      <c r="AM2445">
        <v>0</v>
      </c>
      <c r="AP2445" t="s">
        <v>325</v>
      </c>
    </row>
    <row r="2446" spans="1:42" customFormat="1">
      <c r="A2446">
        <v>270462</v>
      </c>
      <c r="B2446" t="s">
        <v>3230</v>
      </c>
      <c r="C2446" t="s">
        <v>3231</v>
      </c>
      <c r="D2446" s="22">
        <v>0</v>
      </c>
      <c r="E2446" s="17">
        <v>42139</v>
      </c>
      <c r="F2446" s="18">
        <v>0.38327546296296294</v>
      </c>
      <c r="G2446" s="22">
        <v>1127.3599999999999</v>
      </c>
      <c r="H2446">
        <v>0</v>
      </c>
      <c r="I2446" s="19" t="e">
        <f>I2445 + (D2446-G2446)</f>
        <v>#VALUE!</v>
      </c>
      <c r="M2446">
        <v>123671</v>
      </c>
      <c r="N2446">
        <v>24</v>
      </c>
      <c r="O2446" t="s">
        <v>68</v>
      </c>
      <c r="P2446">
        <v>1</v>
      </c>
      <c r="R2446">
        <v>1579</v>
      </c>
      <c r="S2446" s="17">
        <v>42145</v>
      </c>
      <c r="T2446" s="17">
        <v>42145</v>
      </c>
      <c r="W2446">
        <v>2015</v>
      </c>
      <c r="X2446">
        <v>24</v>
      </c>
      <c r="AC2446" t="s">
        <v>94</v>
      </c>
      <c r="AD2446" t="s">
        <v>302</v>
      </c>
      <c r="AE2446" t="s">
        <v>46</v>
      </c>
      <c r="AG2446">
        <v>52</v>
      </c>
      <c r="AH2446">
        <v>10</v>
      </c>
      <c r="AI2446" t="s">
        <v>95</v>
      </c>
      <c r="AK2446">
        <v>0</v>
      </c>
      <c r="AM2446">
        <v>0</v>
      </c>
      <c r="AP2446" t="s">
        <v>325</v>
      </c>
    </row>
    <row r="2447" spans="1:42" customFormat="1">
      <c r="A2447">
        <v>270463</v>
      </c>
      <c r="B2447" t="s">
        <v>3232</v>
      </c>
      <c r="C2447" t="s">
        <v>3233</v>
      </c>
      <c r="D2447" s="22">
        <v>0</v>
      </c>
      <c r="E2447" s="17">
        <v>42139</v>
      </c>
      <c r="F2447" s="18">
        <v>0.38327546296296294</v>
      </c>
      <c r="G2447" s="22">
        <v>1127.3599999999999</v>
      </c>
      <c r="H2447">
        <v>0</v>
      </c>
      <c r="I2447" s="19" t="e">
        <f>I2446 + (D2447-G2447)</f>
        <v>#VALUE!</v>
      </c>
      <c r="M2447">
        <v>123681</v>
      </c>
      <c r="N2447">
        <v>24</v>
      </c>
      <c r="O2447" t="s">
        <v>68</v>
      </c>
      <c r="P2447">
        <v>1</v>
      </c>
      <c r="R2447">
        <v>1579</v>
      </c>
      <c r="S2447" s="17">
        <v>42145</v>
      </c>
      <c r="T2447" s="17">
        <v>42145</v>
      </c>
      <c r="W2447">
        <v>2015</v>
      </c>
      <c r="X2447">
        <v>24</v>
      </c>
      <c r="AC2447" t="s">
        <v>94</v>
      </c>
      <c r="AD2447" t="s">
        <v>302</v>
      </c>
      <c r="AE2447" t="s">
        <v>46</v>
      </c>
      <c r="AG2447">
        <v>52</v>
      </c>
      <c r="AH2447">
        <v>10</v>
      </c>
      <c r="AI2447" t="s">
        <v>95</v>
      </c>
      <c r="AK2447">
        <v>0</v>
      </c>
      <c r="AM2447">
        <v>0</v>
      </c>
      <c r="AP2447" t="s">
        <v>325</v>
      </c>
    </row>
    <row r="2448" spans="1:42" customFormat="1">
      <c r="A2448">
        <v>270464</v>
      </c>
      <c r="B2448" t="s">
        <v>3234</v>
      </c>
      <c r="C2448" t="s">
        <v>3235</v>
      </c>
      <c r="D2448" s="22">
        <v>0</v>
      </c>
      <c r="E2448" s="17">
        <v>42139</v>
      </c>
      <c r="F2448" s="18">
        <v>0.38327546296296294</v>
      </c>
      <c r="G2448" s="22">
        <v>1066.46</v>
      </c>
      <c r="H2448">
        <v>0</v>
      </c>
      <c r="I2448" s="19" t="e">
        <f>I2447 + (D2448-G2448)</f>
        <v>#VALUE!</v>
      </c>
      <c r="M2448">
        <v>123662</v>
      </c>
      <c r="N2448">
        <v>24</v>
      </c>
      <c r="O2448" t="s">
        <v>68</v>
      </c>
      <c r="P2448">
        <v>1</v>
      </c>
      <c r="R2448">
        <v>1579</v>
      </c>
      <c r="S2448" s="17">
        <v>42145</v>
      </c>
      <c r="T2448" s="17">
        <v>42145</v>
      </c>
      <c r="W2448">
        <v>2015</v>
      </c>
      <c r="X2448">
        <v>24</v>
      </c>
      <c r="AC2448" t="s">
        <v>94</v>
      </c>
      <c r="AD2448" t="s">
        <v>302</v>
      </c>
      <c r="AE2448" t="s">
        <v>46</v>
      </c>
      <c r="AG2448">
        <v>52</v>
      </c>
      <c r="AH2448">
        <v>10</v>
      </c>
      <c r="AI2448" t="s">
        <v>95</v>
      </c>
      <c r="AK2448">
        <v>0</v>
      </c>
      <c r="AM2448">
        <v>0</v>
      </c>
      <c r="AP2448" t="s">
        <v>325</v>
      </c>
    </row>
    <row r="2449" spans="1:42" customFormat="1">
      <c r="A2449">
        <v>270465</v>
      </c>
      <c r="B2449" t="s">
        <v>3236</v>
      </c>
      <c r="C2449" t="s">
        <v>3237</v>
      </c>
      <c r="D2449" s="22">
        <v>0</v>
      </c>
      <c r="E2449" s="17">
        <v>42139</v>
      </c>
      <c r="F2449" s="18">
        <v>0.38327546296296294</v>
      </c>
      <c r="G2449" s="22">
        <v>1127.3599999999999</v>
      </c>
      <c r="H2449">
        <v>0</v>
      </c>
      <c r="I2449" s="19" t="e">
        <f>I2448 + (D2449-G2449)</f>
        <v>#VALUE!</v>
      </c>
      <c r="M2449">
        <v>123672</v>
      </c>
      <c r="N2449">
        <v>24</v>
      </c>
      <c r="O2449" t="s">
        <v>68</v>
      </c>
      <c r="P2449">
        <v>1</v>
      </c>
      <c r="R2449">
        <v>1579</v>
      </c>
      <c r="S2449" s="17">
        <v>42145</v>
      </c>
      <c r="T2449" s="17">
        <v>42145</v>
      </c>
      <c r="W2449">
        <v>2015</v>
      </c>
      <c r="X2449">
        <v>24</v>
      </c>
      <c r="AC2449" t="s">
        <v>94</v>
      </c>
      <c r="AD2449" t="s">
        <v>302</v>
      </c>
      <c r="AE2449" t="s">
        <v>46</v>
      </c>
      <c r="AG2449">
        <v>52</v>
      </c>
      <c r="AH2449">
        <v>10</v>
      </c>
      <c r="AI2449" t="s">
        <v>95</v>
      </c>
      <c r="AK2449">
        <v>0</v>
      </c>
      <c r="AM2449">
        <v>0</v>
      </c>
      <c r="AP2449" t="s">
        <v>325</v>
      </c>
    </row>
    <row r="2450" spans="1:42" customFormat="1">
      <c r="A2450">
        <v>270466</v>
      </c>
      <c r="B2450" t="s">
        <v>3238</v>
      </c>
      <c r="C2450" t="s">
        <v>3239</v>
      </c>
      <c r="D2450" s="22">
        <v>0</v>
      </c>
      <c r="E2450" s="17">
        <v>42139</v>
      </c>
      <c r="F2450" s="18">
        <v>0.38327546296296294</v>
      </c>
      <c r="G2450" s="22">
        <v>1066.47</v>
      </c>
      <c r="H2450">
        <v>0</v>
      </c>
      <c r="I2450" s="19" t="e">
        <f>I2449 + (D2450-G2450)</f>
        <v>#VALUE!</v>
      </c>
      <c r="M2450">
        <v>123682</v>
      </c>
      <c r="N2450">
        <v>24</v>
      </c>
      <c r="O2450" t="s">
        <v>68</v>
      </c>
      <c r="P2450">
        <v>1</v>
      </c>
      <c r="R2450">
        <v>1579</v>
      </c>
      <c r="S2450" s="17">
        <v>42145</v>
      </c>
      <c r="T2450" s="17">
        <v>42145</v>
      </c>
      <c r="W2450">
        <v>2015</v>
      </c>
      <c r="X2450">
        <v>24</v>
      </c>
      <c r="AC2450" t="s">
        <v>94</v>
      </c>
      <c r="AD2450" t="s">
        <v>302</v>
      </c>
      <c r="AE2450" t="s">
        <v>46</v>
      </c>
      <c r="AG2450">
        <v>52</v>
      </c>
      <c r="AH2450">
        <v>10</v>
      </c>
      <c r="AI2450" t="s">
        <v>95</v>
      </c>
      <c r="AK2450">
        <v>0</v>
      </c>
      <c r="AM2450">
        <v>0</v>
      </c>
      <c r="AP2450" t="s">
        <v>325</v>
      </c>
    </row>
    <row r="2451" spans="1:42" customFormat="1">
      <c r="A2451">
        <v>270467</v>
      </c>
      <c r="B2451" t="s">
        <v>3240</v>
      </c>
      <c r="C2451" t="s">
        <v>3241</v>
      </c>
      <c r="D2451" s="22">
        <v>0</v>
      </c>
      <c r="E2451" s="17">
        <v>42139</v>
      </c>
      <c r="F2451" s="18">
        <v>0.38327546296296294</v>
      </c>
      <c r="G2451" s="22">
        <v>1066.46</v>
      </c>
      <c r="H2451">
        <v>0</v>
      </c>
      <c r="I2451" s="19" t="e">
        <f>I2450 + (D2451-G2451)</f>
        <v>#VALUE!</v>
      </c>
      <c r="M2451">
        <v>123663</v>
      </c>
      <c r="N2451">
        <v>24</v>
      </c>
      <c r="O2451" t="s">
        <v>68</v>
      </c>
      <c r="P2451">
        <v>1</v>
      </c>
      <c r="R2451">
        <v>1579</v>
      </c>
      <c r="S2451" s="17">
        <v>42145</v>
      </c>
      <c r="T2451" s="17">
        <v>42145</v>
      </c>
      <c r="W2451">
        <v>2015</v>
      </c>
      <c r="X2451">
        <v>24</v>
      </c>
      <c r="AC2451" t="s">
        <v>94</v>
      </c>
      <c r="AD2451" t="s">
        <v>302</v>
      </c>
      <c r="AE2451" t="s">
        <v>46</v>
      </c>
      <c r="AG2451">
        <v>52</v>
      </c>
      <c r="AH2451">
        <v>10</v>
      </c>
      <c r="AI2451" t="s">
        <v>95</v>
      </c>
      <c r="AK2451">
        <v>0</v>
      </c>
      <c r="AM2451">
        <v>0</v>
      </c>
      <c r="AP2451" t="s">
        <v>325</v>
      </c>
    </row>
    <row r="2452" spans="1:42" customFormat="1">
      <c r="A2452">
        <v>270468</v>
      </c>
      <c r="B2452" t="s">
        <v>3242</v>
      </c>
      <c r="C2452" t="s">
        <v>3243</v>
      </c>
      <c r="D2452" s="22">
        <v>0</v>
      </c>
      <c r="E2452" s="17">
        <v>42139</v>
      </c>
      <c r="F2452" s="18">
        <v>0.38327546296296294</v>
      </c>
      <c r="G2452" s="22">
        <v>1127.3599999999999</v>
      </c>
      <c r="H2452">
        <v>0</v>
      </c>
      <c r="I2452" s="19" t="e">
        <f>I2451 + (D2452-G2452)</f>
        <v>#VALUE!</v>
      </c>
      <c r="M2452">
        <v>123673</v>
      </c>
      <c r="N2452">
        <v>24</v>
      </c>
      <c r="O2452" t="s">
        <v>68</v>
      </c>
      <c r="P2452">
        <v>1</v>
      </c>
      <c r="R2452">
        <v>1579</v>
      </c>
      <c r="S2452" s="17">
        <v>42145</v>
      </c>
      <c r="T2452" s="17">
        <v>42145</v>
      </c>
      <c r="W2452">
        <v>2015</v>
      </c>
      <c r="X2452">
        <v>24</v>
      </c>
      <c r="AC2452" t="s">
        <v>94</v>
      </c>
      <c r="AD2452" t="s">
        <v>302</v>
      </c>
      <c r="AE2452" t="s">
        <v>46</v>
      </c>
      <c r="AG2452">
        <v>52</v>
      </c>
      <c r="AH2452">
        <v>10</v>
      </c>
      <c r="AI2452" t="s">
        <v>95</v>
      </c>
      <c r="AK2452">
        <v>0</v>
      </c>
      <c r="AM2452">
        <v>0</v>
      </c>
      <c r="AP2452" t="s">
        <v>325</v>
      </c>
    </row>
    <row r="2453" spans="1:42" customFormat="1">
      <c r="A2453">
        <v>270469</v>
      </c>
      <c r="B2453" t="s">
        <v>3244</v>
      </c>
      <c r="C2453" t="s">
        <v>3245</v>
      </c>
      <c r="D2453" s="22">
        <v>0</v>
      </c>
      <c r="E2453" s="17">
        <v>42139</v>
      </c>
      <c r="F2453" s="18">
        <v>0.38327546296296294</v>
      </c>
      <c r="G2453" s="22">
        <v>1066.47</v>
      </c>
      <c r="H2453">
        <v>0</v>
      </c>
      <c r="I2453" s="19" t="e">
        <f>I2452 + (D2453-G2453)</f>
        <v>#VALUE!</v>
      </c>
      <c r="M2453">
        <v>123683</v>
      </c>
      <c r="N2453">
        <v>24</v>
      </c>
      <c r="O2453" t="s">
        <v>68</v>
      </c>
      <c r="P2453">
        <v>1</v>
      </c>
      <c r="R2453">
        <v>1579</v>
      </c>
      <c r="S2453" s="17">
        <v>42145</v>
      </c>
      <c r="T2453" s="17">
        <v>42145</v>
      </c>
      <c r="W2453">
        <v>2015</v>
      </c>
      <c r="X2453">
        <v>24</v>
      </c>
      <c r="AC2453" t="s">
        <v>94</v>
      </c>
      <c r="AD2453" t="s">
        <v>302</v>
      </c>
      <c r="AE2453" t="s">
        <v>46</v>
      </c>
      <c r="AG2453">
        <v>52</v>
      </c>
      <c r="AH2453">
        <v>10</v>
      </c>
      <c r="AI2453" t="s">
        <v>95</v>
      </c>
      <c r="AK2453">
        <v>0</v>
      </c>
      <c r="AM2453">
        <v>0</v>
      </c>
      <c r="AP2453" t="s">
        <v>325</v>
      </c>
    </row>
    <row r="2454" spans="1:42" customFormat="1">
      <c r="A2454">
        <v>270470</v>
      </c>
      <c r="B2454" t="s">
        <v>3246</v>
      </c>
      <c r="C2454" t="s">
        <v>3247</v>
      </c>
      <c r="D2454" s="22">
        <v>0</v>
      </c>
      <c r="E2454" s="17">
        <v>42139</v>
      </c>
      <c r="F2454" s="18">
        <v>0.38327546296296294</v>
      </c>
      <c r="G2454" s="22">
        <v>1066.46</v>
      </c>
      <c r="H2454">
        <v>0</v>
      </c>
      <c r="I2454" s="19" t="e">
        <f>I2453 + (D2454-G2454)</f>
        <v>#VALUE!</v>
      </c>
      <c r="M2454">
        <v>123664</v>
      </c>
      <c r="N2454">
        <v>24</v>
      </c>
      <c r="O2454" t="s">
        <v>68</v>
      </c>
      <c r="P2454">
        <v>1</v>
      </c>
      <c r="R2454">
        <v>1579</v>
      </c>
      <c r="S2454" s="17">
        <v>42145</v>
      </c>
      <c r="T2454" s="17">
        <v>42145</v>
      </c>
      <c r="W2454">
        <v>2015</v>
      </c>
      <c r="X2454">
        <v>24</v>
      </c>
      <c r="AC2454" t="s">
        <v>94</v>
      </c>
      <c r="AD2454" t="s">
        <v>302</v>
      </c>
      <c r="AE2454" t="s">
        <v>46</v>
      </c>
      <c r="AG2454">
        <v>52</v>
      </c>
      <c r="AH2454">
        <v>10</v>
      </c>
      <c r="AI2454" t="s">
        <v>95</v>
      </c>
      <c r="AK2454">
        <v>0</v>
      </c>
      <c r="AM2454">
        <v>0</v>
      </c>
      <c r="AP2454" t="s">
        <v>325</v>
      </c>
    </row>
    <row r="2455" spans="1:42" customFormat="1">
      <c r="A2455">
        <v>270471</v>
      </c>
      <c r="B2455" t="s">
        <v>3248</v>
      </c>
      <c r="C2455" t="s">
        <v>3249</v>
      </c>
      <c r="D2455" s="22">
        <v>0</v>
      </c>
      <c r="E2455" s="17">
        <v>42139</v>
      </c>
      <c r="F2455" s="18">
        <v>0.38327546296296294</v>
      </c>
      <c r="G2455" s="22">
        <v>1127.3599999999999</v>
      </c>
      <c r="H2455">
        <v>0</v>
      </c>
      <c r="I2455" s="19" t="e">
        <f>I2454 + (D2455-G2455)</f>
        <v>#VALUE!</v>
      </c>
      <c r="M2455">
        <v>123674</v>
      </c>
      <c r="N2455">
        <v>24</v>
      </c>
      <c r="O2455" t="s">
        <v>68</v>
      </c>
      <c r="P2455">
        <v>1</v>
      </c>
      <c r="R2455">
        <v>1579</v>
      </c>
      <c r="S2455" s="17">
        <v>42145</v>
      </c>
      <c r="T2455" s="17">
        <v>42145</v>
      </c>
      <c r="W2455">
        <v>2015</v>
      </c>
      <c r="X2455">
        <v>24</v>
      </c>
      <c r="AC2455" t="s">
        <v>94</v>
      </c>
      <c r="AD2455" t="s">
        <v>302</v>
      </c>
      <c r="AE2455" t="s">
        <v>46</v>
      </c>
      <c r="AG2455">
        <v>52</v>
      </c>
      <c r="AH2455">
        <v>10</v>
      </c>
      <c r="AI2455" t="s">
        <v>95</v>
      </c>
      <c r="AK2455">
        <v>0</v>
      </c>
      <c r="AM2455">
        <v>0</v>
      </c>
      <c r="AP2455" t="s">
        <v>325</v>
      </c>
    </row>
    <row r="2456" spans="1:42" customFormat="1">
      <c r="A2456">
        <v>270472</v>
      </c>
      <c r="B2456" t="s">
        <v>3250</v>
      </c>
      <c r="C2456" t="s">
        <v>3251</v>
      </c>
      <c r="D2456" s="22">
        <v>0</v>
      </c>
      <c r="E2456" s="17">
        <v>42139</v>
      </c>
      <c r="F2456" s="18">
        <v>0.38327546296296294</v>
      </c>
      <c r="G2456" s="22">
        <v>1066.47</v>
      </c>
      <c r="H2456">
        <v>0</v>
      </c>
      <c r="I2456" s="19" t="e">
        <f>I2455 + (D2456-G2456)</f>
        <v>#VALUE!</v>
      </c>
      <c r="M2456">
        <v>123684</v>
      </c>
      <c r="N2456">
        <v>24</v>
      </c>
      <c r="O2456" t="s">
        <v>68</v>
      </c>
      <c r="P2456">
        <v>1</v>
      </c>
      <c r="R2456">
        <v>1579</v>
      </c>
      <c r="S2456" s="17">
        <v>42145</v>
      </c>
      <c r="T2456" s="17">
        <v>42145</v>
      </c>
      <c r="W2456">
        <v>2015</v>
      </c>
      <c r="X2456">
        <v>24</v>
      </c>
      <c r="AC2456" t="s">
        <v>94</v>
      </c>
      <c r="AD2456" t="s">
        <v>302</v>
      </c>
      <c r="AE2456" t="s">
        <v>46</v>
      </c>
      <c r="AG2456">
        <v>52</v>
      </c>
      <c r="AH2456">
        <v>10</v>
      </c>
      <c r="AI2456" t="s">
        <v>95</v>
      </c>
      <c r="AK2456">
        <v>0</v>
      </c>
      <c r="AM2456">
        <v>0</v>
      </c>
      <c r="AP2456" t="s">
        <v>325</v>
      </c>
    </row>
    <row r="2457" spans="1:42" customFormat="1">
      <c r="A2457">
        <v>270473</v>
      </c>
      <c r="B2457" t="s">
        <v>3252</v>
      </c>
      <c r="C2457" t="s">
        <v>3253</v>
      </c>
      <c r="D2457" s="22">
        <v>0</v>
      </c>
      <c r="E2457" s="17">
        <v>42139</v>
      </c>
      <c r="F2457" s="18">
        <v>0.38327546296296294</v>
      </c>
      <c r="G2457" s="22">
        <v>1066.46</v>
      </c>
      <c r="H2457">
        <v>0</v>
      </c>
      <c r="I2457" s="19" t="e">
        <f>I2456 + (D2457-G2457)</f>
        <v>#VALUE!</v>
      </c>
      <c r="M2457">
        <v>123665</v>
      </c>
      <c r="N2457">
        <v>24</v>
      </c>
      <c r="O2457" t="s">
        <v>68</v>
      </c>
      <c r="P2457">
        <v>1</v>
      </c>
      <c r="R2457">
        <v>1579</v>
      </c>
      <c r="S2457" s="17">
        <v>42145</v>
      </c>
      <c r="T2457" s="17">
        <v>42145</v>
      </c>
      <c r="W2457">
        <v>2015</v>
      </c>
      <c r="X2457">
        <v>24</v>
      </c>
      <c r="AC2457" t="s">
        <v>94</v>
      </c>
      <c r="AD2457" t="s">
        <v>302</v>
      </c>
      <c r="AE2457" t="s">
        <v>46</v>
      </c>
      <c r="AG2457">
        <v>52</v>
      </c>
      <c r="AH2457">
        <v>10</v>
      </c>
      <c r="AI2457" t="s">
        <v>95</v>
      </c>
      <c r="AK2457">
        <v>0</v>
      </c>
      <c r="AM2457">
        <v>0</v>
      </c>
      <c r="AP2457" t="s">
        <v>325</v>
      </c>
    </row>
    <row r="2458" spans="1:42" customFormat="1">
      <c r="A2458">
        <v>270474</v>
      </c>
      <c r="B2458" t="s">
        <v>3254</v>
      </c>
      <c r="C2458" t="s">
        <v>3255</v>
      </c>
      <c r="D2458" s="22">
        <v>0</v>
      </c>
      <c r="E2458" s="17">
        <v>42139</v>
      </c>
      <c r="F2458" s="18">
        <v>0.38327546296296294</v>
      </c>
      <c r="G2458" s="22">
        <v>1127.3599999999999</v>
      </c>
      <c r="H2458">
        <v>0</v>
      </c>
      <c r="I2458" s="19" t="e">
        <f>I2457 + (D2458-G2458)</f>
        <v>#VALUE!</v>
      </c>
      <c r="M2458">
        <v>123675</v>
      </c>
      <c r="N2458">
        <v>24</v>
      </c>
      <c r="O2458" t="s">
        <v>68</v>
      </c>
      <c r="P2458">
        <v>1</v>
      </c>
      <c r="R2458">
        <v>1579</v>
      </c>
      <c r="S2458" s="17">
        <v>42145</v>
      </c>
      <c r="T2458" s="17">
        <v>42145</v>
      </c>
      <c r="W2458">
        <v>2015</v>
      </c>
      <c r="X2458">
        <v>24</v>
      </c>
      <c r="AC2458" t="s">
        <v>94</v>
      </c>
      <c r="AD2458" t="s">
        <v>302</v>
      </c>
      <c r="AE2458" t="s">
        <v>46</v>
      </c>
      <c r="AG2458">
        <v>52</v>
      </c>
      <c r="AH2458">
        <v>10</v>
      </c>
      <c r="AI2458" t="s">
        <v>95</v>
      </c>
      <c r="AK2458">
        <v>0</v>
      </c>
      <c r="AM2458">
        <v>0</v>
      </c>
      <c r="AP2458" t="s">
        <v>325</v>
      </c>
    </row>
    <row r="2459" spans="1:42" customFormat="1">
      <c r="A2459">
        <v>270483</v>
      </c>
      <c r="B2459" t="s">
        <v>3256</v>
      </c>
      <c r="C2459" t="s">
        <v>3257</v>
      </c>
      <c r="D2459" s="22">
        <v>0</v>
      </c>
      <c r="E2459" s="17">
        <v>42139</v>
      </c>
      <c r="F2459" s="18">
        <v>0.38328703703703698</v>
      </c>
      <c r="G2459" s="22">
        <v>1127.3599999999999</v>
      </c>
      <c r="H2459">
        <v>0</v>
      </c>
      <c r="I2459" s="19" t="e">
        <f>I2458 + (D2459-G2459)</f>
        <v>#VALUE!</v>
      </c>
      <c r="M2459">
        <v>123670</v>
      </c>
      <c r="N2459">
        <v>24</v>
      </c>
      <c r="O2459" t="s">
        <v>68</v>
      </c>
      <c r="P2459">
        <v>1</v>
      </c>
      <c r="R2459">
        <v>1579</v>
      </c>
      <c r="S2459" s="17">
        <v>42145</v>
      </c>
      <c r="T2459" s="17">
        <v>42145</v>
      </c>
      <c r="W2459">
        <v>2015</v>
      </c>
      <c r="X2459">
        <v>24</v>
      </c>
      <c r="AC2459" t="s">
        <v>94</v>
      </c>
      <c r="AD2459" t="s">
        <v>302</v>
      </c>
      <c r="AE2459" t="s">
        <v>46</v>
      </c>
      <c r="AG2459">
        <v>52</v>
      </c>
      <c r="AH2459">
        <v>10</v>
      </c>
      <c r="AI2459" t="s">
        <v>95</v>
      </c>
      <c r="AK2459">
        <v>0</v>
      </c>
      <c r="AM2459">
        <v>0</v>
      </c>
      <c r="AP2459" t="s">
        <v>325</v>
      </c>
    </row>
    <row r="2460" spans="1:42" customFormat="1">
      <c r="A2460">
        <v>270484</v>
      </c>
      <c r="B2460" t="s">
        <v>3258</v>
      </c>
      <c r="C2460" t="s">
        <v>3259</v>
      </c>
      <c r="D2460" s="22">
        <v>0</v>
      </c>
      <c r="E2460" s="17">
        <v>42139</v>
      </c>
      <c r="F2460" s="18">
        <v>0.38328703703703698</v>
      </c>
      <c r="G2460" s="22">
        <v>1070.99</v>
      </c>
      <c r="H2460">
        <v>0</v>
      </c>
      <c r="I2460" s="19" t="e">
        <f>I2459 + (D2460-G2460)</f>
        <v>#VALUE!</v>
      </c>
      <c r="M2460">
        <v>123680</v>
      </c>
      <c r="N2460">
        <v>24</v>
      </c>
      <c r="O2460" t="s">
        <v>68</v>
      </c>
      <c r="P2460">
        <v>1</v>
      </c>
      <c r="R2460">
        <v>1579</v>
      </c>
      <c r="S2460" s="17">
        <v>42145</v>
      </c>
      <c r="T2460" s="17">
        <v>42145</v>
      </c>
      <c r="W2460">
        <v>2015</v>
      </c>
      <c r="X2460">
        <v>24</v>
      </c>
      <c r="AC2460" t="s">
        <v>94</v>
      </c>
      <c r="AD2460" t="s">
        <v>302</v>
      </c>
      <c r="AE2460" t="s">
        <v>46</v>
      </c>
      <c r="AG2460">
        <v>52</v>
      </c>
      <c r="AH2460">
        <v>10</v>
      </c>
      <c r="AI2460" t="s">
        <v>95</v>
      </c>
      <c r="AK2460">
        <v>0</v>
      </c>
      <c r="AM2460">
        <v>0</v>
      </c>
      <c r="AP2460" t="s">
        <v>325</v>
      </c>
    </row>
    <row r="2461" spans="1:42" customFormat="1">
      <c r="A2461">
        <v>270475</v>
      </c>
      <c r="B2461" t="s">
        <v>3260</v>
      </c>
      <c r="C2461" t="s">
        <v>3261</v>
      </c>
      <c r="D2461" s="22">
        <v>0</v>
      </c>
      <c r="E2461" s="17">
        <v>42139</v>
      </c>
      <c r="F2461" s="18">
        <v>0.38328703703703698</v>
      </c>
      <c r="G2461" s="22">
        <v>1066.46</v>
      </c>
      <c r="H2461">
        <v>0</v>
      </c>
      <c r="I2461" s="19" t="e">
        <f>I2460 + (D2461-G2461)</f>
        <v>#VALUE!</v>
      </c>
      <c r="M2461">
        <v>123666</v>
      </c>
      <c r="N2461">
        <v>24</v>
      </c>
      <c r="O2461" t="s">
        <v>68</v>
      </c>
      <c r="P2461">
        <v>1</v>
      </c>
      <c r="R2461">
        <v>1579</v>
      </c>
      <c r="S2461" s="17">
        <v>42145</v>
      </c>
      <c r="T2461" s="17">
        <v>42145</v>
      </c>
      <c r="W2461">
        <v>2015</v>
      </c>
      <c r="X2461">
        <v>24</v>
      </c>
      <c r="AC2461" t="s">
        <v>94</v>
      </c>
      <c r="AD2461" t="s">
        <v>302</v>
      </c>
      <c r="AE2461" t="s">
        <v>46</v>
      </c>
      <c r="AG2461">
        <v>52</v>
      </c>
      <c r="AH2461">
        <v>10</v>
      </c>
      <c r="AI2461" t="s">
        <v>95</v>
      </c>
      <c r="AK2461">
        <v>0</v>
      </c>
      <c r="AM2461">
        <v>0</v>
      </c>
      <c r="AP2461" t="s">
        <v>325</v>
      </c>
    </row>
    <row r="2462" spans="1:42" customFormat="1">
      <c r="A2462">
        <v>270476</v>
      </c>
      <c r="B2462" t="s">
        <v>3262</v>
      </c>
      <c r="C2462" t="s">
        <v>3263</v>
      </c>
      <c r="D2462" s="22">
        <v>0</v>
      </c>
      <c r="E2462" s="17">
        <v>42139</v>
      </c>
      <c r="F2462" s="18">
        <v>0.38328703703703698</v>
      </c>
      <c r="G2462" s="22">
        <v>1127.3599999999999</v>
      </c>
      <c r="H2462">
        <v>0</v>
      </c>
      <c r="I2462" s="19" t="e">
        <f>I2461 + (D2462-G2462)</f>
        <v>#VALUE!</v>
      </c>
      <c r="M2462">
        <v>123676</v>
      </c>
      <c r="N2462">
        <v>24</v>
      </c>
      <c r="O2462" t="s">
        <v>68</v>
      </c>
      <c r="P2462">
        <v>1</v>
      </c>
      <c r="R2462">
        <v>1579</v>
      </c>
      <c r="S2462" s="17">
        <v>42145</v>
      </c>
      <c r="T2462" s="17">
        <v>42145</v>
      </c>
      <c r="W2462">
        <v>2015</v>
      </c>
      <c r="X2462">
        <v>24</v>
      </c>
      <c r="AC2462" t="s">
        <v>94</v>
      </c>
      <c r="AD2462" t="s">
        <v>302</v>
      </c>
      <c r="AE2462" t="s">
        <v>46</v>
      </c>
      <c r="AG2462">
        <v>52</v>
      </c>
      <c r="AH2462">
        <v>10</v>
      </c>
      <c r="AI2462" t="s">
        <v>95</v>
      </c>
      <c r="AK2462">
        <v>0</v>
      </c>
      <c r="AM2462">
        <v>0</v>
      </c>
      <c r="AP2462" t="s">
        <v>325</v>
      </c>
    </row>
    <row r="2463" spans="1:42" customFormat="1">
      <c r="A2463">
        <v>270477</v>
      </c>
      <c r="B2463" t="s">
        <v>3264</v>
      </c>
      <c r="C2463" t="s">
        <v>3265</v>
      </c>
      <c r="D2463" s="22">
        <v>0</v>
      </c>
      <c r="E2463" s="17">
        <v>42139</v>
      </c>
      <c r="F2463" s="18">
        <v>0.38328703703703698</v>
      </c>
      <c r="G2463" s="22">
        <v>1066.46</v>
      </c>
      <c r="H2463">
        <v>0</v>
      </c>
      <c r="I2463" s="19" t="e">
        <f>I2462 + (D2463-G2463)</f>
        <v>#VALUE!</v>
      </c>
      <c r="M2463">
        <v>123667</v>
      </c>
      <c r="N2463">
        <v>24</v>
      </c>
      <c r="O2463" t="s">
        <v>68</v>
      </c>
      <c r="P2463">
        <v>1</v>
      </c>
      <c r="R2463">
        <v>1579</v>
      </c>
      <c r="S2463" s="17">
        <v>42145</v>
      </c>
      <c r="T2463" s="17">
        <v>42145</v>
      </c>
      <c r="W2463">
        <v>2015</v>
      </c>
      <c r="X2463">
        <v>24</v>
      </c>
      <c r="AC2463" t="s">
        <v>94</v>
      </c>
      <c r="AD2463" t="s">
        <v>302</v>
      </c>
      <c r="AE2463" t="s">
        <v>46</v>
      </c>
      <c r="AG2463">
        <v>52</v>
      </c>
      <c r="AH2463">
        <v>10</v>
      </c>
      <c r="AI2463" t="s">
        <v>95</v>
      </c>
      <c r="AK2463">
        <v>0</v>
      </c>
      <c r="AM2463">
        <v>0</v>
      </c>
      <c r="AP2463" t="s">
        <v>325</v>
      </c>
    </row>
    <row r="2464" spans="1:42" customFormat="1">
      <c r="A2464">
        <v>270478</v>
      </c>
      <c r="B2464" t="s">
        <v>3266</v>
      </c>
      <c r="C2464" t="s">
        <v>3267</v>
      </c>
      <c r="D2464" s="22">
        <v>0</v>
      </c>
      <c r="E2464" s="17">
        <v>42139</v>
      </c>
      <c r="F2464" s="18">
        <v>0.38328703703703698</v>
      </c>
      <c r="G2464" s="22">
        <v>1127.3599999999999</v>
      </c>
      <c r="H2464">
        <v>0</v>
      </c>
      <c r="I2464" s="19" t="e">
        <f>I2463 + (D2464-G2464)</f>
        <v>#VALUE!</v>
      </c>
      <c r="M2464">
        <v>123677</v>
      </c>
      <c r="N2464">
        <v>24</v>
      </c>
      <c r="O2464" t="s">
        <v>68</v>
      </c>
      <c r="P2464">
        <v>1</v>
      </c>
      <c r="R2464">
        <v>1579</v>
      </c>
      <c r="S2464" s="17">
        <v>42145</v>
      </c>
      <c r="T2464" s="17">
        <v>42145</v>
      </c>
      <c r="W2464">
        <v>2015</v>
      </c>
      <c r="X2464">
        <v>24</v>
      </c>
      <c r="AC2464" t="s">
        <v>94</v>
      </c>
      <c r="AD2464" t="s">
        <v>302</v>
      </c>
      <c r="AE2464" t="s">
        <v>46</v>
      </c>
      <c r="AG2464">
        <v>52</v>
      </c>
      <c r="AH2464">
        <v>10</v>
      </c>
      <c r="AI2464" t="s">
        <v>95</v>
      </c>
      <c r="AK2464">
        <v>0</v>
      </c>
      <c r="AM2464">
        <v>0</v>
      </c>
      <c r="AP2464" t="s">
        <v>325</v>
      </c>
    </row>
    <row r="2465" spans="1:42" customFormat="1">
      <c r="A2465">
        <v>270479</v>
      </c>
      <c r="B2465" t="s">
        <v>3268</v>
      </c>
      <c r="C2465" t="s">
        <v>3269</v>
      </c>
      <c r="D2465" s="22">
        <v>0</v>
      </c>
      <c r="E2465" s="17">
        <v>42139</v>
      </c>
      <c r="F2465" s="18">
        <v>0.38328703703703698</v>
      </c>
      <c r="G2465" s="22">
        <v>1066.46</v>
      </c>
      <c r="H2465">
        <v>0</v>
      </c>
      <c r="I2465" s="19" t="e">
        <f>I2464 + (D2465-G2465)</f>
        <v>#VALUE!</v>
      </c>
      <c r="M2465">
        <v>123668</v>
      </c>
      <c r="N2465">
        <v>24</v>
      </c>
      <c r="O2465" t="s">
        <v>68</v>
      </c>
      <c r="P2465">
        <v>1</v>
      </c>
      <c r="R2465">
        <v>1579</v>
      </c>
      <c r="S2465" s="17">
        <v>42145</v>
      </c>
      <c r="T2465" s="17">
        <v>42145</v>
      </c>
      <c r="W2465">
        <v>2015</v>
      </c>
      <c r="X2465">
        <v>24</v>
      </c>
      <c r="AC2465" t="s">
        <v>94</v>
      </c>
      <c r="AD2465" t="s">
        <v>302</v>
      </c>
      <c r="AE2465" t="s">
        <v>46</v>
      </c>
      <c r="AG2465">
        <v>52</v>
      </c>
      <c r="AH2465">
        <v>10</v>
      </c>
      <c r="AI2465" t="s">
        <v>95</v>
      </c>
      <c r="AK2465">
        <v>0</v>
      </c>
      <c r="AM2465">
        <v>0</v>
      </c>
      <c r="AP2465" t="s">
        <v>325</v>
      </c>
    </row>
    <row r="2466" spans="1:42" customFormat="1">
      <c r="A2466">
        <v>270480</v>
      </c>
      <c r="B2466" t="s">
        <v>3270</v>
      </c>
      <c r="C2466" t="s">
        <v>3271</v>
      </c>
      <c r="D2466" s="22">
        <v>0</v>
      </c>
      <c r="E2466" s="17">
        <v>42139</v>
      </c>
      <c r="F2466" s="18">
        <v>0.38328703703703698</v>
      </c>
      <c r="G2466" s="22">
        <v>1661.92</v>
      </c>
      <c r="H2466">
        <v>0</v>
      </c>
      <c r="I2466" s="19" t="e">
        <f>I2465 + (D2466-G2466)</f>
        <v>#VALUE!</v>
      </c>
      <c r="M2466">
        <v>123678</v>
      </c>
      <c r="N2466">
        <v>24</v>
      </c>
      <c r="O2466" t="s">
        <v>68</v>
      </c>
      <c r="P2466">
        <v>1</v>
      </c>
      <c r="R2466">
        <v>1579</v>
      </c>
      <c r="S2466" s="17">
        <v>42145</v>
      </c>
      <c r="T2466" s="17">
        <v>42145</v>
      </c>
      <c r="W2466">
        <v>2015</v>
      </c>
      <c r="X2466">
        <v>24</v>
      </c>
      <c r="AC2466" t="s">
        <v>94</v>
      </c>
      <c r="AD2466" t="s">
        <v>302</v>
      </c>
      <c r="AE2466" t="s">
        <v>46</v>
      </c>
      <c r="AG2466">
        <v>52</v>
      </c>
      <c r="AH2466">
        <v>10</v>
      </c>
      <c r="AI2466" t="s">
        <v>95</v>
      </c>
      <c r="AK2466">
        <v>0</v>
      </c>
      <c r="AM2466">
        <v>0</v>
      </c>
      <c r="AP2466" t="s">
        <v>325</v>
      </c>
    </row>
    <row r="2467" spans="1:42" customFormat="1">
      <c r="A2467">
        <v>270481</v>
      </c>
      <c r="B2467" t="s">
        <v>3272</v>
      </c>
      <c r="C2467" t="s">
        <v>3273</v>
      </c>
      <c r="D2467" s="22">
        <v>0</v>
      </c>
      <c r="E2467" s="17">
        <v>42139</v>
      </c>
      <c r="F2467" s="18">
        <v>0.38328703703703698</v>
      </c>
      <c r="G2467" s="22">
        <v>1749.4</v>
      </c>
      <c r="H2467">
        <v>0</v>
      </c>
      <c r="I2467" s="19" t="e">
        <f>I2466 + (D2467-G2467)</f>
        <v>#VALUE!</v>
      </c>
      <c r="M2467">
        <v>123669</v>
      </c>
      <c r="N2467">
        <v>24</v>
      </c>
      <c r="O2467" t="s">
        <v>68</v>
      </c>
      <c r="P2467">
        <v>1</v>
      </c>
      <c r="R2467">
        <v>1579</v>
      </c>
      <c r="S2467" s="17">
        <v>42145</v>
      </c>
      <c r="T2467" s="17">
        <v>42145</v>
      </c>
      <c r="W2467">
        <v>2015</v>
      </c>
      <c r="X2467">
        <v>24</v>
      </c>
      <c r="AC2467" t="s">
        <v>94</v>
      </c>
      <c r="AD2467" t="s">
        <v>302</v>
      </c>
      <c r="AE2467" t="s">
        <v>46</v>
      </c>
      <c r="AG2467">
        <v>52</v>
      </c>
      <c r="AH2467">
        <v>10</v>
      </c>
      <c r="AI2467" t="s">
        <v>95</v>
      </c>
      <c r="AK2467">
        <v>0</v>
      </c>
      <c r="AM2467">
        <v>0</v>
      </c>
      <c r="AP2467" t="s">
        <v>325</v>
      </c>
    </row>
    <row r="2468" spans="1:42" customFormat="1">
      <c r="A2468">
        <v>270482</v>
      </c>
      <c r="B2468" t="s">
        <v>3274</v>
      </c>
      <c r="C2468" t="s">
        <v>3275</v>
      </c>
      <c r="D2468" s="22">
        <v>0</v>
      </c>
      <c r="E2468" s="17">
        <v>42139</v>
      </c>
      <c r="F2468" s="18">
        <v>0.38328703703703698</v>
      </c>
      <c r="G2468" s="22">
        <v>1070.99</v>
      </c>
      <c r="H2468">
        <v>0</v>
      </c>
      <c r="I2468" s="19" t="e">
        <f>I2467 + (D2468-G2468)</f>
        <v>#VALUE!</v>
      </c>
      <c r="M2468">
        <v>123679</v>
      </c>
      <c r="N2468">
        <v>24</v>
      </c>
      <c r="O2468" t="s">
        <v>68</v>
      </c>
      <c r="P2468">
        <v>1</v>
      </c>
      <c r="R2468">
        <v>1579</v>
      </c>
      <c r="S2468" s="17">
        <v>42145</v>
      </c>
      <c r="T2468" s="17">
        <v>42145</v>
      </c>
      <c r="W2468">
        <v>2015</v>
      </c>
      <c r="X2468">
        <v>24</v>
      </c>
      <c r="AC2468" t="s">
        <v>94</v>
      </c>
      <c r="AD2468" t="s">
        <v>302</v>
      </c>
      <c r="AE2468" t="s">
        <v>46</v>
      </c>
      <c r="AG2468">
        <v>52</v>
      </c>
      <c r="AH2468">
        <v>10</v>
      </c>
      <c r="AI2468" t="s">
        <v>95</v>
      </c>
      <c r="AK2468">
        <v>0</v>
      </c>
      <c r="AM2468">
        <v>0</v>
      </c>
      <c r="AP2468" t="s">
        <v>325</v>
      </c>
    </row>
    <row r="2469" spans="1:42" customFormat="1">
      <c r="A2469">
        <v>270492</v>
      </c>
      <c r="B2469" t="s">
        <v>3290</v>
      </c>
      <c r="C2469" t="s">
        <v>3291</v>
      </c>
      <c r="D2469" s="22">
        <v>0</v>
      </c>
      <c r="E2469" s="17">
        <v>42139</v>
      </c>
      <c r="F2469" s="18">
        <v>0.3925925925925926</v>
      </c>
      <c r="G2469" s="22">
        <v>1066.46</v>
      </c>
      <c r="H2469">
        <v>0</v>
      </c>
      <c r="I2469" s="19" t="e">
        <f>I2468 + (D2469-G2469)</f>
        <v>#VALUE!</v>
      </c>
      <c r="M2469">
        <v>123703</v>
      </c>
      <c r="N2469">
        <v>24</v>
      </c>
      <c r="O2469" t="s">
        <v>68</v>
      </c>
      <c r="P2469">
        <v>1</v>
      </c>
      <c r="R2469">
        <v>1579</v>
      </c>
      <c r="S2469" s="17">
        <v>42145</v>
      </c>
      <c r="T2469" s="17">
        <v>42145</v>
      </c>
      <c r="W2469">
        <v>2015</v>
      </c>
      <c r="X2469">
        <v>24</v>
      </c>
      <c r="AC2469" t="s">
        <v>94</v>
      </c>
      <c r="AD2469" t="s">
        <v>302</v>
      </c>
      <c r="AE2469" t="s">
        <v>46</v>
      </c>
      <c r="AG2469">
        <v>52</v>
      </c>
      <c r="AH2469">
        <v>10</v>
      </c>
      <c r="AI2469" t="s">
        <v>95</v>
      </c>
      <c r="AK2469">
        <v>0</v>
      </c>
      <c r="AM2469">
        <v>0</v>
      </c>
      <c r="AP2469" t="s">
        <v>325</v>
      </c>
    </row>
    <row r="2470" spans="1:42" customFormat="1">
      <c r="A2470">
        <v>270493</v>
      </c>
      <c r="B2470" t="s">
        <v>3292</v>
      </c>
      <c r="C2470" t="s">
        <v>3293</v>
      </c>
      <c r="D2470" s="22">
        <v>0</v>
      </c>
      <c r="E2470" s="17">
        <v>42139</v>
      </c>
      <c r="F2470" s="18">
        <v>0.3925925925925926</v>
      </c>
      <c r="G2470" s="22">
        <v>1066.48</v>
      </c>
      <c r="H2470">
        <v>0</v>
      </c>
      <c r="I2470" s="19" t="e">
        <f>I2469 + (D2470-G2470)</f>
        <v>#VALUE!</v>
      </c>
      <c r="M2470">
        <v>123713</v>
      </c>
      <c r="N2470">
        <v>24</v>
      </c>
      <c r="O2470" t="s">
        <v>68</v>
      </c>
      <c r="P2470">
        <v>1</v>
      </c>
      <c r="R2470">
        <v>1579</v>
      </c>
      <c r="S2470" s="17">
        <v>42145</v>
      </c>
      <c r="T2470" s="17">
        <v>42145</v>
      </c>
      <c r="W2470">
        <v>2015</v>
      </c>
      <c r="X2470">
        <v>24</v>
      </c>
      <c r="AC2470" t="s">
        <v>94</v>
      </c>
      <c r="AD2470" t="s">
        <v>302</v>
      </c>
      <c r="AE2470" t="s">
        <v>46</v>
      </c>
      <c r="AG2470">
        <v>52</v>
      </c>
      <c r="AH2470">
        <v>10</v>
      </c>
      <c r="AI2470" t="s">
        <v>95</v>
      </c>
      <c r="AK2470">
        <v>0</v>
      </c>
      <c r="AM2470">
        <v>0</v>
      </c>
      <c r="AP2470" t="s">
        <v>325</v>
      </c>
    </row>
    <row r="2471" spans="1:42" customFormat="1">
      <c r="A2471">
        <v>270494</v>
      </c>
      <c r="B2471" t="s">
        <v>3294</v>
      </c>
      <c r="C2471" t="s">
        <v>3295</v>
      </c>
      <c r="D2471" s="22">
        <v>0</v>
      </c>
      <c r="E2471" s="17">
        <v>42139</v>
      </c>
      <c r="F2471" s="18">
        <v>0.3925925925925926</v>
      </c>
      <c r="G2471" s="22">
        <v>1066.48</v>
      </c>
      <c r="H2471">
        <v>0</v>
      </c>
      <c r="I2471" s="19" t="e">
        <f>I2470 + (D2471-G2471)</f>
        <v>#VALUE!</v>
      </c>
      <c r="M2471">
        <v>123723</v>
      </c>
      <c r="N2471">
        <v>24</v>
      </c>
      <c r="O2471" t="s">
        <v>68</v>
      </c>
      <c r="P2471">
        <v>1</v>
      </c>
      <c r="R2471">
        <v>1579</v>
      </c>
      <c r="S2471" s="17">
        <v>42145</v>
      </c>
      <c r="T2471" s="17">
        <v>42145</v>
      </c>
      <c r="W2471">
        <v>2015</v>
      </c>
      <c r="X2471">
        <v>24</v>
      </c>
      <c r="AC2471" t="s">
        <v>94</v>
      </c>
      <c r="AD2471" t="s">
        <v>302</v>
      </c>
      <c r="AE2471" t="s">
        <v>46</v>
      </c>
      <c r="AG2471">
        <v>52</v>
      </c>
      <c r="AH2471">
        <v>10</v>
      </c>
      <c r="AI2471" t="s">
        <v>95</v>
      </c>
      <c r="AK2471">
        <v>0</v>
      </c>
      <c r="AM2471">
        <v>0</v>
      </c>
      <c r="AP2471" t="s">
        <v>325</v>
      </c>
    </row>
    <row r="2472" spans="1:42" customFormat="1">
      <c r="A2472">
        <v>270496</v>
      </c>
      <c r="B2472" t="s">
        <v>3296</v>
      </c>
      <c r="C2472" t="s">
        <v>3297</v>
      </c>
      <c r="D2472" s="22">
        <v>0</v>
      </c>
      <c r="E2472" s="17">
        <v>42139</v>
      </c>
      <c r="F2472" s="18">
        <v>0.3925925925925926</v>
      </c>
      <c r="G2472" s="22">
        <v>1066.46</v>
      </c>
      <c r="H2472">
        <v>0</v>
      </c>
      <c r="I2472" s="19" t="e">
        <f>I2471 + (D2472-G2472)</f>
        <v>#VALUE!</v>
      </c>
      <c r="M2472">
        <v>123704</v>
      </c>
      <c r="N2472">
        <v>24</v>
      </c>
      <c r="O2472" t="s">
        <v>68</v>
      </c>
      <c r="P2472">
        <v>1</v>
      </c>
      <c r="R2472">
        <v>1579</v>
      </c>
      <c r="S2472" s="17">
        <v>42145</v>
      </c>
      <c r="T2472" s="17">
        <v>42145</v>
      </c>
      <c r="W2472">
        <v>2015</v>
      </c>
      <c r="X2472">
        <v>24</v>
      </c>
      <c r="AC2472" t="s">
        <v>94</v>
      </c>
      <c r="AD2472" t="s">
        <v>302</v>
      </c>
      <c r="AE2472" t="s">
        <v>46</v>
      </c>
      <c r="AG2472">
        <v>52</v>
      </c>
      <c r="AH2472">
        <v>10</v>
      </c>
      <c r="AI2472" t="s">
        <v>95</v>
      </c>
      <c r="AK2472">
        <v>0</v>
      </c>
      <c r="AM2472">
        <v>0</v>
      </c>
      <c r="AP2472" t="s">
        <v>325</v>
      </c>
    </row>
    <row r="2473" spans="1:42" customFormat="1">
      <c r="A2473">
        <v>270497</v>
      </c>
      <c r="B2473" t="s">
        <v>3298</v>
      </c>
      <c r="C2473" t="s">
        <v>3299</v>
      </c>
      <c r="D2473" s="22">
        <v>0</v>
      </c>
      <c r="E2473" s="17">
        <v>42139</v>
      </c>
      <c r="F2473" s="18">
        <v>0.3925925925925926</v>
      </c>
      <c r="G2473" s="22">
        <v>1066.48</v>
      </c>
      <c r="H2473">
        <v>0</v>
      </c>
      <c r="I2473" s="19" t="e">
        <f>I2472 + (D2473-G2473)</f>
        <v>#VALUE!</v>
      </c>
      <c r="M2473">
        <v>123714</v>
      </c>
      <c r="N2473">
        <v>24</v>
      </c>
      <c r="O2473" t="s">
        <v>68</v>
      </c>
      <c r="P2473">
        <v>1</v>
      </c>
      <c r="R2473">
        <v>1579</v>
      </c>
      <c r="S2473" s="17">
        <v>42145</v>
      </c>
      <c r="T2473" s="17">
        <v>42145</v>
      </c>
      <c r="W2473">
        <v>2015</v>
      </c>
      <c r="X2473">
        <v>24</v>
      </c>
      <c r="AC2473" t="s">
        <v>94</v>
      </c>
      <c r="AD2473" t="s">
        <v>302</v>
      </c>
      <c r="AE2473" t="s">
        <v>46</v>
      </c>
      <c r="AG2473">
        <v>52</v>
      </c>
      <c r="AH2473">
        <v>10</v>
      </c>
      <c r="AI2473" t="s">
        <v>95</v>
      </c>
      <c r="AK2473">
        <v>0</v>
      </c>
      <c r="AM2473">
        <v>0</v>
      </c>
      <c r="AP2473" t="s">
        <v>325</v>
      </c>
    </row>
    <row r="2474" spans="1:42" customFormat="1">
      <c r="A2474">
        <v>270498</v>
      </c>
      <c r="B2474" t="s">
        <v>3300</v>
      </c>
      <c r="C2474" t="s">
        <v>3301</v>
      </c>
      <c r="D2474" s="22">
        <v>0</v>
      </c>
      <c r="E2474" s="17">
        <v>42139</v>
      </c>
      <c r="F2474" s="18">
        <v>0.3925925925925926</v>
      </c>
      <c r="G2474" s="22">
        <v>1066.48</v>
      </c>
      <c r="H2474">
        <v>0</v>
      </c>
      <c r="I2474" s="19" t="e">
        <f>I2473 + (D2474-G2474)</f>
        <v>#VALUE!</v>
      </c>
      <c r="M2474">
        <v>123724</v>
      </c>
      <c r="N2474">
        <v>24</v>
      </c>
      <c r="O2474" t="s">
        <v>68</v>
      </c>
      <c r="P2474">
        <v>1</v>
      </c>
      <c r="R2474">
        <v>1579</v>
      </c>
      <c r="S2474" s="17">
        <v>42145</v>
      </c>
      <c r="T2474" s="17">
        <v>42145</v>
      </c>
      <c r="W2474">
        <v>2015</v>
      </c>
      <c r="X2474">
        <v>24</v>
      </c>
      <c r="AC2474" t="s">
        <v>94</v>
      </c>
      <c r="AD2474" t="s">
        <v>302</v>
      </c>
      <c r="AE2474" t="s">
        <v>46</v>
      </c>
      <c r="AG2474">
        <v>52</v>
      </c>
      <c r="AH2474">
        <v>10</v>
      </c>
      <c r="AI2474" t="s">
        <v>95</v>
      </c>
      <c r="AK2474">
        <v>0</v>
      </c>
      <c r="AM2474">
        <v>0</v>
      </c>
      <c r="AP2474" t="s">
        <v>325</v>
      </c>
    </row>
    <row r="2475" spans="1:42" customFormat="1">
      <c r="A2475">
        <v>270495</v>
      </c>
      <c r="B2475" t="s">
        <v>3302</v>
      </c>
      <c r="C2475" t="s">
        <v>3303</v>
      </c>
      <c r="D2475" s="22">
        <v>0</v>
      </c>
      <c r="E2475" s="17">
        <v>42139</v>
      </c>
      <c r="F2475" s="18">
        <v>0.3925925925925926</v>
      </c>
      <c r="G2475" s="22">
        <v>1066.47</v>
      </c>
      <c r="H2475">
        <v>0</v>
      </c>
      <c r="I2475" s="19" t="e">
        <f>I2474 + (D2475-G2475)</f>
        <v>#VALUE!</v>
      </c>
      <c r="M2475">
        <v>123694</v>
      </c>
      <c r="N2475">
        <v>24</v>
      </c>
      <c r="O2475" t="s">
        <v>68</v>
      </c>
      <c r="P2475">
        <v>1</v>
      </c>
      <c r="R2475">
        <v>1579</v>
      </c>
      <c r="S2475" s="17">
        <v>42145</v>
      </c>
      <c r="T2475" s="17">
        <v>42145</v>
      </c>
      <c r="W2475">
        <v>2015</v>
      </c>
      <c r="X2475">
        <v>24</v>
      </c>
      <c r="AC2475" t="s">
        <v>94</v>
      </c>
      <c r="AD2475" t="s">
        <v>302</v>
      </c>
      <c r="AE2475" t="s">
        <v>46</v>
      </c>
      <c r="AG2475">
        <v>52</v>
      </c>
      <c r="AH2475">
        <v>10</v>
      </c>
      <c r="AI2475" t="s">
        <v>95</v>
      </c>
      <c r="AK2475">
        <v>0</v>
      </c>
      <c r="AM2475">
        <v>0</v>
      </c>
      <c r="AP2475" t="s">
        <v>325</v>
      </c>
    </row>
    <row r="2476" spans="1:42" customFormat="1">
      <c r="A2476">
        <v>270499</v>
      </c>
      <c r="B2476" t="s">
        <v>3304</v>
      </c>
      <c r="C2476" t="s">
        <v>3305</v>
      </c>
      <c r="D2476" s="22">
        <v>0</v>
      </c>
      <c r="E2476" s="17">
        <v>42139</v>
      </c>
      <c r="F2476" s="18">
        <v>0.3925925925925926</v>
      </c>
      <c r="G2476" s="22">
        <v>1066.47</v>
      </c>
      <c r="H2476">
        <v>0</v>
      </c>
      <c r="I2476" s="19" t="e">
        <f>I2475 + (D2476-G2476)</f>
        <v>#VALUE!</v>
      </c>
      <c r="M2476">
        <v>123695</v>
      </c>
      <c r="N2476">
        <v>24</v>
      </c>
      <c r="O2476" t="s">
        <v>68</v>
      </c>
      <c r="P2476">
        <v>1</v>
      </c>
      <c r="R2476">
        <v>1579</v>
      </c>
      <c r="S2476" s="17">
        <v>42145</v>
      </c>
      <c r="T2476" s="17">
        <v>42145</v>
      </c>
      <c r="W2476">
        <v>2015</v>
      </c>
      <c r="X2476">
        <v>24</v>
      </c>
      <c r="AC2476" t="s">
        <v>94</v>
      </c>
      <c r="AD2476" t="s">
        <v>302</v>
      </c>
      <c r="AE2476" t="s">
        <v>46</v>
      </c>
      <c r="AG2476">
        <v>52</v>
      </c>
      <c r="AH2476">
        <v>10</v>
      </c>
      <c r="AI2476" t="s">
        <v>95</v>
      </c>
      <c r="AK2476">
        <v>0</v>
      </c>
      <c r="AM2476">
        <v>0</v>
      </c>
      <c r="AP2476" t="s">
        <v>325</v>
      </c>
    </row>
    <row r="2477" spans="1:42" customFormat="1">
      <c r="A2477">
        <v>270500</v>
      </c>
      <c r="B2477" t="s">
        <v>3306</v>
      </c>
      <c r="C2477" t="s">
        <v>3307</v>
      </c>
      <c r="D2477" s="22">
        <v>0</v>
      </c>
      <c r="E2477" s="17">
        <v>42139</v>
      </c>
      <c r="F2477" s="18">
        <v>0.39260416666666664</v>
      </c>
      <c r="G2477" s="22">
        <v>1066.46</v>
      </c>
      <c r="H2477">
        <v>0</v>
      </c>
      <c r="I2477" s="19" t="e">
        <f>I2476 + (D2477-G2477)</f>
        <v>#VALUE!</v>
      </c>
      <c r="M2477">
        <v>123705</v>
      </c>
      <c r="N2477">
        <v>24</v>
      </c>
      <c r="O2477" t="s">
        <v>68</v>
      </c>
      <c r="P2477">
        <v>1</v>
      </c>
      <c r="R2477">
        <v>1579</v>
      </c>
      <c r="S2477" s="17">
        <v>42145</v>
      </c>
      <c r="T2477" s="17">
        <v>42145</v>
      </c>
      <c r="W2477">
        <v>2015</v>
      </c>
      <c r="X2477">
        <v>24</v>
      </c>
      <c r="AC2477" t="s">
        <v>94</v>
      </c>
      <c r="AD2477" t="s">
        <v>302</v>
      </c>
      <c r="AE2477" t="s">
        <v>46</v>
      </c>
      <c r="AG2477">
        <v>52</v>
      </c>
      <c r="AH2477">
        <v>10</v>
      </c>
      <c r="AI2477" t="s">
        <v>95</v>
      </c>
      <c r="AK2477">
        <v>0</v>
      </c>
      <c r="AM2477">
        <v>0</v>
      </c>
      <c r="AP2477" t="s">
        <v>325</v>
      </c>
    </row>
    <row r="2478" spans="1:42" customFormat="1">
      <c r="A2478">
        <v>270501</v>
      </c>
      <c r="B2478" t="s">
        <v>3308</v>
      </c>
      <c r="C2478" t="s">
        <v>3309</v>
      </c>
      <c r="D2478" s="22">
        <v>0</v>
      </c>
      <c r="E2478" s="17">
        <v>42139</v>
      </c>
      <c r="F2478" s="18">
        <v>0.39260416666666664</v>
      </c>
      <c r="G2478" s="22">
        <v>1066.48</v>
      </c>
      <c r="H2478">
        <v>0</v>
      </c>
      <c r="I2478" s="19" t="e">
        <f>I2477 + (D2478-G2478)</f>
        <v>#VALUE!</v>
      </c>
      <c r="M2478">
        <v>123715</v>
      </c>
      <c r="N2478">
        <v>24</v>
      </c>
      <c r="O2478" t="s">
        <v>68</v>
      </c>
      <c r="P2478">
        <v>1</v>
      </c>
      <c r="R2478">
        <v>1579</v>
      </c>
      <c r="S2478" s="17">
        <v>42145</v>
      </c>
      <c r="T2478" s="17">
        <v>42145</v>
      </c>
      <c r="W2478">
        <v>2015</v>
      </c>
      <c r="X2478">
        <v>24</v>
      </c>
      <c r="AC2478" t="s">
        <v>94</v>
      </c>
      <c r="AD2478" t="s">
        <v>302</v>
      </c>
      <c r="AE2478" t="s">
        <v>46</v>
      </c>
      <c r="AG2478">
        <v>52</v>
      </c>
      <c r="AH2478">
        <v>10</v>
      </c>
      <c r="AI2478" t="s">
        <v>95</v>
      </c>
      <c r="AK2478">
        <v>0</v>
      </c>
      <c r="AM2478">
        <v>0</v>
      </c>
      <c r="AP2478" t="s">
        <v>325</v>
      </c>
    </row>
    <row r="2479" spans="1:42" customFormat="1">
      <c r="A2479">
        <v>270502</v>
      </c>
      <c r="B2479" t="s">
        <v>3310</v>
      </c>
      <c r="C2479" t="s">
        <v>3311</v>
      </c>
      <c r="D2479" s="22">
        <v>0</v>
      </c>
      <c r="E2479" s="17">
        <v>42139</v>
      </c>
      <c r="F2479" s="18">
        <v>0.39260416666666664</v>
      </c>
      <c r="G2479" s="22">
        <v>1749.4</v>
      </c>
      <c r="H2479">
        <v>0</v>
      </c>
      <c r="I2479" s="19" t="e">
        <f>I2478 + (D2479-G2479)</f>
        <v>#VALUE!</v>
      </c>
      <c r="M2479">
        <v>123725</v>
      </c>
      <c r="N2479">
        <v>24</v>
      </c>
      <c r="O2479" t="s">
        <v>68</v>
      </c>
      <c r="P2479">
        <v>1</v>
      </c>
      <c r="R2479">
        <v>1579</v>
      </c>
      <c r="S2479" s="17">
        <v>42145</v>
      </c>
      <c r="T2479" s="17">
        <v>42145</v>
      </c>
      <c r="W2479">
        <v>2015</v>
      </c>
      <c r="X2479">
        <v>24</v>
      </c>
      <c r="AC2479" t="s">
        <v>94</v>
      </c>
      <c r="AD2479" t="s">
        <v>302</v>
      </c>
      <c r="AE2479" t="s">
        <v>46</v>
      </c>
      <c r="AG2479">
        <v>52</v>
      </c>
      <c r="AH2479">
        <v>10</v>
      </c>
      <c r="AI2479" t="s">
        <v>95</v>
      </c>
      <c r="AK2479">
        <v>0</v>
      </c>
      <c r="AM2479">
        <v>0</v>
      </c>
      <c r="AP2479" t="s">
        <v>325</v>
      </c>
    </row>
    <row r="2480" spans="1:42" customFormat="1">
      <c r="A2480">
        <v>270504</v>
      </c>
      <c r="B2480" t="s">
        <v>3312</v>
      </c>
      <c r="C2480" t="s">
        <v>3313</v>
      </c>
      <c r="D2480" s="22">
        <v>0</v>
      </c>
      <c r="E2480" s="17">
        <v>42139</v>
      </c>
      <c r="F2480" s="18">
        <v>0.39260416666666664</v>
      </c>
      <c r="G2480" s="22">
        <v>1066.46</v>
      </c>
      <c r="H2480">
        <v>0</v>
      </c>
      <c r="I2480" s="19" t="e">
        <f>I2479 + (D2480-G2480)</f>
        <v>#VALUE!</v>
      </c>
      <c r="M2480">
        <v>123706</v>
      </c>
      <c r="N2480">
        <v>24</v>
      </c>
      <c r="O2480" t="s">
        <v>68</v>
      </c>
      <c r="P2480">
        <v>1</v>
      </c>
      <c r="R2480">
        <v>1579</v>
      </c>
      <c r="S2480" s="17">
        <v>42145</v>
      </c>
      <c r="T2480" s="17">
        <v>42145</v>
      </c>
      <c r="W2480">
        <v>2015</v>
      </c>
      <c r="X2480">
        <v>24</v>
      </c>
      <c r="AC2480" t="s">
        <v>94</v>
      </c>
      <c r="AD2480" t="s">
        <v>302</v>
      </c>
      <c r="AE2480" t="s">
        <v>46</v>
      </c>
      <c r="AG2480">
        <v>52</v>
      </c>
      <c r="AH2480">
        <v>10</v>
      </c>
      <c r="AI2480" t="s">
        <v>95</v>
      </c>
      <c r="AK2480">
        <v>0</v>
      </c>
      <c r="AM2480">
        <v>0</v>
      </c>
      <c r="AP2480" t="s">
        <v>325</v>
      </c>
    </row>
    <row r="2481" spans="1:42" customFormat="1">
      <c r="A2481">
        <v>270505</v>
      </c>
      <c r="B2481" t="s">
        <v>3314</v>
      </c>
      <c r="C2481" t="s">
        <v>3315</v>
      </c>
      <c r="D2481" s="22">
        <v>0</v>
      </c>
      <c r="E2481" s="17">
        <v>42139</v>
      </c>
      <c r="F2481" s="18">
        <v>0.39260416666666664</v>
      </c>
      <c r="G2481" s="22">
        <v>1066.48</v>
      </c>
      <c r="H2481">
        <v>0</v>
      </c>
      <c r="I2481" s="19" t="e">
        <f>I2480 + (D2481-G2481)</f>
        <v>#VALUE!</v>
      </c>
      <c r="M2481">
        <v>123716</v>
      </c>
      <c r="N2481">
        <v>24</v>
      </c>
      <c r="O2481" t="s">
        <v>68</v>
      </c>
      <c r="P2481">
        <v>1</v>
      </c>
      <c r="R2481">
        <v>1579</v>
      </c>
      <c r="S2481" s="17">
        <v>42145</v>
      </c>
      <c r="T2481" s="17">
        <v>42145</v>
      </c>
      <c r="W2481">
        <v>2015</v>
      </c>
      <c r="X2481">
        <v>24</v>
      </c>
      <c r="AC2481" t="s">
        <v>94</v>
      </c>
      <c r="AD2481" t="s">
        <v>302</v>
      </c>
      <c r="AE2481" t="s">
        <v>46</v>
      </c>
      <c r="AG2481">
        <v>52</v>
      </c>
      <c r="AH2481">
        <v>10</v>
      </c>
      <c r="AI2481" t="s">
        <v>95</v>
      </c>
      <c r="AK2481">
        <v>0</v>
      </c>
      <c r="AM2481">
        <v>0</v>
      </c>
      <c r="AP2481" t="s">
        <v>325</v>
      </c>
    </row>
    <row r="2482" spans="1:42" customFormat="1">
      <c r="A2482">
        <v>270503</v>
      </c>
      <c r="B2482" t="s">
        <v>3316</v>
      </c>
      <c r="C2482" t="s">
        <v>3317</v>
      </c>
      <c r="D2482" s="22">
        <v>0</v>
      </c>
      <c r="E2482" s="17">
        <v>42139</v>
      </c>
      <c r="F2482" s="18">
        <v>0.39260416666666664</v>
      </c>
      <c r="G2482" s="22">
        <v>1066.47</v>
      </c>
      <c r="H2482">
        <v>0</v>
      </c>
      <c r="I2482" s="19" t="e">
        <f>I2481 + (D2482-G2482)</f>
        <v>#VALUE!</v>
      </c>
      <c r="M2482">
        <v>123696</v>
      </c>
      <c r="N2482">
        <v>24</v>
      </c>
      <c r="O2482" t="s">
        <v>68</v>
      </c>
      <c r="P2482">
        <v>1</v>
      </c>
      <c r="R2482">
        <v>1579</v>
      </c>
      <c r="S2482" s="17">
        <v>42145</v>
      </c>
      <c r="T2482" s="17">
        <v>42145</v>
      </c>
      <c r="W2482">
        <v>2015</v>
      </c>
      <c r="X2482">
        <v>24</v>
      </c>
      <c r="AC2482" t="s">
        <v>94</v>
      </c>
      <c r="AD2482" t="s">
        <v>302</v>
      </c>
      <c r="AE2482" t="s">
        <v>46</v>
      </c>
      <c r="AG2482">
        <v>52</v>
      </c>
      <c r="AH2482">
        <v>10</v>
      </c>
      <c r="AI2482" t="s">
        <v>95</v>
      </c>
      <c r="AK2482">
        <v>0</v>
      </c>
      <c r="AM2482">
        <v>0</v>
      </c>
      <c r="AP2482" t="s">
        <v>325</v>
      </c>
    </row>
    <row r="2483" spans="1:42" customFormat="1">
      <c r="A2483">
        <v>270507</v>
      </c>
      <c r="B2483" t="s">
        <v>3318</v>
      </c>
      <c r="C2483" t="s">
        <v>3319</v>
      </c>
      <c r="D2483" s="22">
        <v>0</v>
      </c>
      <c r="E2483" s="17">
        <v>42139</v>
      </c>
      <c r="F2483" s="18">
        <v>0.39260416666666664</v>
      </c>
      <c r="G2483" s="22">
        <v>1066.46</v>
      </c>
      <c r="H2483">
        <v>0</v>
      </c>
      <c r="I2483" s="19" t="e">
        <f>I2482 + (D2483-G2483)</f>
        <v>#VALUE!</v>
      </c>
      <c r="M2483">
        <v>123707</v>
      </c>
      <c r="N2483">
        <v>24</v>
      </c>
      <c r="O2483" t="s">
        <v>68</v>
      </c>
      <c r="P2483">
        <v>1</v>
      </c>
      <c r="R2483">
        <v>1579</v>
      </c>
      <c r="S2483" s="17">
        <v>42145</v>
      </c>
      <c r="T2483" s="17">
        <v>42145</v>
      </c>
      <c r="W2483">
        <v>2015</v>
      </c>
      <c r="X2483">
        <v>24</v>
      </c>
      <c r="AC2483" t="s">
        <v>94</v>
      </c>
      <c r="AD2483" t="s">
        <v>302</v>
      </c>
      <c r="AE2483" t="s">
        <v>46</v>
      </c>
      <c r="AG2483">
        <v>52</v>
      </c>
      <c r="AH2483">
        <v>10</v>
      </c>
      <c r="AI2483" t="s">
        <v>95</v>
      </c>
      <c r="AK2483">
        <v>0</v>
      </c>
      <c r="AM2483">
        <v>0</v>
      </c>
      <c r="AP2483" t="s">
        <v>325</v>
      </c>
    </row>
    <row r="2484" spans="1:42" customFormat="1">
      <c r="A2484">
        <v>270508</v>
      </c>
      <c r="B2484" t="s">
        <v>3320</v>
      </c>
      <c r="C2484" t="s">
        <v>3321</v>
      </c>
      <c r="D2484" s="22">
        <v>0</v>
      </c>
      <c r="E2484" s="17">
        <v>42139</v>
      </c>
      <c r="F2484" s="18">
        <v>0.39260416666666664</v>
      </c>
      <c r="G2484" s="22">
        <v>1066.48</v>
      </c>
      <c r="H2484">
        <v>0</v>
      </c>
      <c r="I2484" s="19" t="e">
        <f>I2483 + (D2484-G2484)</f>
        <v>#VALUE!</v>
      </c>
      <c r="M2484">
        <v>123717</v>
      </c>
      <c r="N2484">
        <v>24</v>
      </c>
      <c r="O2484" t="s">
        <v>68</v>
      </c>
      <c r="P2484">
        <v>1</v>
      </c>
      <c r="R2484">
        <v>1579</v>
      </c>
      <c r="S2484" s="17">
        <v>42145</v>
      </c>
      <c r="T2484" s="17">
        <v>42145</v>
      </c>
      <c r="W2484">
        <v>2015</v>
      </c>
      <c r="X2484">
        <v>24</v>
      </c>
      <c r="AC2484" t="s">
        <v>94</v>
      </c>
      <c r="AD2484" t="s">
        <v>302</v>
      </c>
      <c r="AE2484" t="s">
        <v>46</v>
      </c>
      <c r="AG2484">
        <v>52</v>
      </c>
      <c r="AH2484">
        <v>10</v>
      </c>
      <c r="AI2484" t="s">
        <v>95</v>
      </c>
      <c r="AK2484">
        <v>0</v>
      </c>
      <c r="AM2484">
        <v>0</v>
      </c>
      <c r="AP2484" t="s">
        <v>325</v>
      </c>
    </row>
    <row r="2485" spans="1:42" customFormat="1">
      <c r="A2485">
        <v>270506</v>
      </c>
      <c r="B2485" t="s">
        <v>3322</v>
      </c>
      <c r="C2485" t="s">
        <v>3323</v>
      </c>
      <c r="D2485" s="22">
        <v>0</v>
      </c>
      <c r="E2485" s="17">
        <v>42139</v>
      </c>
      <c r="F2485" s="18">
        <v>0.39260416666666664</v>
      </c>
      <c r="G2485" s="22">
        <v>1066.47</v>
      </c>
      <c r="H2485">
        <v>0</v>
      </c>
      <c r="I2485" s="19" t="e">
        <f>I2484 + (D2485-G2485)</f>
        <v>#VALUE!</v>
      </c>
      <c r="M2485">
        <v>123697</v>
      </c>
      <c r="N2485">
        <v>24</v>
      </c>
      <c r="O2485" t="s">
        <v>68</v>
      </c>
      <c r="P2485">
        <v>1</v>
      </c>
      <c r="R2485">
        <v>1579</v>
      </c>
      <c r="S2485" s="17">
        <v>42145</v>
      </c>
      <c r="T2485" s="17">
        <v>42145</v>
      </c>
      <c r="W2485">
        <v>2015</v>
      </c>
      <c r="X2485">
        <v>24</v>
      </c>
      <c r="AC2485" t="s">
        <v>94</v>
      </c>
      <c r="AD2485" t="s">
        <v>302</v>
      </c>
      <c r="AE2485" t="s">
        <v>46</v>
      </c>
      <c r="AG2485">
        <v>52</v>
      </c>
      <c r="AH2485">
        <v>10</v>
      </c>
      <c r="AI2485" t="s">
        <v>95</v>
      </c>
      <c r="AK2485">
        <v>0</v>
      </c>
      <c r="AM2485">
        <v>0</v>
      </c>
      <c r="AP2485" t="s">
        <v>325</v>
      </c>
    </row>
    <row r="2486" spans="1:42" customFormat="1">
      <c r="A2486">
        <v>270510</v>
      </c>
      <c r="B2486" t="s">
        <v>3324</v>
      </c>
      <c r="C2486" t="s">
        <v>3325</v>
      </c>
      <c r="D2486" s="22">
        <v>0</v>
      </c>
      <c r="E2486" s="17">
        <v>42139</v>
      </c>
      <c r="F2486" s="18">
        <v>0.39260416666666664</v>
      </c>
      <c r="G2486" s="22">
        <v>1066.46</v>
      </c>
      <c r="H2486">
        <v>0</v>
      </c>
      <c r="I2486" s="19" t="e">
        <f>I2485 + (D2486-G2486)</f>
        <v>#VALUE!</v>
      </c>
      <c r="M2486">
        <v>123708</v>
      </c>
      <c r="N2486">
        <v>24</v>
      </c>
      <c r="O2486" t="s">
        <v>68</v>
      </c>
      <c r="P2486">
        <v>1</v>
      </c>
      <c r="R2486">
        <v>1579</v>
      </c>
      <c r="S2486" s="17">
        <v>42145</v>
      </c>
      <c r="T2486" s="17">
        <v>42145</v>
      </c>
      <c r="W2486">
        <v>2015</v>
      </c>
      <c r="X2486">
        <v>24</v>
      </c>
      <c r="AC2486" t="s">
        <v>94</v>
      </c>
      <c r="AD2486" t="s">
        <v>302</v>
      </c>
      <c r="AE2486" t="s">
        <v>46</v>
      </c>
      <c r="AG2486">
        <v>52</v>
      </c>
      <c r="AH2486">
        <v>10</v>
      </c>
      <c r="AI2486" t="s">
        <v>95</v>
      </c>
      <c r="AK2486">
        <v>0</v>
      </c>
      <c r="AM2486">
        <v>0</v>
      </c>
      <c r="AP2486" t="s">
        <v>325</v>
      </c>
    </row>
    <row r="2487" spans="1:42" customFormat="1">
      <c r="A2487">
        <v>270511</v>
      </c>
      <c r="B2487" t="s">
        <v>3326</v>
      </c>
      <c r="C2487" t="s">
        <v>3327</v>
      </c>
      <c r="D2487" s="22">
        <v>0</v>
      </c>
      <c r="E2487" s="17">
        <v>42139</v>
      </c>
      <c r="F2487" s="18">
        <v>0.39260416666666664</v>
      </c>
      <c r="G2487" s="22">
        <v>1066.48</v>
      </c>
      <c r="H2487">
        <v>0</v>
      </c>
      <c r="I2487" s="19" t="e">
        <f>I2486 + (D2487-G2487)</f>
        <v>#VALUE!</v>
      </c>
      <c r="M2487">
        <v>123718</v>
      </c>
      <c r="N2487">
        <v>24</v>
      </c>
      <c r="O2487" t="s">
        <v>68</v>
      </c>
      <c r="P2487">
        <v>1</v>
      </c>
      <c r="R2487">
        <v>1579</v>
      </c>
      <c r="S2487" s="17">
        <v>42145</v>
      </c>
      <c r="T2487" s="17">
        <v>42145</v>
      </c>
      <c r="W2487">
        <v>2015</v>
      </c>
      <c r="X2487">
        <v>24</v>
      </c>
      <c r="AC2487" t="s">
        <v>94</v>
      </c>
      <c r="AD2487" t="s">
        <v>302</v>
      </c>
      <c r="AE2487" t="s">
        <v>46</v>
      </c>
      <c r="AG2487">
        <v>52</v>
      </c>
      <c r="AH2487">
        <v>10</v>
      </c>
      <c r="AI2487" t="s">
        <v>95</v>
      </c>
      <c r="AK2487">
        <v>0</v>
      </c>
      <c r="AM2487">
        <v>0</v>
      </c>
      <c r="AP2487" t="s">
        <v>325</v>
      </c>
    </row>
    <row r="2488" spans="1:42" customFormat="1">
      <c r="A2488">
        <v>270509</v>
      </c>
      <c r="B2488" t="s">
        <v>3328</v>
      </c>
      <c r="C2488" t="s">
        <v>3329</v>
      </c>
      <c r="D2488" s="22">
        <v>0</v>
      </c>
      <c r="E2488" s="17">
        <v>42139</v>
      </c>
      <c r="F2488" s="18">
        <v>0.39260416666666664</v>
      </c>
      <c r="G2488" s="22">
        <v>1066.47</v>
      </c>
      <c r="H2488">
        <v>0</v>
      </c>
      <c r="I2488" s="19" t="e">
        <f>I2487 + (D2488-G2488)</f>
        <v>#VALUE!</v>
      </c>
      <c r="M2488">
        <v>123698</v>
      </c>
      <c r="N2488">
        <v>24</v>
      </c>
      <c r="O2488" t="s">
        <v>68</v>
      </c>
      <c r="P2488">
        <v>1</v>
      </c>
      <c r="R2488">
        <v>1579</v>
      </c>
      <c r="S2488" s="17">
        <v>42145</v>
      </c>
      <c r="T2488" s="17">
        <v>42145</v>
      </c>
      <c r="W2488">
        <v>2015</v>
      </c>
      <c r="X2488">
        <v>24</v>
      </c>
      <c r="AC2488" t="s">
        <v>94</v>
      </c>
      <c r="AD2488" t="s">
        <v>302</v>
      </c>
      <c r="AE2488" t="s">
        <v>46</v>
      </c>
      <c r="AG2488">
        <v>52</v>
      </c>
      <c r="AH2488">
        <v>10</v>
      </c>
      <c r="AI2488" t="s">
        <v>95</v>
      </c>
      <c r="AK2488">
        <v>0</v>
      </c>
      <c r="AM2488">
        <v>0</v>
      </c>
      <c r="AP2488" t="s">
        <v>325</v>
      </c>
    </row>
    <row r="2489" spans="1:42" customFormat="1">
      <c r="A2489">
        <v>270515</v>
      </c>
      <c r="B2489" t="s">
        <v>3330</v>
      </c>
      <c r="C2489" t="s">
        <v>3331</v>
      </c>
      <c r="D2489" s="22">
        <v>0</v>
      </c>
      <c r="E2489" s="17">
        <v>42139</v>
      </c>
      <c r="F2489" s="18">
        <v>0.39261574074074074</v>
      </c>
      <c r="G2489" s="22">
        <v>112.73</v>
      </c>
      <c r="H2489">
        <v>0</v>
      </c>
      <c r="I2489" s="19" t="e">
        <f>I2488 + (D2489-G2489)</f>
        <v>#VALUE!</v>
      </c>
      <c r="M2489">
        <v>123700</v>
      </c>
      <c r="N2489">
        <v>24</v>
      </c>
      <c r="O2489" t="s">
        <v>68</v>
      </c>
      <c r="P2489">
        <v>1</v>
      </c>
      <c r="R2489">
        <v>1579</v>
      </c>
      <c r="S2489" s="17">
        <v>42145</v>
      </c>
      <c r="T2489" s="17">
        <v>42145</v>
      </c>
      <c r="W2489">
        <v>2015</v>
      </c>
      <c r="X2489">
        <v>24</v>
      </c>
      <c r="AC2489" t="s">
        <v>94</v>
      </c>
      <c r="AD2489" t="s">
        <v>302</v>
      </c>
      <c r="AE2489" t="s">
        <v>46</v>
      </c>
      <c r="AG2489">
        <v>52</v>
      </c>
      <c r="AH2489">
        <v>10</v>
      </c>
      <c r="AI2489" t="s">
        <v>95</v>
      </c>
      <c r="AK2489">
        <v>0</v>
      </c>
      <c r="AM2489">
        <v>0</v>
      </c>
      <c r="AP2489" t="s">
        <v>325</v>
      </c>
    </row>
    <row r="2490" spans="1:42" customFormat="1">
      <c r="A2490">
        <v>270516</v>
      </c>
      <c r="B2490" t="s">
        <v>3332</v>
      </c>
      <c r="C2490" t="s">
        <v>3333</v>
      </c>
      <c r="D2490" s="22">
        <v>0</v>
      </c>
      <c r="E2490" s="17">
        <v>42139</v>
      </c>
      <c r="F2490" s="18">
        <v>0.39261574074074074</v>
      </c>
      <c r="G2490" s="22">
        <v>1127.3599999999999</v>
      </c>
      <c r="H2490">
        <v>0</v>
      </c>
      <c r="I2490" s="19" t="e">
        <f>I2489 + (D2490-G2490)</f>
        <v>#VALUE!</v>
      </c>
      <c r="M2490">
        <v>123710</v>
      </c>
      <c r="N2490">
        <v>24</v>
      </c>
      <c r="O2490" t="s">
        <v>68</v>
      </c>
      <c r="P2490">
        <v>1</v>
      </c>
      <c r="R2490">
        <v>1579</v>
      </c>
      <c r="S2490" s="17">
        <v>42145</v>
      </c>
      <c r="T2490" s="17">
        <v>42145</v>
      </c>
      <c r="W2490">
        <v>2015</v>
      </c>
      <c r="X2490">
        <v>24</v>
      </c>
      <c r="AC2490" t="s">
        <v>94</v>
      </c>
      <c r="AD2490" t="s">
        <v>302</v>
      </c>
      <c r="AE2490" t="s">
        <v>46</v>
      </c>
      <c r="AG2490">
        <v>52</v>
      </c>
      <c r="AH2490">
        <v>10</v>
      </c>
      <c r="AI2490" t="s">
        <v>95</v>
      </c>
      <c r="AK2490">
        <v>0</v>
      </c>
      <c r="AM2490">
        <v>0</v>
      </c>
      <c r="AP2490" t="s">
        <v>325</v>
      </c>
    </row>
    <row r="2491" spans="1:42" customFormat="1">
      <c r="A2491">
        <v>270517</v>
      </c>
      <c r="B2491" t="s">
        <v>3334</v>
      </c>
      <c r="C2491" t="s">
        <v>3335</v>
      </c>
      <c r="D2491" s="22">
        <v>0</v>
      </c>
      <c r="E2491" s="17">
        <v>42139</v>
      </c>
      <c r="F2491" s="18">
        <v>0.39261574074074074</v>
      </c>
      <c r="G2491" s="22">
        <v>1066.48</v>
      </c>
      <c r="H2491">
        <v>0</v>
      </c>
      <c r="I2491" s="19" t="e">
        <f>I2490 + (D2491-G2491)</f>
        <v>#VALUE!</v>
      </c>
      <c r="M2491">
        <v>123720</v>
      </c>
      <c r="N2491">
        <v>24</v>
      </c>
      <c r="O2491" t="s">
        <v>68</v>
      </c>
      <c r="P2491">
        <v>1</v>
      </c>
      <c r="R2491">
        <v>1579</v>
      </c>
      <c r="S2491" s="17">
        <v>42145</v>
      </c>
      <c r="T2491" s="17">
        <v>42145</v>
      </c>
      <c r="W2491">
        <v>2015</v>
      </c>
      <c r="X2491">
        <v>24</v>
      </c>
      <c r="AC2491" t="s">
        <v>94</v>
      </c>
      <c r="AD2491" t="s">
        <v>302</v>
      </c>
      <c r="AE2491" t="s">
        <v>46</v>
      </c>
      <c r="AG2491">
        <v>52</v>
      </c>
      <c r="AH2491">
        <v>10</v>
      </c>
      <c r="AI2491" t="s">
        <v>95</v>
      </c>
      <c r="AK2491">
        <v>0</v>
      </c>
      <c r="AM2491">
        <v>0</v>
      </c>
      <c r="AP2491" t="s">
        <v>325</v>
      </c>
    </row>
    <row r="2492" spans="1:42" customFormat="1">
      <c r="A2492">
        <v>270518</v>
      </c>
      <c r="B2492" t="s">
        <v>3336</v>
      </c>
      <c r="C2492" t="s">
        <v>3337</v>
      </c>
      <c r="D2492" s="22">
        <v>0</v>
      </c>
      <c r="E2492" s="17">
        <v>42139</v>
      </c>
      <c r="F2492" s="18">
        <v>0.39261574074074074</v>
      </c>
      <c r="G2492" s="22">
        <v>1066.46</v>
      </c>
      <c r="H2492">
        <v>0</v>
      </c>
      <c r="I2492" s="19" t="e">
        <f>I2491 + (D2492-G2492)</f>
        <v>#VALUE!</v>
      </c>
      <c r="M2492">
        <v>123701</v>
      </c>
      <c r="N2492">
        <v>24</v>
      </c>
      <c r="O2492" t="s">
        <v>68</v>
      </c>
      <c r="P2492">
        <v>1</v>
      </c>
      <c r="R2492">
        <v>1579</v>
      </c>
      <c r="S2492" s="17">
        <v>42145</v>
      </c>
      <c r="T2492" s="17">
        <v>42145</v>
      </c>
      <c r="W2492">
        <v>2015</v>
      </c>
      <c r="X2492">
        <v>24</v>
      </c>
      <c r="AC2492" t="s">
        <v>94</v>
      </c>
      <c r="AD2492" t="s">
        <v>302</v>
      </c>
      <c r="AE2492" t="s">
        <v>46</v>
      </c>
      <c r="AG2492">
        <v>52</v>
      </c>
      <c r="AH2492">
        <v>10</v>
      </c>
      <c r="AI2492" t="s">
        <v>95</v>
      </c>
      <c r="AK2492">
        <v>0</v>
      </c>
      <c r="AM2492">
        <v>0</v>
      </c>
      <c r="AP2492" t="s">
        <v>325</v>
      </c>
    </row>
    <row r="2493" spans="1:42" customFormat="1">
      <c r="A2493">
        <v>270519</v>
      </c>
      <c r="B2493" t="s">
        <v>3338</v>
      </c>
      <c r="C2493" t="s">
        <v>3339</v>
      </c>
      <c r="D2493" s="22">
        <v>0</v>
      </c>
      <c r="E2493" s="17">
        <v>42139</v>
      </c>
      <c r="F2493" s="18">
        <v>0.39261574074074074</v>
      </c>
      <c r="G2493" s="22">
        <v>1127.3599999999999</v>
      </c>
      <c r="H2493">
        <v>0</v>
      </c>
      <c r="I2493" s="19" t="e">
        <f>I2492 + (D2493-G2493)</f>
        <v>#VALUE!</v>
      </c>
      <c r="M2493">
        <v>123711</v>
      </c>
      <c r="N2493">
        <v>24</v>
      </c>
      <c r="O2493" t="s">
        <v>68</v>
      </c>
      <c r="P2493">
        <v>1</v>
      </c>
      <c r="R2493">
        <v>1579</v>
      </c>
      <c r="S2493" s="17">
        <v>42145</v>
      </c>
      <c r="T2493" s="17">
        <v>42145</v>
      </c>
      <c r="W2493">
        <v>2015</v>
      </c>
      <c r="X2493">
        <v>24</v>
      </c>
      <c r="AC2493" t="s">
        <v>94</v>
      </c>
      <c r="AD2493" t="s">
        <v>302</v>
      </c>
      <c r="AE2493" t="s">
        <v>46</v>
      </c>
      <c r="AG2493">
        <v>52</v>
      </c>
      <c r="AH2493">
        <v>10</v>
      </c>
      <c r="AI2493" t="s">
        <v>95</v>
      </c>
      <c r="AK2493">
        <v>0</v>
      </c>
      <c r="AM2493">
        <v>0</v>
      </c>
      <c r="AP2493" t="s">
        <v>325</v>
      </c>
    </row>
    <row r="2494" spans="1:42" customFormat="1">
      <c r="A2494">
        <v>270520</v>
      </c>
      <c r="B2494" t="s">
        <v>3340</v>
      </c>
      <c r="C2494" t="s">
        <v>3341</v>
      </c>
      <c r="D2494" s="22">
        <v>0</v>
      </c>
      <c r="E2494" s="17">
        <v>42139</v>
      </c>
      <c r="F2494" s="18">
        <v>0.39261574074074074</v>
      </c>
      <c r="G2494" s="22">
        <v>1066.48</v>
      </c>
      <c r="H2494">
        <v>0</v>
      </c>
      <c r="I2494" s="19" t="e">
        <f>I2493 + (D2494-G2494)</f>
        <v>#VALUE!</v>
      </c>
      <c r="M2494">
        <v>123721</v>
      </c>
      <c r="N2494">
        <v>24</v>
      </c>
      <c r="O2494" t="s">
        <v>68</v>
      </c>
      <c r="P2494">
        <v>1</v>
      </c>
      <c r="R2494">
        <v>1579</v>
      </c>
      <c r="S2494" s="17">
        <v>42145</v>
      </c>
      <c r="T2494" s="17">
        <v>42145</v>
      </c>
      <c r="W2494">
        <v>2015</v>
      </c>
      <c r="X2494">
        <v>24</v>
      </c>
      <c r="AC2494" t="s">
        <v>94</v>
      </c>
      <c r="AD2494" t="s">
        <v>302</v>
      </c>
      <c r="AE2494" t="s">
        <v>46</v>
      </c>
      <c r="AG2494">
        <v>52</v>
      </c>
      <c r="AH2494">
        <v>10</v>
      </c>
      <c r="AI2494" t="s">
        <v>95</v>
      </c>
      <c r="AK2494">
        <v>0</v>
      </c>
      <c r="AM2494">
        <v>0</v>
      </c>
      <c r="AP2494" t="s">
        <v>325</v>
      </c>
    </row>
    <row r="2495" spans="1:42" customFormat="1">
      <c r="A2495">
        <v>270521</v>
      </c>
      <c r="B2495" t="s">
        <v>3342</v>
      </c>
      <c r="C2495" t="s">
        <v>3343</v>
      </c>
      <c r="D2495" s="22">
        <v>0</v>
      </c>
      <c r="E2495" s="17">
        <v>42139</v>
      </c>
      <c r="F2495" s="18">
        <v>0.39261574074074074</v>
      </c>
      <c r="G2495" s="22">
        <v>1066.46</v>
      </c>
      <c r="H2495">
        <v>0</v>
      </c>
      <c r="I2495" s="19" t="e">
        <f>I2494 + (D2495-G2495)</f>
        <v>#VALUE!</v>
      </c>
      <c r="M2495">
        <v>123702</v>
      </c>
      <c r="N2495">
        <v>24</v>
      </c>
      <c r="O2495" t="s">
        <v>68</v>
      </c>
      <c r="P2495">
        <v>1</v>
      </c>
      <c r="R2495">
        <v>1579</v>
      </c>
      <c r="S2495" s="17">
        <v>42145</v>
      </c>
      <c r="T2495" s="17">
        <v>42145</v>
      </c>
      <c r="W2495">
        <v>2015</v>
      </c>
      <c r="X2495">
        <v>24</v>
      </c>
      <c r="AC2495" t="s">
        <v>94</v>
      </c>
      <c r="AD2495" t="s">
        <v>302</v>
      </c>
      <c r="AE2495" t="s">
        <v>46</v>
      </c>
      <c r="AG2495">
        <v>52</v>
      </c>
      <c r="AH2495">
        <v>10</v>
      </c>
      <c r="AI2495" t="s">
        <v>95</v>
      </c>
      <c r="AK2495">
        <v>0</v>
      </c>
      <c r="AM2495">
        <v>0</v>
      </c>
      <c r="AP2495" t="s">
        <v>325</v>
      </c>
    </row>
    <row r="2496" spans="1:42" customFormat="1">
      <c r="A2496">
        <v>270522</v>
      </c>
      <c r="B2496" t="s">
        <v>3344</v>
      </c>
      <c r="C2496" t="s">
        <v>3345</v>
      </c>
      <c r="D2496" s="22">
        <v>0</v>
      </c>
      <c r="E2496" s="17">
        <v>42139</v>
      </c>
      <c r="F2496" s="18">
        <v>0.39261574074074074</v>
      </c>
      <c r="G2496" s="22">
        <v>1127.3599999999999</v>
      </c>
      <c r="H2496">
        <v>0</v>
      </c>
      <c r="I2496" s="19" t="e">
        <f>I2495 + (D2496-G2496)</f>
        <v>#VALUE!</v>
      </c>
      <c r="M2496">
        <v>123712</v>
      </c>
      <c r="N2496">
        <v>24</v>
      </c>
      <c r="O2496" t="s">
        <v>68</v>
      </c>
      <c r="P2496">
        <v>1</v>
      </c>
      <c r="R2496">
        <v>1579</v>
      </c>
      <c r="S2496" s="17">
        <v>42145</v>
      </c>
      <c r="T2496" s="17">
        <v>42145</v>
      </c>
      <c r="W2496">
        <v>2015</v>
      </c>
      <c r="X2496">
        <v>24</v>
      </c>
      <c r="AC2496" t="s">
        <v>94</v>
      </c>
      <c r="AD2496" t="s">
        <v>302</v>
      </c>
      <c r="AE2496" t="s">
        <v>46</v>
      </c>
      <c r="AG2496">
        <v>52</v>
      </c>
      <c r="AH2496">
        <v>10</v>
      </c>
      <c r="AI2496" t="s">
        <v>95</v>
      </c>
      <c r="AK2496">
        <v>0</v>
      </c>
      <c r="AM2496">
        <v>0</v>
      </c>
      <c r="AP2496" t="s">
        <v>325</v>
      </c>
    </row>
    <row r="2497" spans="1:42" customFormat="1">
      <c r="A2497">
        <v>270523</v>
      </c>
      <c r="B2497" t="s">
        <v>3346</v>
      </c>
      <c r="C2497" t="s">
        <v>3347</v>
      </c>
      <c r="D2497" s="22">
        <v>0</v>
      </c>
      <c r="E2497" s="17">
        <v>42139</v>
      </c>
      <c r="F2497" s="18">
        <v>0.39261574074074074</v>
      </c>
      <c r="G2497" s="22">
        <v>1066.48</v>
      </c>
      <c r="H2497">
        <v>0</v>
      </c>
      <c r="I2497" s="19" t="e">
        <f>I2496 + (D2497-G2497)</f>
        <v>#VALUE!</v>
      </c>
      <c r="M2497">
        <v>123722</v>
      </c>
      <c r="N2497">
        <v>24</v>
      </c>
      <c r="O2497" t="s">
        <v>68</v>
      </c>
      <c r="P2497">
        <v>1</v>
      </c>
      <c r="R2497">
        <v>1579</v>
      </c>
      <c r="S2497" s="17">
        <v>42145</v>
      </c>
      <c r="T2497" s="17">
        <v>42145</v>
      </c>
      <c r="W2497">
        <v>2015</v>
      </c>
      <c r="X2497">
        <v>24</v>
      </c>
      <c r="AC2497" t="s">
        <v>94</v>
      </c>
      <c r="AD2497" t="s">
        <v>302</v>
      </c>
      <c r="AE2497" t="s">
        <v>46</v>
      </c>
      <c r="AG2497">
        <v>52</v>
      </c>
      <c r="AH2497">
        <v>10</v>
      </c>
      <c r="AI2497" t="s">
        <v>95</v>
      </c>
      <c r="AK2497">
        <v>0</v>
      </c>
      <c r="AM2497">
        <v>0</v>
      </c>
      <c r="AP2497" t="s">
        <v>325</v>
      </c>
    </row>
    <row r="2498" spans="1:42" customFormat="1">
      <c r="A2498">
        <v>270513</v>
      </c>
      <c r="B2498" t="s">
        <v>3348</v>
      </c>
      <c r="C2498" t="s">
        <v>3349</v>
      </c>
      <c r="D2498" s="22">
        <v>0</v>
      </c>
      <c r="E2498" s="17">
        <v>42139</v>
      </c>
      <c r="F2498" s="18">
        <v>0.39261574074074074</v>
      </c>
      <c r="G2498" s="22">
        <v>1066.46</v>
      </c>
      <c r="H2498">
        <v>0</v>
      </c>
      <c r="I2498" s="19" t="e">
        <f>I2497 + (D2498-G2498)</f>
        <v>#VALUE!</v>
      </c>
      <c r="M2498">
        <v>123709</v>
      </c>
      <c r="N2498">
        <v>24</v>
      </c>
      <c r="O2498" t="s">
        <v>68</v>
      </c>
      <c r="P2498">
        <v>1</v>
      </c>
      <c r="R2498">
        <v>1579</v>
      </c>
      <c r="S2498" s="17">
        <v>42145</v>
      </c>
      <c r="T2498" s="17">
        <v>42145</v>
      </c>
      <c r="W2498">
        <v>2015</v>
      </c>
      <c r="X2498">
        <v>24</v>
      </c>
      <c r="AC2498" t="s">
        <v>94</v>
      </c>
      <c r="AD2498" t="s">
        <v>302</v>
      </c>
      <c r="AE2498" t="s">
        <v>46</v>
      </c>
      <c r="AG2498">
        <v>52</v>
      </c>
      <c r="AH2498">
        <v>10</v>
      </c>
      <c r="AI2498" t="s">
        <v>95</v>
      </c>
      <c r="AK2498">
        <v>0</v>
      </c>
      <c r="AM2498">
        <v>0</v>
      </c>
      <c r="AP2498" t="s">
        <v>325</v>
      </c>
    </row>
    <row r="2499" spans="1:42" customFormat="1">
      <c r="A2499">
        <v>270514</v>
      </c>
      <c r="B2499" t="s">
        <v>3350</v>
      </c>
      <c r="C2499" t="s">
        <v>3351</v>
      </c>
      <c r="D2499" s="22">
        <v>0</v>
      </c>
      <c r="E2499" s="17">
        <v>42139</v>
      </c>
      <c r="F2499" s="18">
        <v>0.39261574074074074</v>
      </c>
      <c r="G2499" s="22">
        <v>1066.48</v>
      </c>
      <c r="H2499">
        <v>0</v>
      </c>
      <c r="I2499" s="19" t="e">
        <f>I2498 + (D2499-G2499)</f>
        <v>#VALUE!</v>
      </c>
      <c r="M2499">
        <v>123719</v>
      </c>
      <c r="N2499">
        <v>24</v>
      </c>
      <c r="O2499" t="s">
        <v>68</v>
      </c>
      <c r="P2499">
        <v>1</v>
      </c>
      <c r="R2499">
        <v>1579</v>
      </c>
      <c r="S2499" s="17">
        <v>42145</v>
      </c>
      <c r="T2499" s="17">
        <v>42145</v>
      </c>
      <c r="W2499">
        <v>2015</v>
      </c>
      <c r="X2499">
        <v>24</v>
      </c>
      <c r="AC2499" t="s">
        <v>94</v>
      </c>
      <c r="AD2499" t="s">
        <v>302</v>
      </c>
      <c r="AE2499" t="s">
        <v>46</v>
      </c>
      <c r="AG2499">
        <v>52</v>
      </c>
      <c r="AH2499">
        <v>10</v>
      </c>
      <c r="AI2499" t="s">
        <v>95</v>
      </c>
      <c r="AK2499">
        <v>0</v>
      </c>
      <c r="AM2499">
        <v>0</v>
      </c>
      <c r="AP2499" t="s">
        <v>325</v>
      </c>
    </row>
    <row r="2500" spans="1:42" customFormat="1">
      <c r="A2500">
        <v>270512</v>
      </c>
      <c r="B2500" t="s">
        <v>3352</v>
      </c>
      <c r="C2500" t="s">
        <v>3353</v>
      </c>
      <c r="D2500" s="22">
        <v>0</v>
      </c>
      <c r="E2500" s="17">
        <v>42139</v>
      </c>
      <c r="F2500" s="18">
        <v>0.39261574074074074</v>
      </c>
      <c r="G2500" s="22">
        <v>74.73</v>
      </c>
      <c r="H2500">
        <v>0</v>
      </c>
      <c r="I2500" s="19" t="e">
        <f>I2499 + (D2500-G2500)</f>
        <v>#VALUE!</v>
      </c>
      <c r="M2500">
        <v>123699</v>
      </c>
      <c r="N2500">
        <v>24</v>
      </c>
      <c r="O2500" t="s">
        <v>68</v>
      </c>
      <c r="P2500">
        <v>1</v>
      </c>
      <c r="R2500">
        <v>1579</v>
      </c>
      <c r="S2500" s="17">
        <v>42145</v>
      </c>
      <c r="T2500" s="17">
        <v>42145</v>
      </c>
      <c r="W2500">
        <v>2015</v>
      </c>
      <c r="X2500">
        <v>24</v>
      </c>
      <c r="AC2500" t="s">
        <v>94</v>
      </c>
      <c r="AD2500" t="s">
        <v>302</v>
      </c>
      <c r="AE2500" t="s">
        <v>46</v>
      </c>
      <c r="AG2500">
        <v>52</v>
      </c>
      <c r="AH2500">
        <v>10</v>
      </c>
      <c r="AI2500" t="s">
        <v>95</v>
      </c>
      <c r="AK2500">
        <v>0</v>
      </c>
      <c r="AM2500">
        <v>0</v>
      </c>
      <c r="AP2500" t="s">
        <v>325</v>
      </c>
    </row>
    <row r="2501" spans="1:42" customFormat="1">
      <c r="A2501">
        <v>270526</v>
      </c>
      <c r="B2501" t="s">
        <v>3357</v>
      </c>
      <c r="C2501" t="s">
        <v>3358</v>
      </c>
      <c r="D2501" s="22">
        <v>0</v>
      </c>
      <c r="E2501" s="17">
        <v>42139</v>
      </c>
      <c r="F2501" s="18">
        <v>0.39959490740740744</v>
      </c>
      <c r="G2501" s="22">
        <v>1724</v>
      </c>
      <c r="H2501">
        <v>0</v>
      </c>
      <c r="I2501" s="19" t="e">
        <f>I2500 + (D2501-G2501)</f>
        <v>#VALUE!</v>
      </c>
      <c r="M2501">
        <v>123730</v>
      </c>
      <c r="N2501">
        <v>24</v>
      </c>
      <c r="O2501" t="s">
        <v>68</v>
      </c>
      <c r="P2501">
        <v>1</v>
      </c>
      <c r="R2501">
        <v>1579</v>
      </c>
      <c r="S2501" s="17">
        <v>42145</v>
      </c>
      <c r="T2501" s="17">
        <v>42145</v>
      </c>
      <c r="W2501">
        <v>2015</v>
      </c>
      <c r="X2501">
        <v>24</v>
      </c>
      <c r="AC2501" t="s">
        <v>94</v>
      </c>
      <c r="AD2501" t="s">
        <v>302</v>
      </c>
      <c r="AE2501" t="s">
        <v>46</v>
      </c>
      <c r="AG2501">
        <v>52</v>
      </c>
      <c r="AH2501">
        <v>10</v>
      </c>
      <c r="AI2501" t="s">
        <v>95</v>
      </c>
      <c r="AK2501">
        <v>0</v>
      </c>
      <c r="AM2501">
        <v>0</v>
      </c>
      <c r="AP2501" t="s">
        <v>325</v>
      </c>
    </row>
    <row r="2502" spans="1:42" customFormat="1">
      <c r="A2502">
        <v>270527</v>
      </c>
      <c r="B2502" t="s">
        <v>3359</v>
      </c>
      <c r="C2502" t="s">
        <v>3360</v>
      </c>
      <c r="D2502" s="22">
        <v>0</v>
      </c>
      <c r="E2502" s="17">
        <v>42139</v>
      </c>
      <c r="F2502" s="18">
        <v>0.39959490740740744</v>
      </c>
      <c r="G2502" s="22">
        <v>1724</v>
      </c>
      <c r="H2502">
        <v>0</v>
      </c>
      <c r="I2502" s="19" t="e">
        <f>I2501 + (D2502-G2502)</f>
        <v>#VALUE!</v>
      </c>
      <c r="M2502">
        <v>123731</v>
      </c>
      <c r="N2502">
        <v>24</v>
      </c>
      <c r="O2502" t="s">
        <v>68</v>
      </c>
      <c r="P2502">
        <v>1</v>
      </c>
      <c r="R2502">
        <v>1579</v>
      </c>
      <c r="S2502" s="17">
        <v>42145</v>
      </c>
      <c r="T2502" s="17">
        <v>42145</v>
      </c>
      <c r="W2502">
        <v>2015</v>
      </c>
      <c r="X2502">
        <v>24</v>
      </c>
      <c r="AC2502" t="s">
        <v>94</v>
      </c>
      <c r="AD2502" t="s">
        <v>302</v>
      </c>
      <c r="AE2502" t="s">
        <v>46</v>
      </c>
      <c r="AG2502">
        <v>52</v>
      </c>
      <c r="AH2502">
        <v>10</v>
      </c>
      <c r="AI2502" t="s">
        <v>95</v>
      </c>
      <c r="AK2502">
        <v>0</v>
      </c>
      <c r="AM2502">
        <v>0</v>
      </c>
      <c r="AP2502" t="s">
        <v>325</v>
      </c>
    </row>
    <row r="2503" spans="1:42" customFormat="1">
      <c r="A2503">
        <v>270524</v>
      </c>
      <c r="B2503" t="s">
        <v>3361</v>
      </c>
      <c r="C2503" t="s">
        <v>3362</v>
      </c>
      <c r="D2503" s="22">
        <v>0</v>
      </c>
      <c r="E2503" s="17">
        <v>42139</v>
      </c>
      <c r="F2503" s="18">
        <v>0.39959490740740744</v>
      </c>
      <c r="G2503" s="22">
        <v>1724</v>
      </c>
      <c r="H2503">
        <v>0</v>
      </c>
      <c r="I2503" s="19" t="e">
        <f>I2502 + (D2503-G2503)</f>
        <v>#VALUE!</v>
      </c>
      <c r="M2503">
        <v>123728</v>
      </c>
      <c r="N2503">
        <v>24</v>
      </c>
      <c r="O2503" t="s">
        <v>68</v>
      </c>
      <c r="P2503">
        <v>1</v>
      </c>
      <c r="R2503">
        <v>1579</v>
      </c>
      <c r="S2503" s="17">
        <v>42145</v>
      </c>
      <c r="T2503" s="17">
        <v>42145</v>
      </c>
      <c r="W2503">
        <v>2015</v>
      </c>
      <c r="X2503">
        <v>24</v>
      </c>
      <c r="AC2503" t="s">
        <v>94</v>
      </c>
      <c r="AD2503" t="s">
        <v>302</v>
      </c>
      <c r="AE2503" t="s">
        <v>46</v>
      </c>
      <c r="AG2503">
        <v>52</v>
      </c>
      <c r="AH2503">
        <v>10</v>
      </c>
      <c r="AI2503" t="s">
        <v>95</v>
      </c>
      <c r="AK2503">
        <v>0</v>
      </c>
      <c r="AM2503">
        <v>0</v>
      </c>
      <c r="AP2503" t="s">
        <v>325</v>
      </c>
    </row>
    <row r="2504" spans="1:42" customFormat="1">
      <c r="A2504">
        <v>270525</v>
      </c>
      <c r="B2504" t="s">
        <v>3363</v>
      </c>
      <c r="C2504" t="s">
        <v>3364</v>
      </c>
      <c r="D2504" s="22">
        <v>0</v>
      </c>
      <c r="E2504" s="17">
        <v>42139</v>
      </c>
      <c r="F2504" s="18">
        <v>0.39959490740740744</v>
      </c>
      <c r="G2504" s="22">
        <v>999.9</v>
      </c>
      <c r="H2504">
        <v>0</v>
      </c>
      <c r="I2504" s="19" t="e">
        <f>I2503 + (D2504-G2504)</f>
        <v>#VALUE!</v>
      </c>
      <c r="M2504">
        <v>123729</v>
      </c>
      <c r="N2504">
        <v>24</v>
      </c>
      <c r="O2504" t="s">
        <v>68</v>
      </c>
      <c r="P2504">
        <v>1</v>
      </c>
      <c r="R2504">
        <v>1579</v>
      </c>
      <c r="S2504" s="17">
        <v>42145</v>
      </c>
      <c r="T2504" s="17">
        <v>42145</v>
      </c>
      <c r="W2504">
        <v>2015</v>
      </c>
      <c r="X2504">
        <v>24</v>
      </c>
      <c r="AC2504" t="s">
        <v>94</v>
      </c>
      <c r="AD2504" t="s">
        <v>302</v>
      </c>
      <c r="AE2504" t="s">
        <v>46</v>
      </c>
      <c r="AG2504">
        <v>52</v>
      </c>
      <c r="AH2504">
        <v>10</v>
      </c>
      <c r="AI2504" t="s">
        <v>95</v>
      </c>
      <c r="AK2504">
        <v>0</v>
      </c>
      <c r="AM2504">
        <v>0</v>
      </c>
      <c r="AP2504" t="s">
        <v>325</v>
      </c>
    </row>
    <row r="2505" spans="1:42" customFormat="1">
      <c r="A2505">
        <v>270799</v>
      </c>
      <c r="B2505" t="s">
        <v>3855</v>
      </c>
      <c r="C2505" t="s">
        <v>3856</v>
      </c>
      <c r="D2505" s="22">
        <v>0</v>
      </c>
      <c r="E2505" s="17">
        <v>42144</v>
      </c>
      <c r="F2505" s="18">
        <v>0.54576388888888883</v>
      </c>
      <c r="G2505" s="22">
        <v>1760.94</v>
      </c>
      <c r="H2505">
        <v>0</v>
      </c>
      <c r="I2505" s="19" t="e">
        <f>I2504 + (D2505-G2505)</f>
        <v>#VALUE!</v>
      </c>
      <c r="M2505">
        <v>123901</v>
      </c>
      <c r="N2505">
        <v>24</v>
      </c>
      <c r="O2505" t="s">
        <v>68</v>
      </c>
      <c r="P2505">
        <v>1</v>
      </c>
      <c r="R2505">
        <v>1579</v>
      </c>
      <c r="S2505" s="17">
        <v>42146</v>
      </c>
      <c r="T2505" s="17">
        <v>42146</v>
      </c>
      <c r="W2505">
        <v>2015</v>
      </c>
      <c r="X2505">
        <v>24</v>
      </c>
      <c r="AC2505" t="s">
        <v>94</v>
      </c>
      <c r="AD2505" t="s">
        <v>302</v>
      </c>
      <c r="AE2505" t="s">
        <v>46</v>
      </c>
      <c r="AG2505">
        <v>52</v>
      </c>
      <c r="AH2505">
        <v>10</v>
      </c>
      <c r="AI2505" t="s">
        <v>95</v>
      </c>
      <c r="AK2505">
        <v>0</v>
      </c>
      <c r="AM2505">
        <v>0</v>
      </c>
      <c r="AP2505" t="s">
        <v>325</v>
      </c>
    </row>
    <row r="2506" spans="1:42" customFormat="1">
      <c r="A2506">
        <v>270800</v>
      </c>
      <c r="B2506" t="s">
        <v>3857</v>
      </c>
      <c r="C2506" t="s">
        <v>3858</v>
      </c>
      <c r="D2506" s="22">
        <v>0</v>
      </c>
      <c r="E2506" s="17">
        <v>42144</v>
      </c>
      <c r="F2506" s="18">
        <v>0.54576388888888883</v>
      </c>
      <c r="G2506" s="22">
        <v>1760.94</v>
      </c>
      <c r="H2506">
        <v>0</v>
      </c>
      <c r="I2506" s="19" t="e">
        <f>I2505 + (D2506-G2506)</f>
        <v>#VALUE!</v>
      </c>
      <c r="M2506">
        <v>123902</v>
      </c>
      <c r="N2506">
        <v>24</v>
      </c>
      <c r="O2506" t="s">
        <v>68</v>
      </c>
      <c r="P2506">
        <v>1</v>
      </c>
      <c r="R2506">
        <v>1579</v>
      </c>
      <c r="S2506" s="17">
        <v>42146</v>
      </c>
      <c r="T2506" s="17">
        <v>42146</v>
      </c>
      <c r="W2506">
        <v>2015</v>
      </c>
      <c r="X2506">
        <v>24</v>
      </c>
      <c r="AC2506" t="s">
        <v>94</v>
      </c>
      <c r="AD2506" t="s">
        <v>302</v>
      </c>
      <c r="AE2506" t="s">
        <v>46</v>
      </c>
      <c r="AG2506">
        <v>52</v>
      </c>
      <c r="AH2506">
        <v>10</v>
      </c>
      <c r="AI2506" t="s">
        <v>95</v>
      </c>
      <c r="AK2506">
        <v>0</v>
      </c>
      <c r="AM2506">
        <v>0</v>
      </c>
      <c r="AP2506" t="s">
        <v>325</v>
      </c>
    </row>
    <row r="2507" spans="1:42" customFormat="1">
      <c r="A2507">
        <v>270801</v>
      </c>
      <c r="B2507" t="s">
        <v>3859</v>
      </c>
      <c r="C2507" t="s">
        <v>3860</v>
      </c>
      <c r="D2507" s="22">
        <v>0</v>
      </c>
      <c r="E2507" s="17">
        <v>42144</v>
      </c>
      <c r="F2507" s="18">
        <v>0.54576388888888883</v>
      </c>
      <c r="G2507" s="22">
        <v>1724</v>
      </c>
      <c r="H2507">
        <v>0</v>
      </c>
      <c r="I2507" s="19" t="e">
        <f>I2506 + (D2507-G2507)</f>
        <v>#VALUE!</v>
      </c>
      <c r="M2507">
        <v>123903</v>
      </c>
      <c r="N2507">
        <v>24</v>
      </c>
      <c r="O2507" t="s">
        <v>68</v>
      </c>
      <c r="P2507">
        <v>1</v>
      </c>
      <c r="R2507">
        <v>1579</v>
      </c>
      <c r="S2507" s="17">
        <v>42146</v>
      </c>
      <c r="T2507" s="17">
        <v>42146</v>
      </c>
      <c r="W2507">
        <v>2015</v>
      </c>
      <c r="X2507">
        <v>24</v>
      </c>
      <c r="AC2507" t="s">
        <v>94</v>
      </c>
      <c r="AD2507" t="s">
        <v>302</v>
      </c>
      <c r="AE2507" t="s">
        <v>46</v>
      </c>
      <c r="AG2507">
        <v>52</v>
      </c>
      <c r="AH2507">
        <v>10</v>
      </c>
      <c r="AI2507" t="s">
        <v>95</v>
      </c>
      <c r="AK2507">
        <v>0</v>
      </c>
      <c r="AM2507">
        <v>0</v>
      </c>
      <c r="AP2507" t="s">
        <v>325</v>
      </c>
    </row>
    <row r="2508" spans="1:42" customFormat="1">
      <c r="A2508">
        <v>270802</v>
      </c>
      <c r="B2508" t="s">
        <v>3861</v>
      </c>
      <c r="C2508" t="s">
        <v>3862</v>
      </c>
      <c r="D2508" s="22">
        <v>0</v>
      </c>
      <c r="E2508" s="17">
        <v>42144</v>
      </c>
      <c r="F2508" s="18">
        <v>0.54576388888888883</v>
      </c>
      <c r="G2508" s="22">
        <v>1051</v>
      </c>
      <c r="H2508">
        <v>0</v>
      </c>
      <c r="I2508" s="19" t="e">
        <f>I2507 + (D2508-G2508)</f>
        <v>#VALUE!</v>
      </c>
      <c r="M2508">
        <v>123904</v>
      </c>
      <c r="N2508">
        <v>24</v>
      </c>
      <c r="O2508" t="s">
        <v>68</v>
      </c>
      <c r="P2508">
        <v>1</v>
      </c>
      <c r="R2508">
        <v>1579</v>
      </c>
      <c r="S2508" s="17">
        <v>42146</v>
      </c>
      <c r="T2508" s="17">
        <v>42146</v>
      </c>
      <c r="W2508">
        <v>2015</v>
      </c>
      <c r="X2508">
        <v>24</v>
      </c>
      <c r="AC2508" t="s">
        <v>94</v>
      </c>
      <c r="AD2508" t="s">
        <v>302</v>
      </c>
      <c r="AE2508" t="s">
        <v>46</v>
      </c>
      <c r="AG2508">
        <v>52</v>
      </c>
      <c r="AH2508">
        <v>10</v>
      </c>
      <c r="AI2508" t="s">
        <v>95</v>
      </c>
      <c r="AK2508">
        <v>0</v>
      </c>
      <c r="AM2508">
        <v>0</v>
      </c>
      <c r="AP2508" t="s">
        <v>325</v>
      </c>
    </row>
    <row r="2509" spans="1:42" customFormat="1">
      <c r="A2509">
        <v>270835</v>
      </c>
      <c r="B2509" t="s">
        <v>4097</v>
      </c>
      <c r="C2509" t="s">
        <v>4098</v>
      </c>
      <c r="D2509" s="22">
        <v>0</v>
      </c>
      <c r="E2509" s="17">
        <v>42145</v>
      </c>
      <c r="F2509" s="18">
        <v>0.55003472222222227</v>
      </c>
      <c r="G2509" s="22">
        <v>1111</v>
      </c>
      <c r="H2509">
        <v>0</v>
      </c>
      <c r="I2509" s="19" t="e">
        <f>I2508 + (D2509-G2509)</f>
        <v>#VALUE!</v>
      </c>
      <c r="M2509">
        <v>123934</v>
      </c>
      <c r="N2509">
        <v>24</v>
      </c>
      <c r="O2509" t="s">
        <v>68</v>
      </c>
      <c r="P2509">
        <v>1</v>
      </c>
      <c r="R2509">
        <v>1579</v>
      </c>
      <c r="S2509" s="17">
        <v>42146</v>
      </c>
      <c r="T2509" s="17">
        <v>42146</v>
      </c>
      <c r="W2509">
        <v>2015</v>
      </c>
      <c r="X2509">
        <v>24</v>
      </c>
      <c r="AC2509" t="s">
        <v>94</v>
      </c>
      <c r="AD2509" t="s">
        <v>302</v>
      </c>
      <c r="AE2509" t="s">
        <v>46</v>
      </c>
      <c r="AG2509">
        <v>52</v>
      </c>
      <c r="AH2509">
        <v>10</v>
      </c>
      <c r="AI2509" t="s">
        <v>95</v>
      </c>
      <c r="AK2509">
        <v>0</v>
      </c>
      <c r="AM2509">
        <v>0</v>
      </c>
      <c r="AP2509" t="s">
        <v>325</v>
      </c>
    </row>
    <row r="2510" spans="1:42" customFormat="1">
      <c r="A2510">
        <v>271213</v>
      </c>
      <c r="B2510" t="s">
        <v>4468</v>
      </c>
      <c r="C2510" t="s">
        <v>4469</v>
      </c>
      <c r="D2510" s="22">
        <v>0</v>
      </c>
      <c r="E2510" s="17">
        <v>42146</v>
      </c>
      <c r="F2510" s="18">
        <v>0.60512731481481474</v>
      </c>
      <c r="G2510" s="22">
        <v>1111</v>
      </c>
      <c r="H2510">
        <v>0</v>
      </c>
      <c r="I2510" s="19" t="e">
        <f>I2509 + (D2510-G2510)</f>
        <v>#VALUE!</v>
      </c>
      <c r="M2510">
        <v>124188</v>
      </c>
      <c r="N2510">
        <v>24</v>
      </c>
      <c r="O2510" t="s">
        <v>68</v>
      </c>
      <c r="P2510">
        <v>1</v>
      </c>
      <c r="R2510">
        <v>1579</v>
      </c>
      <c r="S2510" s="17">
        <v>42150</v>
      </c>
      <c r="T2510" s="17">
        <v>42150</v>
      </c>
      <c r="W2510">
        <v>2015</v>
      </c>
      <c r="X2510">
        <v>24</v>
      </c>
      <c r="AC2510" t="s">
        <v>94</v>
      </c>
      <c r="AD2510" t="s">
        <v>302</v>
      </c>
      <c r="AE2510" t="s">
        <v>46</v>
      </c>
      <c r="AG2510">
        <v>52</v>
      </c>
      <c r="AH2510">
        <v>10</v>
      </c>
      <c r="AI2510" t="s">
        <v>95</v>
      </c>
      <c r="AK2510">
        <v>0</v>
      </c>
      <c r="AM2510">
        <v>0</v>
      </c>
      <c r="AP2510" t="s">
        <v>325</v>
      </c>
    </row>
    <row r="2511" spans="1:42" customFormat="1">
      <c r="A2511">
        <v>272886</v>
      </c>
      <c r="B2511" t="s">
        <v>4611</v>
      </c>
      <c r="C2511" t="s">
        <v>4612</v>
      </c>
      <c r="D2511" s="22">
        <v>0</v>
      </c>
      <c r="E2511" s="17">
        <v>42149</v>
      </c>
      <c r="F2511" s="18">
        <v>0.5976041666666666</v>
      </c>
      <c r="G2511" s="22">
        <v>1051</v>
      </c>
      <c r="H2511">
        <v>0</v>
      </c>
      <c r="I2511" s="19" t="e">
        <f>I2510 + (D2511-G2511)</f>
        <v>#VALUE!</v>
      </c>
      <c r="M2511">
        <v>125097</v>
      </c>
      <c r="N2511">
        <v>60</v>
      </c>
      <c r="O2511" t="s">
        <v>60</v>
      </c>
      <c r="P2511">
        <v>1</v>
      </c>
      <c r="R2511">
        <v>1579</v>
      </c>
      <c r="S2511" s="17">
        <v>42166</v>
      </c>
      <c r="T2511" s="17">
        <v>42166</v>
      </c>
      <c r="W2511">
        <v>2015</v>
      </c>
      <c r="X2511">
        <v>60</v>
      </c>
      <c r="AC2511" t="s">
        <v>94</v>
      </c>
      <c r="AD2511" t="s">
        <v>302</v>
      </c>
      <c r="AE2511" t="s">
        <v>46</v>
      </c>
      <c r="AG2511">
        <v>52</v>
      </c>
      <c r="AH2511">
        <v>10</v>
      </c>
      <c r="AI2511" t="s">
        <v>95</v>
      </c>
      <c r="AK2511">
        <v>0</v>
      </c>
      <c r="AM2511">
        <v>0</v>
      </c>
      <c r="AP2511" t="s">
        <v>325</v>
      </c>
    </row>
    <row r="2512" spans="1:42" customFormat="1">
      <c r="A2512">
        <v>272887</v>
      </c>
      <c r="B2512" t="s">
        <v>4613</v>
      </c>
      <c r="C2512" t="s">
        <v>4614</v>
      </c>
      <c r="D2512" s="22">
        <v>0</v>
      </c>
      <c r="E2512" s="17">
        <v>42149</v>
      </c>
      <c r="F2512" s="18">
        <v>0.5976041666666666</v>
      </c>
      <c r="G2512" s="22">
        <v>1111</v>
      </c>
      <c r="H2512">
        <v>0</v>
      </c>
      <c r="I2512" s="19" t="e">
        <f>I2511 + (D2512-G2512)</f>
        <v>#VALUE!</v>
      </c>
      <c r="M2512">
        <v>125098</v>
      </c>
      <c r="N2512">
        <v>60</v>
      </c>
      <c r="O2512" t="s">
        <v>60</v>
      </c>
      <c r="P2512">
        <v>1</v>
      </c>
      <c r="R2512">
        <v>1579</v>
      </c>
      <c r="S2512" s="17">
        <v>42166</v>
      </c>
      <c r="T2512" s="17">
        <v>42166</v>
      </c>
      <c r="W2512">
        <v>2015</v>
      </c>
      <c r="X2512">
        <v>60</v>
      </c>
      <c r="AC2512" t="s">
        <v>94</v>
      </c>
      <c r="AD2512" t="s">
        <v>302</v>
      </c>
      <c r="AE2512" t="s">
        <v>46</v>
      </c>
      <c r="AG2512">
        <v>52</v>
      </c>
      <c r="AH2512">
        <v>10</v>
      </c>
      <c r="AI2512" t="s">
        <v>95</v>
      </c>
      <c r="AK2512">
        <v>0</v>
      </c>
      <c r="AM2512">
        <v>0</v>
      </c>
      <c r="AP2512" t="s">
        <v>325</v>
      </c>
    </row>
    <row r="2513" spans="1:42" customFormat="1">
      <c r="A2513">
        <v>272888</v>
      </c>
      <c r="B2513" t="s">
        <v>4615</v>
      </c>
      <c r="C2513" t="s">
        <v>4616</v>
      </c>
      <c r="D2513" s="22">
        <v>0</v>
      </c>
      <c r="E2513" s="17">
        <v>42149</v>
      </c>
      <c r="F2513" s="18">
        <v>0.59761574074074075</v>
      </c>
      <c r="G2513" s="22">
        <v>1724</v>
      </c>
      <c r="H2513">
        <v>0</v>
      </c>
      <c r="I2513" s="19" t="e">
        <f>I2512 + (D2513-G2513)</f>
        <v>#VALUE!</v>
      </c>
      <c r="M2513">
        <v>125099</v>
      </c>
      <c r="N2513">
        <v>60</v>
      </c>
      <c r="O2513" t="s">
        <v>60</v>
      </c>
      <c r="P2513">
        <v>1</v>
      </c>
      <c r="R2513">
        <v>1579</v>
      </c>
      <c r="S2513" s="17">
        <v>42166</v>
      </c>
      <c r="T2513" s="17">
        <v>42166</v>
      </c>
      <c r="W2513">
        <v>2015</v>
      </c>
      <c r="X2513">
        <v>60</v>
      </c>
      <c r="AC2513" t="s">
        <v>94</v>
      </c>
      <c r="AD2513" t="s">
        <v>302</v>
      </c>
      <c r="AE2513" t="s">
        <v>46</v>
      </c>
      <c r="AG2513">
        <v>52</v>
      </c>
      <c r="AH2513">
        <v>10</v>
      </c>
      <c r="AI2513" t="s">
        <v>95</v>
      </c>
      <c r="AK2513">
        <v>0</v>
      </c>
      <c r="AM2513">
        <v>0</v>
      </c>
      <c r="AP2513" t="s">
        <v>325</v>
      </c>
    </row>
    <row r="2514" spans="1:42" customFormat="1">
      <c r="A2514">
        <v>272894</v>
      </c>
      <c r="B2514" t="s">
        <v>4857</v>
      </c>
      <c r="C2514" t="s">
        <v>4858</v>
      </c>
      <c r="D2514" s="22">
        <v>0</v>
      </c>
      <c r="E2514" s="17">
        <v>42150</v>
      </c>
      <c r="F2514" s="18">
        <v>0.61190972222222217</v>
      </c>
      <c r="G2514" s="22">
        <v>1051</v>
      </c>
      <c r="H2514">
        <v>0</v>
      </c>
      <c r="I2514" s="19" t="e">
        <f>I2513 + (D2514-G2514)</f>
        <v>#VALUE!</v>
      </c>
      <c r="M2514">
        <v>125103</v>
      </c>
      <c r="N2514">
        <v>60</v>
      </c>
      <c r="O2514" t="s">
        <v>60</v>
      </c>
      <c r="P2514">
        <v>1</v>
      </c>
      <c r="R2514">
        <v>1579</v>
      </c>
      <c r="S2514" s="17">
        <v>42166</v>
      </c>
      <c r="T2514" s="17">
        <v>42166</v>
      </c>
      <c r="W2514">
        <v>2015</v>
      </c>
      <c r="X2514">
        <v>60</v>
      </c>
      <c r="AC2514" t="s">
        <v>94</v>
      </c>
      <c r="AD2514" t="s">
        <v>302</v>
      </c>
      <c r="AE2514" t="s">
        <v>46</v>
      </c>
      <c r="AG2514">
        <v>52</v>
      </c>
      <c r="AH2514">
        <v>10</v>
      </c>
      <c r="AI2514" t="s">
        <v>95</v>
      </c>
      <c r="AK2514">
        <v>0</v>
      </c>
      <c r="AM2514">
        <v>0</v>
      </c>
      <c r="AP2514" t="s">
        <v>325</v>
      </c>
    </row>
    <row r="2515" spans="1:42" customFormat="1">
      <c r="A2515">
        <v>272902</v>
      </c>
      <c r="B2515" t="s">
        <v>5008</v>
      </c>
      <c r="C2515" t="s">
        <v>5009</v>
      </c>
      <c r="D2515" s="22">
        <v>0</v>
      </c>
      <c r="E2515" s="17">
        <v>42151</v>
      </c>
      <c r="F2515" s="18">
        <v>0.62199074074074068</v>
      </c>
      <c r="G2515" s="22">
        <v>1051</v>
      </c>
      <c r="H2515">
        <v>0</v>
      </c>
      <c r="I2515" s="19" t="e">
        <f>I2514 + (D2515-G2515)</f>
        <v>#VALUE!</v>
      </c>
      <c r="M2515">
        <v>125104</v>
      </c>
      <c r="N2515">
        <v>60</v>
      </c>
      <c r="O2515" t="s">
        <v>60</v>
      </c>
      <c r="P2515">
        <v>1</v>
      </c>
      <c r="R2515">
        <v>1579</v>
      </c>
      <c r="S2515" s="17">
        <v>42166</v>
      </c>
      <c r="T2515" s="17">
        <v>42166</v>
      </c>
      <c r="W2515">
        <v>2015</v>
      </c>
      <c r="X2515">
        <v>60</v>
      </c>
      <c r="AC2515" t="s">
        <v>94</v>
      </c>
      <c r="AD2515" t="s">
        <v>302</v>
      </c>
      <c r="AE2515" t="s">
        <v>46</v>
      </c>
      <c r="AG2515">
        <v>52</v>
      </c>
      <c r="AH2515">
        <v>10</v>
      </c>
      <c r="AI2515" t="s">
        <v>95</v>
      </c>
      <c r="AK2515">
        <v>0</v>
      </c>
      <c r="AM2515">
        <v>0</v>
      </c>
      <c r="AP2515" t="s">
        <v>325</v>
      </c>
    </row>
    <row r="2516" spans="1:42" customFormat="1">
      <c r="A2516">
        <v>271700</v>
      </c>
      <c r="B2516" t="s">
        <v>5134</v>
      </c>
      <c r="C2516" t="s">
        <v>5135</v>
      </c>
      <c r="D2516" s="22">
        <v>0</v>
      </c>
      <c r="E2516" s="17">
        <v>42152</v>
      </c>
      <c r="F2516" s="18">
        <v>0.58733796296296303</v>
      </c>
      <c r="G2516" s="22">
        <v>1051</v>
      </c>
      <c r="H2516">
        <v>0</v>
      </c>
      <c r="I2516" s="19" t="e">
        <f>I2515 + (D2516-G2516)</f>
        <v>#VALUE!</v>
      </c>
      <c r="M2516">
        <v>124470</v>
      </c>
      <c r="N2516">
        <v>24</v>
      </c>
      <c r="O2516" t="s">
        <v>68</v>
      </c>
      <c r="P2516">
        <v>2</v>
      </c>
      <c r="R2516">
        <v>1579</v>
      </c>
      <c r="S2516" s="17">
        <v>42158</v>
      </c>
      <c r="T2516" s="17">
        <v>42158</v>
      </c>
      <c r="W2516">
        <v>2015</v>
      </c>
      <c r="X2516">
        <v>24</v>
      </c>
      <c r="AC2516" t="s">
        <v>94</v>
      </c>
      <c r="AD2516" t="s">
        <v>302</v>
      </c>
      <c r="AE2516" t="s">
        <v>46</v>
      </c>
      <c r="AG2516">
        <v>52</v>
      </c>
      <c r="AH2516">
        <v>10</v>
      </c>
      <c r="AI2516" t="s">
        <v>95</v>
      </c>
      <c r="AK2516">
        <v>0</v>
      </c>
      <c r="AM2516">
        <v>0</v>
      </c>
      <c r="AP2516" t="s">
        <v>325</v>
      </c>
    </row>
    <row r="2517" spans="1:42" customFormat="1">
      <c r="A2517">
        <v>271701</v>
      </c>
      <c r="B2517" t="s">
        <v>5136</v>
      </c>
      <c r="C2517" t="s">
        <v>5137</v>
      </c>
      <c r="D2517" s="22">
        <v>0</v>
      </c>
      <c r="E2517" s="17">
        <v>42152</v>
      </c>
      <c r="F2517" s="18">
        <v>0.58733796296296303</v>
      </c>
      <c r="G2517" s="22">
        <v>1724</v>
      </c>
      <c r="H2517">
        <v>0</v>
      </c>
      <c r="I2517" s="19" t="e">
        <f>I2516 + (D2517-G2517)</f>
        <v>#VALUE!</v>
      </c>
      <c r="M2517">
        <v>124471</v>
      </c>
      <c r="N2517">
        <v>24</v>
      </c>
      <c r="O2517" t="s">
        <v>68</v>
      </c>
      <c r="P2517">
        <v>2</v>
      </c>
      <c r="R2517">
        <v>1579</v>
      </c>
      <c r="S2517" s="17">
        <v>42158</v>
      </c>
      <c r="T2517" s="17">
        <v>42158</v>
      </c>
      <c r="W2517">
        <v>2015</v>
      </c>
      <c r="X2517">
        <v>24</v>
      </c>
      <c r="AC2517" t="s">
        <v>94</v>
      </c>
      <c r="AD2517" t="s">
        <v>302</v>
      </c>
      <c r="AE2517" t="s">
        <v>46</v>
      </c>
      <c r="AG2517">
        <v>52</v>
      </c>
      <c r="AH2517">
        <v>10</v>
      </c>
      <c r="AI2517" t="s">
        <v>95</v>
      </c>
      <c r="AK2517">
        <v>0</v>
      </c>
      <c r="AM2517">
        <v>0</v>
      </c>
      <c r="AP2517" t="s">
        <v>325</v>
      </c>
    </row>
    <row r="2518" spans="1:42" customFormat="1">
      <c r="A2518">
        <v>271697</v>
      </c>
      <c r="B2518" t="s">
        <v>5138</v>
      </c>
      <c r="C2518" t="s">
        <v>5139</v>
      </c>
      <c r="D2518" s="22">
        <v>0</v>
      </c>
      <c r="E2518" s="17">
        <v>42152</v>
      </c>
      <c r="F2518" s="18">
        <v>0.58733796296296303</v>
      </c>
      <c r="G2518" s="22">
        <v>1111</v>
      </c>
      <c r="H2518">
        <v>0</v>
      </c>
      <c r="I2518" s="19" t="e">
        <f>I2517 + (D2518-G2518)</f>
        <v>#VALUE!</v>
      </c>
      <c r="M2518">
        <v>124467</v>
      </c>
      <c r="N2518">
        <v>24</v>
      </c>
      <c r="O2518" t="s">
        <v>68</v>
      </c>
      <c r="P2518">
        <v>2</v>
      </c>
      <c r="R2518">
        <v>1579</v>
      </c>
      <c r="S2518" s="17">
        <v>42158</v>
      </c>
      <c r="T2518" s="17">
        <v>42158</v>
      </c>
      <c r="W2518">
        <v>2015</v>
      </c>
      <c r="X2518">
        <v>24</v>
      </c>
      <c r="AC2518" t="s">
        <v>94</v>
      </c>
      <c r="AD2518" t="s">
        <v>302</v>
      </c>
      <c r="AE2518" t="s">
        <v>46</v>
      </c>
      <c r="AG2518">
        <v>52</v>
      </c>
      <c r="AH2518">
        <v>10</v>
      </c>
      <c r="AI2518" t="s">
        <v>95</v>
      </c>
      <c r="AK2518">
        <v>0</v>
      </c>
      <c r="AM2518">
        <v>0</v>
      </c>
      <c r="AP2518" t="s">
        <v>325</v>
      </c>
    </row>
    <row r="2519" spans="1:42" customFormat="1">
      <c r="A2519">
        <v>271698</v>
      </c>
      <c r="B2519" t="s">
        <v>5140</v>
      </c>
      <c r="C2519" t="s">
        <v>5141</v>
      </c>
      <c r="D2519" s="22">
        <v>0</v>
      </c>
      <c r="E2519" s="17">
        <v>42152</v>
      </c>
      <c r="F2519" s="18">
        <v>0.58733796296296303</v>
      </c>
      <c r="G2519" s="22">
        <v>1051</v>
      </c>
      <c r="H2519">
        <v>0</v>
      </c>
      <c r="I2519" s="19" t="e">
        <f>I2518 + (D2519-G2519)</f>
        <v>#VALUE!</v>
      </c>
      <c r="M2519">
        <v>124468</v>
      </c>
      <c r="N2519">
        <v>24</v>
      </c>
      <c r="O2519" t="s">
        <v>68</v>
      </c>
      <c r="P2519">
        <v>2</v>
      </c>
      <c r="R2519">
        <v>1579</v>
      </c>
      <c r="S2519" s="17">
        <v>42158</v>
      </c>
      <c r="T2519" s="17">
        <v>42158</v>
      </c>
      <c r="W2519">
        <v>2015</v>
      </c>
      <c r="X2519">
        <v>24</v>
      </c>
      <c r="AC2519" t="s">
        <v>94</v>
      </c>
      <c r="AD2519" t="s">
        <v>302</v>
      </c>
      <c r="AE2519" t="s">
        <v>46</v>
      </c>
      <c r="AG2519">
        <v>52</v>
      </c>
      <c r="AH2519">
        <v>10</v>
      </c>
      <c r="AI2519" t="s">
        <v>95</v>
      </c>
      <c r="AK2519">
        <v>0</v>
      </c>
      <c r="AM2519">
        <v>0</v>
      </c>
      <c r="AP2519" t="s">
        <v>325</v>
      </c>
    </row>
    <row r="2520" spans="1:42" customFormat="1">
      <c r="A2520">
        <v>271699</v>
      </c>
      <c r="B2520" t="s">
        <v>5142</v>
      </c>
      <c r="C2520" t="s">
        <v>5143</v>
      </c>
      <c r="D2520" s="22">
        <v>0</v>
      </c>
      <c r="E2520" s="17">
        <v>42152</v>
      </c>
      <c r="F2520" s="18">
        <v>0.58733796296296303</v>
      </c>
      <c r="G2520" s="22">
        <v>1111</v>
      </c>
      <c r="H2520">
        <v>0</v>
      </c>
      <c r="I2520" s="19" t="e">
        <f>I2519 + (D2520-G2520)</f>
        <v>#VALUE!</v>
      </c>
      <c r="M2520">
        <v>124469</v>
      </c>
      <c r="N2520">
        <v>24</v>
      </c>
      <c r="O2520" t="s">
        <v>68</v>
      </c>
      <c r="P2520">
        <v>2</v>
      </c>
      <c r="R2520">
        <v>1579</v>
      </c>
      <c r="S2520" s="17">
        <v>42158</v>
      </c>
      <c r="T2520" s="17">
        <v>42158</v>
      </c>
      <c r="W2520">
        <v>2015</v>
      </c>
      <c r="X2520">
        <v>24</v>
      </c>
      <c r="AC2520" t="s">
        <v>94</v>
      </c>
      <c r="AD2520" t="s">
        <v>302</v>
      </c>
      <c r="AE2520" t="s">
        <v>46</v>
      </c>
      <c r="AG2520">
        <v>52</v>
      </c>
      <c r="AH2520">
        <v>10</v>
      </c>
      <c r="AI2520" t="s">
        <v>95</v>
      </c>
      <c r="AK2520">
        <v>0</v>
      </c>
      <c r="AM2520">
        <v>0</v>
      </c>
      <c r="AP2520" t="s">
        <v>325</v>
      </c>
    </row>
    <row r="2521" spans="1:42" customFormat="1">
      <c r="A2521">
        <v>271709</v>
      </c>
      <c r="B2521" t="s">
        <v>5496</v>
      </c>
      <c r="C2521" t="s">
        <v>5497</v>
      </c>
      <c r="D2521" s="22">
        <v>0</v>
      </c>
      <c r="E2521" s="17">
        <v>42153</v>
      </c>
      <c r="F2521" s="18">
        <v>0.59086805555555555</v>
      </c>
      <c r="G2521" s="22">
        <v>1051</v>
      </c>
      <c r="H2521">
        <v>0</v>
      </c>
      <c r="I2521" s="19" t="e">
        <f>I2520 + (D2521-G2521)</f>
        <v>#VALUE!</v>
      </c>
      <c r="M2521">
        <v>124483</v>
      </c>
      <c r="N2521">
        <v>24</v>
      </c>
      <c r="O2521" t="s">
        <v>68</v>
      </c>
      <c r="P2521">
        <v>1</v>
      </c>
      <c r="R2521">
        <v>1579</v>
      </c>
      <c r="S2521" s="17">
        <v>42158</v>
      </c>
      <c r="T2521" s="17">
        <v>42158</v>
      </c>
      <c r="W2521">
        <v>2015</v>
      </c>
      <c r="X2521">
        <v>24</v>
      </c>
      <c r="AC2521" t="s">
        <v>94</v>
      </c>
      <c r="AD2521" t="s">
        <v>302</v>
      </c>
      <c r="AE2521" t="s">
        <v>46</v>
      </c>
      <c r="AG2521">
        <v>52</v>
      </c>
      <c r="AH2521">
        <v>10</v>
      </c>
      <c r="AI2521" t="s">
        <v>95</v>
      </c>
      <c r="AK2521">
        <v>0</v>
      </c>
      <c r="AM2521">
        <v>0</v>
      </c>
      <c r="AP2521" t="s">
        <v>325</v>
      </c>
    </row>
    <row r="2522" spans="1:42" customFormat="1">
      <c r="A2522">
        <v>271719</v>
      </c>
      <c r="B2522" t="s">
        <v>5498</v>
      </c>
      <c r="C2522" t="s">
        <v>5499</v>
      </c>
      <c r="D2522" s="22">
        <v>0</v>
      </c>
      <c r="E2522" s="17">
        <v>42153</v>
      </c>
      <c r="F2522" s="18">
        <v>0.59087962962962959</v>
      </c>
      <c r="G2522" s="22">
        <v>1051</v>
      </c>
      <c r="H2522">
        <v>0</v>
      </c>
      <c r="I2522" s="19" t="e">
        <f>I2521 + (D2522-G2522)</f>
        <v>#VALUE!</v>
      </c>
      <c r="M2522">
        <v>124480</v>
      </c>
      <c r="N2522">
        <v>24</v>
      </c>
      <c r="O2522" t="s">
        <v>68</v>
      </c>
      <c r="P2522">
        <v>1</v>
      </c>
      <c r="R2522">
        <v>1579</v>
      </c>
      <c r="S2522" s="17">
        <v>42158</v>
      </c>
      <c r="T2522" s="17">
        <v>42158</v>
      </c>
      <c r="W2522">
        <v>2015</v>
      </c>
      <c r="X2522">
        <v>24</v>
      </c>
      <c r="AC2522" t="s">
        <v>94</v>
      </c>
      <c r="AD2522" t="s">
        <v>302</v>
      </c>
      <c r="AE2522" t="s">
        <v>46</v>
      </c>
      <c r="AG2522">
        <v>52</v>
      </c>
      <c r="AH2522">
        <v>10</v>
      </c>
      <c r="AI2522" t="s">
        <v>95</v>
      </c>
      <c r="AK2522">
        <v>0</v>
      </c>
      <c r="AM2522">
        <v>0</v>
      </c>
      <c r="AP2522" t="s">
        <v>325</v>
      </c>
    </row>
    <row r="2523" spans="1:42" customFormat="1">
      <c r="A2523">
        <v>271720</v>
      </c>
      <c r="B2523" t="s">
        <v>5500</v>
      </c>
      <c r="C2523" t="s">
        <v>5501</v>
      </c>
      <c r="D2523" s="22">
        <v>0</v>
      </c>
      <c r="E2523" s="17">
        <v>42153</v>
      </c>
      <c r="F2523" s="18">
        <v>0.59087962962962959</v>
      </c>
      <c r="G2523" s="22">
        <v>1051</v>
      </c>
      <c r="H2523">
        <v>0</v>
      </c>
      <c r="I2523" s="19" t="e">
        <f>I2522 + (D2523-G2523)</f>
        <v>#VALUE!</v>
      </c>
      <c r="M2523">
        <v>124481</v>
      </c>
      <c r="N2523">
        <v>24</v>
      </c>
      <c r="O2523" t="s">
        <v>68</v>
      </c>
      <c r="P2523">
        <v>1</v>
      </c>
      <c r="R2523">
        <v>1579</v>
      </c>
      <c r="S2523" s="17">
        <v>42158</v>
      </c>
      <c r="T2523" s="17">
        <v>42158</v>
      </c>
      <c r="W2523">
        <v>2015</v>
      </c>
      <c r="X2523">
        <v>24</v>
      </c>
      <c r="AC2523" t="s">
        <v>94</v>
      </c>
      <c r="AD2523" t="s">
        <v>302</v>
      </c>
      <c r="AE2523" t="s">
        <v>46</v>
      </c>
      <c r="AG2523">
        <v>52</v>
      </c>
      <c r="AH2523">
        <v>10</v>
      </c>
      <c r="AI2523" t="s">
        <v>95</v>
      </c>
      <c r="AK2523">
        <v>0</v>
      </c>
      <c r="AM2523">
        <v>0</v>
      </c>
      <c r="AP2523" t="s">
        <v>325</v>
      </c>
    </row>
    <row r="2524" spans="1:42" customFormat="1">
      <c r="A2524">
        <v>271721</v>
      </c>
      <c r="B2524" t="s">
        <v>5502</v>
      </c>
      <c r="C2524" t="s">
        <v>5503</v>
      </c>
      <c r="D2524" s="22">
        <v>0</v>
      </c>
      <c r="E2524" s="17">
        <v>42153</v>
      </c>
      <c r="F2524" s="18">
        <v>0.59087962962962959</v>
      </c>
      <c r="G2524" s="22">
        <v>1051</v>
      </c>
      <c r="H2524">
        <v>0</v>
      </c>
      <c r="I2524" s="19" t="e">
        <f>I2523 + (D2524-G2524)</f>
        <v>#VALUE!</v>
      </c>
      <c r="M2524">
        <v>124482</v>
      </c>
      <c r="N2524">
        <v>24</v>
      </c>
      <c r="O2524" t="s">
        <v>68</v>
      </c>
      <c r="P2524">
        <v>1</v>
      </c>
      <c r="R2524">
        <v>1579</v>
      </c>
      <c r="S2524" s="17">
        <v>42158</v>
      </c>
      <c r="T2524" s="17">
        <v>42158</v>
      </c>
      <c r="W2524">
        <v>2015</v>
      </c>
      <c r="X2524">
        <v>24</v>
      </c>
      <c r="AC2524" t="s">
        <v>94</v>
      </c>
      <c r="AD2524" t="s">
        <v>302</v>
      </c>
      <c r="AE2524" t="s">
        <v>46</v>
      </c>
      <c r="AG2524">
        <v>52</v>
      </c>
      <c r="AH2524">
        <v>10</v>
      </c>
      <c r="AI2524" t="s">
        <v>95</v>
      </c>
      <c r="AK2524">
        <v>0</v>
      </c>
      <c r="AM2524">
        <v>0</v>
      </c>
      <c r="AP2524" t="s">
        <v>325</v>
      </c>
    </row>
    <row r="2525" spans="1:42" customFormat="1">
      <c r="A2525">
        <v>271710</v>
      </c>
      <c r="B2525" t="s">
        <v>5504</v>
      </c>
      <c r="C2525" t="s">
        <v>5505</v>
      </c>
      <c r="D2525" s="22">
        <v>0</v>
      </c>
      <c r="E2525" s="17">
        <v>42153</v>
      </c>
      <c r="F2525" s="18">
        <v>0.59087962962962959</v>
      </c>
      <c r="G2525" s="22">
        <v>1051</v>
      </c>
      <c r="H2525">
        <v>0</v>
      </c>
      <c r="I2525" s="19" t="e">
        <f>I2524 + (D2525-G2525)</f>
        <v>#VALUE!</v>
      </c>
      <c r="M2525">
        <v>124474</v>
      </c>
      <c r="N2525">
        <v>24</v>
      </c>
      <c r="O2525" t="s">
        <v>68</v>
      </c>
      <c r="P2525">
        <v>1</v>
      </c>
      <c r="R2525">
        <v>1579</v>
      </c>
      <c r="S2525" s="17">
        <v>42158</v>
      </c>
      <c r="T2525" s="17">
        <v>42158</v>
      </c>
      <c r="W2525">
        <v>2015</v>
      </c>
      <c r="X2525">
        <v>24</v>
      </c>
      <c r="AC2525" t="s">
        <v>94</v>
      </c>
      <c r="AD2525" t="s">
        <v>302</v>
      </c>
      <c r="AE2525" t="s">
        <v>46</v>
      </c>
      <c r="AG2525">
        <v>52</v>
      </c>
      <c r="AH2525">
        <v>10</v>
      </c>
      <c r="AI2525" t="s">
        <v>95</v>
      </c>
      <c r="AK2525">
        <v>0</v>
      </c>
      <c r="AM2525">
        <v>0</v>
      </c>
      <c r="AP2525" t="s">
        <v>325</v>
      </c>
    </row>
    <row r="2526" spans="1:42" customFormat="1">
      <c r="A2526">
        <v>271711</v>
      </c>
      <c r="B2526" t="s">
        <v>5506</v>
      </c>
      <c r="C2526" t="s">
        <v>5507</v>
      </c>
      <c r="D2526" s="22">
        <v>0</v>
      </c>
      <c r="E2526" s="17">
        <v>42153</v>
      </c>
      <c r="F2526" s="18">
        <v>0.59087962962962959</v>
      </c>
      <c r="G2526" s="22">
        <v>1724</v>
      </c>
      <c r="H2526">
        <v>0</v>
      </c>
      <c r="I2526" s="19" t="e">
        <f>I2525 + (D2526-G2526)</f>
        <v>#VALUE!</v>
      </c>
      <c r="M2526">
        <v>124484</v>
      </c>
      <c r="N2526">
        <v>24</v>
      </c>
      <c r="O2526" t="s">
        <v>68</v>
      </c>
      <c r="P2526">
        <v>1</v>
      </c>
      <c r="R2526">
        <v>1579</v>
      </c>
      <c r="S2526" s="17">
        <v>42158</v>
      </c>
      <c r="T2526" s="17">
        <v>42158</v>
      </c>
      <c r="W2526">
        <v>2015</v>
      </c>
      <c r="X2526">
        <v>24</v>
      </c>
      <c r="AC2526" t="s">
        <v>94</v>
      </c>
      <c r="AD2526" t="s">
        <v>302</v>
      </c>
      <c r="AE2526" t="s">
        <v>46</v>
      </c>
      <c r="AG2526">
        <v>52</v>
      </c>
      <c r="AH2526">
        <v>10</v>
      </c>
      <c r="AI2526" t="s">
        <v>95</v>
      </c>
      <c r="AK2526">
        <v>0</v>
      </c>
      <c r="AM2526">
        <v>0</v>
      </c>
      <c r="AP2526" t="s">
        <v>325</v>
      </c>
    </row>
    <row r="2527" spans="1:42" customFormat="1">
      <c r="A2527">
        <v>271712</v>
      </c>
      <c r="B2527" t="s">
        <v>5508</v>
      </c>
      <c r="C2527" t="s">
        <v>5509</v>
      </c>
      <c r="D2527" s="22">
        <v>0</v>
      </c>
      <c r="E2527" s="17">
        <v>42153</v>
      </c>
      <c r="F2527" s="18">
        <v>0.59087962962962959</v>
      </c>
      <c r="G2527" s="22">
        <v>1051</v>
      </c>
      <c r="H2527">
        <v>0</v>
      </c>
      <c r="I2527" s="19" t="e">
        <f>I2526 + (D2527-G2527)</f>
        <v>#VALUE!</v>
      </c>
      <c r="M2527">
        <v>124475</v>
      </c>
      <c r="N2527">
        <v>24</v>
      </c>
      <c r="O2527" t="s">
        <v>68</v>
      </c>
      <c r="P2527">
        <v>1</v>
      </c>
      <c r="R2527">
        <v>1579</v>
      </c>
      <c r="S2527" s="17">
        <v>42158</v>
      </c>
      <c r="T2527" s="17">
        <v>42158</v>
      </c>
      <c r="W2527">
        <v>2015</v>
      </c>
      <c r="X2527">
        <v>24</v>
      </c>
      <c r="AC2527" t="s">
        <v>94</v>
      </c>
      <c r="AD2527" t="s">
        <v>302</v>
      </c>
      <c r="AE2527" t="s">
        <v>46</v>
      </c>
      <c r="AG2527">
        <v>52</v>
      </c>
      <c r="AH2527">
        <v>10</v>
      </c>
      <c r="AI2527" t="s">
        <v>95</v>
      </c>
      <c r="AK2527">
        <v>0</v>
      </c>
      <c r="AM2527">
        <v>0</v>
      </c>
      <c r="AP2527" t="s">
        <v>325</v>
      </c>
    </row>
    <row r="2528" spans="1:42" customFormat="1">
      <c r="A2528">
        <v>271713</v>
      </c>
      <c r="B2528" t="s">
        <v>5510</v>
      </c>
      <c r="C2528" t="s">
        <v>5511</v>
      </c>
      <c r="D2528" s="22">
        <v>0</v>
      </c>
      <c r="E2528" s="17">
        <v>42153</v>
      </c>
      <c r="F2528" s="18">
        <v>0.59087962962962959</v>
      </c>
      <c r="G2528" s="22">
        <v>1724</v>
      </c>
      <c r="H2528">
        <v>0</v>
      </c>
      <c r="I2528" s="19" t="e">
        <f>I2527 + (D2528-G2528)</f>
        <v>#VALUE!</v>
      </c>
      <c r="M2528">
        <v>124485</v>
      </c>
      <c r="N2528">
        <v>24</v>
      </c>
      <c r="O2528" t="s">
        <v>68</v>
      </c>
      <c r="P2528">
        <v>1</v>
      </c>
      <c r="R2528">
        <v>1579</v>
      </c>
      <c r="S2528" s="17">
        <v>42158</v>
      </c>
      <c r="T2528" s="17">
        <v>42158</v>
      </c>
      <c r="W2528">
        <v>2015</v>
      </c>
      <c r="X2528">
        <v>24</v>
      </c>
      <c r="AC2528" t="s">
        <v>94</v>
      </c>
      <c r="AD2528" t="s">
        <v>302</v>
      </c>
      <c r="AE2528" t="s">
        <v>46</v>
      </c>
      <c r="AG2528">
        <v>52</v>
      </c>
      <c r="AH2528">
        <v>10</v>
      </c>
      <c r="AI2528" t="s">
        <v>95</v>
      </c>
      <c r="AK2528">
        <v>0</v>
      </c>
      <c r="AM2528">
        <v>0</v>
      </c>
      <c r="AP2528" t="s">
        <v>325</v>
      </c>
    </row>
    <row r="2529" spans="1:42" customFormat="1">
      <c r="A2529">
        <v>271714</v>
      </c>
      <c r="B2529" t="s">
        <v>5512</v>
      </c>
      <c r="C2529" t="s">
        <v>5513</v>
      </c>
      <c r="D2529" s="22">
        <v>0</v>
      </c>
      <c r="E2529" s="17">
        <v>42153</v>
      </c>
      <c r="F2529" s="18">
        <v>0.59087962962962959</v>
      </c>
      <c r="G2529" s="22">
        <v>1111</v>
      </c>
      <c r="H2529">
        <v>0</v>
      </c>
      <c r="I2529" s="19" t="e">
        <f>I2528 + (D2529-G2529)</f>
        <v>#VALUE!</v>
      </c>
      <c r="M2529">
        <v>124476</v>
      </c>
      <c r="N2529">
        <v>24</v>
      </c>
      <c r="O2529" t="s">
        <v>68</v>
      </c>
      <c r="P2529">
        <v>1</v>
      </c>
      <c r="R2529">
        <v>1579</v>
      </c>
      <c r="S2529" s="17">
        <v>42158</v>
      </c>
      <c r="T2529" s="17">
        <v>42158</v>
      </c>
      <c r="W2529">
        <v>2015</v>
      </c>
      <c r="X2529">
        <v>24</v>
      </c>
      <c r="AC2529" t="s">
        <v>94</v>
      </c>
      <c r="AD2529" t="s">
        <v>302</v>
      </c>
      <c r="AE2529" t="s">
        <v>46</v>
      </c>
      <c r="AG2529">
        <v>52</v>
      </c>
      <c r="AH2529">
        <v>10</v>
      </c>
      <c r="AI2529" t="s">
        <v>95</v>
      </c>
      <c r="AK2529">
        <v>0</v>
      </c>
      <c r="AM2529">
        <v>0</v>
      </c>
      <c r="AP2529" t="s">
        <v>325</v>
      </c>
    </row>
    <row r="2530" spans="1:42" customFormat="1">
      <c r="A2530">
        <v>271715</v>
      </c>
      <c r="B2530" t="s">
        <v>5514</v>
      </c>
      <c r="C2530" t="s">
        <v>5515</v>
      </c>
      <c r="D2530" s="22">
        <v>0</v>
      </c>
      <c r="E2530" s="17">
        <v>42153</v>
      </c>
      <c r="F2530" s="18">
        <v>0.59087962962962959</v>
      </c>
      <c r="G2530" s="22">
        <v>1111</v>
      </c>
      <c r="H2530">
        <v>0</v>
      </c>
      <c r="I2530" s="19" t="e">
        <f>I2529 + (D2530-G2530)</f>
        <v>#VALUE!</v>
      </c>
      <c r="M2530">
        <v>124486</v>
      </c>
      <c r="N2530">
        <v>24</v>
      </c>
      <c r="O2530" t="s">
        <v>68</v>
      </c>
      <c r="P2530">
        <v>1</v>
      </c>
      <c r="R2530">
        <v>1579</v>
      </c>
      <c r="S2530" s="17">
        <v>42158</v>
      </c>
      <c r="T2530" s="17">
        <v>42158</v>
      </c>
      <c r="W2530">
        <v>2015</v>
      </c>
      <c r="X2530">
        <v>24</v>
      </c>
      <c r="AC2530" t="s">
        <v>94</v>
      </c>
      <c r="AD2530" t="s">
        <v>302</v>
      </c>
      <c r="AE2530" t="s">
        <v>46</v>
      </c>
      <c r="AG2530">
        <v>52</v>
      </c>
      <c r="AH2530">
        <v>10</v>
      </c>
      <c r="AI2530" t="s">
        <v>95</v>
      </c>
      <c r="AK2530">
        <v>0</v>
      </c>
      <c r="AM2530">
        <v>0</v>
      </c>
      <c r="AP2530" t="s">
        <v>325</v>
      </c>
    </row>
    <row r="2531" spans="1:42" customFormat="1">
      <c r="A2531">
        <v>271716</v>
      </c>
      <c r="B2531" t="s">
        <v>5516</v>
      </c>
      <c r="C2531" t="s">
        <v>5517</v>
      </c>
      <c r="D2531" s="22">
        <v>0</v>
      </c>
      <c r="E2531" s="17">
        <v>42153</v>
      </c>
      <c r="F2531" s="18">
        <v>0.59087962962962959</v>
      </c>
      <c r="G2531" s="22">
        <v>1051</v>
      </c>
      <c r="H2531">
        <v>0</v>
      </c>
      <c r="I2531" s="19" t="e">
        <f>I2530 + (D2531-G2531)</f>
        <v>#VALUE!</v>
      </c>
      <c r="M2531">
        <v>124477</v>
      </c>
      <c r="N2531">
        <v>24</v>
      </c>
      <c r="O2531" t="s">
        <v>68</v>
      </c>
      <c r="P2531">
        <v>1</v>
      </c>
      <c r="R2531">
        <v>1579</v>
      </c>
      <c r="S2531" s="17">
        <v>42158</v>
      </c>
      <c r="T2531" s="17">
        <v>42158</v>
      </c>
      <c r="W2531">
        <v>2015</v>
      </c>
      <c r="X2531">
        <v>24</v>
      </c>
      <c r="AC2531" t="s">
        <v>94</v>
      </c>
      <c r="AD2531" t="s">
        <v>302</v>
      </c>
      <c r="AE2531" t="s">
        <v>46</v>
      </c>
      <c r="AG2531">
        <v>52</v>
      </c>
      <c r="AH2531">
        <v>10</v>
      </c>
      <c r="AI2531" t="s">
        <v>95</v>
      </c>
      <c r="AK2531">
        <v>0</v>
      </c>
      <c r="AM2531">
        <v>0</v>
      </c>
      <c r="AP2531" t="s">
        <v>325</v>
      </c>
    </row>
    <row r="2532" spans="1:42" customFormat="1">
      <c r="A2532">
        <v>271717</v>
      </c>
      <c r="B2532" t="s">
        <v>5518</v>
      </c>
      <c r="C2532" t="s">
        <v>5519</v>
      </c>
      <c r="D2532" s="22">
        <v>0</v>
      </c>
      <c r="E2532" s="17">
        <v>42153</v>
      </c>
      <c r="F2532" s="18">
        <v>0.59087962962962959</v>
      </c>
      <c r="G2532" s="22">
        <v>1051</v>
      </c>
      <c r="H2532">
        <v>0</v>
      </c>
      <c r="I2532" s="19" t="e">
        <f>I2531 + (D2532-G2532)</f>
        <v>#VALUE!</v>
      </c>
      <c r="M2532">
        <v>124478</v>
      </c>
      <c r="N2532">
        <v>24</v>
      </c>
      <c r="O2532" t="s">
        <v>68</v>
      </c>
      <c r="P2532">
        <v>1</v>
      </c>
      <c r="R2532">
        <v>1579</v>
      </c>
      <c r="S2532" s="17">
        <v>42158</v>
      </c>
      <c r="T2532" s="17">
        <v>42158</v>
      </c>
      <c r="W2532">
        <v>2015</v>
      </c>
      <c r="X2532">
        <v>24</v>
      </c>
      <c r="AC2532" t="s">
        <v>94</v>
      </c>
      <c r="AD2532" t="s">
        <v>302</v>
      </c>
      <c r="AE2532" t="s">
        <v>46</v>
      </c>
      <c r="AG2532">
        <v>52</v>
      </c>
      <c r="AH2532">
        <v>10</v>
      </c>
      <c r="AI2532" t="s">
        <v>95</v>
      </c>
      <c r="AK2532">
        <v>0</v>
      </c>
      <c r="AM2532">
        <v>0</v>
      </c>
      <c r="AP2532" t="s">
        <v>325</v>
      </c>
    </row>
    <row r="2533" spans="1:42" customFormat="1">
      <c r="A2533">
        <v>271718</v>
      </c>
      <c r="B2533" t="s">
        <v>5520</v>
      </c>
      <c r="C2533" t="s">
        <v>5521</v>
      </c>
      <c r="D2533" s="22">
        <v>0</v>
      </c>
      <c r="E2533" s="17">
        <v>42153</v>
      </c>
      <c r="F2533" s="18">
        <v>0.59087962962962959</v>
      </c>
      <c r="G2533" s="22">
        <v>1051</v>
      </c>
      <c r="H2533">
        <v>0</v>
      </c>
      <c r="I2533" s="19" t="e">
        <f>I2532 + (D2533-G2533)</f>
        <v>#VALUE!</v>
      </c>
      <c r="M2533">
        <v>124479</v>
      </c>
      <c r="N2533">
        <v>24</v>
      </c>
      <c r="O2533" t="s">
        <v>68</v>
      </c>
      <c r="P2533">
        <v>1</v>
      </c>
      <c r="R2533">
        <v>1579</v>
      </c>
      <c r="S2533" s="17">
        <v>42158</v>
      </c>
      <c r="T2533" s="17">
        <v>42158</v>
      </c>
      <c r="W2533">
        <v>2015</v>
      </c>
      <c r="X2533">
        <v>24</v>
      </c>
      <c r="AC2533" t="s">
        <v>94</v>
      </c>
      <c r="AD2533" t="s">
        <v>302</v>
      </c>
      <c r="AE2533" t="s">
        <v>46</v>
      </c>
      <c r="AG2533">
        <v>52</v>
      </c>
      <c r="AH2533">
        <v>10</v>
      </c>
      <c r="AI2533" t="s">
        <v>95</v>
      </c>
      <c r="AK2533">
        <v>0</v>
      </c>
      <c r="AM2533">
        <v>0</v>
      </c>
      <c r="AP2533" t="s">
        <v>325</v>
      </c>
    </row>
    <row r="2534" spans="1:42" customFormat="1">
      <c r="A2534">
        <v>270912</v>
      </c>
      <c r="B2534" t="s">
        <v>3501</v>
      </c>
      <c r="C2534" t="s">
        <v>3502</v>
      </c>
      <c r="D2534" s="22">
        <v>0</v>
      </c>
      <c r="E2534" s="17">
        <v>42142</v>
      </c>
      <c r="F2534" s="18">
        <v>0.36116898148148152</v>
      </c>
      <c r="G2534" s="22">
        <v>383</v>
      </c>
      <c r="H2534">
        <v>0</v>
      </c>
      <c r="I2534" s="19" t="e">
        <f>I2533 + (D2534-G2534)</f>
        <v>#VALUE!</v>
      </c>
      <c r="M2534">
        <v>119667</v>
      </c>
      <c r="N2534">
        <v>24</v>
      </c>
      <c r="O2534" t="s">
        <v>68</v>
      </c>
      <c r="P2534">
        <v>1</v>
      </c>
      <c r="R2534">
        <v>1485</v>
      </c>
      <c r="S2534" s="17">
        <v>42149</v>
      </c>
      <c r="T2534" s="17">
        <v>42149</v>
      </c>
      <c r="W2534">
        <v>2015</v>
      </c>
      <c r="X2534">
        <v>24</v>
      </c>
      <c r="AC2534" t="s">
        <v>3503</v>
      </c>
      <c r="AD2534" t="s">
        <v>301</v>
      </c>
      <c r="AE2534" t="s">
        <v>46</v>
      </c>
      <c r="AG2534">
        <v>4</v>
      </c>
      <c r="AH2534">
        <v>9</v>
      </c>
      <c r="AI2534" t="s">
        <v>54</v>
      </c>
      <c r="AK2534">
        <v>0</v>
      </c>
      <c r="AM2534">
        <v>0</v>
      </c>
      <c r="AP2534" t="s">
        <v>389</v>
      </c>
    </row>
    <row r="2535" spans="1:42" customFormat="1">
      <c r="A2535">
        <v>273872</v>
      </c>
      <c r="B2535" t="s">
        <v>2575</v>
      </c>
      <c r="C2535" t="s">
        <v>2576</v>
      </c>
      <c r="D2535" s="22">
        <v>0</v>
      </c>
      <c r="E2535" s="17">
        <v>42135</v>
      </c>
      <c r="F2535" s="18">
        <v>0.58204861111111106</v>
      </c>
      <c r="G2535" s="22">
        <v>18194.32</v>
      </c>
      <c r="H2535">
        <v>0</v>
      </c>
      <c r="I2535" s="19" t="e">
        <f>I2534 + (D2535-G2535)</f>
        <v>#VALUE!</v>
      </c>
      <c r="M2535">
        <v>109710</v>
      </c>
      <c r="N2535">
        <v>7</v>
      </c>
      <c r="O2535" t="s">
        <v>44</v>
      </c>
      <c r="P2535">
        <v>1</v>
      </c>
      <c r="R2535">
        <v>1515</v>
      </c>
      <c r="S2535" s="17">
        <v>42179</v>
      </c>
      <c r="T2535" s="17">
        <v>42179</v>
      </c>
      <c r="W2535">
        <v>2015</v>
      </c>
      <c r="X2535">
        <v>7</v>
      </c>
      <c r="AC2535" t="s">
        <v>194</v>
      </c>
      <c r="AD2535" t="s">
        <v>301</v>
      </c>
      <c r="AE2535" t="s">
        <v>46</v>
      </c>
      <c r="AG2535">
        <v>8</v>
      </c>
      <c r="AH2535">
        <v>9</v>
      </c>
      <c r="AI2535" t="s">
        <v>54</v>
      </c>
      <c r="AK2535">
        <v>0</v>
      </c>
      <c r="AM2535">
        <v>0</v>
      </c>
      <c r="AP2535" t="s">
        <v>1201</v>
      </c>
    </row>
    <row r="2536" spans="1:42" customFormat="1">
      <c r="A2536">
        <v>270916</v>
      </c>
      <c r="B2536" t="s">
        <v>3918</v>
      </c>
      <c r="C2536" t="s">
        <v>3919</v>
      </c>
      <c r="D2536" s="22">
        <v>0</v>
      </c>
      <c r="E2536" s="17">
        <v>42145</v>
      </c>
      <c r="F2536" s="18">
        <v>0.36616898148148147</v>
      </c>
      <c r="G2536" s="22">
        <v>7452.32</v>
      </c>
      <c r="H2536">
        <v>0</v>
      </c>
      <c r="I2536" s="19" t="e">
        <f>I2535 + (D2536-G2536)</f>
        <v>#VALUE!</v>
      </c>
      <c r="M2536">
        <v>109688</v>
      </c>
      <c r="N2536">
        <v>24</v>
      </c>
      <c r="O2536" t="s">
        <v>68</v>
      </c>
      <c r="P2536">
        <v>1</v>
      </c>
      <c r="R2536">
        <v>1390</v>
      </c>
      <c r="S2536" s="17">
        <v>42149</v>
      </c>
      <c r="T2536" s="17">
        <v>42149</v>
      </c>
      <c r="W2536">
        <v>2015</v>
      </c>
      <c r="X2536">
        <v>24</v>
      </c>
      <c r="AC2536" t="s">
        <v>278</v>
      </c>
      <c r="AD2536" t="s">
        <v>301</v>
      </c>
      <c r="AE2536" t="s">
        <v>46</v>
      </c>
      <c r="AG2536">
        <v>4</v>
      </c>
      <c r="AH2536">
        <v>9</v>
      </c>
      <c r="AI2536" t="s">
        <v>54</v>
      </c>
      <c r="AK2536">
        <v>0</v>
      </c>
      <c r="AM2536">
        <v>0</v>
      </c>
      <c r="AP2536" t="s">
        <v>389</v>
      </c>
    </row>
    <row r="2537" spans="1:42" customFormat="1">
      <c r="A2537">
        <v>267664</v>
      </c>
      <c r="B2537" t="s">
        <v>1233</v>
      </c>
      <c r="C2537" t="s">
        <v>1234</v>
      </c>
      <c r="D2537" s="22">
        <v>0</v>
      </c>
      <c r="E2537" s="17">
        <v>42128</v>
      </c>
      <c r="F2537" s="18">
        <v>0.73570601851851858</v>
      </c>
      <c r="G2537" s="22">
        <v>966.81</v>
      </c>
      <c r="H2537">
        <v>0</v>
      </c>
      <c r="I2537" s="19" t="e">
        <f>I2536 + (D2537-G2537)</f>
        <v>#VALUE!</v>
      </c>
      <c r="M2537">
        <v>122360</v>
      </c>
      <c r="N2537">
        <v>24</v>
      </c>
      <c r="O2537" t="s">
        <v>68</v>
      </c>
      <c r="P2537">
        <v>1</v>
      </c>
      <c r="R2537">
        <v>1502</v>
      </c>
      <c r="S2537" s="17">
        <v>42129</v>
      </c>
      <c r="T2537" s="17">
        <v>42129</v>
      </c>
      <c r="W2537">
        <v>2015</v>
      </c>
      <c r="X2537">
        <v>24</v>
      </c>
      <c r="AC2537" t="s">
        <v>221</v>
      </c>
      <c r="AD2537" t="s">
        <v>301</v>
      </c>
      <c r="AE2537" t="s">
        <v>46</v>
      </c>
      <c r="AG2537">
        <v>4</v>
      </c>
      <c r="AH2537">
        <v>9</v>
      </c>
      <c r="AI2537" t="s">
        <v>54</v>
      </c>
      <c r="AK2537">
        <v>0</v>
      </c>
      <c r="AM2537">
        <v>0</v>
      </c>
      <c r="AP2537" t="s">
        <v>389</v>
      </c>
    </row>
    <row r="2538" spans="1:42" customFormat="1">
      <c r="A2538">
        <v>267665</v>
      </c>
      <c r="B2538" t="s">
        <v>1235</v>
      </c>
      <c r="C2538" t="s">
        <v>1236</v>
      </c>
      <c r="D2538" s="22">
        <v>0</v>
      </c>
      <c r="E2538" s="17">
        <v>42128</v>
      </c>
      <c r="F2538" s="18">
        <v>0.73625000000000007</v>
      </c>
      <c r="G2538" s="22">
        <v>961.79</v>
      </c>
      <c r="H2538">
        <v>0</v>
      </c>
      <c r="I2538" s="19" t="e">
        <f>I2537 + (D2538-G2538)</f>
        <v>#VALUE!</v>
      </c>
      <c r="M2538">
        <v>122361</v>
      </c>
      <c r="N2538">
        <v>24</v>
      </c>
      <c r="O2538" t="s">
        <v>68</v>
      </c>
      <c r="P2538">
        <v>1</v>
      </c>
      <c r="R2538">
        <v>1502</v>
      </c>
      <c r="S2538" s="17">
        <v>42129</v>
      </c>
      <c r="T2538" s="17">
        <v>42129</v>
      </c>
      <c r="W2538">
        <v>2015</v>
      </c>
      <c r="X2538">
        <v>24</v>
      </c>
      <c r="AC2538" t="s">
        <v>221</v>
      </c>
      <c r="AD2538" t="s">
        <v>301</v>
      </c>
      <c r="AE2538" t="s">
        <v>46</v>
      </c>
      <c r="AG2538">
        <v>4</v>
      </c>
      <c r="AH2538">
        <v>9</v>
      </c>
      <c r="AI2538" t="s">
        <v>54</v>
      </c>
      <c r="AK2538">
        <v>0</v>
      </c>
      <c r="AM2538">
        <v>0</v>
      </c>
      <c r="AP2538" t="s">
        <v>389</v>
      </c>
    </row>
    <row r="2539" spans="1:42" customFormat="1">
      <c r="A2539">
        <v>267666</v>
      </c>
      <c r="B2539" t="s">
        <v>1237</v>
      </c>
      <c r="C2539" t="s">
        <v>1238</v>
      </c>
      <c r="D2539" s="22">
        <v>0</v>
      </c>
      <c r="E2539" s="17">
        <v>42128</v>
      </c>
      <c r="F2539" s="18">
        <v>0.73668981481481488</v>
      </c>
      <c r="G2539" s="22">
        <v>912.69</v>
      </c>
      <c r="H2539">
        <v>0</v>
      </c>
      <c r="I2539" s="19" t="e">
        <f>I2538 + (D2539-G2539)</f>
        <v>#VALUE!</v>
      </c>
      <c r="M2539">
        <v>122362</v>
      </c>
      <c r="N2539">
        <v>24</v>
      </c>
      <c r="O2539" t="s">
        <v>68</v>
      </c>
      <c r="P2539">
        <v>1</v>
      </c>
      <c r="R2539">
        <v>1502</v>
      </c>
      <c r="S2539" s="17">
        <v>42129</v>
      </c>
      <c r="T2539" s="17">
        <v>42129</v>
      </c>
      <c r="W2539">
        <v>2015</v>
      </c>
      <c r="X2539">
        <v>24</v>
      </c>
      <c r="AC2539" t="s">
        <v>221</v>
      </c>
      <c r="AD2539" t="s">
        <v>301</v>
      </c>
      <c r="AE2539" t="s">
        <v>46</v>
      </c>
      <c r="AG2539">
        <v>4</v>
      </c>
      <c r="AH2539">
        <v>9</v>
      </c>
      <c r="AI2539" t="s">
        <v>54</v>
      </c>
      <c r="AK2539">
        <v>0</v>
      </c>
      <c r="AM2539">
        <v>0</v>
      </c>
      <c r="AP2539" t="s">
        <v>389</v>
      </c>
    </row>
    <row r="2540" spans="1:42" customFormat="1">
      <c r="A2540">
        <v>267670</v>
      </c>
      <c r="B2540" t="s">
        <v>1603</v>
      </c>
      <c r="C2540" t="s">
        <v>1604</v>
      </c>
      <c r="D2540" s="22">
        <v>0</v>
      </c>
      <c r="E2540" s="17">
        <v>42129</v>
      </c>
      <c r="F2540" s="18">
        <v>0.74890046296296298</v>
      </c>
      <c r="G2540" s="22">
        <v>1201.0999999999999</v>
      </c>
      <c r="H2540">
        <v>0</v>
      </c>
      <c r="I2540" s="19" t="e">
        <f>I2539 + (D2540-G2540)</f>
        <v>#VALUE!</v>
      </c>
      <c r="M2540">
        <v>122378</v>
      </c>
      <c r="N2540">
        <v>24</v>
      </c>
      <c r="O2540" t="s">
        <v>68</v>
      </c>
      <c r="P2540">
        <v>1</v>
      </c>
      <c r="R2540">
        <v>1502</v>
      </c>
      <c r="S2540" s="17">
        <v>42129</v>
      </c>
      <c r="T2540" s="17">
        <v>42129</v>
      </c>
      <c r="W2540">
        <v>2015</v>
      </c>
      <c r="X2540">
        <v>24</v>
      </c>
      <c r="AC2540" t="s">
        <v>221</v>
      </c>
      <c r="AD2540" t="s">
        <v>301</v>
      </c>
      <c r="AE2540" t="s">
        <v>46</v>
      </c>
      <c r="AG2540">
        <v>4</v>
      </c>
      <c r="AH2540">
        <v>9</v>
      </c>
      <c r="AI2540" t="s">
        <v>54</v>
      </c>
      <c r="AK2540">
        <v>0</v>
      </c>
      <c r="AM2540">
        <v>0</v>
      </c>
      <c r="AP2540" t="s">
        <v>389</v>
      </c>
    </row>
    <row r="2541" spans="1:42" customFormat="1">
      <c r="A2541">
        <v>267672</v>
      </c>
      <c r="B2541" t="s">
        <v>1607</v>
      </c>
      <c r="C2541" t="s">
        <v>1608</v>
      </c>
      <c r="D2541" s="22">
        <v>0</v>
      </c>
      <c r="E2541" s="17">
        <v>42129</v>
      </c>
      <c r="F2541" s="18">
        <v>0.7510648148148148</v>
      </c>
      <c r="G2541" s="22">
        <v>427.53</v>
      </c>
      <c r="H2541">
        <v>0</v>
      </c>
      <c r="I2541" s="19" t="e">
        <f>I2540 + (D2541-G2541)</f>
        <v>#VALUE!</v>
      </c>
      <c r="M2541">
        <v>122380</v>
      </c>
      <c r="N2541">
        <v>24</v>
      </c>
      <c r="O2541" t="s">
        <v>68</v>
      </c>
      <c r="P2541">
        <v>1</v>
      </c>
      <c r="R2541">
        <v>1502</v>
      </c>
      <c r="S2541" s="17">
        <v>42129</v>
      </c>
      <c r="T2541" s="17">
        <v>42129</v>
      </c>
      <c r="W2541">
        <v>2015</v>
      </c>
      <c r="X2541">
        <v>24</v>
      </c>
      <c r="AC2541" t="s">
        <v>221</v>
      </c>
      <c r="AD2541" t="s">
        <v>301</v>
      </c>
      <c r="AE2541" t="s">
        <v>46</v>
      </c>
      <c r="AG2541">
        <v>4</v>
      </c>
      <c r="AH2541">
        <v>9</v>
      </c>
      <c r="AI2541" t="s">
        <v>54</v>
      </c>
      <c r="AK2541">
        <v>0</v>
      </c>
      <c r="AM2541">
        <v>0</v>
      </c>
      <c r="AP2541" t="s">
        <v>389</v>
      </c>
    </row>
    <row r="2542" spans="1:42" customFormat="1">
      <c r="A2542">
        <v>267673</v>
      </c>
      <c r="B2542" t="s">
        <v>1609</v>
      </c>
      <c r="C2542" t="s">
        <v>1610</v>
      </c>
      <c r="D2542" s="22">
        <v>0</v>
      </c>
      <c r="E2542" s="17">
        <v>42129</v>
      </c>
      <c r="F2542" s="18">
        <v>0.7516087962962964</v>
      </c>
      <c r="G2542" s="22">
        <v>425.2</v>
      </c>
      <c r="H2542">
        <v>0</v>
      </c>
      <c r="I2542" s="19" t="e">
        <f>I2541 + (D2542-G2542)</f>
        <v>#VALUE!</v>
      </c>
      <c r="M2542">
        <v>122381</v>
      </c>
      <c r="N2542">
        <v>24</v>
      </c>
      <c r="O2542" t="s">
        <v>68</v>
      </c>
      <c r="P2542">
        <v>1</v>
      </c>
      <c r="R2542">
        <v>1502</v>
      </c>
      <c r="S2542" s="17">
        <v>42129</v>
      </c>
      <c r="T2542" s="17">
        <v>42129</v>
      </c>
      <c r="W2542">
        <v>2015</v>
      </c>
      <c r="X2542">
        <v>24</v>
      </c>
      <c r="AC2542" t="s">
        <v>221</v>
      </c>
      <c r="AD2542" t="s">
        <v>301</v>
      </c>
      <c r="AE2542" t="s">
        <v>46</v>
      </c>
      <c r="AG2542">
        <v>4</v>
      </c>
      <c r="AH2542">
        <v>9</v>
      </c>
      <c r="AI2542" t="s">
        <v>54</v>
      </c>
      <c r="AK2542">
        <v>0</v>
      </c>
      <c r="AM2542">
        <v>0</v>
      </c>
      <c r="AP2542" t="s">
        <v>389</v>
      </c>
    </row>
    <row r="2543" spans="1:42" customFormat="1">
      <c r="A2543">
        <v>267674</v>
      </c>
      <c r="B2543" t="s">
        <v>1611</v>
      </c>
      <c r="C2543" t="s">
        <v>1612</v>
      </c>
      <c r="D2543" s="22">
        <v>0</v>
      </c>
      <c r="E2543" s="17">
        <v>42129</v>
      </c>
      <c r="F2543" s="18">
        <v>0.75201388888888887</v>
      </c>
      <c r="G2543" s="22">
        <v>632.27</v>
      </c>
      <c r="H2543">
        <v>0</v>
      </c>
      <c r="I2543" s="19" t="e">
        <f>I2542 + (D2543-G2543)</f>
        <v>#VALUE!</v>
      </c>
      <c r="M2543">
        <v>122382</v>
      </c>
      <c r="N2543">
        <v>24</v>
      </c>
      <c r="O2543" t="s">
        <v>68</v>
      </c>
      <c r="P2543">
        <v>1</v>
      </c>
      <c r="R2543">
        <v>1502</v>
      </c>
      <c r="S2543" s="17">
        <v>42129</v>
      </c>
      <c r="T2543" s="17">
        <v>42129</v>
      </c>
      <c r="W2543">
        <v>2015</v>
      </c>
      <c r="X2543">
        <v>24</v>
      </c>
      <c r="AC2543" t="s">
        <v>221</v>
      </c>
      <c r="AD2543" t="s">
        <v>301</v>
      </c>
      <c r="AE2543" t="s">
        <v>46</v>
      </c>
      <c r="AG2543">
        <v>4</v>
      </c>
      <c r="AH2543">
        <v>9</v>
      </c>
      <c r="AI2543" t="s">
        <v>54</v>
      </c>
      <c r="AK2543">
        <v>0</v>
      </c>
      <c r="AM2543">
        <v>0</v>
      </c>
      <c r="AP2543" t="s">
        <v>389</v>
      </c>
    </row>
    <row r="2544" spans="1:42" customFormat="1">
      <c r="A2544">
        <v>267676</v>
      </c>
      <c r="B2544" t="s">
        <v>1613</v>
      </c>
      <c r="C2544" t="s">
        <v>1614</v>
      </c>
      <c r="D2544" s="22">
        <v>0</v>
      </c>
      <c r="E2544" s="17">
        <v>42129</v>
      </c>
      <c r="F2544" s="18">
        <v>0.75258101851851855</v>
      </c>
      <c r="G2544" s="22">
        <v>982.19</v>
      </c>
      <c r="H2544">
        <v>0</v>
      </c>
      <c r="I2544" s="19" t="e">
        <f>I2543 + (D2544-G2544)</f>
        <v>#VALUE!</v>
      </c>
      <c r="M2544">
        <v>122383</v>
      </c>
      <c r="N2544">
        <v>24</v>
      </c>
      <c r="O2544" t="s">
        <v>68</v>
      </c>
      <c r="P2544">
        <v>1</v>
      </c>
      <c r="R2544">
        <v>1502</v>
      </c>
      <c r="S2544" s="17">
        <v>42129</v>
      </c>
      <c r="T2544" s="17">
        <v>42129</v>
      </c>
      <c r="W2544">
        <v>2015</v>
      </c>
      <c r="X2544">
        <v>24</v>
      </c>
      <c r="AC2544" t="s">
        <v>221</v>
      </c>
      <c r="AD2544" t="s">
        <v>301</v>
      </c>
      <c r="AE2544" t="s">
        <v>46</v>
      </c>
      <c r="AG2544">
        <v>4</v>
      </c>
      <c r="AH2544">
        <v>9</v>
      </c>
      <c r="AI2544" t="s">
        <v>54</v>
      </c>
      <c r="AK2544">
        <v>0</v>
      </c>
      <c r="AM2544">
        <v>0</v>
      </c>
      <c r="AP2544" t="s">
        <v>389</v>
      </c>
    </row>
    <row r="2545" spans="1:42" customFormat="1">
      <c r="A2545">
        <v>267677</v>
      </c>
      <c r="B2545" t="s">
        <v>1615</v>
      </c>
      <c r="C2545" t="s">
        <v>1616</v>
      </c>
      <c r="D2545" s="22">
        <v>0</v>
      </c>
      <c r="E2545" s="17">
        <v>42129</v>
      </c>
      <c r="F2545" s="18">
        <v>0.75309027777777782</v>
      </c>
      <c r="G2545" s="22">
        <v>956.51</v>
      </c>
      <c r="H2545">
        <v>0</v>
      </c>
      <c r="I2545" s="19" t="e">
        <f>I2544 + (D2545-G2545)</f>
        <v>#VALUE!</v>
      </c>
      <c r="M2545">
        <v>122384</v>
      </c>
      <c r="N2545">
        <v>24</v>
      </c>
      <c r="O2545" t="s">
        <v>68</v>
      </c>
      <c r="P2545">
        <v>1</v>
      </c>
      <c r="R2545">
        <v>1502</v>
      </c>
      <c r="S2545" s="17">
        <v>42129</v>
      </c>
      <c r="T2545" s="17">
        <v>42129</v>
      </c>
      <c r="W2545">
        <v>2015</v>
      </c>
      <c r="X2545">
        <v>24</v>
      </c>
      <c r="AC2545" t="s">
        <v>221</v>
      </c>
      <c r="AD2545" t="s">
        <v>301</v>
      </c>
      <c r="AE2545" t="s">
        <v>46</v>
      </c>
      <c r="AG2545">
        <v>4</v>
      </c>
      <c r="AH2545">
        <v>9</v>
      </c>
      <c r="AI2545" t="s">
        <v>54</v>
      </c>
      <c r="AK2545">
        <v>0</v>
      </c>
      <c r="AM2545">
        <v>0</v>
      </c>
      <c r="AP2545" t="s">
        <v>389</v>
      </c>
    </row>
    <row r="2546" spans="1:42" customFormat="1">
      <c r="A2546">
        <v>267678</v>
      </c>
      <c r="B2546" t="s">
        <v>1617</v>
      </c>
      <c r="C2546" t="s">
        <v>1618</v>
      </c>
      <c r="D2546" s="22">
        <v>0</v>
      </c>
      <c r="E2546" s="17">
        <v>42129</v>
      </c>
      <c r="F2546" s="18">
        <v>0.75347222222222221</v>
      </c>
      <c r="G2546" s="22">
        <v>1349.1</v>
      </c>
      <c r="H2546">
        <v>0</v>
      </c>
      <c r="I2546" s="19" t="e">
        <f>I2545 + (D2546-G2546)</f>
        <v>#VALUE!</v>
      </c>
      <c r="M2546">
        <v>122385</v>
      </c>
      <c r="N2546">
        <v>24</v>
      </c>
      <c r="O2546" t="s">
        <v>68</v>
      </c>
      <c r="P2546">
        <v>1</v>
      </c>
      <c r="R2546">
        <v>1502</v>
      </c>
      <c r="S2546" s="17">
        <v>42129</v>
      </c>
      <c r="T2546" s="17">
        <v>42129</v>
      </c>
      <c r="W2546">
        <v>2015</v>
      </c>
      <c r="X2546">
        <v>24</v>
      </c>
      <c r="AC2546" t="s">
        <v>221</v>
      </c>
      <c r="AD2546" t="s">
        <v>301</v>
      </c>
      <c r="AE2546" t="s">
        <v>46</v>
      </c>
      <c r="AG2546">
        <v>4</v>
      </c>
      <c r="AH2546">
        <v>9</v>
      </c>
      <c r="AI2546" t="s">
        <v>54</v>
      </c>
      <c r="AK2546">
        <v>0</v>
      </c>
      <c r="AM2546">
        <v>0</v>
      </c>
      <c r="AP2546" t="s">
        <v>389</v>
      </c>
    </row>
    <row r="2547" spans="1:42" customFormat="1">
      <c r="A2547">
        <v>267679</v>
      </c>
      <c r="B2547" t="s">
        <v>1619</v>
      </c>
      <c r="C2547" t="s">
        <v>1620</v>
      </c>
      <c r="D2547" s="22">
        <v>0</v>
      </c>
      <c r="E2547" s="17">
        <v>42129</v>
      </c>
      <c r="F2547" s="18">
        <v>0.75387731481481479</v>
      </c>
      <c r="G2547" s="22">
        <v>1260.9000000000001</v>
      </c>
      <c r="H2547">
        <v>0</v>
      </c>
      <c r="I2547" s="19" t="e">
        <f>I2546 + (D2547-G2547)</f>
        <v>#VALUE!</v>
      </c>
      <c r="M2547">
        <v>122386</v>
      </c>
      <c r="N2547">
        <v>24</v>
      </c>
      <c r="O2547" t="s">
        <v>68</v>
      </c>
      <c r="P2547">
        <v>1</v>
      </c>
      <c r="R2547">
        <v>1502</v>
      </c>
      <c r="S2547" s="17">
        <v>42129</v>
      </c>
      <c r="T2547" s="17">
        <v>42129</v>
      </c>
      <c r="W2547">
        <v>2015</v>
      </c>
      <c r="X2547">
        <v>24</v>
      </c>
      <c r="AC2547" t="s">
        <v>221</v>
      </c>
      <c r="AD2547" t="s">
        <v>301</v>
      </c>
      <c r="AE2547" t="s">
        <v>46</v>
      </c>
      <c r="AG2547">
        <v>4</v>
      </c>
      <c r="AH2547">
        <v>9</v>
      </c>
      <c r="AI2547" t="s">
        <v>54</v>
      </c>
      <c r="AK2547">
        <v>0</v>
      </c>
      <c r="AM2547">
        <v>0</v>
      </c>
      <c r="AP2547" t="s">
        <v>389</v>
      </c>
    </row>
    <row r="2548" spans="1:42" customFormat="1">
      <c r="A2548">
        <v>269723</v>
      </c>
      <c r="B2548" t="s">
        <v>384</v>
      </c>
      <c r="C2548" t="s">
        <v>385</v>
      </c>
      <c r="D2548" s="22">
        <v>0</v>
      </c>
      <c r="E2548" s="17">
        <v>42128</v>
      </c>
      <c r="F2548" s="18">
        <v>0.40190972222222227</v>
      </c>
      <c r="G2548" s="22">
        <v>45</v>
      </c>
      <c r="H2548">
        <v>0</v>
      </c>
      <c r="I2548" s="19" t="e">
        <f>I2547 + (D2548-G2548)</f>
        <v>#VALUE!</v>
      </c>
      <c r="M2548">
        <v>123237</v>
      </c>
      <c r="N2548">
        <v>24</v>
      </c>
      <c r="O2548" t="s">
        <v>68</v>
      </c>
      <c r="P2548">
        <v>1</v>
      </c>
      <c r="R2548">
        <v>1419</v>
      </c>
      <c r="S2548" s="17">
        <v>42137</v>
      </c>
      <c r="T2548" s="17">
        <v>42137</v>
      </c>
      <c r="W2548">
        <v>2015</v>
      </c>
      <c r="X2548">
        <v>24</v>
      </c>
      <c r="AC2548" t="s">
        <v>386</v>
      </c>
      <c r="AD2548" t="s">
        <v>301</v>
      </c>
      <c r="AE2548" t="s">
        <v>46</v>
      </c>
      <c r="AG2548">
        <v>56</v>
      </c>
      <c r="AH2548">
        <v>1</v>
      </c>
      <c r="AI2548" t="s">
        <v>58</v>
      </c>
      <c r="AK2548">
        <v>0</v>
      </c>
      <c r="AM2548">
        <v>0</v>
      </c>
      <c r="AP2548" t="s">
        <v>59</v>
      </c>
    </row>
    <row r="2549" spans="1:42" customFormat="1">
      <c r="A2549">
        <v>269762</v>
      </c>
      <c r="B2549" t="s">
        <v>438</v>
      </c>
      <c r="C2549" t="s">
        <v>439</v>
      </c>
      <c r="D2549" s="22">
        <v>0</v>
      </c>
      <c r="E2549" s="17">
        <v>42128</v>
      </c>
      <c r="F2549" s="18">
        <v>0.46357638888888886</v>
      </c>
      <c r="G2549" s="22">
        <v>1260</v>
      </c>
      <c r="H2549">
        <v>0</v>
      </c>
      <c r="I2549" s="19" t="e">
        <f>I2548 + (D2549-G2549)</f>
        <v>#VALUE!</v>
      </c>
      <c r="M2549">
        <v>123267</v>
      </c>
      <c r="N2549">
        <v>24</v>
      </c>
      <c r="O2549" t="s">
        <v>68</v>
      </c>
      <c r="P2549">
        <v>1</v>
      </c>
      <c r="R2549">
        <v>1419</v>
      </c>
      <c r="S2549" s="17">
        <v>42137</v>
      </c>
      <c r="T2549" s="17">
        <v>42137</v>
      </c>
      <c r="W2549">
        <v>2015</v>
      </c>
      <c r="X2549">
        <v>24</v>
      </c>
      <c r="AC2549" t="s">
        <v>386</v>
      </c>
      <c r="AD2549" t="s">
        <v>301</v>
      </c>
      <c r="AE2549" t="s">
        <v>46</v>
      </c>
      <c r="AG2549">
        <v>56</v>
      </c>
      <c r="AH2549">
        <v>1</v>
      </c>
      <c r="AI2549" t="s">
        <v>58</v>
      </c>
      <c r="AK2549">
        <v>0</v>
      </c>
      <c r="AM2549">
        <v>0</v>
      </c>
      <c r="AP2549" t="s">
        <v>59</v>
      </c>
    </row>
    <row r="2550" spans="1:42" customFormat="1">
      <c r="A2550">
        <v>269724</v>
      </c>
      <c r="B2550" t="s">
        <v>2385</v>
      </c>
      <c r="C2550" t="s">
        <v>2386</v>
      </c>
      <c r="D2550" s="22">
        <v>0</v>
      </c>
      <c r="E2550" s="17">
        <v>42135</v>
      </c>
      <c r="F2550" s="18">
        <v>0.40239583333333334</v>
      </c>
      <c r="G2550" s="22">
        <v>1260</v>
      </c>
      <c r="H2550">
        <v>0</v>
      </c>
      <c r="I2550" s="19" t="e">
        <f>I2549 + (D2550-G2550)</f>
        <v>#VALUE!</v>
      </c>
      <c r="M2550">
        <v>123238</v>
      </c>
      <c r="N2550">
        <v>24</v>
      </c>
      <c r="O2550" t="s">
        <v>68</v>
      </c>
      <c r="P2550">
        <v>1</v>
      </c>
      <c r="R2550">
        <v>1419</v>
      </c>
      <c r="S2550" s="17">
        <v>42137</v>
      </c>
      <c r="T2550" s="17">
        <v>42137</v>
      </c>
      <c r="W2550">
        <v>2015</v>
      </c>
      <c r="X2550">
        <v>24</v>
      </c>
      <c r="AC2550" t="s">
        <v>386</v>
      </c>
      <c r="AD2550" t="s">
        <v>301</v>
      </c>
      <c r="AE2550" t="s">
        <v>46</v>
      </c>
      <c r="AG2550">
        <v>56</v>
      </c>
      <c r="AH2550">
        <v>1</v>
      </c>
      <c r="AI2550" t="s">
        <v>58</v>
      </c>
      <c r="AK2550">
        <v>0</v>
      </c>
      <c r="AM2550">
        <v>0</v>
      </c>
      <c r="AP2550" t="s">
        <v>59</v>
      </c>
    </row>
    <row r="2551" spans="1:42" customFormat="1">
      <c r="A2551">
        <v>270391</v>
      </c>
      <c r="B2551" t="s">
        <v>2882</v>
      </c>
      <c r="C2551" t="s">
        <v>2883</v>
      </c>
      <c r="D2551" s="22">
        <v>0</v>
      </c>
      <c r="E2551" s="17">
        <v>42136</v>
      </c>
      <c r="F2551" s="18">
        <v>0.4430439814814815</v>
      </c>
      <c r="G2551" s="22">
        <v>1150</v>
      </c>
      <c r="H2551">
        <v>0</v>
      </c>
      <c r="I2551" s="19" t="e">
        <f>I2550 + (D2551-G2551)</f>
        <v>#VALUE!</v>
      </c>
      <c r="M2551">
        <v>122931</v>
      </c>
      <c r="N2551">
        <v>24</v>
      </c>
      <c r="O2551" t="s">
        <v>68</v>
      </c>
      <c r="P2551">
        <v>1</v>
      </c>
      <c r="R2551">
        <v>1419</v>
      </c>
      <c r="S2551" s="17">
        <v>42144</v>
      </c>
      <c r="T2551" s="17">
        <v>42144</v>
      </c>
      <c r="W2551">
        <v>2015</v>
      </c>
      <c r="X2551">
        <v>24</v>
      </c>
      <c r="AC2551" t="s">
        <v>386</v>
      </c>
      <c r="AD2551" t="s">
        <v>301</v>
      </c>
      <c r="AE2551" t="s">
        <v>46</v>
      </c>
      <c r="AG2551">
        <v>52</v>
      </c>
      <c r="AH2551">
        <v>2</v>
      </c>
      <c r="AI2551" t="s">
        <v>50</v>
      </c>
      <c r="AK2551">
        <v>0</v>
      </c>
      <c r="AM2551">
        <v>0</v>
      </c>
      <c r="AP2551" t="s">
        <v>325</v>
      </c>
    </row>
    <row r="2552" spans="1:42" customFormat="1">
      <c r="A2552">
        <v>270202</v>
      </c>
      <c r="B2552" t="s">
        <v>3463</v>
      </c>
      <c r="C2552" t="s">
        <v>3464</v>
      </c>
      <c r="D2552" s="22">
        <v>0</v>
      </c>
      <c r="E2552" s="17">
        <v>42139</v>
      </c>
      <c r="F2552" s="18">
        <v>0.62192129629629633</v>
      </c>
      <c r="G2552" s="22">
        <v>1575</v>
      </c>
      <c r="H2552">
        <v>0</v>
      </c>
      <c r="I2552" s="19" t="e">
        <f>I2551 + (D2552-G2552)</f>
        <v>#VALUE!</v>
      </c>
      <c r="M2552">
        <v>123535</v>
      </c>
      <c r="N2552">
        <v>24</v>
      </c>
      <c r="O2552" t="s">
        <v>68</v>
      </c>
      <c r="P2552">
        <v>1</v>
      </c>
      <c r="R2552">
        <v>1419</v>
      </c>
      <c r="S2552" s="17">
        <v>42142</v>
      </c>
      <c r="T2552" s="17">
        <v>42142</v>
      </c>
      <c r="W2552">
        <v>2015</v>
      </c>
      <c r="X2552">
        <v>24</v>
      </c>
      <c r="AC2552" t="s">
        <v>386</v>
      </c>
      <c r="AD2552" t="s">
        <v>301</v>
      </c>
      <c r="AE2552" t="s">
        <v>46</v>
      </c>
      <c r="AG2552">
        <v>56</v>
      </c>
      <c r="AH2552">
        <v>1</v>
      </c>
      <c r="AI2552" t="s">
        <v>58</v>
      </c>
      <c r="AK2552">
        <v>0</v>
      </c>
      <c r="AM2552">
        <v>0</v>
      </c>
      <c r="AP2552" t="s">
        <v>59</v>
      </c>
    </row>
    <row r="2553" spans="1:42" customFormat="1">
      <c r="A2553">
        <v>270952</v>
      </c>
      <c r="B2553" t="s">
        <v>4132</v>
      </c>
      <c r="C2553" t="s">
        <v>4133</v>
      </c>
      <c r="D2553" s="22">
        <v>0</v>
      </c>
      <c r="E2553" s="17">
        <v>42146</v>
      </c>
      <c r="F2553" s="18">
        <v>0.42093749999999996</v>
      </c>
      <c r="G2553" s="22">
        <v>1575</v>
      </c>
      <c r="H2553">
        <v>0</v>
      </c>
      <c r="I2553" s="19" t="e">
        <f>I2552 + (D2553-G2553)</f>
        <v>#VALUE!</v>
      </c>
      <c r="M2553">
        <v>123996</v>
      </c>
      <c r="N2553">
        <v>24</v>
      </c>
      <c r="O2553" t="s">
        <v>68</v>
      </c>
      <c r="P2553">
        <v>1</v>
      </c>
      <c r="R2553">
        <v>1419</v>
      </c>
      <c r="S2553" s="17">
        <v>42149</v>
      </c>
      <c r="T2553" s="17">
        <v>42149</v>
      </c>
      <c r="W2553">
        <v>2015</v>
      </c>
      <c r="X2553">
        <v>24</v>
      </c>
      <c r="AC2553" t="s">
        <v>386</v>
      </c>
      <c r="AD2553" t="s">
        <v>301</v>
      </c>
      <c r="AE2553" t="s">
        <v>46</v>
      </c>
      <c r="AG2553">
        <v>56</v>
      </c>
      <c r="AH2553">
        <v>1</v>
      </c>
      <c r="AI2553" t="s">
        <v>58</v>
      </c>
      <c r="AK2553">
        <v>0</v>
      </c>
      <c r="AM2553">
        <v>0</v>
      </c>
      <c r="AP2553" t="s">
        <v>59</v>
      </c>
    </row>
    <row r="2554" spans="1:42" customFormat="1">
      <c r="A2554">
        <v>271550</v>
      </c>
      <c r="B2554" t="s">
        <v>5030</v>
      </c>
      <c r="C2554" t="s">
        <v>5031</v>
      </c>
      <c r="D2554" s="22">
        <v>0</v>
      </c>
      <c r="E2554" s="17">
        <v>42152</v>
      </c>
      <c r="F2554" s="18">
        <v>0.40686342592592589</v>
      </c>
      <c r="G2554" s="22">
        <v>1350</v>
      </c>
      <c r="H2554">
        <v>0</v>
      </c>
      <c r="I2554" s="19" t="e">
        <f>I2553 + (D2554-G2554)</f>
        <v>#VALUE!</v>
      </c>
      <c r="M2554">
        <v>124392</v>
      </c>
      <c r="N2554">
        <v>24</v>
      </c>
      <c r="O2554" t="s">
        <v>68</v>
      </c>
      <c r="P2554">
        <v>1</v>
      </c>
      <c r="R2554">
        <v>1419</v>
      </c>
      <c r="S2554" s="17">
        <v>42157</v>
      </c>
      <c r="T2554" s="17">
        <v>42157</v>
      </c>
      <c r="W2554">
        <v>2015</v>
      </c>
      <c r="X2554">
        <v>24</v>
      </c>
      <c r="AC2554" t="s">
        <v>386</v>
      </c>
      <c r="AD2554" t="s">
        <v>301</v>
      </c>
      <c r="AE2554" t="s">
        <v>46</v>
      </c>
      <c r="AG2554">
        <v>56</v>
      </c>
      <c r="AH2554">
        <v>1</v>
      </c>
      <c r="AI2554" t="s">
        <v>58</v>
      </c>
      <c r="AK2554">
        <v>0</v>
      </c>
      <c r="AM2554">
        <v>0</v>
      </c>
      <c r="AP2554" t="s">
        <v>59</v>
      </c>
    </row>
    <row r="2555" spans="1:42" customFormat="1">
      <c r="A2555">
        <v>274217</v>
      </c>
      <c r="B2555" t="s">
        <v>3617</v>
      </c>
      <c r="C2555" t="s">
        <v>3618</v>
      </c>
      <c r="D2555" s="22">
        <v>0</v>
      </c>
      <c r="E2555" s="17">
        <v>42143</v>
      </c>
      <c r="F2555" s="18">
        <v>0.39954861111111112</v>
      </c>
      <c r="G2555" s="22">
        <v>3197.3</v>
      </c>
      <c r="H2555">
        <v>0</v>
      </c>
      <c r="I2555" s="19" t="e">
        <f>I2554 + (D2555-G2555)</f>
        <v>#VALUE!</v>
      </c>
      <c r="M2555">
        <v>127445</v>
      </c>
      <c r="N2555">
        <v>25</v>
      </c>
      <c r="O2555" t="s">
        <v>71</v>
      </c>
      <c r="P2555">
        <v>1</v>
      </c>
      <c r="R2555">
        <v>1570</v>
      </c>
      <c r="S2555" s="17">
        <v>42181</v>
      </c>
      <c r="T2555" s="17">
        <v>42181</v>
      </c>
      <c r="W2555">
        <v>2015</v>
      </c>
      <c r="X2555">
        <v>25</v>
      </c>
      <c r="AC2555" t="s">
        <v>176</v>
      </c>
      <c r="AD2555" t="s">
        <v>301</v>
      </c>
      <c r="AE2555" t="s">
        <v>46</v>
      </c>
      <c r="AG2555">
        <v>26</v>
      </c>
      <c r="AH2555">
        <v>9</v>
      </c>
      <c r="AI2555" t="s">
        <v>54</v>
      </c>
      <c r="AK2555">
        <v>0</v>
      </c>
      <c r="AM2555">
        <v>0</v>
      </c>
      <c r="AP2555" t="s">
        <v>501</v>
      </c>
    </row>
    <row r="2556" spans="1:42" customFormat="1">
      <c r="A2556">
        <v>269753</v>
      </c>
      <c r="B2556" t="s">
        <v>2526</v>
      </c>
      <c r="C2556" t="s">
        <v>2527</v>
      </c>
      <c r="D2556" s="22">
        <v>0</v>
      </c>
      <c r="E2556" s="17">
        <v>42135</v>
      </c>
      <c r="F2556" s="18">
        <v>0.45164351851851853</v>
      </c>
      <c r="G2556" s="22">
        <v>5.4</v>
      </c>
      <c r="H2556">
        <v>0</v>
      </c>
      <c r="I2556" s="19" t="e">
        <f>I2555 + (D2556-G2556)</f>
        <v>#VALUE!</v>
      </c>
      <c r="M2556">
        <v>123258</v>
      </c>
      <c r="N2556">
        <v>24</v>
      </c>
      <c r="O2556" t="s">
        <v>68</v>
      </c>
      <c r="P2556">
        <v>1</v>
      </c>
      <c r="R2556">
        <v>1401</v>
      </c>
      <c r="S2556" s="17">
        <v>42137</v>
      </c>
      <c r="T2556" s="17">
        <v>42137</v>
      </c>
      <c r="W2556">
        <v>2015</v>
      </c>
      <c r="X2556">
        <v>24</v>
      </c>
      <c r="AC2556" t="s">
        <v>2528</v>
      </c>
      <c r="AD2556" t="s">
        <v>301</v>
      </c>
      <c r="AE2556" t="s">
        <v>46</v>
      </c>
      <c r="AG2556">
        <v>56</v>
      </c>
      <c r="AH2556">
        <v>1</v>
      </c>
      <c r="AI2556" t="s">
        <v>58</v>
      </c>
      <c r="AK2556">
        <v>0</v>
      </c>
      <c r="AM2556">
        <v>0</v>
      </c>
      <c r="AP2556" t="s">
        <v>59</v>
      </c>
    </row>
    <row r="2557" spans="1:42" customFormat="1">
      <c r="A2557">
        <v>270958</v>
      </c>
      <c r="B2557" t="s">
        <v>1295</v>
      </c>
      <c r="C2557" t="s">
        <v>1296</v>
      </c>
      <c r="D2557" s="22">
        <v>0</v>
      </c>
      <c r="E2557" s="17">
        <v>42129</v>
      </c>
      <c r="F2557" s="18">
        <v>0.43703703703703706</v>
      </c>
      <c r="G2557" s="22">
        <v>128</v>
      </c>
      <c r="H2557">
        <v>0</v>
      </c>
      <c r="I2557" s="19" t="e">
        <f>I2556 + (D2557-G2557)</f>
        <v>#VALUE!</v>
      </c>
      <c r="M2557">
        <v>124006</v>
      </c>
      <c r="N2557">
        <v>24</v>
      </c>
      <c r="O2557" t="s">
        <v>68</v>
      </c>
      <c r="P2557">
        <v>1</v>
      </c>
      <c r="R2557">
        <v>1424</v>
      </c>
      <c r="S2557" s="17">
        <v>42149</v>
      </c>
      <c r="T2557" s="17">
        <v>42149</v>
      </c>
      <c r="W2557">
        <v>2015</v>
      </c>
      <c r="X2557">
        <v>24</v>
      </c>
      <c r="AC2557" t="s">
        <v>153</v>
      </c>
      <c r="AD2557" t="s">
        <v>301</v>
      </c>
      <c r="AE2557" t="s">
        <v>46</v>
      </c>
      <c r="AG2557">
        <v>56</v>
      </c>
      <c r="AH2557">
        <v>1</v>
      </c>
      <c r="AI2557" t="s">
        <v>58</v>
      </c>
      <c r="AK2557">
        <v>0</v>
      </c>
      <c r="AM2557">
        <v>0</v>
      </c>
      <c r="AP2557" t="s">
        <v>59</v>
      </c>
    </row>
    <row r="2558" spans="1:42" customFormat="1">
      <c r="A2558">
        <v>269770</v>
      </c>
      <c r="B2558" t="s">
        <v>1686</v>
      </c>
      <c r="C2558" t="s">
        <v>1687</v>
      </c>
      <c r="D2558" s="22">
        <v>0</v>
      </c>
      <c r="E2558" s="17">
        <v>42130</v>
      </c>
      <c r="F2558" s="18">
        <v>0.47177083333333331</v>
      </c>
      <c r="G2558" s="22">
        <v>140.54</v>
      </c>
      <c r="H2558">
        <v>0</v>
      </c>
      <c r="I2558" s="19" t="e">
        <f>I2557 + (D2558-G2558)</f>
        <v>#VALUE!</v>
      </c>
      <c r="M2558">
        <v>119670</v>
      </c>
      <c r="N2558">
        <v>24</v>
      </c>
      <c r="O2558" t="s">
        <v>68</v>
      </c>
      <c r="P2558">
        <v>1</v>
      </c>
      <c r="R2558">
        <v>1424</v>
      </c>
      <c r="S2558" s="17">
        <v>42137</v>
      </c>
      <c r="T2558" s="17">
        <v>42137</v>
      </c>
      <c r="W2558">
        <v>2015</v>
      </c>
      <c r="X2558">
        <v>24</v>
      </c>
      <c r="AC2558" t="s">
        <v>153</v>
      </c>
      <c r="AD2558" t="s">
        <v>301</v>
      </c>
      <c r="AE2558" t="s">
        <v>46</v>
      </c>
      <c r="AG2558">
        <v>4</v>
      </c>
      <c r="AH2558">
        <v>9</v>
      </c>
      <c r="AI2558" t="s">
        <v>54</v>
      </c>
      <c r="AK2558">
        <v>0</v>
      </c>
      <c r="AM2558">
        <v>0</v>
      </c>
      <c r="AP2558" t="s">
        <v>389</v>
      </c>
    </row>
    <row r="2559" spans="1:42" customFormat="1">
      <c r="A2559">
        <v>269772</v>
      </c>
      <c r="B2559" t="s">
        <v>1690</v>
      </c>
      <c r="C2559" t="s">
        <v>1691</v>
      </c>
      <c r="D2559" s="22">
        <v>0</v>
      </c>
      <c r="E2559" s="17">
        <v>42130</v>
      </c>
      <c r="F2559" s="18">
        <v>0.47336805555555556</v>
      </c>
      <c r="G2559" s="22">
        <v>1204.6500000000001</v>
      </c>
      <c r="H2559">
        <v>0</v>
      </c>
      <c r="I2559" s="19" t="e">
        <f>I2558 + (D2559-G2559)</f>
        <v>#VALUE!</v>
      </c>
      <c r="M2559">
        <v>119669</v>
      </c>
      <c r="N2559">
        <v>24</v>
      </c>
      <c r="O2559" t="s">
        <v>68</v>
      </c>
      <c r="P2559">
        <v>1</v>
      </c>
      <c r="R2559">
        <v>1424</v>
      </c>
      <c r="S2559" s="17">
        <v>42137</v>
      </c>
      <c r="T2559" s="17">
        <v>42137</v>
      </c>
      <c r="W2559">
        <v>2015</v>
      </c>
      <c r="X2559">
        <v>24</v>
      </c>
      <c r="AC2559" t="s">
        <v>153</v>
      </c>
      <c r="AD2559" t="s">
        <v>301</v>
      </c>
      <c r="AE2559" t="s">
        <v>46</v>
      </c>
      <c r="AG2559">
        <v>4</v>
      </c>
      <c r="AH2559">
        <v>9</v>
      </c>
      <c r="AI2559" t="s">
        <v>54</v>
      </c>
      <c r="AK2559">
        <v>0</v>
      </c>
      <c r="AM2559">
        <v>0</v>
      </c>
      <c r="AP2559" t="s">
        <v>389</v>
      </c>
    </row>
    <row r="2560" spans="1:42" customFormat="1">
      <c r="A2560">
        <v>270199</v>
      </c>
      <c r="B2560" t="s">
        <v>3197</v>
      </c>
      <c r="C2560" t="s">
        <v>3198</v>
      </c>
      <c r="D2560" s="22">
        <v>0</v>
      </c>
      <c r="E2560" s="17">
        <v>42138</v>
      </c>
      <c r="F2560" s="18">
        <v>0.61884259259259256</v>
      </c>
      <c r="G2560" s="22">
        <v>20</v>
      </c>
      <c r="H2560">
        <v>0</v>
      </c>
      <c r="I2560" s="19" t="e">
        <f>I2559 + (D2560-G2560)</f>
        <v>#VALUE!</v>
      </c>
      <c r="M2560">
        <v>123530</v>
      </c>
      <c r="N2560">
        <v>24</v>
      </c>
      <c r="O2560" t="s">
        <v>68</v>
      </c>
      <c r="P2560">
        <v>1</v>
      </c>
      <c r="R2560">
        <v>1424</v>
      </c>
      <c r="S2560" s="17">
        <v>42142</v>
      </c>
      <c r="T2560" s="17">
        <v>42142</v>
      </c>
      <c r="W2560">
        <v>2015</v>
      </c>
      <c r="X2560">
        <v>24</v>
      </c>
      <c r="AC2560" t="s">
        <v>153</v>
      </c>
      <c r="AD2560" t="s">
        <v>301</v>
      </c>
      <c r="AE2560" t="s">
        <v>46</v>
      </c>
      <c r="AG2560">
        <v>56</v>
      </c>
      <c r="AH2560">
        <v>1</v>
      </c>
      <c r="AI2560" t="s">
        <v>58</v>
      </c>
      <c r="AK2560">
        <v>0</v>
      </c>
      <c r="AM2560">
        <v>0</v>
      </c>
      <c r="AP2560" t="s">
        <v>59</v>
      </c>
    </row>
    <row r="2561" spans="1:42" customFormat="1">
      <c r="A2561">
        <v>272096</v>
      </c>
      <c r="B2561" t="s">
        <v>5572</v>
      </c>
      <c r="C2561" t="s">
        <v>5573</v>
      </c>
      <c r="D2561" s="22">
        <v>0</v>
      </c>
      <c r="E2561" s="17">
        <v>42154</v>
      </c>
      <c r="F2561" s="18">
        <v>0.35449074074074072</v>
      </c>
      <c r="G2561" s="22">
        <v>128</v>
      </c>
      <c r="H2561">
        <v>0</v>
      </c>
      <c r="I2561" s="19" t="e">
        <f>I2560 + (D2561-G2561)</f>
        <v>#VALUE!</v>
      </c>
      <c r="M2561">
        <v>124812</v>
      </c>
      <c r="N2561">
        <v>24</v>
      </c>
      <c r="O2561" t="s">
        <v>68</v>
      </c>
      <c r="P2561">
        <v>1</v>
      </c>
      <c r="R2561">
        <v>1424</v>
      </c>
      <c r="S2561" s="17">
        <v>42163</v>
      </c>
      <c r="T2561" s="17">
        <v>42163</v>
      </c>
      <c r="W2561">
        <v>2015</v>
      </c>
      <c r="X2561">
        <v>24</v>
      </c>
      <c r="AC2561" t="s">
        <v>153</v>
      </c>
      <c r="AD2561" t="s">
        <v>301</v>
      </c>
      <c r="AE2561" t="s">
        <v>46</v>
      </c>
      <c r="AG2561">
        <v>56</v>
      </c>
      <c r="AH2561">
        <v>1</v>
      </c>
      <c r="AI2561" t="s">
        <v>58</v>
      </c>
      <c r="AK2561">
        <v>0</v>
      </c>
      <c r="AM2561">
        <v>0</v>
      </c>
      <c r="AP2561" t="s">
        <v>59</v>
      </c>
    </row>
    <row r="2562" spans="1:42" customFormat="1">
      <c r="A2562">
        <v>272136</v>
      </c>
      <c r="B2562" t="s">
        <v>5574</v>
      </c>
      <c r="C2562" t="s">
        <v>5575</v>
      </c>
      <c r="D2562" s="22">
        <v>0</v>
      </c>
      <c r="E2562" s="17">
        <v>42154</v>
      </c>
      <c r="F2562" s="18">
        <v>0.3941203703703704</v>
      </c>
      <c r="G2562" s="22">
        <v>60</v>
      </c>
      <c r="H2562">
        <v>0</v>
      </c>
      <c r="I2562" s="19" t="e">
        <f>I2561 + (D2562-G2562)</f>
        <v>#VALUE!</v>
      </c>
      <c r="M2562">
        <v>124844</v>
      </c>
      <c r="N2562">
        <v>24</v>
      </c>
      <c r="O2562" t="s">
        <v>68</v>
      </c>
      <c r="P2562">
        <v>1</v>
      </c>
      <c r="R2562">
        <v>1424</v>
      </c>
      <c r="S2562" s="17">
        <v>42163</v>
      </c>
      <c r="T2562" s="17">
        <v>42163</v>
      </c>
      <c r="W2562">
        <v>2015</v>
      </c>
      <c r="X2562">
        <v>24</v>
      </c>
      <c r="AC2562" t="s">
        <v>153</v>
      </c>
      <c r="AD2562" t="s">
        <v>301</v>
      </c>
      <c r="AE2562" t="s">
        <v>46</v>
      </c>
      <c r="AG2562">
        <v>56</v>
      </c>
      <c r="AH2562">
        <v>1</v>
      </c>
      <c r="AI2562" t="s">
        <v>58</v>
      </c>
      <c r="AK2562">
        <v>0</v>
      </c>
      <c r="AM2562">
        <v>0</v>
      </c>
      <c r="AP2562" t="s">
        <v>59</v>
      </c>
    </row>
    <row r="2563" spans="1:42" customFormat="1">
      <c r="A2563">
        <v>272137</v>
      </c>
      <c r="B2563" t="s">
        <v>5576</v>
      </c>
      <c r="C2563" t="s">
        <v>5577</v>
      </c>
      <c r="D2563" s="22">
        <v>0</v>
      </c>
      <c r="E2563" s="17">
        <v>42154</v>
      </c>
      <c r="F2563" s="18">
        <v>0.39456018518518521</v>
      </c>
      <c r="G2563" s="22">
        <v>13</v>
      </c>
      <c r="H2563">
        <v>0</v>
      </c>
      <c r="I2563" s="19" t="e">
        <f>I2562 + (D2563-G2563)</f>
        <v>#VALUE!</v>
      </c>
      <c r="M2563">
        <v>124845</v>
      </c>
      <c r="N2563">
        <v>24</v>
      </c>
      <c r="O2563" t="s">
        <v>68</v>
      </c>
      <c r="P2563">
        <v>1</v>
      </c>
      <c r="R2563">
        <v>1424</v>
      </c>
      <c r="S2563" s="17">
        <v>42163</v>
      </c>
      <c r="T2563" s="17">
        <v>42163</v>
      </c>
      <c r="W2563">
        <v>2015</v>
      </c>
      <c r="X2563">
        <v>24</v>
      </c>
      <c r="AC2563" t="s">
        <v>153</v>
      </c>
      <c r="AD2563" t="s">
        <v>301</v>
      </c>
      <c r="AE2563" t="s">
        <v>46</v>
      </c>
      <c r="AG2563">
        <v>56</v>
      </c>
      <c r="AH2563">
        <v>1</v>
      </c>
      <c r="AI2563" t="s">
        <v>58</v>
      </c>
      <c r="AK2563">
        <v>0</v>
      </c>
      <c r="AM2563">
        <v>0</v>
      </c>
      <c r="AP2563" t="s">
        <v>59</v>
      </c>
    </row>
    <row r="2564" spans="1:42" customFormat="1">
      <c r="A2564">
        <v>269771</v>
      </c>
      <c r="B2564" t="s">
        <v>1688</v>
      </c>
      <c r="C2564" t="s">
        <v>1689</v>
      </c>
      <c r="D2564" s="22">
        <v>0</v>
      </c>
      <c r="E2564" s="17">
        <v>42130</v>
      </c>
      <c r="F2564" s="18">
        <v>0.47298611111111111</v>
      </c>
      <c r="G2564" s="22">
        <v>43</v>
      </c>
      <c r="H2564">
        <v>0</v>
      </c>
      <c r="I2564" s="19" t="e">
        <f>I2563 + (D2564-G2564)</f>
        <v>#VALUE!</v>
      </c>
      <c r="M2564">
        <v>123274</v>
      </c>
      <c r="N2564">
        <v>24</v>
      </c>
      <c r="O2564" t="s">
        <v>68</v>
      </c>
      <c r="P2564">
        <v>1</v>
      </c>
      <c r="R2564">
        <v>1392</v>
      </c>
      <c r="S2564" s="17">
        <v>42137</v>
      </c>
      <c r="T2564" s="17">
        <v>42137</v>
      </c>
      <c r="W2564">
        <v>2015</v>
      </c>
      <c r="X2564">
        <v>24</v>
      </c>
      <c r="AC2564" t="s">
        <v>93</v>
      </c>
      <c r="AD2564" t="s">
        <v>301</v>
      </c>
      <c r="AE2564" t="s">
        <v>46</v>
      </c>
      <c r="AG2564">
        <v>56</v>
      </c>
      <c r="AH2564">
        <v>1</v>
      </c>
      <c r="AI2564" t="s">
        <v>58</v>
      </c>
      <c r="AK2564">
        <v>0</v>
      </c>
      <c r="AM2564">
        <v>0</v>
      </c>
      <c r="AP2564" t="s">
        <v>59</v>
      </c>
    </row>
    <row r="2565" spans="1:42" customFormat="1">
      <c r="A2565">
        <v>269756</v>
      </c>
      <c r="B2565" t="s">
        <v>2532</v>
      </c>
      <c r="C2565" t="s">
        <v>2533</v>
      </c>
      <c r="D2565" s="22">
        <v>0</v>
      </c>
      <c r="E2565" s="17">
        <v>42135</v>
      </c>
      <c r="F2565" s="18">
        <v>0.45326388888888891</v>
      </c>
      <c r="G2565" s="22">
        <v>6.7</v>
      </c>
      <c r="H2565">
        <v>0</v>
      </c>
      <c r="I2565" s="19" t="e">
        <f>I2564 + (D2565-G2565)</f>
        <v>#VALUE!</v>
      </c>
      <c r="M2565">
        <v>123261</v>
      </c>
      <c r="N2565">
        <v>24</v>
      </c>
      <c r="O2565" t="s">
        <v>68</v>
      </c>
      <c r="P2565">
        <v>1</v>
      </c>
      <c r="R2565">
        <v>1392</v>
      </c>
      <c r="S2565" s="17">
        <v>42137</v>
      </c>
      <c r="T2565" s="17">
        <v>42137</v>
      </c>
      <c r="W2565">
        <v>2015</v>
      </c>
      <c r="X2565">
        <v>24</v>
      </c>
      <c r="AC2565" t="s">
        <v>93</v>
      </c>
      <c r="AD2565" t="s">
        <v>301</v>
      </c>
      <c r="AE2565" t="s">
        <v>46</v>
      </c>
      <c r="AG2565">
        <v>56</v>
      </c>
      <c r="AH2565">
        <v>1</v>
      </c>
      <c r="AI2565" t="s">
        <v>58</v>
      </c>
      <c r="AK2565">
        <v>0</v>
      </c>
      <c r="AM2565">
        <v>0</v>
      </c>
      <c r="AP2565" t="s">
        <v>59</v>
      </c>
    </row>
    <row r="2566" spans="1:42" customFormat="1">
      <c r="A2566">
        <v>270909</v>
      </c>
      <c r="B2566" t="s">
        <v>3600</v>
      </c>
      <c r="C2566" t="s">
        <v>3601</v>
      </c>
      <c r="D2566" s="22">
        <v>0</v>
      </c>
      <c r="E2566" s="17">
        <v>42143</v>
      </c>
      <c r="F2566" s="18">
        <v>0.35803240740740744</v>
      </c>
      <c r="G2566" s="22">
        <v>45</v>
      </c>
      <c r="H2566">
        <v>0</v>
      </c>
      <c r="I2566" s="19" t="e">
        <f>I2565 + (D2566-G2566)</f>
        <v>#VALUE!</v>
      </c>
      <c r="M2566">
        <v>123956</v>
      </c>
      <c r="N2566">
        <v>24</v>
      </c>
      <c r="O2566" t="s">
        <v>68</v>
      </c>
      <c r="P2566">
        <v>2</v>
      </c>
      <c r="R2566">
        <v>1392</v>
      </c>
      <c r="S2566" s="17">
        <v>42149</v>
      </c>
      <c r="T2566" s="17">
        <v>42149</v>
      </c>
      <c r="W2566">
        <v>2015</v>
      </c>
      <c r="X2566">
        <v>24</v>
      </c>
      <c r="AC2566" t="s">
        <v>93</v>
      </c>
      <c r="AD2566" t="s">
        <v>301</v>
      </c>
      <c r="AE2566" t="s">
        <v>46</v>
      </c>
      <c r="AG2566">
        <v>56</v>
      </c>
      <c r="AH2566">
        <v>9</v>
      </c>
      <c r="AI2566" t="s">
        <v>54</v>
      </c>
      <c r="AK2566">
        <v>0</v>
      </c>
      <c r="AM2566">
        <v>0</v>
      </c>
      <c r="AP2566" t="s">
        <v>59</v>
      </c>
    </row>
    <row r="2567" spans="1:42" customFormat="1">
      <c r="A2567">
        <v>270910</v>
      </c>
      <c r="B2567" t="s">
        <v>3602</v>
      </c>
      <c r="C2567" t="s">
        <v>3603</v>
      </c>
      <c r="D2567" s="22">
        <v>0</v>
      </c>
      <c r="E2567" s="17">
        <v>42143</v>
      </c>
      <c r="F2567" s="18">
        <v>0.35856481481481484</v>
      </c>
      <c r="G2567" s="22">
        <v>34.1</v>
      </c>
      <c r="H2567">
        <v>0</v>
      </c>
      <c r="I2567" s="19" t="e">
        <f>I2566 + (D2567-G2567)</f>
        <v>#VALUE!</v>
      </c>
      <c r="M2567">
        <v>123957</v>
      </c>
      <c r="N2567">
        <v>24</v>
      </c>
      <c r="O2567" t="s">
        <v>68</v>
      </c>
      <c r="P2567">
        <v>2</v>
      </c>
      <c r="R2567">
        <v>1392</v>
      </c>
      <c r="S2567" s="17">
        <v>42149</v>
      </c>
      <c r="T2567" s="17">
        <v>42149</v>
      </c>
      <c r="W2567">
        <v>2015</v>
      </c>
      <c r="X2567">
        <v>24</v>
      </c>
      <c r="AC2567" t="s">
        <v>93</v>
      </c>
      <c r="AD2567" t="s">
        <v>301</v>
      </c>
      <c r="AE2567" t="s">
        <v>46</v>
      </c>
      <c r="AG2567">
        <v>56</v>
      </c>
      <c r="AH2567">
        <v>1</v>
      </c>
      <c r="AI2567" t="s">
        <v>58</v>
      </c>
      <c r="AK2567">
        <v>0</v>
      </c>
      <c r="AM2567">
        <v>0</v>
      </c>
      <c r="AP2567" t="s">
        <v>59</v>
      </c>
    </row>
    <row r="2568" spans="1:42" customFormat="1">
      <c r="A2568">
        <v>271410</v>
      </c>
      <c r="B2568" t="s">
        <v>4515</v>
      </c>
      <c r="C2568" t="s">
        <v>4516</v>
      </c>
      <c r="D2568" s="22">
        <v>0</v>
      </c>
      <c r="E2568" s="17">
        <v>42149</v>
      </c>
      <c r="F2568" s="18">
        <v>0.38831018518518517</v>
      </c>
      <c r="G2568" s="22">
        <v>330.87</v>
      </c>
      <c r="H2568">
        <v>0</v>
      </c>
      <c r="I2568" s="19" t="e">
        <f>I2567 + (D2568-G2568)</f>
        <v>#VALUE!</v>
      </c>
      <c r="M2568">
        <v>119573</v>
      </c>
      <c r="N2568">
        <v>24</v>
      </c>
      <c r="O2568" t="s">
        <v>68</v>
      </c>
      <c r="P2568">
        <v>1</v>
      </c>
      <c r="R2568">
        <v>1392</v>
      </c>
      <c r="S2568" s="17">
        <v>42152</v>
      </c>
      <c r="T2568" s="17">
        <v>42152</v>
      </c>
      <c r="W2568">
        <v>2015</v>
      </c>
      <c r="X2568">
        <v>24</v>
      </c>
      <c r="AC2568" t="s">
        <v>93</v>
      </c>
      <c r="AD2568" t="s">
        <v>301</v>
      </c>
      <c r="AE2568" t="s">
        <v>46</v>
      </c>
      <c r="AG2568">
        <v>26</v>
      </c>
      <c r="AH2568">
        <v>9</v>
      </c>
      <c r="AI2568" t="s">
        <v>54</v>
      </c>
      <c r="AK2568">
        <v>0</v>
      </c>
      <c r="AM2568">
        <v>0</v>
      </c>
      <c r="AP2568" t="s">
        <v>501</v>
      </c>
    </row>
    <row r="2569" spans="1:42" customFormat="1">
      <c r="A2569">
        <v>271526</v>
      </c>
      <c r="B2569" t="s">
        <v>5024</v>
      </c>
      <c r="C2569" t="s">
        <v>5025</v>
      </c>
      <c r="D2569" s="22">
        <v>0</v>
      </c>
      <c r="E2569" s="17">
        <v>42152</v>
      </c>
      <c r="F2569" s="18">
        <v>0.37665509259259261</v>
      </c>
      <c r="G2569" s="22">
        <v>26.9</v>
      </c>
      <c r="H2569">
        <v>0</v>
      </c>
      <c r="I2569" s="19" t="e">
        <f>I2568 + (D2569-G2569)</f>
        <v>#VALUE!</v>
      </c>
      <c r="M2569">
        <v>124372</v>
      </c>
      <c r="N2569">
        <v>24</v>
      </c>
      <c r="O2569" t="s">
        <v>68</v>
      </c>
      <c r="P2569">
        <v>1</v>
      </c>
      <c r="R2569">
        <v>1392</v>
      </c>
      <c r="S2569" s="17">
        <v>42157</v>
      </c>
      <c r="T2569" s="17">
        <v>42157</v>
      </c>
      <c r="W2569">
        <v>2015</v>
      </c>
      <c r="X2569">
        <v>24</v>
      </c>
      <c r="AC2569" t="s">
        <v>93</v>
      </c>
      <c r="AD2569" t="s">
        <v>301</v>
      </c>
      <c r="AE2569" t="s">
        <v>46</v>
      </c>
      <c r="AG2569">
        <v>56</v>
      </c>
      <c r="AH2569">
        <v>1</v>
      </c>
      <c r="AI2569" t="s">
        <v>58</v>
      </c>
      <c r="AK2569">
        <v>0</v>
      </c>
      <c r="AM2569">
        <v>0</v>
      </c>
      <c r="AP2569" t="s">
        <v>59</v>
      </c>
    </row>
    <row r="2570" spans="1:42" customFormat="1">
      <c r="A2570">
        <v>271533</v>
      </c>
      <c r="B2570" t="s">
        <v>5226</v>
      </c>
      <c r="C2570" t="s">
        <v>5227</v>
      </c>
      <c r="D2570" s="22">
        <v>0</v>
      </c>
      <c r="E2570" s="17">
        <v>42153</v>
      </c>
      <c r="F2570" s="18">
        <v>0.39443287037037034</v>
      </c>
      <c r="G2570" s="22">
        <v>40</v>
      </c>
      <c r="H2570">
        <v>0</v>
      </c>
      <c r="I2570" s="19" t="e">
        <f>I2569 + (D2570-G2570)</f>
        <v>#VALUE!</v>
      </c>
      <c r="M2570">
        <v>124375</v>
      </c>
      <c r="N2570">
        <v>24</v>
      </c>
      <c r="O2570" t="s">
        <v>68</v>
      </c>
      <c r="P2570">
        <v>1</v>
      </c>
      <c r="R2570">
        <v>1392</v>
      </c>
      <c r="S2570" s="17">
        <v>42157</v>
      </c>
      <c r="T2570" s="17">
        <v>42157</v>
      </c>
      <c r="W2570">
        <v>2015</v>
      </c>
      <c r="X2570">
        <v>24</v>
      </c>
      <c r="AC2570" t="s">
        <v>93</v>
      </c>
      <c r="AD2570" t="s">
        <v>301</v>
      </c>
      <c r="AE2570" t="s">
        <v>46</v>
      </c>
      <c r="AG2570">
        <v>56</v>
      </c>
      <c r="AH2570">
        <v>1</v>
      </c>
      <c r="AI2570" t="s">
        <v>58</v>
      </c>
      <c r="AK2570">
        <v>0</v>
      </c>
      <c r="AM2570">
        <v>0</v>
      </c>
      <c r="AP2570" t="s">
        <v>59</v>
      </c>
    </row>
    <row r="2571" spans="1:42" customFormat="1">
      <c r="A2571">
        <v>267669</v>
      </c>
      <c r="B2571" t="s">
        <v>1245</v>
      </c>
      <c r="C2571" t="s">
        <v>1246</v>
      </c>
      <c r="D2571" s="22">
        <v>0</v>
      </c>
      <c r="E2571" s="17">
        <v>42128</v>
      </c>
      <c r="F2571" s="18">
        <v>0.74818287037037035</v>
      </c>
      <c r="G2571" s="22">
        <v>64.540000000000006</v>
      </c>
      <c r="H2571">
        <v>0</v>
      </c>
      <c r="I2571" s="19" t="e">
        <f>I2570 + (D2571-G2571)</f>
        <v>#VALUE!</v>
      </c>
      <c r="M2571">
        <v>121215</v>
      </c>
      <c r="N2571">
        <v>24</v>
      </c>
      <c r="O2571" t="s">
        <v>68</v>
      </c>
      <c r="P2571">
        <v>1</v>
      </c>
      <c r="R2571">
        <v>1422</v>
      </c>
      <c r="S2571" s="17">
        <v>42129</v>
      </c>
      <c r="T2571" s="17">
        <v>42129</v>
      </c>
      <c r="W2571">
        <v>2015</v>
      </c>
      <c r="X2571">
        <v>24</v>
      </c>
      <c r="AC2571" t="s">
        <v>150</v>
      </c>
      <c r="AD2571" t="s">
        <v>301</v>
      </c>
      <c r="AE2571" t="s">
        <v>46</v>
      </c>
      <c r="AG2571">
        <v>26</v>
      </c>
      <c r="AH2571">
        <v>9</v>
      </c>
      <c r="AI2571" t="s">
        <v>54</v>
      </c>
      <c r="AK2571">
        <v>0</v>
      </c>
      <c r="AM2571">
        <v>0</v>
      </c>
      <c r="AP2571" t="s">
        <v>501</v>
      </c>
    </row>
    <row r="2572" spans="1:42" customFormat="1">
      <c r="A2572">
        <v>269882</v>
      </c>
      <c r="B2572" t="s">
        <v>2095</v>
      </c>
      <c r="C2572" t="s">
        <v>2096</v>
      </c>
      <c r="D2572" s="22">
        <v>0</v>
      </c>
      <c r="E2572" s="17">
        <v>42132</v>
      </c>
      <c r="F2572" s="18">
        <v>0.40751157407407407</v>
      </c>
      <c r="G2572" s="22">
        <v>27943.31</v>
      </c>
      <c r="H2572">
        <v>0</v>
      </c>
      <c r="I2572" s="19" t="e">
        <f>I2571 + (D2572-G2572)</f>
        <v>#VALUE!</v>
      </c>
      <c r="M2572">
        <v>121396</v>
      </c>
      <c r="N2572">
        <v>12</v>
      </c>
      <c r="O2572" t="s">
        <v>214</v>
      </c>
      <c r="P2572">
        <v>1</v>
      </c>
      <c r="R2572">
        <v>1414</v>
      </c>
      <c r="S2572" s="17">
        <v>42138</v>
      </c>
      <c r="T2572" s="17">
        <v>42138</v>
      </c>
      <c r="W2572">
        <v>2015</v>
      </c>
      <c r="X2572">
        <v>12</v>
      </c>
      <c r="AC2572" t="s">
        <v>79</v>
      </c>
      <c r="AD2572" t="s">
        <v>301</v>
      </c>
      <c r="AE2572" t="s">
        <v>46</v>
      </c>
      <c r="AG2572">
        <v>52</v>
      </c>
      <c r="AH2572">
        <v>9</v>
      </c>
      <c r="AI2572" t="s">
        <v>54</v>
      </c>
      <c r="AK2572">
        <v>0</v>
      </c>
      <c r="AM2572">
        <v>0</v>
      </c>
      <c r="AP2572" t="s">
        <v>325</v>
      </c>
    </row>
    <row r="2573" spans="1:42" customFormat="1">
      <c r="A2573">
        <v>270132</v>
      </c>
      <c r="B2573" t="s">
        <v>2351</v>
      </c>
      <c r="C2573" t="s">
        <v>2352</v>
      </c>
      <c r="D2573" s="22">
        <v>0</v>
      </c>
      <c r="E2573" s="17">
        <v>42135</v>
      </c>
      <c r="F2573" s="18">
        <v>0.37425925925925929</v>
      </c>
      <c r="G2573" s="22">
        <v>1680.01</v>
      </c>
      <c r="H2573">
        <v>0</v>
      </c>
      <c r="I2573" s="19" t="e">
        <f>I2572 + (D2573-G2573)</f>
        <v>#VALUE!</v>
      </c>
      <c r="M2573">
        <v>123491</v>
      </c>
      <c r="N2573">
        <v>24</v>
      </c>
      <c r="O2573" t="s">
        <v>68</v>
      </c>
      <c r="P2573">
        <v>1</v>
      </c>
      <c r="R2573">
        <v>1414</v>
      </c>
      <c r="S2573" s="17">
        <v>42142</v>
      </c>
      <c r="T2573" s="17">
        <v>42142</v>
      </c>
      <c r="W2573">
        <v>2015</v>
      </c>
      <c r="X2573">
        <v>24</v>
      </c>
      <c r="AC2573" t="s">
        <v>79</v>
      </c>
      <c r="AD2573" t="s">
        <v>301</v>
      </c>
      <c r="AE2573" t="s">
        <v>46</v>
      </c>
      <c r="AG2573">
        <v>52</v>
      </c>
      <c r="AH2573">
        <v>2</v>
      </c>
      <c r="AI2573" t="s">
        <v>50</v>
      </c>
      <c r="AK2573">
        <v>0</v>
      </c>
      <c r="AM2573">
        <v>0</v>
      </c>
      <c r="AP2573" t="s">
        <v>325</v>
      </c>
    </row>
    <row r="2574" spans="1:42" customFormat="1">
      <c r="A2574">
        <v>270133</v>
      </c>
      <c r="B2574" t="s">
        <v>2353</v>
      </c>
      <c r="C2574" t="s">
        <v>2354</v>
      </c>
      <c r="D2574" s="22">
        <v>0</v>
      </c>
      <c r="E2574" s="17">
        <v>42135</v>
      </c>
      <c r="F2574" s="18">
        <v>0.3744791666666667</v>
      </c>
      <c r="G2574" s="22">
        <v>1519.46</v>
      </c>
      <c r="H2574">
        <v>0</v>
      </c>
      <c r="I2574" s="19" t="e">
        <f>I2573 + (D2574-G2574)</f>
        <v>#VALUE!</v>
      </c>
      <c r="M2574">
        <v>123494</v>
      </c>
      <c r="N2574">
        <v>24</v>
      </c>
      <c r="O2574" t="s">
        <v>68</v>
      </c>
      <c r="P2574">
        <v>1</v>
      </c>
      <c r="R2574">
        <v>1414</v>
      </c>
      <c r="S2574" s="17">
        <v>42142</v>
      </c>
      <c r="T2574" s="17">
        <v>42142</v>
      </c>
      <c r="W2574">
        <v>2015</v>
      </c>
      <c r="X2574">
        <v>24</v>
      </c>
      <c r="AC2574" t="s">
        <v>79</v>
      </c>
      <c r="AD2574" t="s">
        <v>301</v>
      </c>
      <c r="AE2574" t="s">
        <v>46</v>
      </c>
      <c r="AG2574">
        <v>52</v>
      </c>
      <c r="AH2574">
        <v>2</v>
      </c>
      <c r="AI2574" t="s">
        <v>50</v>
      </c>
      <c r="AK2574">
        <v>0</v>
      </c>
      <c r="AM2574">
        <v>0</v>
      </c>
      <c r="AP2574" t="s">
        <v>325</v>
      </c>
    </row>
    <row r="2575" spans="1:42" customFormat="1">
      <c r="A2575">
        <v>270135</v>
      </c>
      <c r="B2575" t="s">
        <v>2357</v>
      </c>
      <c r="C2575" t="s">
        <v>2358</v>
      </c>
      <c r="D2575" s="22">
        <v>0</v>
      </c>
      <c r="E2575" s="17">
        <v>42135</v>
      </c>
      <c r="F2575" s="18">
        <v>0.37532407407407403</v>
      </c>
      <c r="G2575" s="22">
        <v>846.15</v>
      </c>
      <c r="H2575">
        <v>0</v>
      </c>
      <c r="I2575" s="19" t="e">
        <f>I2574 + (D2575-G2575)</f>
        <v>#VALUE!</v>
      </c>
      <c r="M2575">
        <v>123481</v>
      </c>
      <c r="N2575">
        <v>24</v>
      </c>
      <c r="O2575" t="s">
        <v>68</v>
      </c>
      <c r="P2575">
        <v>1</v>
      </c>
      <c r="R2575">
        <v>1414</v>
      </c>
      <c r="S2575" s="17">
        <v>42142</v>
      </c>
      <c r="T2575" s="17">
        <v>42142</v>
      </c>
      <c r="W2575">
        <v>2015</v>
      </c>
      <c r="X2575">
        <v>24</v>
      </c>
      <c r="AC2575" t="s">
        <v>79</v>
      </c>
      <c r="AD2575" t="s">
        <v>301</v>
      </c>
      <c r="AE2575" t="s">
        <v>46</v>
      </c>
      <c r="AG2575">
        <v>52</v>
      </c>
      <c r="AH2575">
        <v>2</v>
      </c>
      <c r="AI2575" t="s">
        <v>50</v>
      </c>
      <c r="AK2575">
        <v>0</v>
      </c>
      <c r="AM2575">
        <v>0</v>
      </c>
      <c r="AP2575" t="s">
        <v>325</v>
      </c>
    </row>
    <row r="2576" spans="1:42" customFormat="1">
      <c r="A2576">
        <v>270136</v>
      </c>
      <c r="B2576" t="s">
        <v>2359</v>
      </c>
      <c r="C2576" t="s">
        <v>2360</v>
      </c>
      <c r="D2576" s="22">
        <v>0</v>
      </c>
      <c r="E2576" s="17">
        <v>42135</v>
      </c>
      <c r="F2576" s="18">
        <v>0.37555555555555559</v>
      </c>
      <c r="G2576" s="22">
        <v>4844.5600000000004</v>
      </c>
      <c r="H2576">
        <v>0</v>
      </c>
      <c r="I2576" s="19" t="e">
        <f>I2575 + (D2576-G2576)</f>
        <v>#VALUE!</v>
      </c>
      <c r="M2576">
        <v>123488</v>
      </c>
      <c r="N2576">
        <v>24</v>
      </c>
      <c r="O2576" t="s">
        <v>68</v>
      </c>
      <c r="P2576">
        <v>1</v>
      </c>
      <c r="R2576">
        <v>1414</v>
      </c>
      <c r="S2576" s="17">
        <v>42142</v>
      </c>
      <c r="T2576" s="17">
        <v>42142</v>
      </c>
      <c r="W2576">
        <v>2015</v>
      </c>
      <c r="X2576">
        <v>24</v>
      </c>
      <c r="AC2576" t="s">
        <v>79</v>
      </c>
      <c r="AD2576" t="s">
        <v>301</v>
      </c>
      <c r="AE2576" t="s">
        <v>46</v>
      </c>
      <c r="AG2576">
        <v>52</v>
      </c>
      <c r="AH2576">
        <v>2</v>
      </c>
      <c r="AI2576" t="s">
        <v>50</v>
      </c>
      <c r="AK2576">
        <v>0</v>
      </c>
      <c r="AM2576">
        <v>0</v>
      </c>
      <c r="AP2576" t="s">
        <v>325</v>
      </c>
    </row>
    <row r="2577" spans="1:42" customFormat="1">
      <c r="A2577">
        <v>270137</v>
      </c>
      <c r="B2577" t="s">
        <v>2361</v>
      </c>
      <c r="C2577" t="s">
        <v>2362</v>
      </c>
      <c r="D2577" s="22">
        <v>0</v>
      </c>
      <c r="E2577" s="17">
        <v>42135</v>
      </c>
      <c r="F2577" s="18">
        <v>0.37571759259259258</v>
      </c>
      <c r="G2577" s="22">
        <v>1282.05</v>
      </c>
      <c r="H2577">
        <v>0</v>
      </c>
      <c r="I2577" s="19" t="e">
        <f>I2576 + (D2577-G2577)</f>
        <v>#VALUE!</v>
      </c>
      <c r="M2577">
        <v>123499</v>
      </c>
      <c r="N2577">
        <v>24</v>
      </c>
      <c r="O2577" t="s">
        <v>68</v>
      </c>
      <c r="P2577">
        <v>1</v>
      </c>
      <c r="R2577">
        <v>1414</v>
      </c>
      <c r="S2577" s="17">
        <v>42142</v>
      </c>
      <c r="T2577" s="17">
        <v>42142</v>
      </c>
      <c r="W2577">
        <v>2015</v>
      </c>
      <c r="X2577">
        <v>24</v>
      </c>
      <c r="AC2577" t="s">
        <v>79</v>
      </c>
      <c r="AD2577" t="s">
        <v>301</v>
      </c>
      <c r="AE2577" t="s">
        <v>46</v>
      </c>
      <c r="AG2577">
        <v>52</v>
      </c>
      <c r="AH2577">
        <v>2</v>
      </c>
      <c r="AI2577" t="s">
        <v>50</v>
      </c>
      <c r="AK2577">
        <v>0</v>
      </c>
      <c r="AM2577">
        <v>0</v>
      </c>
      <c r="AP2577" t="s">
        <v>325</v>
      </c>
    </row>
    <row r="2578" spans="1:42" customFormat="1">
      <c r="A2578">
        <v>270138</v>
      </c>
      <c r="B2578" t="s">
        <v>2363</v>
      </c>
      <c r="C2578" t="s">
        <v>2364</v>
      </c>
      <c r="D2578" s="22">
        <v>0</v>
      </c>
      <c r="E2578" s="17">
        <v>42135</v>
      </c>
      <c r="F2578" s="18">
        <v>0.37589120370370371</v>
      </c>
      <c r="G2578" s="22">
        <v>2585.79</v>
      </c>
      <c r="H2578">
        <v>0</v>
      </c>
      <c r="I2578" s="19" t="e">
        <f>I2577 + (D2578-G2578)</f>
        <v>#VALUE!</v>
      </c>
      <c r="M2578">
        <v>123490</v>
      </c>
      <c r="N2578">
        <v>24</v>
      </c>
      <c r="O2578" t="s">
        <v>68</v>
      </c>
      <c r="P2578">
        <v>1</v>
      </c>
      <c r="R2578">
        <v>1414</v>
      </c>
      <c r="S2578" s="17">
        <v>42142</v>
      </c>
      <c r="T2578" s="17">
        <v>42142</v>
      </c>
      <c r="W2578">
        <v>2015</v>
      </c>
      <c r="X2578">
        <v>24</v>
      </c>
      <c r="AC2578" t="s">
        <v>79</v>
      </c>
      <c r="AD2578" t="s">
        <v>301</v>
      </c>
      <c r="AE2578" t="s">
        <v>46</v>
      </c>
      <c r="AG2578">
        <v>52</v>
      </c>
      <c r="AH2578">
        <v>2</v>
      </c>
      <c r="AI2578" t="s">
        <v>50</v>
      </c>
      <c r="AK2578">
        <v>0</v>
      </c>
      <c r="AM2578">
        <v>0</v>
      </c>
      <c r="AP2578" t="s">
        <v>325</v>
      </c>
    </row>
    <row r="2579" spans="1:42" customFormat="1">
      <c r="A2579">
        <v>270139</v>
      </c>
      <c r="B2579" t="s">
        <v>2365</v>
      </c>
      <c r="C2579" t="s">
        <v>2366</v>
      </c>
      <c r="D2579" s="22">
        <v>0</v>
      </c>
      <c r="E2579" s="17">
        <v>42135</v>
      </c>
      <c r="F2579" s="18">
        <v>0.37608796296296299</v>
      </c>
      <c r="G2579" s="22">
        <v>4838.1400000000003</v>
      </c>
      <c r="H2579">
        <v>0</v>
      </c>
      <c r="I2579" s="19" t="e">
        <f>I2578 + (D2579-G2579)</f>
        <v>#VALUE!</v>
      </c>
      <c r="M2579">
        <v>123492</v>
      </c>
      <c r="N2579">
        <v>24</v>
      </c>
      <c r="O2579" t="s">
        <v>68</v>
      </c>
      <c r="P2579">
        <v>1</v>
      </c>
      <c r="R2579">
        <v>1414</v>
      </c>
      <c r="S2579" s="17">
        <v>42142</v>
      </c>
      <c r="T2579" s="17">
        <v>42142</v>
      </c>
      <c r="W2579">
        <v>2015</v>
      </c>
      <c r="X2579">
        <v>24</v>
      </c>
      <c r="AC2579" t="s">
        <v>79</v>
      </c>
      <c r="AD2579" t="s">
        <v>301</v>
      </c>
      <c r="AE2579" t="s">
        <v>46</v>
      </c>
      <c r="AG2579">
        <v>52</v>
      </c>
      <c r="AH2579">
        <v>2</v>
      </c>
      <c r="AI2579" t="s">
        <v>50</v>
      </c>
      <c r="AK2579">
        <v>0</v>
      </c>
      <c r="AM2579">
        <v>0</v>
      </c>
      <c r="AP2579" t="s">
        <v>325</v>
      </c>
    </row>
    <row r="2580" spans="1:42" customFormat="1">
      <c r="A2580">
        <v>270140</v>
      </c>
      <c r="B2580" t="s">
        <v>2367</v>
      </c>
      <c r="C2580" t="s">
        <v>2368</v>
      </c>
      <c r="D2580" s="22">
        <v>0</v>
      </c>
      <c r="E2580" s="17">
        <v>42135</v>
      </c>
      <c r="F2580" s="18">
        <v>0.37624999999999997</v>
      </c>
      <c r="G2580" s="22">
        <v>1282.05</v>
      </c>
      <c r="H2580">
        <v>0</v>
      </c>
      <c r="I2580" s="19" t="e">
        <f>I2579 + (D2580-G2580)</f>
        <v>#VALUE!</v>
      </c>
      <c r="M2580">
        <v>123493</v>
      </c>
      <c r="N2580">
        <v>24</v>
      </c>
      <c r="O2580" t="s">
        <v>68</v>
      </c>
      <c r="P2580">
        <v>1</v>
      </c>
      <c r="R2580">
        <v>1414</v>
      </c>
      <c r="S2580" s="17">
        <v>42142</v>
      </c>
      <c r="T2580" s="17">
        <v>42142</v>
      </c>
      <c r="W2580">
        <v>2015</v>
      </c>
      <c r="X2580">
        <v>24</v>
      </c>
      <c r="AC2580" t="s">
        <v>79</v>
      </c>
      <c r="AD2580" t="s">
        <v>301</v>
      </c>
      <c r="AE2580" t="s">
        <v>46</v>
      </c>
      <c r="AG2580">
        <v>52</v>
      </c>
      <c r="AH2580">
        <v>2</v>
      </c>
      <c r="AI2580" t="s">
        <v>50</v>
      </c>
      <c r="AK2580">
        <v>0</v>
      </c>
      <c r="AM2580">
        <v>0</v>
      </c>
      <c r="AP2580" t="s">
        <v>325</v>
      </c>
    </row>
    <row r="2581" spans="1:42" customFormat="1">
      <c r="A2581">
        <v>270141</v>
      </c>
      <c r="B2581" t="s">
        <v>2369</v>
      </c>
      <c r="C2581" t="s">
        <v>2370</v>
      </c>
      <c r="D2581" s="22">
        <v>0</v>
      </c>
      <c r="E2581" s="17">
        <v>42135</v>
      </c>
      <c r="F2581" s="18">
        <v>0.37643518518518521</v>
      </c>
      <c r="G2581" s="22">
        <v>846.15</v>
      </c>
      <c r="H2581">
        <v>0</v>
      </c>
      <c r="I2581" s="19" t="e">
        <f>I2580 + (D2581-G2581)</f>
        <v>#VALUE!</v>
      </c>
      <c r="M2581">
        <v>123495</v>
      </c>
      <c r="N2581">
        <v>24</v>
      </c>
      <c r="O2581" t="s">
        <v>68</v>
      </c>
      <c r="P2581">
        <v>1</v>
      </c>
      <c r="R2581">
        <v>1414</v>
      </c>
      <c r="S2581" s="17">
        <v>42142</v>
      </c>
      <c r="T2581" s="17">
        <v>42142</v>
      </c>
      <c r="W2581">
        <v>2015</v>
      </c>
      <c r="X2581">
        <v>24</v>
      </c>
      <c r="AC2581" t="s">
        <v>79</v>
      </c>
      <c r="AD2581" t="s">
        <v>301</v>
      </c>
      <c r="AE2581" t="s">
        <v>46</v>
      </c>
      <c r="AG2581">
        <v>52</v>
      </c>
      <c r="AH2581">
        <v>2</v>
      </c>
      <c r="AI2581" t="s">
        <v>50</v>
      </c>
      <c r="AK2581">
        <v>0</v>
      </c>
      <c r="AM2581">
        <v>0</v>
      </c>
      <c r="AP2581" t="s">
        <v>325</v>
      </c>
    </row>
    <row r="2582" spans="1:42" customFormat="1">
      <c r="A2582">
        <v>270142</v>
      </c>
      <c r="B2582" t="s">
        <v>2371</v>
      </c>
      <c r="C2582" t="s">
        <v>2372</v>
      </c>
      <c r="D2582" s="22">
        <v>0</v>
      </c>
      <c r="E2582" s="17">
        <v>42135</v>
      </c>
      <c r="F2582" s="18">
        <v>0.37663194444444442</v>
      </c>
      <c r="G2582" s="22">
        <v>3044.57</v>
      </c>
      <c r="H2582">
        <v>0</v>
      </c>
      <c r="I2582" s="19" t="e">
        <f>I2581 + (D2582-G2582)</f>
        <v>#VALUE!</v>
      </c>
      <c r="M2582">
        <v>123497</v>
      </c>
      <c r="N2582">
        <v>24</v>
      </c>
      <c r="O2582" t="s">
        <v>68</v>
      </c>
      <c r="P2582">
        <v>1</v>
      </c>
      <c r="R2582">
        <v>1414</v>
      </c>
      <c r="S2582" s="17">
        <v>42142</v>
      </c>
      <c r="T2582" s="17">
        <v>42142</v>
      </c>
      <c r="W2582">
        <v>2015</v>
      </c>
      <c r="X2582">
        <v>24</v>
      </c>
      <c r="AC2582" t="s">
        <v>79</v>
      </c>
      <c r="AD2582" t="s">
        <v>301</v>
      </c>
      <c r="AE2582" t="s">
        <v>46</v>
      </c>
      <c r="AG2582">
        <v>52</v>
      </c>
      <c r="AH2582">
        <v>2</v>
      </c>
      <c r="AI2582" t="s">
        <v>50</v>
      </c>
      <c r="AK2582">
        <v>0</v>
      </c>
      <c r="AM2582">
        <v>0</v>
      </c>
      <c r="AP2582" t="s">
        <v>325</v>
      </c>
    </row>
    <row r="2583" spans="1:42" customFormat="1">
      <c r="A2583">
        <v>270143</v>
      </c>
      <c r="B2583" t="s">
        <v>2373</v>
      </c>
      <c r="C2583" t="s">
        <v>2374</v>
      </c>
      <c r="D2583" s="22">
        <v>0</v>
      </c>
      <c r="E2583" s="17">
        <v>42135</v>
      </c>
      <c r="F2583" s="18">
        <v>0.37682870370370369</v>
      </c>
      <c r="G2583" s="22">
        <v>3423.47</v>
      </c>
      <c r="H2583">
        <v>0</v>
      </c>
      <c r="I2583" s="19" t="e">
        <f>I2582 + (D2583-G2583)</f>
        <v>#VALUE!</v>
      </c>
      <c r="M2583">
        <v>123498</v>
      </c>
      <c r="N2583">
        <v>24</v>
      </c>
      <c r="O2583" t="s">
        <v>68</v>
      </c>
      <c r="P2583">
        <v>1</v>
      </c>
      <c r="R2583">
        <v>1414</v>
      </c>
      <c r="S2583" s="17">
        <v>42142</v>
      </c>
      <c r="T2583" s="17">
        <v>42142</v>
      </c>
      <c r="W2583">
        <v>2015</v>
      </c>
      <c r="X2583">
        <v>24</v>
      </c>
      <c r="AC2583" t="s">
        <v>79</v>
      </c>
      <c r="AD2583" t="s">
        <v>301</v>
      </c>
      <c r="AE2583" t="s">
        <v>46</v>
      </c>
      <c r="AG2583">
        <v>52</v>
      </c>
      <c r="AH2583">
        <v>2</v>
      </c>
      <c r="AI2583" t="s">
        <v>50</v>
      </c>
      <c r="AK2583">
        <v>0</v>
      </c>
      <c r="AM2583">
        <v>0</v>
      </c>
      <c r="AP2583" t="s">
        <v>325</v>
      </c>
    </row>
    <row r="2584" spans="1:42" customFormat="1">
      <c r="A2584">
        <v>270144</v>
      </c>
      <c r="B2584" t="s">
        <v>2375</v>
      </c>
      <c r="C2584" t="s">
        <v>2376</v>
      </c>
      <c r="D2584" s="22">
        <v>0</v>
      </c>
      <c r="E2584" s="17">
        <v>42135</v>
      </c>
      <c r="F2584" s="18">
        <v>0.37741898148148145</v>
      </c>
      <c r="G2584" s="22">
        <v>2101</v>
      </c>
      <c r="H2584">
        <v>0</v>
      </c>
      <c r="I2584" s="19" t="e">
        <f>I2583 + (D2584-G2584)</f>
        <v>#VALUE!</v>
      </c>
      <c r="M2584">
        <v>123486</v>
      </c>
      <c r="N2584">
        <v>24</v>
      </c>
      <c r="O2584" t="s">
        <v>68</v>
      </c>
      <c r="P2584">
        <v>1</v>
      </c>
      <c r="R2584">
        <v>1414</v>
      </c>
      <c r="S2584" s="17">
        <v>42142</v>
      </c>
      <c r="T2584" s="17">
        <v>42142</v>
      </c>
      <c r="W2584">
        <v>2015</v>
      </c>
      <c r="X2584">
        <v>24</v>
      </c>
      <c r="AC2584" t="s">
        <v>79</v>
      </c>
      <c r="AD2584" t="s">
        <v>301</v>
      </c>
      <c r="AE2584" t="s">
        <v>46</v>
      </c>
      <c r="AG2584">
        <v>52</v>
      </c>
      <c r="AH2584">
        <v>2</v>
      </c>
      <c r="AI2584" t="s">
        <v>50</v>
      </c>
      <c r="AK2584">
        <v>0</v>
      </c>
      <c r="AM2584">
        <v>0</v>
      </c>
      <c r="AP2584" t="s">
        <v>325</v>
      </c>
    </row>
    <row r="2585" spans="1:42" customFormat="1">
      <c r="A2585">
        <v>271037</v>
      </c>
      <c r="B2585" t="s">
        <v>2516</v>
      </c>
      <c r="C2585" t="s">
        <v>2517</v>
      </c>
      <c r="D2585" s="22">
        <v>0</v>
      </c>
      <c r="E2585" s="17">
        <v>42135</v>
      </c>
      <c r="F2585" s="18">
        <v>0.44150462962962966</v>
      </c>
      <c r="G2585" s="22">
        <v>2548.35</v>
      </c>
      <c r="H2585">
        <v>0</v>
      </c>
      <c r="I2585" s="19" t="e">
        <f>I2584 + (D2585-G2585)</f>
        <v>#VALUE!</v>
      </c>
      <c r="M2585">
        <v>123500</v>
      </c>
      <c r="N2585">
        <v>24</v>
      </c>
      <c r="O2585" t="s">
        <v>68</v>
      </c>
      <c r="P2585">
        <v>1</v>
      </c>
      <c r="R2585">
        <v>1414</v>
      </c>
      <c r="S2585" s="17">
        <v>42150</v>
      </c>
      <c r="T2585" s="17">
        <v>42150</v>
      </c>
      <c r="W2585">
        <v>2015</v>
      </c>
      <c r="X2585">
        <v>24</v>
      </c>
      <c r="AC2585" t="s">
        <v>79</v>
      </c>
      <c r="AD2585" t="s">
        <v>301</v>
      </c>
      <c r="AE2585" t="s">
        <v>46</v>
      </c>
      <c r="AG2585">
        <v>52</v>
      </c>
      <c r="AH2585">
        <v>2</v>
      </c>
      <c r="AI2585" t="s">
        <v>50</v>
      </c>
      <c r="AK2585">
        <v>0</v>
      </c>
      <c r="AM2585">
        <v>0</v>
      </c>
      <c r="AP2585" t="s">
        <v>325</v>
      </c>
    </row>
    <row r="2586" spans="1:42" customFormat="1">
      <c r="A2586">
        <v>270056</v>
      </c>
      <c r="B2586" t="s">
        <v>2707</v>
      </c>
      <c r="C2586" t="s">
        <v>2708</v>
      </c>
      <c r="D2586" s="22">
        <v>0</v>
      </c>
      <c r="E2586" s="17">
        <v>42135</v>
      </c>
      <c r="F2586" s="18">
        <v>0.67164351851851845</v>
      </c>
      <c r="G2586" s="22">
        <v>4110.32</v>
      </c>
      <c r="H2586">
        <v>0</v>
      </c>
      <c r="I2586" s="19" t="e">
        <f>I2585 + (D2586-G2586)</f>
        <v>#VALUE!</v>
      </c>
      <c r="M2586">
        <v>123355</v>
      </c>
      <c r="N2586">
        <v>24</v>
      </c>
      <c r="O2586" t="s">
        <v>68</v>
      </c>
      <c r="P2586">
        <v>1</v>
      </c>
      <c r="R2586">
        <v>1414</v>
      </c>
      <c r="S2586" s="17">
        <v>42139</v>
      </c>
      <c r="T2586" s="17">
        <v>42139</v>
      </c>
      <c r="W2586">
        <v>2015</v>
      </c>
      <c r="X2586">
        <v>24</v>
      </c>
      <c r="AC2586" t="s">
        <v>79</v>
      </c>
      <c r="AD2586" t="s">
        <v>301</v>
      </c>
      <c r="AE2586" t="s">
        <v>46</v>
      </c>
      <c r="AG2586">
        <v>52</v>
      </c>
      <c r="AH2586">
        <v>2</v>
      </c>
      <c r="AI2586" t="s">
        <v>50</v>
      </c>
      <c r="AK2586">
        <v>0</v>
      </c>
      <c r="AM2586">
        <v>0</v>
      </c>
      <c r="AP2586" t="s">
        <v>325</v>
      </c>
    </row>
    <row r="2587" spans="1:42" customFormat="1">
      <c r="A2587">
        <v>270057</v>
      </c>
      <c r="B2587" t="s">
        <v>2709</v>
      </c>
      <c r="C2587" t="s">
        <v>2710</v>
      </c>
      <c r="D2587" s="22">
        <v>0</v>
      </c>
      <c r="E2587" s="17">
        <v>42135</v>
      </c>
      <c r="F2587" s="18">
        <v>0.67181712962962958</v>
      </c>
      <c r="G2587" s="22">
        <v>423.08</v>
      </c>
      <c r="H2587">
        <v>0</v>
      </c>
      <c r="I2587" s="19" t="e">
        <f>I2586 + (D2587-G2587)</f>
        <v>#VALUE!</v>
      </c>
      <c r="M2587">
        <v>123363</v>
      </c>
      <c r="N2587">
        <v>24</v>
      </c>
      <c r="O2587" t="s">
        <v>68</v>
      </c>
      <c r="P2587">
        <v>1</v>
      </c>
      <c r="R2587">
        <v>1414</v>
      </c>
      <c r="S2587" s="17">
        <v>42139</v>
      </c>
      <c r="T2587" s="17">
        <v>42139</v>
      </c>
      <c r="W2587">
        <v>2015</v>
      </c>
      <c r="X2587">
        <v>24</v>
      </c>
      <c r="AC2587" t="s">
        <v>79</v>
      </c>
      <c r="AD2587" t="s">
        <v>301</v>
      </c>
      <c r="AE2587" t="s">
        <v>46</v>
      </c>
      <c r="AG2587">
        <v>52</v>
      </c>
      <c r="AH2587">
        <v>2</v>
      </c>
      <c r="AI2587" t="s">
        <v>50</v>
      </c>
      <c r="AK2587">
        <v>0</v>
      </c>
      <c r="AM2587">
        <v>0</v>
      </c>
      <c r="AP2587" t="s">
        <v>325</v>
      </c>
    </row>
    <row r="2588" spans="1:42" customFormat="1">
      <c r="A2588">
        <v>270058</v>
      </c>
      <c r="B2588" t="s">
        <v>2711</v>
      </c>
      <c r="C2588" t="s">
        <v>2712</v>
      </c>
      <c r="D2588" s="22">
        <v>0</v>
      </c>
      <c r="E2588" s="17">
        <v>42135</v>
      </c>
      <c r="F2588" s="18">
        <v>0.67197916666666668</v>
      </c>
      <c r="G2588" s="22">
        <v>2892.84</v>
      </c>
      <c r="H2588">
        <v>0</v>
      </c>
      <c r="I2588" s="19" t="e">
        <f>I2587 + (D2588-G2588)</f>
        <v>#VALUE!</v>
      </c>
      <c r="M2588">
        <v>123366</v>
      </c>
      <c r="N2588">
        <v>24</v>
      </c>
      <c r="O2588" t="s">
        <v>68</v>
      </c>
      <c r="P2588">
        <v>1</v>
      </c>
      <c r="R2588">
        <v>1414</v>
      </c>
      <c r="S2588" s="17">
        <v>42139</v>
      </c>
      <c r="T2588" s="17">
        <v>42139</v>
      </c>
      <c r="W2588">
        <v>2015</v>
      </c>
      <c r="X2588">
        <v>24</v>
      </c>
      <c r="AC2588" t="s">
        <v>79</v>
      </c>
      <c r="AD2588" t="s">
        <v>301</v>
      </c>
      <c r="AE2588" t="s">
        <v>46</v>
      </c>
      <c r="AG2588">
        <v>52</v>
      </c>
      <c r="AH2588">
        <v>2</v>
      </c>
      <c r="AI2588" t="s">
        <v>50</v>
      </c>
      <c r="AK2588">
        <v>0</v>
      </c>
      <c r="AM2588">
        <v>0</v>
      </c>
      <c r="AP2588" t="s">
        <v>325</v>
      </c>
    </row>
    <row r="2589" spans="1:42" customFormat="1">
      <c r="A2589">
        <v>270059</v>
      </c>
      <c r="B2589" t="s">
        <v>2713</v>
      </c>
      <c r="C2589" t="s">
        <v>2714</v>
      </c>
      <c r="D2589" s="22">
        <v>0</v>
      </c>
      <c r="E2589" s="17">
        <v>42135</v>
      </c>
      <c r="F2589" s="18">
        <v>0.67214120370370367</v>
      </c>
      <c r="G2589" s="22">
        <v>3221.27</v>
      </c>
      <c r="H2589">
        <v>0</v>
      </c>
      <c r="I2589" s="19" t="e">
        <f>I2588 + (D2589-G2589)</f>
        <v>#VALUE!</v>
      </c>
      <c r="M2589">
        <v>123428</v>
      </c>
      <c r="N2589">
        <v>24</v>
      </c>
      <c r="O2589" t="s">
        <v>68</v>
      </c>
      <c r="P2589">
        <v>1</v>
      </c>
      <c r="R2589">
        <v>1414</v>
      </c>
      <c r="S2589" s="17">
        <v>42139</v>
      </c>
      <c r="T2589" s="17">
        <v>42139</v>
      </c>
      <c r="W2589">
        <v>2015</v>
      </c>
      <c r="X2589">
        <v>24</v>
      </c>
      <c r="AC2589" t="s">
        <v>79</v>
      </c>
      <c r="AD2589" t="s">
        <v>301</v>
      </c>
      <c r="AE2589" t="s">
        <v>46</v>
      </c>
      <c r="AG2589">
        <v>52</v>
      </c>
      <c r="AH2589">
        <v>2</v>
      </c>
      <c r="AI2589" t="s">
        <v>50</v>
      </c>
      <c r="AK2589">
        <v>0</v>
      </c>
      <c r="AM2589">
        <v>0</v>
      </c>
      <c r="AP2589" t="s">
        <v>325</v>
      </c>
    </row>
    <row r="2590" spans="1:42" customFormat="1">
      <c r="A2590">
        <v>270060</v>
      </c>
      <c r="B2590" t="s">
        <v>2715</v>
      </c>
      <c r="C2590" t="s">
        <v>2716</v>
      </c>
      <c r="D2590" s="22">
        <v>0</v>
      </c>
      <c r="E2590" s="17">
        <v>42135</v>
      </c>
      <c r="F2590" s="18">
        <v>0.67228009259259258</v>
      </c>
      <c r="G2590" s="22">
        <v>2209.2800000000002</v>
      </c>
      <c r="H2590">
        <v>0</v>
      </c>
      <c r="I2590" s="19" t="e">
        <f>I2589 + (D2590-G2590)</f>
        <v>#VALUE!</v>
      </c>
      <c r="M2590">
        <v>123380</v>
      </c>
      <c r="N2590">
        <v>24</v>
      </c>
      <c r="O2590" t="s">
        <v>68</v>
      </c>
      <c r="P2590">
        <v>1</v>
      </c>
      <c r="R2590">
        <v>1414</v>
      </c>
      <c r="S2590" s="17">
        <v>42139</v>
      </c>
      <c r="T2590" s="17">
        <v>42139</v>
      </c>
      <c r="W2590">
        <v>2015</v>
      </c>
      <c r="X2590">
        <v>24</v>
      </c>
      <c r="AC2590" t="s">
        <v>79</v>
      </c>
      <c r="AD2590" t="s">
        <v>301</v>
      </c>
      <c r="AE2590" t="s">
        <v>46</v>
      </c>
      <c r="AG2590">
        <v>52</v>
      </c>
      <c r="AH2590">
        <v>2</v>
      </c>
      <c r="AI2590" t="s">
        <v>50</v>
      </c>
      <c r="AK2590">
        <v>0</v>
      </c>
      <c r="AM2590">
        <v>0</v>
      </c>
      <c r="AP2590" t="s">
        <v>325</v>
      </c>
    </row>
    <row r="2591" spans="1:42" customFormat="1">
      <c r="A2591">
        <v>270061</v>
      </c>
      <c r="B2591" t="s">
        <v>2717</v>
      </c>
      <c r="C2591" t="s">
        <v>2718</v>
      </c>
      <c r="D2591" s="22">
        <v>0</v>
      </c>
      <c r="E2591" s="17">
        <v>42135</v>
      </c>
      <c r="F2591" s="18">
        <v>0.67340277777777768</v>
      </c>
      <c r="G2591" s="22">
        <v>2631.79</v>
      </c>
      <c r="H2591">
        <v>0</v>
      </c>
      <c r="I2591" s="19" t="e">
        <f>I2590 + (D2591-G2591)</f>
        <v>#VALUE!</v>
      </c>
      <c r="M2591">
        <v>123399</v>
      </c>
      <c r="N2591">
        <v>24</v>
      </c>
      <c r="O2591" t="s">
        <v>68</v>
      </c>
      <c r="P2591">
        <v>1</v>
      </c>
      <c r="R2591">
        <v>1414</v>
      </c>
      <c r="S2591" s="17">
        <v>42139</v>
      </c>
      <c r="T2591" s="17">
        <v>42139</v>
      </c>
      <c r="W2591">
        <v>2015</v>
      </c>
      <c r="X2591">
        <v>24</v>
      </c>
      <c r="AC2591" t="s">
        <v>79</v>
      </c>
      <c r="AD2591" t="s">
        <v>301</v>
      </c>
      <c r="AE2591" t="s">
        <v>46</v>
      </c>
      <c r="AG2591">
        <v>52</v>
      </c>
      <c r="AH2591">
        <v>2</v>
      </c>
      <c r="AI2591" t="s">
        <v>50</v>
      </c>
      <c r="AK2591">
        <v>0</v>
      </c>
      <c r="AM2591">
        <v>0</v>
      </c>
      <c r="AP2591" t="s">
        <v>325</v>
      </c>
    </row>
    <row r="2592" spans="1:42" customFormat="1">
      <c r="A2592">
        <v>270062</v>
      </c>
      <c r="B2592" t="s">
        <v>2719</v>
      </c>
      <c r="C2592" t="s">
        <v>2720</v>
      </c>
      <c r="D2592" s="22">
        <v>0</v>
      </c>
      <c r="E2592" s="17">
        <v>42135</v>
      </c>
      <c r="F2592" s="18">
        <v>0.67395833333333333</v>
      </c>
      <c r="G2592" s="22">
        <v>2862.93</v>
      </c>
      <c r="H2592">
        <v>0</v>
      </c>
      <c r="I2592" s="19" t="e">
        <f>I2591 + (D2592-G2592)</f>
        <v>#VALUE!</v>
      </c>
      <c r="M2592">
        <v>123402</v>
      </c>
      <c r="N2592">
        <v>24</v>
      </c>
      <c r="O2592" t="s">
        <v>68</v>
      </c>
      <c r="P2592">
        <v>1</v>
      </c>
      <c r="R2592">
        <v>1414</v>
      </c>
      <c r="S2592" s="17">
        <v>42139</v>
      </c>
      <c r="T2592" s="17">
        <v>42139</v>
      </c>
      <c r="W2592">
        <v>2015</v>
      </c>
      <c r="X2592">
        <v>24</v>
      </c>
      <c r="AC2592" t="s">
        <v>79</v>
      </c>
      <c r="AD2592" t="s">
        <v>301</v>
      </c>
      <c r="AE2592" t="s">
        <v>46</v>
      </c>
      <c r="AG2592">
        <v>52</v>
      </c>
      <c r="AH2592">
        <v>2</v>
      </c>
      <c r="AI2592" t="s">
        <v>50</v>
      </c>
      <c r="AK2592">
        <v>0</v>
      </c>
      <c r="AM2592">
        <v>0</v>
      </c>
      <c r="AP2592" t="s">
        <v>325</v>
      </c>
    </row>
    <row r="2593" spans="1:42" customFormat="1">
      <c r="A2593">
        <v>270063</v>
      </c>
      <c r="B2593" t="s">
        <v>2721</v>
      </c>
      <c r="C2593" t="s">
        <v>2722</v>
      </c>
      <c r="D2593" s="22">
        <v>0</v>
      </c>
      <c r="E2593" s="17">
        <v>42135</v>
      </c>
      <c r="F2593" s="18">
        <v>0.67413194444444446</v>
      </c>
      <c r="G2593" s="22">
        <v>3395.66</v>
      </c>
      <c r="H2593">
        <v>0</v>
      </c>
      <c r="I2593" s="19" t="e">
        <f>I2592 + (D2593-G2593)</f>
        <v>#VALUE!</v>
      </c>
      <c r="M2593">
        <v>123403</v>
      </c>
      <c r="N2593">
        <v>24</v>
      </c>
      <c r="O2593" t="s">
        <v>68</v>
      </c>
      <c r="P2593">
        <v>1</v>
      </c>
      <c r="R2593">
        <v>1414</v>
      </c>
      <c r="S2593" s="17">
        <v>42139</v>
      </c>
      <c r="T2593" s="17">
        <v>42139</v>
      </c>
      <c r="W2593">
        <v>2015</v>
      </c>
      <c r="X2593">
        <v>24</v>
      </c>
      <c r="AC2593" t="s">
        <v>79</v>
      </c>
      <c r="AD2593" t="s">
        <v>301</v>
      </c>
      <c r="AE2593" t="s">
        <v>46</v>
      </c>
      <c r="AG2593">
        <v>52</v>
      </c>
      <c r="AH2593">
        <v>2</v>
      </c>
      <c r="AI2593" t="s">
        <v>50</v>
      </c>
      <c r="AK2593">
        <v>0</v>
      </c>
      <c r="AM2593">
        <v>0</v>
      </c>
      <c r="AP2593" t="s">
        <v>325</v>
      </c>
    </row>
    <row r="2594" spans="1:42" customFormat="1">
      <c r="A2594">
        <v>270064</v>
      </c>
      <c r="B2594" t="s">
        <v>2723</v>
      </c>
      <c r="C2594" t="s">
        <v>2724</v>
      </c>
      <c r="D2594" s="22">
        <v>0</v>
      </c>
      <c r="E2594" s="17">
        <v>42135</v>
      </c>
      <c r="F2594" s="18">
        <v>0.67427083333333337</v>
      </c>
      <c r="G2594" s="22">
        <v>4174.8599999999997</v>
      </c>
      <c r="H2594">
        <v>0</v>
      </c>
      <c r="I2594" s="19" t="e">
        <f>I2593 + (D2594-G2594)</f>
        <v>#VALUE!</v>
      </c>
      <c r="M2594">
        <v>123413</v>
      </c>
      <c r="N2594">
        <v>24</v>
      </c>
      <c r="O2594" t="s">
        <v>68</v>
      </c>
      <c r="P2594">
        <v>1</v>
      </c>
      <c r="R2594">
        <v>1414</v>
      </c>
      <c r="S2594" s="17">
        <v>42139</v>
      </c>
      <c r="T2594" s="17">
        <v>42139</v>
      </c>
      <c r="W2594">
        <v>2015</v>
      </c>
      <c r="X2594">
        <v>24</v>
      </c>
      <c r="AC2594" t="s">
        <v>79</v>
      </c>
      <c r="AD2594" t="s">
        <v>301</v>
      </c>
      <c r="AE2594" t="s">
        <v>46</v>
      </c>
      <c r="AG2594">
        <v>52</v>
      </c>
      <c r="AH2594">
        <v>2</v>
      </c>
      <c r="AI2594" t="s">
        <v>50</v>
      </c>
      <c r="AK2594">
        <v>0</v>
      </c>
      <c r="AM2594">
        <v>0</v>
      </c>
      <c r="AP2594" t="s">
        <v>325</v>
      </c>
    </row>
    <row r="2595" spans="1:42" customFormat="1">
      <c r="A2595">
        <v>270065</v>
      </c>
      <c r="B2595" t="s">
        <v>2725</v>
      </c>
      <c r="C2595" t="s">
        <v>2726</v>
      </c>
      <c r="D2595" s="22">
        <v>0</v>
      </c>
      <c r="E2595" s="17">
        <v>42135</v>
      </c>
      <c r="F2595" s="18">
        <v>0.67440972222222229</v>
      </c>
      <c r="G2595" s="22">
        <v>2095.23</v>
      </c>
      <c r="H2595">
        <v>0</v>
      </c>
      <c r="I2595" s="19" t="e">
        <f>I2594 + (D2595-G2595)</f>
        <v>#VALUE!</v>
      </c>
      <c r="M2595">
        <v>123415</v>
      </c>
      <c r="N2595">
        <v>24</v>
      </c>
      <c r="O2595" t="s">
        <v>68</v>
      </c>
      <c r="P2595">
        <v>1</v>
      </c>
      <c r="R2595">
        <v>1414</v>
      </c>
      <c r="S2595" s="17">
        <v>42139</v>
      </c>
      <c r="T2595" s="17">
        <v>42139</v>
      </c>
      <c r="W2595">
        <v>2015</v>
      </c>
      <c r="X2595">
        <v>24</v>
      </c>
      <c r="AC2595" t="s">
        <v>79</v>
      </c>
      <c r="AD2595" t="s">
        <v>301</v>
      </c>
      <c r="AE2595" t="s">
        <v>46</v>
      </c>
      <c r="AG2595">
        <v>52</v>
      </c>
      <c r="AH2595">
        <v>2</v>
      </c>
      <c r="AI2595" t="s">
        <v>50</v>
      </c>
      <c r="AK2595">
        <v>0</v>
      </c>
      <c r="AM2595">
        <v>0</v>
      </c>
      <c r="AP2595" t="s">
        <v>325</v>
      </c>
    </row>
    <row r="2596" spans="1:42" customFormat="1">
      <c r="A2596">
        <v>270066</v>
      </c>
      <c r="B2596" t="s">
        <v>2727</v>
      </c>
      <c r="C2596" t="s">
        <v>2728</v>
      </c>
      <c r="D2596" s="22">
        <v>0</v>
      </c>
      <c r="E2596" s="17">
        <v>42135</v>
      </c>
      <c r="F2596" s="18">
        <v>0.67457175925925927</v>
      </c>
      <c r="G2596" s="22">
        <v>3254.88</v>
      </c>
      <c r="H2596">
        <v>0</v>
      </c>
      <c r="I2596" s="19" t="e">
        <f>I2595 + (D2596-G2596)</f>
        <v>#VALUE!</v>
      </c>
      <c r="M2596">
        <v>123443</v>
      </c>
      <c r="N2596">
        <v>24</v>
      </c>
      <c r="O2596" t="s">
        <v>68</v>
      </c>
      <c r="P2596">
        <v>1</v>
      </c>
      <c r="R2596">
        <v>1414</v>
      </c>
      <c r="S2596" s="17">
        <v>42139</v>
      </c>
      <c r="T2596" s="17">
        <v>42139</v>
      </c>
      <c r="W2596">
        <v>2015</v>
      </c>
      <c r="X2596">
        <v>24</v>
      </c>
      <c r="AC2596" t="s">
        <v>79</v>
      </c>
      <c r="AD2596" t="s">
        <v>301</v>
      </c>
      <c r="AE2596" t="s">
        <v>46</v>
      </c>
      <c r="AG2596">
        <v>52</v>
      </c>
      <c r="AH2596">
        <v>2</v>
      </c>
      <c r="AI2596" t="s">
        <v>50</v>
      </c>
      <c r="AK2596">
        <v>0</v>
      </c>
      <c r="AM2596">
        <v>0</v>
      </c>
      <c r="AP2596" t="s">
        <v>325</v>
      </c>
    </row>
    <row r="2597" spans="1:42" customFormat="1">
      <c r="A2597">
        <v>270067</v>
      </c>
      <c r="B2597" t="s">
        <v>2729</v>
      </c>
      <c r="C2597" t="s">
        <v>2730</v>
      </c>
      <c r="D2597" s="22">
        <v>0</v>
      </c>
      <c r="E2597" s="17">
        <v>42135</v>
      </c>
      <c r="F2597" s="18">
        <v>0.68109953703703707</v>
      </c>
      <c r="G2597" s="22">
        <v>3866.04</v>
      </c>
      <c r="H2597">
        <v>0</v>
      </c>
      <c r="I2597" s="19" t="e">
        <f>I2596 + (D2597-G2597)</f>
        <v>#VALUE!</v>
      </c>
      <c r="M2597">
        <v>123445</v>
      </c>
      <c r="N2597">
        <v>24</v>
      </c>
      <c r="O2597" t="s">
        <v>68</v>
      </c>
      <c r="P2597">
        <v>1</v>
      </c>
      <c r="R2597">
        <v>1414</v>
      </c>
      <c r="S2597" s="17">
        <v>42139</v>
      </c>
      <c r="T2597" s="17">
        <v>42139</v>
      </c>
      <c r="W2597">
        <v>2015</v>
      </c>
      <c r="X2597">
        <v>24</v>
      </c>
      <c r="AC2597" t="s">
        <v>79</v>
      </c>
      <c r="AD2597" t="s">
        <v>301</v>
      </c>
      <c r="AE2597" t="s">
        <v>46</v>
      </c>
      <c r="AG2597">
        <v>52</v>
      </c>
      <c r="AH2597">
        <v>2</v>
      </c>
      <c r="AI2597" t="s">
        <v>50</v>
      </c>
      <c r="AK2597">
        <v>0</v>
      </c>
      <c r="AM2597">
        <v>0</v>
      </c>
      <c r="AP2597" t="s">
        <v>325</v>
      </c>
    </row>
    <row r="2598" spans="1:42" customFormat="1">
      <c r="A2598">
        <v>270068</v>
      </c>
      <c r="B2598" t="s">
        <v>2731</v>
      </c>
      <c r="C2598" t="s">
        <v>2732</v>
      </c>
      <c r="D2598" s="22">
        <v>0</v>
      </c>
      <c r="E2598" s="17">
        <v>42135</v>
      </c>
      <c r="F2598" s="18">
        <v>0.68125000000000002</v>
      </c>
      <c r="G2598" s="22">
        <v>3472.89</v>
      </c>
      <c r="H2598">
        <v>0</v>
      </c>
      <c r="I2598" s="19" t="e">
        <f>I2597 + (D2598-G2598)</f>
        <v>#VALUE!</v>
      </c>
      <c r="M2598">
        <v>123465</v>
      </c>
      <c r="N2598">
        <v>24</v>
      </c>
      <c r="O2598" t="s">
        <v>68</v>
      </c>
      <c r="P2598">
        <v>1</v>
      </c>
      <c r="R2598">
        <v>1414</v>
      </c>
      <c r="S2598" s="17">
        <v>42139</v>
      </c>
      <c r="T2598" s="17">
        <v>42139</v>
      </c>
      <c r="W2598">
        <v>2015</v>
      </c>
      <c r="X2598">
        <v>24</v>
      </c>
      <c r="AC2598" t="s">
        <v>79</v>
      </c>
      <c r="AD2598" t="s">
        <v>301</v>
      </c>
      <c r="AE2598" t="s">
        <v>46</v>
      </c>
      <c r="AG2598">
        <v>52</v>
      </c>
      <c r="AH2598">
        <v>2</v>
      </c>
      <c r="AI2598" t="s">
        <v>50</v>
      </c>
      <c r="AK2598">
        <v>0</v>
      </c>
      <c r="AM2598">
        <v>0</v>
      </c>
      <c r="AP2598" t="s">
        <v>325</v>
      </c>
    </row>
    <row r="2599" spans="1:42" customFormat="1">
      <c r="A2599">
        <v>270069</v>
      </c>
      <c r="B2599" t="s">
        <v>2733</v>
      </c>
      <c r="C2599" t="s">
        <v>2734</v>
      </c>
      <c r="D2599" s="22">
        <v>0</v>
      </c>
      <c r="E2599" s="17">
        <v>42135</v>
      </c>
      <c r="F2599" s="18">
        <v>0.68155092592592592</v>
      </c>
      <c r="G2599" s="22">
        <v>2736.33</v>
      </c>
      <c r="H2599">
        <v>0</v>
      </c>
      <c r="I2599" s="19" t="e">
        <f>I2598 + (D2599-G2599)</f>
        <v>#VALUE!</v>
      </c>
      <c r="M2599">
        <v>123467</v>
      </c>
      <c r="N2599">
        <v>24</v>
      </c>
      <c r="O2599" t="s">
        <v>68</v>
      </c>
      <c r="P2599">
        <v>1</v>
      </c>
      <c r="R2599">
        <v>1414</v>
      </c>
      <c r="S2599" s="17">
        <v>42139</v>
      </c>
      <c r="T2599" s="17">
        <v>42139</v>
      </c>
      <c r="W2599">
        <v>2015</v>
      </c>
      <c r="X2599">
        <v>24</v>
      </c>
      <c r="AC2599" t="s">
        <v>79</v>
      </c>
      <c r="AD2599" t="s">
        <v>301</v>
      </c>
      <c r="AE2599" t="s">
        <v>46</v>
      </c>
      <c r="AG2599">
        <v>52</v>
      </c>
      <c r="AH2599">
        <v>2</v>
      </c>
      <c r="AI2599" t="s">
        <v>50</v>
      </c>
      <c r="AK2599">
        <v>0</v>
      </c>
      <c r="AM2599">
        <v>0</v>
      </c>
      <c r="AP2599" t="s">
        <v>325</v>
      </c>
    </row>
    <row r="2600" spans="1:42" customFormat="1">
      <c r="A2600">
        <v>270080</v>
      </c>
      <c r="B2600" t="s">
        <v>2754</v>
      </c>
      <c r="C2600" t="s">
        <v>2755</v>
      </c>
      <c r="D2600" s="22">
        <v>0</v>
      </c>
      <c r="E2600" s="17">
        <v>42135</v>
      </c>
      <c r="F2600" s="18">
        <v>0.68635416666666671</v>
      </c>
      <c r="G2600" s="22">
        <v>1878.47</v>
      </c>
      <c r="H2600">
        <v>0</v>
      </c>
      <c r="I2600" s="19" t="e">
        <f>I2599 + (D2600-G2600)</f>
        <v>#VALUE!</v>
      </c>
      <c r="M2600">
        <v>123424</v>
      </c>
      <c r="N2600">
        <v>24</v>
      </c>
      <c r="O2600" t="s">
        <v>68</v>
      </c>
      <c r="P2600">
        <v>1</v>
      </c>
      <c r="R2600">
        <v>1414</v>
      </c>
      <c r="S2600" s="17">
        <v>42139</v>
      </c>
      <c r="T2600" s="17">
        <v>42139</v>
      </c>
      <c r="W2600">
        <v>2015</v>
      </c>
      <c r="X2600">
        <v>24</v>
      </c>
      <c r="AC2600" t="s">
        <v>79</v>
      </c>
      <c r="AD2600" t="s">
        <v>301</v>
      </c>
      <c r="AE2600" t="s">
        <v>46</v>
      </c>
      <c r="AG2600">
        <v>52</v>
      </c>
      <c r="AH2600">
        <v>2</v>
      </c>
      <c r="AI2600" t="s">
        <v>50</v>
      </c>
      <c r="AK2600">
        <v>0</v>
      </c>
      <c r="AM2600">
        <v>0</v>
      </c>
      <c r="AP2600" t="s">
        <v>325</v>
      </c>
    </row>
    <row r="2601" spans="1:42" customFormat="1">
      <c r="A2601">
        <v>270081</v>
      </c>
      <c r="B2601" t="s">
        <v>2756</v>
      </c>
      <c r="C2601" t="s">
        <v>2757</v>
      </c>
      <c r="D2601" s="22">
        <v>0</v>
      </c>
      <c r="E2601" s="17">
        <v>42135</v>
      </c>
      <c r="F2601" s="18">
        <v>0.6866782407407408</v>
      </c>
      <c r="G2601" s="22">
        <v>3256.09</v>
      </c>
      <c r="H2601">
        <v>0</v>
      </c>
      <c r="I2601" s="19" t="e">
        <f>I2600 + (D2601-G2601)</f>
        <v>#VALUE!</v>
      </c>
      <c r="M2601">
        <v>123352</v>
      </c>
      <c r="N2601">
        <v>24</v>
      </c>
      <c r="O2601" t="s">
        <v>68</v>
      </c>
      <c r="P2601">
        <v>1</v>
      </c>
      <c r="R2601">
        <v>1414</v>
      </c>
      <c r="S2601" s="17">
        <v>42139</v>
      </c>
      <c r="T2601" s="17">
        <v>42139</v>
      </c>
      <c r="W2601">
        <v>2015</v>
      </c>
      <c r="X2601">
        <v>24</v>
      </c>
      <c r="AC2601" t="s">
        <v>79</v>
      </c>
      <c r="AD2601" t="s">
        <v>301</v>
      </c>
      <c r="AE2601" t="s">
        <v>46</v>
      </c>
      <c r="AG2601">
        <v>52</v>
      </c>
      <c r="AH2601">
        <v>2</v>
      </c>
      <c r="AI2601" t="s">
        <v>50</v>
      </c>
      <c r="AK2601">
        <v>0</v>
      </c>
      <c r="AM2601">
        <v>0</v>
      </c>
      <c r="AP2601" t="s">
        <v>325</v>
      </c>
    </row>
    <row r="2602" spans="1:42" customFormat="1">
      <c r="A2602">
        <v>271239</v>
      </c>
      <c r="B2602" t="s">
        <v>2758</v>
      </c>
      <c r="C2602" t="s">
        <v>2759</v>
      </c>
      <c r="D2602" s="22">
        <v>0</v>
      </c>
      <c r="E2602" s="17">
        <v>42135</v>
      </c>
      <c r="F2602" s="18">
        <v>0.68743055555555566</v>
      </c>
      <c r="G2602" s="22">
        <v>2919.55</v>
      </c>
      <c r="H2602">
        <v>0</v>
      </c>
      <c r="I2602" s="19" t="e">
        <f>I2601 + (D2602-G2602)</f>
        <v>#VALUE!</v>
      </c>
      <c r="M2602">
        <v>123463</v>
      </c>
      <c r="N2602">
        <v>24</v>
      </c>
      <c r="O2602" t="s">
        <v>68</v>
      </c>
      <c r="P2602">
        <v>1</v>
      </c>
      <c r="R2602">
        <v>1414</v>
      </c>
      <c r="S2602" s="17">
        <v>42150</v>
      </c>
      <c r="T2602" s="17">
        <v>42150</v>
      </c>
      <c r="W2602">
        <v>2015</v>
      </c>
      <c r="X2602">
        <v>24</v>
      </c>
      <c r="AC2602" t="s">
        <v>79</v>
      </c>
      <c r="AD2602" t="s">
        <v>301</v>
      </c>
      <c r="AE2602" t="s">
        <v>46</v>
      </c>
      <c r="AG2602">
        <v>52</v>
      </c>
      <c r="AH2602">
        <v>2</v>
      </c>
      <c r="AI2602" t="s">
        <v>50</v>
      </c>
      <c r="AK2602">
        <v>0</v>
      </c>
      <c r="AM2602">
        <v>0</v>
      </c>
      <c r="AP2602" t="s">
        <v>325</v>
      </c>
    </row>
    <row r="2603" spans="1:42" customFormat="1">
      <c r="A2603">
        <v>270082</v>
      </c>
      <c r="B2603" t="s">
        <v>2760</v>
      </c>
      <c r="C2603" t="s">
        <v>2761</v>
      </c>
      <c r="D2603" s="22">
        <v>0</v>
      </c>
      <c r="E2603" s="17">
        <v>42135</v>
      </c>
      <c r="F2603" s="18">
        <v>0.69104166666666667</v>
      </c>
      <c r="G2603" s="22">
        <v>1649.38</v>
      </c>
      <c r="H2603">
        <v>0</v>
      </c>
      <c r="I2603" s="19" t="e">
        <f>I2602 + (D2603-G2603)</f>
        <v>#VALUE!</v>
      </c>
      <c r="M2603">
        <v>123357</v>
      </c>
      <c r="N2603">
        <v>24</v>
      </c>
      <c r="O2603" t="s">
        <v>68</v>
      </c>
      <c r="P2603">
        <v>1</v>
      </c>
      <c r="R2603">
        <v>1414</v>
      </c>
      <c r="S2603" s="17">
        <v>42139</v>
      </c>
      <c r="T2603" s="17">
        <v>42139</v>
      </c>
      <c r="W2603">
        <v>2015</v>
      </c>
      <c r="X2603">
        <v>24</v>
      </c>
      <c r="AC2603" t="s">
        <v>79</v>
      </c>
      <c r="AD2603" t="s">
        <v>301</v>
      </c>
      <c r="AE2603" t="s">
        <v>46</v>
      </c>
      <c r="AG2603">
        <v>52</v>
      </c>
      <c r="AH2603">
        <v>2</v>
      </c>
      <c r="AI2603" t="s">
        <v>50</v>
      </c>
      <c r="AK2603">
        <v>0</v>
      </c>
      <c r="AM2603">
        <v>0</v>
      </c>
      <c r="AP2603" t="s">
        <v>325</v>
      </c>
    </row>
    <row r="2604" spans="1:42" customFormat="1">
      <c r="A2604">
        <v>270083</v>
      </c>
      <c r="B2604" t="s">
        <v>2762</v>
      </c>
      <c r="C2604" t="s">
        <v>2763</v>
      </c>
      <c r="D2604" s="22">
        <v>0</v>
      </c>
      <c r="E2604" s="17">
        <v>42135</v>
      </c>
      <c r="F2604" s="18">
        <v>0.69119212962962961</v>
      </c>
      <c r="G2604" s="22">
        <v>2095.23</v>
      </c>
      <c r="H2604">
        <v>0</v>
      </c>
      <c r="I2604" s="19" t="e">
        <f>I2603 + (D2604-G2604)</f>
        <v>#VALUE!</v>
      </c>
      <c r="M2604">
        <v>123360</v>
      </c>
      <c r="N2604">
        <v>24</v>
      </c>
      <c r="O2604" t="s">
        <v>68</v>
      </c>
      <c r="P2604">
        <v>1</v>
      </c>
      <c r="R2604">
        <v>1414</v>
      </c>
      <c r="S2604" s="17">
        <v>42139</v>
      </c>
      <c r="T2604" s="17">
        <v>42139</v>
      </c>
      <c r="W2604">
        <v>2015</v>
      </c>
      <c r="X2604">
        <v>24</v>
      </c>
      <c r="AC2604" t="s">
        <v>79</v>
      </c>
      <c r="AD2604" t="s">
        <v>301</v>
      </c>
      <c r="AE2604" t="s">
        <v>46</v>
      </c>
      <c r="AG2604">
        <v>52</v>
      </c>
      <c r="AH2604">
        <v>2</v>
      </c>
      <c r="AI2604" t="s">
        <v>50</v>
      </c>
      <c r="AK2604">
        <v>0</v>
      </c>
      <c r="AM2604">
        <v>0</v>
      </c>
      <c r="AP2604" t="s">
        <v>325</v>
      </c>
    </row>
    <row r="2605" spans="1:42" customFormat="1">
      <c r="A2605">
        <v>270084</v>
      </c>
      <c r="B2605" t="s">
        <v>2764</v>
      </c>
      <c r="C2605" t="s">
        <v>2765</v>
      </c>
      <c r="D2605" s="22">
        <v>0</v>
      </c>
      <c r="E2605" s="17">
        <v>42135</v>
      </c>
      <c r="F2605" s="18">
        <v>0.69134259259259256</v>
      </c>
      <c r="G2605" s="22">
        <v>2235.61</v>
      </c>
      <c r="H2605">
        <v>0</v>
      </c>
      <c r="I2605" s="19" t="e">
        <f>I2604 + (D2605-G2605)</f>
        <v>#VALUE!</v>
      </c>
      <c r="M2605">
        <v>123367</v>
      </c>
      <c r="N2605">
        <v>24</v>
      </c>
      <c r="O2605" t="s">
        <v>68</v>
      </c>
      <c r="P2605">
        <v>1</v>
      </c>
      <c r="R2605">
        <v>1414</v>
      </c>
      <c r="S2605" s="17">
        <v>42139</v>
      </c>
      <c r="T2605" s="17">
        <v>42139</v>
      </c>
      <c r="W2605">
        <v>2015</v>
      </c>
      <c r="X2605">
        <v>24</v>
      </c>
      <c r="AC2605" t="s">
        <v>79</v>
      </c>
      <c r="AD2605" t="s">
        <v>301</v>
      </c>
      <c r="AE2605" t="s">
        <v>46</v>
      </c>
      <c r="AG2605">
        <v>52</v>
      </c>
      <c r="AH2605">
        <v>2</v>
      </c>
      <c r="AI2605" t="s">
        <v>50</v>
      </c>
      <c r="AK2605">
        <v>0</v>
      </c>
      <c r="AM2605">
        <v>0</v>
      </c>
      <c r="AP2605" t="s">
        <v>325</v>
      </c>
    </row>
    <row r="2606" spans="1:42" customFormat="1">
      <c r="A2606">
        <v>270085</v>
      </c>
      <c r="B2606" t="s">
        <v>2766</v>
      </c>
      <c r="C2606" t="s">
        <v>2767</v>
      </c>
      <c r="D2606" s="22">
        <v>0</v>
      </c>
      <c r="E2606" s="17">
        <v>42135</v>
      </c>
      <c r="F2606" s="18">
        <v>0.69149305555555562</v>
      </c>
      <c r="G2606" s="22">
        <v>700.89</v>
      </c>
      <c r="H2606">
        <v>0</v>
      </c>
      <c r="I2606" s="19" t="e">
        <f>I2605 + (D2606-G2606)</f>
        <v>#VALUE!</v>
      </c>
      <c r="M2606">
        <v>123426</v>
      </c>
      <c r="N2606">
        <v>24</v>
      </c>
      <c r="O2606" t="s">
        <v>68</v>
      </c>
      <c r="P2606">
        <v>1</v>
      </c>
      <c r="R2606">
        <v>1414</v>
      </c>
      <c r="S2606" s="17">
        <v>42139</v>
      </c>
      <c r="T2606" s="17">
        <v>42139</v>
      </c>
      <c r="W2606">
        <v>2015</v>
      </c>
      <c r="X2606">
        <v>24</v>
      </c>
      <c r="AC2606" t="s">
        <v>79</v>
      </c>
      <c r="AD2606" t="s">
        <v>301</v>
      </c>
      <c r="AE2606" t="s">
        <v>46</v>
      </c>
      <c r="AG2606">
        <v>52</v>
      </c>
      <c r="AH2606">
        <v>2</v>
      </c>
      <c r="AI2606" t="s">
        <v>50</v>
      </c>
      <c r="AK2606">
        <v>0</v>
      </c>
      <c r="AM2606">
        <v>0</v>
      </c>
      <c r="AP2606" t="s">
        <v>325</v>
      </c>
    </row>
    <row r="2607" spans="1:42" customFormat="1">
      <c r="A2607">
        <v>270086</v>
      </c>
      <c r="B2607" t="s">
        <v>2768</v>
      </c>
      <c r="C2607" t="s">
        <v>2769</v>
      </c>
      <c r="D2607" s="22">
        <v>0</v>
      </c>
      <c r="E2607" s="17">
        <v>42135</v>
      </c>
      <c r="F2607" s="18">
        <v>0.69163194444444442</v>
      </c>
      <c r="G2607" s="22">
        <v>3274.02</v>
      </c>
      <c r="H2607">
        <v>0</v>
      </c>
      <c r="I2607" s="19" t="e">
        <f>I2606 + (D2607-G2607)</f>
        <v>#VALUE!</v>
      </c>
      <c r="M2607">
        <v>123370</v>
      </c>
      <c r="N2607">
        <v>24</v>
      </c>
      <c r="O2607" t="s">
        <v>68</v>
      </c>
      <c r="P2607">
        <v>1</v>
      </c>
      <c r="R2607">
        <v>1414</v>
      </c>
      <c r="S2607" s="17">
        <v>42139</v>
      </c>
      <c r="T2607" s="17">
        <v>42139</v>
      </c>
      <c r="W2607">
        <v>2015</v>
      </c>
      <c r="X2607">
        <v>24</v>
      </c>
      <c r="AC2607" t="s">
        <v>79</v>
      </c>
      <c r="AD2607" t="s">
        <v>301</v>
      </c>
      <c r="AE2607" t="s">
        <v>46</v>
      </c>
      <c r="AG2607">
        <v>52</v>
      </c>
      <c r="AH2607">
        <v>2</v>
      </c>
      <c r="AI2607" t="s">
        <v>50</v>
      </c>
      <c r="AK2607">
        <v>0</v>
      </c>
      <c r="AM2607">
        <v>0</v>
      </c>
      <c r="AP2607" t="s">
        <v>325</v>
      </c>
    </row>
    <row r="2608" spans="1:42" customFormat="1">
      <c r="A2608">
        <v>270087</v>
      </c>
      <c r="B2608" t="s">
        <v>2770</v>
      </c>
      <c r="C2608" t="s">
        <v>2771</v>
      </c>
      <c r="D2608" s="22">
        <v>0</v>
      </c>
      <c r="E2608" s="17">
        <v>42135</v>
      </c>
      <c r="F2608" s="18">
        <v>0.69177083333333333</v>
      </c>
      <c r="G2608" s="22">
        <v>1709.4</v>
      </c>
      <c r="H2608">
        <v>0</v>
      </c>
      <c r="I2608" s="19" t="e">
        <f>I2607 + (D2608-G2608)</f>
        <v>#VALUE!</v>
      </c>
      <c r="M2608">
        <v>123373</v>
      </c>
      <c r="N2608">
        <v>24</v>
      </c>
      <c r="O2608" t="s">
        <v>68</v>
      </c>
      <c r="P2608">
        <v>1</v>
      </c>
      <c r="R2608">
        <v>1414</v>
      </c>
      <c r="S2608" s="17">
        <v>42139</v>
      </c>
      <c r="T2608" s="17">
        <v>42139</v>
      </c>
      <c r="W2608">
        <v>2015</v>
      </c>
      <c r="X2608">
        <v>24</v>
      </c>
      <c r="AC2608" t="s">
        <v>79</v>
      </c>
      <c r="AD2608" t="s">
        <v>301</v>
      </c>
      <c r="AE2608" t="s">
        <v>46</v>
      </c>
      <c r="AG2608">
        <v>52</v>
      </c>
      <c r="AH2608">
        <v>2</v>
      </c>
      <c r="AI2608" t="s">
        <v>50</v>
      </c>
      <c r="AK2608">
        <v>0</v>
      </c>
      <c r="AM2608">
        <v>0</v>
      </c>
      <c r="AP2608" t="s">
        <v>325</v>
      </c>
    </row>
    <row r="2609" spans="1:42" customFormat="1">
      <c r="A2609">
        <v>270088</v>
      </c>
      <c r="B2609" t="s">
        <v>2772</v>
      </c>
      <c r="C2609" t="s">
        <v>2773</v>
      </c>
      <c r="D2609" s="22">
        <v>0</v>
      </c>
      <c r="E2609" s="17">
        <v>42135</v>
      </c>
      <c r="F2609" s="18">
        <v>0.69190972222222225</v>
      </c>
      <c r="G2609" s="22">
        <v>2199.08</v>
      </c>
      <c r="H2609">
        <v>0</v>
      </c>
      <c r="I2609" s="19" t="e">
        <f>I2608 + (D2609-G2609)</f>
        <v>#VALUE!</v>
      </c>
      <c r="M2609">
        <v>123377</v>
      </c>
      <c r="N2609">
        <v>24</v>
      </c>
      <c r="O2609" t="s">
        <v>68</v>
      </c>
      <c r="P2609">
        <v>1</v>
      </c>
      <c r="R2609">
        <v>1414</v>
      </c>
      <c r="S2609" s="17">
        <v>42139</v>
      </c>
      <c r="T2609" s="17">
        <v>42139</v>
      </c>
      <c r="W2609">
        <v>2015</v>
      </c>
      <c r="X2609">
        <v>24</v>
      </c>
      <c r="AC2609" t="s">
        <v>79</v>
      </c>
      <c r="AD2609" t="s">
        <v>301</v>
      </c>
      <c r="AE2609" t="s">
        <v>46</v>
      </c>
      <c r="AG2609">
        <v>52</v>
      </c>
      <c r="AH2609">
        <v>2</v>
      </c>
      <c r="AI2609" t="s">
        <v>50</v>
      </c>
      <c r="AK2609">
        <v>0</v>
      </c>
      <c r="AM2609">
        <v>0</v>
      </c>
      <c r="AP2609" t="s">
        <v>325</v>
      </c>
    </row>
    <row r="2610" spans="1:42" customFormat="1">
      <c r="A2610">
        <v>270089</v>
      </c>
      <c r="B2610" t="s">
        <v>2774</v>
      </c>
      <c r="C2610" t="s">
        <v>2775</v>
      </c>
      <c r="D2610" s="22">
        <v>0</v>
      </c>
      <c r="E2610" s="17">
        <v>42135</v>
      </c>
      <c r="F2610" s="18">
        <v>0.69206018518518519</v>
      </c>
      <c r="G2610" s="22">
        <v>2511.9</v>
      </c>
      <c r="H2610">
        <v>0</v>
      </c>
      <c r="I2610" s="19" t="e">
        <f>I2609 + (D2610-G2610)</f>
        <v>#VALUE!</v>
      </c>
      <c r="M2610">
        <v>123378</v>
      </c>
      <c r="N2610">
        <v>24</v>
      </c>
      <c r="O2610" t="s">
        <v>68</v>
      </c>
      <c r="P2610">
        <v>1</v>
      </c>
      <c r="R2610">
        <v>1414</v>
      </c>
      <c r="S2610" s="17">
        <v>42139</v>
      </c>
      <c r="T2610" s="17">
        <v>42139</v>
      </c>
      <c r="W2610">
        <v>2015</v>
      </c>
      <c r="X2610">
        <v>24</v>
      </c>
      <c r="AC2610" t="s">
        <v>79</v>
      </c>
      <c r="AD2610" t="s">
        <v>301</v>
      </c>
      <c r="AE2610" t="s">
        <v>46</v>
      </c>
      <c r="AG2610">
        <v>52</v>
      </c>
      <c r="AH2610">
        <v>2</v>
      </c>
      <c r="AI2610" t="s">
        <v>50</v>
      </c>
      <c r="AK2610">
        <v>0</v>
      </c>
      <c r="AM2610">
        <v>0</v>
      </c>
      <c r="AP2610" t="s">
        <v>325</v>
      </c>
    </row>
    <row r="2611" spans="1:42" customFormat="1">
      <c r="A2611">
        <v>270090</v>
      </c>
      <c r="B2611" t="s">
        <v>2776</v>
      </c>
      <c r="C2611" t="s">
        <v>2777</v>
      </c>
      <c r="D2611" s="22">
        <v>0</v>
      </c>
      <c r="E2611" s="17">
        <v>42135</v>
      </c>
      <c r="F2611" s="18">
        <v>0.69221064814814814</v>
      </c>
      <c r="G2611" s="22">
        <v>846.15</v>
      </c>
      <c r="H2611">
        <v>0</v>
      </c>
      <c r="I2611" s="19" t="e">
        <f>I2610 + (D2611-G2611)</f>
        <v>#VALUE!</v>
      </c>
      <c r="M2611">
        <v>123430</v>
      </c>
      <c r="N2611">
        <v>24</v>
      </c>
      <c r="O2611" t="s">
        <v>68</v>
      </c>
      <c r="P2611">
        <v>1</v>
      </c>
      <c r="R2611">
        <v>1414</v>
      </c>
      <c r="S2611" s="17">
        <v>42139</v>
      </c>
      <c r="T2611" s="17">
        <v>42139</v>
      </c>
      <c r="W2611">
        <v>2015</v>
      </c>
      <c r="X2611">
        <v>24</v>
      </c>
      <c r="AC2611" t="s">
        <v>79</v>
      </c>
      <c r="AD2611" t="s">
        <v>301</v>
      </c>
      <c r="AE2611" t="s">
        <v>46</v>
      </c>
      <c r="AG2611">
        <v>52</v>
      </c>
      <c r="AH2611">
        <v>2</v>
      </c>
      <c r="AI2611" t="s">
        <v>50</v>
      </c>
      <c r="AK2611">
        <v>0</v>
      </c>
      <c r="AM2611">
        <v>0</v>
      </c>
      <c r="AP2611" t="s">
        <v>325</v>
      </c>
    </row>
    <row r="2612" spans="1:42" customFormat="1">
      <c r="A2612">
        <v>270091</v>
      </c>
      <c r="B2612" t="s">
        <v>2778</v>
      </c>
      <c r="C2612" t="s">
        <v>2779</v>
      </c>
      <c r="D2612" s="22">
        <v>0</v>
      </c>
      <c r="E2612" s="17">
        <v>42135</v>
      </c>
      <c r="F2612" s="18">
        <v>0.69234953703703705</v>
      </c>
      <c r="G2612" s="22">
        <v>2873.51</v>
      </c>
      <c r="H2612">
        <v>0</v>
      </c>
      <c r="I2612" s="19" t="e">
        <f>I2611 + (D2612-G2612)</f>
        <v>#VALUE!</v>
      </c>
      <c r="M2612">
        <v>123382</v>
      </c>
      <c r="N2612">
        <v>24</v>
      </c>
      <c r="O2612" t="s">
        <v>68</v>
      </c>
      <c r="P2612">
        <v>1</v>
      </c>
      <c r="R2612">
        <v>1414</v>
      </c>
      <c r="S2612" s="17">
        <v>42139</v>
      </c>
      <c r="T2612" s="17">
        <v>42139</v>
      </c>
      <c r="W2612">
        <v>2015</v>
      </c>
      <c r="X2612">
        <v>24</v>
      </c>
      <c r="AC2612" t="s">
        <v>79</v>
      </c>
      <c r="AD2612" t="s">
        <v>301</v>
      </c>
      <c r="AE2612" t="s">
        <v>46</v>
      </c>
      <c r="AG2612">
        <v>52</v>
      </c>
      <c r="AH2612">
        <v>2</v>
      </c>
      <c r="AI2612" t="s">
        <v>50</v>
      </c>
      <c r="AK2612">
        <v>0</v>
      </c>
      <c r="AM2612">
        <v>0</v>
      </c>
      <c r="AP2612" t="s">
        <v>325</v>
      </c>
    </row>
    <row r="2613" spans="1:42" customFormat="1">
      <c r="A2613">
        <v>270092</v>
      </c>
      <c r="B2613" t="s">
        <v>2780</v>
      </c>
      <c r="C2613" t="s">
        <v>2781</v>
      </c>
      <c r="D2613" s="22">
        <v>0</v>
      </c>
      <c r="E2613" s="17">
        <v>42135</v>
      </c>
      <c r="F2613" s="18">
        <v>0.6925</v>
      </c>
      <c r="G2613" s="22">
        <v>2492.0300000000002</v>
      </c>
      <c r="H2613">
        <v>0</v>
      </c>
      <c r="I2613" s="19" t="e">
        <f>I2612 + (D2613-G2613)</f>
        <v>#VALUE!</v>
      </c>
      <c r="M2613">
        <v>123389</v>
      </c>
      <c r="N2613">
        <v>24</v>
      </c>
      <c r="O2613" t="s">
        <v>68</v>
      </c>
      <c r="P2613">
        <v>1</v>
      </c>
      <c r="R2613">
        <v>1414</v>
      </c>
      <c r="S2613" s="17">
        <v>42139</v>
      </c>
      <c r="T2613" s="17">
        <v>42139</v>
      </c>
      <c r="W2613">
        <v>2015</v>
      </c>
      <c r="X2613">
        <v>24</v>
      </c>
      <c r="AC2613" t="s">
        <v>79</v>
      </c>
      <c r="AD2613" t="s">
        <v>301</v>
      </c>
      <c r="AE2613" t="s">
        <v>46</v>
      </c>
      <c r="AG2613">
        <v>52</v>
      </c>
      <c r="AH2613">
        <v>2</v>
      </c>
      <c r="AI2613" t="s">
        <v>50</v>
      </c>
      <c r="AK2613">
        <v>0</v>
      </c>
      <c r="AM2613">
        <v>0</v>
      </c>
      <c r="AP2613" t="s">
        <v>325</v>
      </c>
    </row>
    <row r="2614" spans="1:42" customFormat="1">
      <c r="A2614">
        <v>270093</v>
      </c>
      <c r="B2614" t="s">
        <v>2782</v>
      </c>
      <c r="C2614" t="s">
        <v>2783</v>
      </c>
      <c r="D2614" s="22">
        <v>0</v>
      </c>
      <c r="E2614" s="17">
        <v>42135</v>
      </c>
      <c r="F2614" s="18">
        <v>0.69263888888888892</v>
      </c>
      <c r="G2614" s="22">
        <v>1709.4</v>
      </c>
      <c r="H2614">
        <v>0</v>
      </c>
      <c r="I2614" s="19" t="e">
        <f>I2613 + (D2614-G2614)</f>
        <v>#VALUE!</v>
      </c>
      <c r="M2614">
        <v>123397</v>
      </c>
      <c r="N2614">
        <v>24</v>
      </c>
      <c r="O2614" t="s">
        <v>68</v>
      </c>
      <c r="P2614">
        <v>1</v>
      </c>
      <c r="R2614">
        <v>1414</v>
      </c>
      <c r="S2614" s="17">
        <v>42139</v>
      </c>
      <c r="T2614" s="17">
        <v>42139</v>
      </c>
      <c r="W2614">
        <v>2015</v>
      </c>
      <c r="X2614">
        <v>24</v>
      </c>
      <c r="AC2614" t="s">
        <v>79</v>
      </c>
      <c r="AD2614" t="s">
        <v>301</v>
      </c>
      <c r="AE2614" t="s">
        <v>46</v>
      </c>
      <c r="AG2614">
        <v>52</v>
      </c>
      <c r="AH2614">
        <v>2</v>
      </c>
      <c r="AI2614" t="s">
        <v>50</v>
      </c>
      <c r="AK2614">
        <v>0</v>
      </c>
      <c r="AM2614">
        <v>0</v>
      </c>
      <c r="AP2614" t="s">
        <v>325</v>
      </c>
    </row>
    <row r="2615" spans="1:42" customFormat="1">
      <c r="A2615">
        <v>270094</v>
      </c>
      <c r="B2615" t="s">
        <v>2784</v>
      </c>
      <c r="C2615" t="s">
        <v>2785</v>
      </c>
      <c r="D2615" s="22">
        <v>0</v>
      </c>
      <c r="E2615" s="17">
        <v>42135</v>
      </c>
      <c r="F2615" s="18">
        <v>0.69285879629629632</v>
      </c>
      <c r="G2615" s="22">
        <v>2018.02</v>
      </c>
      <c r="H2615">
        <v>0</v>
      </c>
      <c r="I2615" s="19" t="e">
        <f>I2614 + (D2615-G2615)</f>
        <v>#VALUE!</v>
      </c>
      <c r="M2615">
        <v>123398</v>
      </c>
      <c r="N2615">
        <v>24</v>
      </c>
      <c r="O2615" t="s">
        <v>68</v>
      </c>
      <c r="P2615">
        <v>1</v>
      </c>
      <c r="R2615">
        <v>1414</v>
      </c>
      <c r="S2615" s="17">
        <v>42139</v>
      </c>
      <c r="T2615" s="17">
        <v>42139</v>
      </c>
      <c r="W2615">
        <v>2015</v>
      </c>
      <c r="X2615">
        <v>24</v>
      </c>
      <c r="AC2615" t="s">
        <v>79</v>
      </c>
      <c r="AD2615" t="s">
        <v>301</v>
      </c>
      <c r="AE2615" t="s">
        <v>46</v>
      </c>
      <c r="AG2615">
        <v>52</v>
      </c>
      <c r="AH2615">
        <v>2</v>
      </c>
      <c r="AI2615" t="s">
        <v>50</v>
      </c>
      <c r="AK2615">
        <v>0</v>
      </c>
      <c r="AM2615">
        <v>0</v>
      </c>
      <c r="AP2615" t="s">
        <v>325</v>
      </c>
    </row>
    <row r="2616" spans="1:42" customFormat="1">
      <c r="A2616">
        <v>270095</v>
      </c>
      <c r="B2616" t="s">
        <v>2786</v>
      </c>
      <c r="C2616" t="s">
        <v>2787</v>
      </c>
      <c r="D2616" s="22">
        <v>0</v>
      </c>
      <c r="E2616" s="17">
        <v>42135</v>
      </c>
      <c r="F2616" s="18">
        <v>0.6931018518518518</v>
      </c>
      <c r="G2616" s="22">
        <v>1709.4</v>
      </c>
      <c r="H2616">
        <v>0</v>
      </c>
      <c r="I2616" s="19" t="e">
        <f>I2615 + (D2616-G2616)</f>
        <v>#VALUE!</v>
      </c>
      <c r="M2616">
        <v>123401</v>
      </c>
      <c r="N2616">
        <v>24</v>
      </c>
      <c r="O2616" t="s">
        <v>68</v>
      </c>
      <c r="P2616">
        <v>1</v>
      </c>
      <c r="R2616">
        <v>1414</v>
      </c>
      <c r="S2616" s="17">
        <v>42139</v>
      </c>
      <c r="T2616" s="17">
        <v>42139</v>
      </c>
      <c r="W2616">
        <v>2015</v>
      </c>
      <c r="X2616">
        <v>24</v>
      </c>
      <c r="AC2616" t="s">
        <v>79</v>
      </c>
      <c r="AD2616" t="s">
        <v>301</v>
      </c>
      <c r="AE2616" t="s">
        <v>46</v>
      </c>
      <c r="AG2616">
        <v>52</v>
      </c>
      <c r="AH2616">
        <v>2</v>
      </c>
      <c r="AI2616" t="s">
        <v>50</v>
      </c>
      <c r="AK2616">
        <v>0</v>
      </c>
      <c r="AM2616">
        <v>0</v>
      </c>
      <c r="AP2616" t="s">
        <v>325</v>
      </c>
    </row>
    <row r="2617" spans="1:42" customFormat="1">
      <c r="A2617">
        <v>270096</v>
      </c>
      <c r="B2617" t="s">
        <v>2788</v>
      </c>
      <c r="C2617" t="s">
        <v>2789</v>
      </c>
      <c r="D2617" s="22">
        <v>0</v>
      </c>
      <c r="E2617" s="17">
        <v>42135</v>
      </c>
      <c r="F2617" s="18">
        <v>0.69324074074074071</v>
      </c>
      <c r="G2617" s="22">
        <v>1813.9</v>
      </c>
      <c r="H2617">
        <v>0</v>
      </c>
      <c r="I2617" s="19" t="e">
        <f>I2616 + (D2617-G2617)</f>
        <v>#VALUE!</v>
      </c>
      <c r="M2617">
        <v>123404</v>
      </c>
      <c r="N2617">
        <v>24</v>
      </c>
      <c r="O2617" t="s">
        <v>68</v>
      </c>
      <c r="P2617">
        <v>1</v>
      </c>
      <c r="R2617">
        <v>1414</v>
      </c>
      <c r="S2617" s="17">
        <v>42139</v>
      </c>
      <c r="T2617" s="17">
        <v>42139</v>
      </c>
      <c r="W2617">
        <v>2015</v>
      </c>
      <c r="X2617">
        <v>24</v>
      </c>
      <c r="AC2617" t="s">
        <v>79</v>
      </c>
      <c r="AD2617" t="s">
        <v>301</v>
      </c>
      <c r="AE2617" t="s">
        <v>46</v>
      </c>
      <c r="AG2617">
        <v>52</v>
      </c>
      <c r="AH2617">
        <v>2</v>
      </c>
      <c r="AI2617" t="s">
        <v>50</v>
      </c>
      <c r="AK2617">
        <v>0</v>
      </c>
      <c r="AM2617">
        <v>0</v>
      </c>
      <c r="AP2617" t="s">
        <v>325</v>
      </c>
    </row>
    <row r="2618" spans="1:42" customFormat="1">
      <c r="A2618">
        <v>270097</v>
      </c>
      <c r="B2618" t="s">
        <v>2790</v>
      </c>
      <c r="C2618" t="s">
        <v>2791</v>
      </c>
      <c r="D2618" s="22">
        <v>0</v>
      </c>
      <c r="E2618" s="17">
        <v>42135</v>
      </c>
      <c r="F2618" s="18">
        <v>0.69337962962962962</v>
      </c>
      <c r="G2618" s="22">
        <v>390.81</v>
      </c>
      <c r="H2618">
        <v>0</v>
      </c>
      <c r="I2618" s="19" t="e">
        <f>I2617 + (D2618-G2618)</f>
        <v>#VALUE!</v>
      </c>
      <c r="M2618">
        <v>123408</v>
      </c>
      <c r="N2618">
        <v>24</v>
      </c>
      <c r="O2618" t="s">
        <v>68</v>
      </c>
      <c r="P2618">
        <v>1</v>
      </c>
      <c r="R2618">
        <v>1414</v>
      </c>
      <c r="S2618" s="17">
        <v>42139</v>
      </c>
      <c r="T2618" s="17">
        <v>42139</v>
      </c>
      <c r="W2618">
        <v>2015</v>
      </c>
      <c r="X2618">
        <v>24</v>
      </c>
      <c r="AC2618" t="s">
        <v>79</v>
      </c>
      <c r="AD2618" t="s">
        <v>301</v>
      </c>
      <c r="AE2618" t="s">
        <v>46</v>
      </c>
      <c r="AG2618">
        <v>52</v>
      </c>
      <c r="AH2618">
        <v>2</v>
      </c>
      <c r="AI2618" t="s">
        <v>50</v>
      </c>
      <c r="AK2618">
        <v>0</v>
      </c>
      <c r="AM2618">
        <v>0</v>
      </c>
      <c r="AP2618" t="s">
        <v>325</v>
      </c>
    </row>
    <row r="2619" spans="1:42" customFormat="1">
      <c r="A2619">
        <v>270098</v>
      </c>
      <c r="B2619" t="s">
        <v>2792</v>
      </c>
      <c r="C2619" t="s">
        <v>2793</v>
      </c>
      <c r="D2619" s="22">
        <v>0</v>
      </c>
      <c r="E2619" s="17">
        <v>42135</v>
      </c>
      <c r="F2619" s="18">
        <v>0.69353009259259257</v>
      </c>
      <c r="G2619" s="22">
        <v>3233.81</v>
      </c>
      <c r="H2619">
        <v>0</v>
      </c>
      <c r="I2619" s="19" t="e">
        <f>I2618 + (D2619-G2619)</f>
        <v>#VALUE!</v>
      </c>
      <c r="M2619">
        <v>123410</v>
      </c>
      <c r="N2619">
        <v>24</v>
      </c>
      <c r="O2619" t="s">
        <v>68</v>
      </c>
      <c r="P2619">
        <v>1</v>
      </c>
      <c r="R2619">
        <v>1414</v>
      </c>
      <c r="S2619" s="17">
        <v>42139</v>
      </c>
      <c r="T2619" s="17">
        <v>42139</v>
      </c>
      <c r="W2619">
        <v>2015</v>
      </c>
      <c r="X2619">
        <v>24</v>
      </c>
      <c r="AC2619" t="s">
        <v>79</v>
      </c>
      <c r="AD2619" t="s">
        <v>301</v>
      </c>
      <c r="AE2619" t="s">
        <v>46</v>
      </c>
      <c r="AG2619">
        <v>52</v>
      </c>
      <c r="AH2619">
        <v>2</v>
      </c>
      <c r="AI2619" t="s">
        <v>50</v>
      </c>
      <c r="AK2619">
        <v>0</v>
      </c>
      <c r="AM2619">
        <v>0</v>
      </c>
      <c r="AP2619" t="s">
        <v>325</v>
      </c>
    </row>
    <row r="2620" spans="1:42" customFormat="1">
      <c r="A2620">
        <v>270099</v>
      </c>
      <c r="B2620" t="s">
        <v>2794</v>
      </c>
      <c r="C2620" t="s">
        <v>2795</v>
      </c>
      <c r="D2620" s="22">
        <v>0</v>
      </c>
      <c r="E2620" s="17">
        <v>42135</v>
      </c>
      <c r="F2620" s="18">
        <v>0.69366898148148148</v>
      </c>
      <c r="G2620" s="22">
        <v>664.76</v>
      </c>
      <c r="H2620">
        <v>0</v>
      </c>
      <c r="I2620" s="19" t="e">
        <f>I2619 + (D2620-G2620)</f>
        <v>#VALUE!</v>
      </c>
      <c r="M2620">
        <v>123411</v>
      </c>
      <c r="N2620">
        <v>24</v>
      </c>
      <c r="O2620" t="s">
        <v>68</v>
      </c>
      <c r="P2620">
        <v>1</v>
      </c>
      <c r="R2620">
        <v>1414</v>
      </c>
      <c r="S2620" s="17">
        <v>42139</v>
      </c>
      <c r="T2620" s="17">
        <v>42139</v>
      </c>
      <c r="W2620">
        <v>2015</v>
      </c>
      <c r="X2620">
        <v>24</v>
      </c>
      <c r="AC2620" t="s">
        <v>79</v>
      </c>
      <c r="AD2620" t="s">
        <v>301</v>
      </c>
      <c r="AE2620" t="s">
        <v>46</v>
      </c>
      <c r="AG2620">
        <v>52</v>
      </c>
      <c r="AH2620">
        <v>2</v>
      </c>
      <c r="AI2620" t="s">
        <v>50</v>
      </c>
      <c r="AK2620">
        <v>0</v>
      </c>
      <c r="AM2620">
        <v>0</v>
      </c>
      <c r="AP2620" t="s">
        <v>325</v>
      </c>
    </row>
    <row r="2621" spans="1:42" customFormat="1">
      <c r="A2621">
        <v>270100</v>
      </c>
      <c r="B2621" t="s">
        <v>2796</v>
      </c>
      <c r="C2621" t="s">
        <v>2797</v>
      </c>
      <c r="D2621" s="22">
        <v>0</v>
      </c>
      <c r="E2621" s="17">
        <v>42135</v>
      </c>
      <c r="F2621" s="18">
        <v>0.69383101851851858</v>
      </c>
      <c r="G2621" s="22">
        <v>1696.46</v>
      </c>
      <c r="H2621">
        <v>0</v>
      </c>
      <c r="I2621" s="19" t="e">
        <f>I2620 + (D2621-G2621)</f>
        <v>#VALUE!</v>
      </c>
      <c r="M2621">
        <v>123414</v>
      </c>
      <c r="N2621">
        <v>24</v>
      </c>
      <c r="O2621" t="s">
        <v>68</v>
      </c>
      <c r="P2621">
        <v>1</v>
      </c>
      <c r="R2621">
        <v>1414</v>
      </c>
      <c r="S2621" s="17">
        <v>42139</v>
      </c>
      <c r="T2621" s="17">
        <v>42139</v>
      </c>
      <c r="W2621">
        <v>2015</v>
      </c>
      <c r="X2621">
        <v>24</v>
      </c>
      <c r="AC2621" t="s">
        <v>79</v>
      </c>
      <c r="AD2621" t="s">
        <v>301</v>
      </c>
      <c r="AE2621" t="s">
        <v>46</v>
      </c>
      <c r="AG2621">
        <v>52</v>
      </c>
      <c r="AH2621">
        <v>2</v>
      </c>
      <c r="AI2621" t="s">
        <v>50</v>
      </c>
      <c r="AK2621">
        <v>0</v>
      </c>
      <c r="AM2621">
        <v>0</v>
      </c>
      <c r="AP2621" t="s">
        <v>325</v>
      </c>
    </row>
    <row r="2622" spans="1:42" customFormat="1">
      <c r="A2622">
        <v>270101</v>
      </c>
      <c r="B2622" t="s">
        <v>2798</v>
      </c>
      <c r="C2622" t="s">
        <v>2799</v>
      </c>
      <c r="D2622" s="22">
        <v>0</v>
      </c>
      <c r="E2622" s="17">
        <v>42135</v>
      </c>
      <c r="F2622" s="18">
        <v>0.69400462962962972</v>
      </c>
      <c r="G2622" s="22">
        <v>2557.91</v>
      </c>
      <c r="H2622">
        <v>0</v>
      </c>
      <c r="I2622" s="19" t="e">
        <f>I2621 + (D2622-G2622)</f>
        <v>#VALUE!</v>
      </c>
      <c r="M2622">
        <v>123417</v>
      </c>
      <c r="N2622">
        <v>24</v>
      </c>
      <c r="O2622" t="s">
        <v>68</v>
      </c>
      <c r="P2622">
        <v>1</v>
      </c>
      <c r="R2622">
        <v>1414</v>
      </c>
      <c r="S2622" s="17">
        <v>42139</v>
      </c>
      <c r="T2622" s="17">
        <v>42139</v>
      </c>
      <c r="W2622">
        <v>2015</v>
      </c>
      <c r="X2622">
        <v>24</v>
      </c>
      <c r="AC2622" t="s">
        <v>79</v>
      </c>
      <c r="AD2622" t="s">
        <v>301</v>
      </c>
      <c r="AE2622" t="s">
        <v>46</v>
      </c>
      <c r="AG2622">
        <v>52</v>
      </c>
      <c r="AH2622">
        <v>2</v>
      </c>
      <c r="AI2622" t="s">
        <v>50</v>
      </c>
      <c r="AK2622">
        <v>0</v>
      </c>
      <c r="AM2622">
        <v>0</v>
      </c>
      <c r="AP2622" t="s">
        <v>325</v>
      </c>
    </row>
    <row r="2623" spans="1:42" customFormat="1">
      <c r="A2623">
        <v>270102</v>
      </c>
      <c r="B2623" t="s">
        <v>2800</v>
      </c>
      <c r="C2623" t="s">
        <v>2801</v>
      </c>
      <c r="D2623" s="22">
        <v>0</v>
      </c>
      <c r="E2623" s="17">
        <v>42135</v>
      </c>
      <c r="F2623" s="18">
        <v>0.69414351851851863</v>
      </c>
      <c r="G2623" s="22">
        <v>2116.6</v>
      </c>
      <c r="H2623">
        <v>0</v>
      </c>
      <c r="I2623" s="19" t="e">
        <f>I2622 + (D2623-G2623)</f>
        <v>#VALUE!</v>
      </c>
      <c r="M2623">
        <v>123419</v>
      </c>
      <c r="N2623">
        <v>24</v>
      </c>
      <c r="O2623" t="s">
        <v>68</v>
      </c>
      <c r="P2623">
        <v>1</v>
      </c>
      <c r="R2623">
        <v>1414</v>
      </c>
      <c r="S2623" s="17">
        <v>42139</v>
      </c>
      <c r="T2623" s="17">
        <v>42139</v>
      </c>
      <c r="W2623">
        <v>2015</v>
      </c>
      <c r="X2623">
        <v>24</v>
      </c>
      <c r="AC2623" t="s">
        <v>79</v>
      </c>
      <c r="AD2623" t="s">
        <v>301</v>
      </c>
      <c r="AE2623" t="s">
        <v>46</v>
      </c>
      <c r="AG2623">
        <v>52</v>
      </c>
      <c r="AH2623">
        <v>2</v>
      </c>
      <c r="AI2623" t="s">
        <v>50</v>
      </c>
      <c r="AK2623">
        <v>0</v>
      </c>
      <c r="AM2623">
        <v>0</v>
      </c>
      <c r="AP2623" t="s">
        <v>325</v>
      </c>
    </row>
    <row r="2624" spans="1:42" customFormat="1">
      <c r="A2624">
        <v>270103</v>
      </c>
      <c r="B2624" t="s">
        <v>2802</v>
      </c>
      <c r="C2624" t="s">
        <v>2803</v>
      </c>
      <c r="D2624" s="22">
        <v>0</v>
      </c>
      <c r="E2624" s="17">
        <v>42135</v>
      </c>
      <c r="F2624" s="18">
        <v>0.69428240740740732</v>
      </c>
      <c r="G2624" s="22">
        <v>1099.8499999999999</v>
      </c>
      <c r="H2624">
        <v>0</v>
      </c>
      <c r="I2624" s="19" t="e">
        <f>I2623 + (D2624-G2624)</f>
        <v>#VALUE!</v>
      </c>
      <c r="M2624">
        <v>123436</v>
      </c>
      <c r="N2624">
        <v>24</v>
      </c>
      <c r="O2624" t="s">
        <v>68</v>
      </c>
      <c r="P2624">
        <v>1</v>
      </c>
      <c r="R2624">
        <v>1414</v>
      </c>
      <c r="S2624" s="17">
        <v>42139</v>
      </c>
      <c r="T2624" s="17">
        <v>42139</v>
      </c>
      <c r="W2624">
        <v>2015</v>
      </c>
      <c r="X2624">
        <v>24</v>
      </c>
      <c r="AC2624" t="s">
        <v>79</v>
      </c>
      <c r="AD2624" t="s">
        <v>301</v>
      </c>
      <c r="AE2624" t="s">
        <v>46</v>
      </c>
      <c r="AG2624">
        <v>52</v>
      </c>
      <c r="AH2624">
        <v>2</v>
      </c>
      <c r="AI2624" t="s">
        <v>50</v>
      </c>
      <c r="AK2624">
        <v>0</v>
      </c>
      <c r="AM2624">
        <v>0</v>
      </c>
      <c r="AP2624" t="s">
        <v>325</v>
      </c>
    </row>
    <row r="2625" spans="1:42" customFormat="1">
      <c r="A2625">
        <v>270104</v>
      </c>
      <c r="B2625" t="s">
        <v>2804</v>
      </c>
      <c r="C2625" t="s">
        <v>2805</v>
      </c>
      <c r="D2625" s="22">
        <v>0</v>
      </c>
      <c r="E2625" s="17">
        <v>42135</v>
      </c>
      <c r="F2625" s="18">
        <v>0.69440972222222219</v>
      </c>
      <c r="G2625" s="22">
        <v>1172.4100000000001</v>
      </c>
      <c r="H2625">
        <v>0</v>
      </c>
      <c r="I2625" s="19" t="e">
        <f>I2624 + (D2625-G2625)</f>
        <v>#VALUE!</v>
      </c>
      <c r="M2625">
        <v>123439</v>
      </c>
      <c r="N2625">
        <v>24</v>
      </c>
      <c r="O2625" t="s">
        <v>68</v>
      </c>
      <c r="P2625">
        <v>1</v>
      </c>
      <c r="R2625">
        <v>1414</v>
      </c>
      <c r="S2625" s="17">
        <v>42139</v>
      </c>
      <c r="T2625" s="17">
        <v>42139</v>
      </c>
      <c r="W2625">
        <v>2015</v>
      </c>
      <c r="X2625">
        <v>24</v>
      </c>
      <c r="AC2625" t="s">
        <v>79</v>
      </c>
      <c r="AD2625" t="s">
        <v>301</v>
      </c>
      <c r="AE2625" t="s">
        <v>46</v>
      </c>
      <c r="AG2625">
        <v>52</v>
      </c>
      <c r="AH2625">
        <v>2</v>
      </c>
      <c r="AI2625" t="s">
        <v>50</v>
      </c>
      <c r="AK2625">
        <v>0</v>
      </c>
      <c r="AM2625">
        <v>0</v>
      </c>
      <c r="AP2625" t="s">
        <v>325</v>
      </c>
    </row>
    <row r="2626" spans="1:42" customFormat="1">
      <c r="A2626">
        <v>270105</v>
      </c>
      <c r="B2626" t="s">
        <v>2806</v>
      </c>
      <c r="C2626" t="s">
        <v>2807</v>
      </c>
      <c r="D2626" s="22">
        <v>0</v>
      </c>
      <c r="E2626" s="17">
        <v>42135</v>
      </c>
      <c r="F2626" s="18">
        <v>0.6945486111111111</v>
      </c>
      <c r="G2626" s="22">
        <v>5891.85</v>
      </c>
      <c r="H2626">
        <v>0</v>
      </c>
      <c r="I2626" s="19" t="e">
        <f>I2625 + (D2626-G2626)</f>
        <v>#VALUE!</v>
      </c>
      <c r="M2626">
        <v>123422</v>
      </c>
      <c r="N2626">
        <v>24</v>
      </c>
      <c r="O2626" t="s">
        <v>68</v>
      </c>
      <c r="P2626">
        <v>1</v>
      </c>
      <c r="R2626">
        <v>1414</v>
      </c>
      <c r="S2626" s="17">
        <v>42139</v>
      </c>
      <c r="T2626" s="17">
        <v>42139</v>
      </c>
      <c r="W2626">
        <v>2015</v>
      </c>
      <c r="X2626">
        <v>24</v>
      </c>
      <c r="AC2626" t="s">
        <v>79</v>
      </c>
      <c r="AD2626" t="s">
        <v>301</v>
      </c>
      <c r="AE2626" t="s">
        <v>46</v>
      </c>
      <c r="AG2626">
        <v>52</v>
      </c>
      <c r="AH2626">
        <v>2</v>
      </c>
      <c r="AI2626" t="s">
        <v>50</v>
      </c>
      <c r="AK2626">
        <v>0</v>
      </c>
      <c r="AM2626">
        <v>0</v>
      </c>
      <c r="AP2626" t="s">
        <v>325</v>
      </c>
    </row>
    <row r="2627" spans="1:42" customFormat="1">
      <c r="A2627">
        <v>270106</v>
      </c>
      <c r="B2627" t="s">
        <v>2808</v>
      </c>
      <c r="C2627" t="s">
        <v>2809</v>
      </c>
      <c r="D2627" s="22">
        <v>0</v>
      </c>
      <c r="E2627" s="17">
        <v>42135</v>
      </c>
      <c r="F2627" s="18">
        <v>0.69468750000000001</v>
      </c>
      <c r="G2627" s="22">
        <v>4588.8900000000003</v>
      </c>
      <c r="H2627">
        <v>0</v>
      </c>
      <c r="I2627" s="19" t="e">
        <f>I2626 + (D2627-G2627)</f>
        <v>#VALUE!</v>
      </c>
      <c r="M2627">
        <v>123447</v>
      </c>
      <c r="N2627">
        <v>24</v>
      </c>
      <c r="O2627" t="s">
        <v>68</v>
      </c>
      <c r="P2627">
        <v>1</v>
      </c>
      <c r="R2627">
        <v>1414</v>
      </c>
      <c r="S2627" s="17">
        <v>42139</v>
      </c>
      <c r="T2627" s="17">
        <v>42139</v>
      </c>
      <c r="W2627">
        <v>2015</v>
      </c>
      <c r="X2627">
        <v>24</v>
      </c>
      <c r="AC2627" t="s">
        <v>79</v>
      </c>
      <c r="AD2627" t="s">
        <v>301</v>
      </c>
      <c r="AE2627" t="s">
        <v>46</v>
      </c>
      <c r="AG2627">
        <v>52</v>
      </c>
      <c r="AH2627">
        <v>2</v>
      </c>
      <c r="AI2627" t="s">
        <v>50</v>
      </c>
      <c r="AK2627">
        <v>0</v>
      </c>
      <c r="AM2627">
        <v>0</v>
      </c>
      <c r="AP2627" t="s">
        <v>325</v>
      </c>
    </row>
    <row r="2628" spans="1:42" customFormat="1">
      <c r="A2628">
        <v>270107</v>
      </c>
      <c r="B2628" t="s">
        <v>2810</v>
      </c>
      <c r="C2628" t="s">
        <v>2811</v>
      </c>
      <c r="D2628" s="22">
        <v>0</v>
      </c>
      <c r="E2628" s="17">
        <v>42135</v>
      </c>
      <c r="F2628" s="18">
        <v>0.69616898148148154</v>
      </c>
      <c r="G2628" s="22">
        <v>2105.1999999999998</v>
      </c>
      <c r="H2628">
        <v>0</v>
      </c>
      <c r="I2628" s="19" t="e">
        <f>I2627 + (D2628-G2628)</f>
        <v>#VALUE!</v>
      </c>
      <c r="M2628">
        <v>123451</v>
      </c>
      <c r="N2628">
        <v>24</v>
      </c>
      <c r="O2628" t="s">
        <v>68</v>
      </c>
      <c r="P2628">
        <v>1</v>
      </c>
      <c r="R2628">
        <v>1414</v>
      </c>
      <c r="S2628" s="17">
        <v>42139</v>
      </c>
      <c r="T2628" s="17">
        <v>42139</v>
      </c>
      <c r="W2628">
        <v>2015</v>
      </c>
      <c r="X2628">
        <v>24</v>
      </c>
      <c r="AC2628" t="s">
        <v>79</v>
      </c>
      <c r="AD2628" t="s">
        <v>301</v>
      </c>
      <c r="AE2628" t="s">
        <v>46</v>
      </c>
      <c r="AG2628">
        <v>52</v>
      </c>
      <c r="AH2628">
        <v>2</v>
      </c>
      <c r="AI2628" t="s">
        <v>50</v>
      </c>
      <c r="AK2628">
        <v>0</v>
      </c>
      <c r="AM2628">
        <v>0</v>
      </c>
      <c r="AP2628" t="s">
        <v>325</v>
      </c>
    </row>
    <row r="2629" spans="1:42" customFormat="1">
      <c r="A2629">
        <v>270108</v>
      </c>
      <c r="B2629" t="s">
        <v>2812</v>
      </c>
      <c r="C2629" t="s">
        <v>2813</v>
      </c>
      <c r="D2629" s="22">
        <v>0</v>
      </c>
      <c r="E2629" s="17">
        <v>42135</v>
      </c>
      <c r="F2629" s="18">
        <v>0.69631944444444438</v>
      </c>
      <c r="G2629" s="22">
        <v>2511.9</v>
      </c>
      <c r="H2629">
        <v>0</v>
      </c>
      <c r="I2629" s="19" t="e">
        <f>I2628 + (D2629-G2629)</f>
        <v>#VALUE!</v>
      </c>
      <c r="M2629">
        <v>123456</v>
      </c>
      <c r="N2629">
        <v>24</v>
      </c>
      <c r="O2629" t="s">
        <v>68</v>
      </c>
      <c r="P2629">
        <v>1</v>
      </c>
      <c r="R2629">
        <v>1414</v>
      </c>
      <c r="S2629" s="17">
        <v>42139</v>
      </c>
      <c r="T2629" s="17">
        <v>42139</v>
      </c>
      <c r="W2629">
        <v>2015</v>
      </c>
      <c r="X2629">
        <v>24</v>
      </c>
      <c r="AC2629" t="s">
        <v>79</v>
      </c>
      <c r="AD2629" t="s">
        <v>301</v>
      </c>
      <c r="AE2629" t="s">
        <v>46</v>
      </c>
      <c r="AG2629">
        <v>52</v>
      </c>
      <c r="AH2629">
        <v>2</v>
      </c>
      <c r="AI2629" t="s">
        <v>50</v>
      </c>
      <c r="AK2629">
        <v>0</v>
      </c>
      <c r="AM2629">
        <v>0</v>
      </c>
      <c r="AP2629" t="s">
        <v>325</v>
      </c>
    </row>
    <row r="2630" spans="1:42" customFormat="1">
      <c r="A2630">
        <v>270109</v>
      </c>
      <c r="B2630" t="s">
        <v>2814</v>
      </c>
      <c r="C2630" t="s">
        <v>2815</v>
      </c>
      <c r="D2630" s="22">
        <v>0</v>
      </c>
      <c r="E2630" s="17">
        <v>42135</v>
      </c>
      <c r="F2630" s="18">
        <v>0.69645833333333329</v>
      </c>
      <c r="G2630" s="22">
        <v>6846.11</v>
      </c>
      <c r="H2630">
        <v>0</v>
      </c>
      <c r="I2630" s="19" t="e">
        <f>I2629 + (D2630-G2630)</f>
        <v>#VALUE!</v>
      </c>
      <c r="M2630">
        <v>123458</v>
      </c>
      <c r="N2630">
        <v>24</v>
      </c>
      <c r="O2630" t="s">
        <v>68</v>
      </c>
      <c r="P2630">
        <v>1</v>
      </c>
      <c r="R2630">
        <v>1414</v>
      </c>
      <c r="S2630" s="17">
        <v>42139</v>
      </c>
      <c r="T2630" s="17">
        <v>42139</v>
      </c>
      <c r="W2630">
        <v>2015</v>
      </c>
      <c r="X2630">
        <v>24</v>
      </c>
      <c r="AC2630" t="s">
        <v>79</v>
      </c>
      <c r="AD2630" t="s">
        <v>301</v>
      </c>
      <c r="AE2630" t="s">
        <v>46</v>
      </c>
      <c r="AG2630">
        <v>52</v>
      </c>
      <c r="AH2630">
        <v>2</v>
      </c>
      <c r="AI2630" t="s">
        <v>50</v>
      </c>
      <c r="AK2630">
        <v>0</v>
      </c>
      <c r="AM2630">
        <v>0</v>
      </c>
      <c r="AP2630" t="s">
        <v>325</v>
      </c>
    </row>
    <row r="2631" spans="1:42" customFormat="1">
      <c r="A2631">
        <v>270110</v>
      </c>
      <c r="B2631" t="s">
        <v>2816</v>
      </c>
      <c r="C2631" t="s">
        <v>2817</v>
      </c>
      <c r="D2631" s="22">
        <v>0</v>
      </c>
      <c r="E2631" s="17">
        <v>42135</v>
      </c>
      <c r="F2631" s="18">
        <v>0.6966782407407407</v>
      </c>
      <c r="G2631" s="22">
        <v>10083.5</v>
      </c>
      <c r="H2631">
        <v>0</v>
      </c>
      <c r="I2631" s="19" t="e">
        <f>I2630 + (D2631-G2631)</f>
        <v>#VALUE!</v>
      </c>
      <c r="M2631">
        <v>123466</v>
      </c>
      <c r="N2631">
        <v>24</v>
      </c>
      <c r="O2631" t="s">
        <v>68</v>
      </c>
      <c r="P2631">
        <v>1</v>
      </c>
      <c r="R2631">
        <v>1414</v>
      </c>
      <c r="S2631" s="17">
        <v>42139</v>
      </c>
      <c r="T2631" s="17">
        <v>42139</v>
      </c>
      <c r="W2631">
        <v>2015</v>
      </c>
      <c r="X2631">
        <v>24</v>
      </c>
      <c r="AC2631" t="s">
        <v>79</v>
      </c>
      <c r="AD2631" t="s">
        <v>301</v>
      </c>
      <c r="AE2631" t="s">
        <v>46</v>
      </c>
      <c r="AG2631">
        <v>52</v>
      </c>
      <c r="AH2631">
        <v>2</v>
      </c>
      <c r="AI2631" t="s">
        <v>50</v>
      </c>
      <c r="AK2631">
        <v>0</v>
      </c>
      <c r="AM2631">
        <v>0</v>
      </c>
      <c r="AP2631" t="s">
        <v>325</v>
      </c>
    </row>
    <row r="2632" spans="1:42" customFormat="1">
      <c r="A2632">
        <v>270113</v>
      </c>
      <c r="B2632" t="s">
        <v>2823</v>
      </c>
      <c r="C2632" t="s">
        <v>2824</v>
      </c>
      <c r="D2632" s="22">
        <v>0</v>
      </c>
      <c r="E2632" s="17">
        <v>42135</v>
      </c>
      <c r="F2632" s="18">
        <v>0.697199074074074</v>
      </c>
      <c r="G2632" s="22">
        <v>2540.41</v>
      </c>
      <c r="H2632">
        <v>0</v>
      </c>
      <c r="I2632" s="19" t="e">
        <f>I2631 + (D2632-G2632)</f>
        <v>#VALUE!</v>
      </c>
      <c r="M2632">
        <v>123468</v>
      </c>
      <c r="N2632">
        <v>24</v>
      </c>
      <c r="O2632" t="s">
        <v>68</v>
      </c>
      <c r="P2632">
        <v>1</v>
      </c>
      <c r="R2632">
        <v>1414</v>
      </c>
      <c r="S2632" s="17">
        <v>42139</v>
      </c>
      <c r="T2632" s="17">
        <v>42139</v>
      </c>
      <c r="W2632">
        <v>2015</v>
      </c>
      <c r="X2632">
        <v>24</v>
      </c>
      <c r="AC2632" t="s">
        <v>79</v>
      </c>
      <c r="AD2632" t="s">
        <v>301</v>
      </c>
      <c r="AE2632" t="s">
        <v>46</v>
      </c>
      <c r="AG2632">
        <v>52</v>
      </c>
      <c r="AH2632">
        <v>2</v>
      </c>
      <c r="AI2632" t="s">
        <v>50</v>
      </c>
      <c r="AK2632">
        <v>0</v>
      </c>
      <c r="AM2632">
        <v>0</v>
      </c>
      <c r="AP2632" t="s">
        <v>325</v>
      </c>
    </row>
    <row r="2633" spans="1:42" customFormat="1">
      <c r="A2633">
        <v>270114</v>
      </c>
      <c r="B2633" t="s">
        <v>2825</v>
      </c>
      <c r="C2633" t="s">
        <v>2826</v>
      </c>
      <c r="D2633" s="22">
        <v>0</v>
      </c>
      <c r="E2633" s="17">
        <v>42135</v>
      </c>
      <c r="F2633" s="18">
        <v>0.69783564814814814</v>
      </c>
      <c r="G2633" s="22">
        <v>3065.75</v>
      </c>
      <c r="H2633">
        <v>0</v>
      </c>
      <c r="I2633" s="19" t="e">
        <f>I2632 + (D2633-G2633)</f>
        <v>#VALUE!</v>
      </c>
      <c r="M2633">
        <v>123469</v>
      </c>
      <c r="N2633">
        <v>24</v>
      </c>
      <c r="O2633" t="s">
        <v>68</v>
      </c>
      <c r="P2633">
        <v>1</v>
      </c>
      <c r="R2633">
        <v>1414</v>
      </c>
      <c r="S2633" s="17">
        <v>42139</v>
      </c>
      <c r="T2633" s="17">
        <v>42139</v>
      </c>
      <c r="W2633">
        <v>2015</v>
      </c>
      <c r="X2633">
        <v>24</v>
      </c>
      <c r="AC2633" t="s">
        <v>79</v>
      </c>
      <c r="AD2633" t="s">
        <v>301</v>
      </c>
      <c r="AE2633" t="s">
        <v>46</v>
      </c>
      <c r="AG2633">
        <v>52</v>
      </c>
      <c r="AH2633">
        <v>2</v>
      </c>
      <c r="AI2633" t="s">
        <v>50</v>
      </c>
      <c r="AK2633">
        <v>0</v>
      </c>
      <c r="AM2633">
        <v>0</v>
      </c>
      <c r="AP2633" t="s">
        <v>325</v>
      </c>
    </row>
    <row r="2634" spans="1:42" customFormat="1">
      <c r="A2634">
        <v>270116</v>
      </c>
      <c r="B2634" t="s">
        <v>2829</v>
      </c>
      <c r="C2634" t="s">
        <v>2830</v>
      </c>
      <c r="D2634" s="22">
        <v>0</v>
      </c>
      <c r="E2634" s="17">
        <v>42135</v>
      </c>
      <c r="F2634" s="18">
        <v>0.70616898148148144</v>
      </c>
      <c r="G2634" s="22">
        <v>2235.61</v>
      </c>
      <c r="H2634">
        <v>0</v>
      </c>
      <c r="I2634" s="19" t="e">
        <f>I2633 + (D2634-G2634)</f>
        <v>#VALUE!</v>
      </c>
      <c r="M2634">
        <v>123449</v>
      </c>
      <c r="N2634">
        <v>24</v>
      </c>
      <c r="O2634" t="s">
        <v>68</v>
      </c>
      <c r="P2634">
        <v>1</v>
      </c>
      <c r="R2634">
        <v>1414</v>
      </c>
      <c r="S2634" s="17">
        <v>42139</v>
      </c>
      <c r="T2634" s="17">
        <v>42139</v>
      </c>
      <c r="W2634">
        <v>2015</v>
      </c>
      <c r="X2634">
        <v>24</v>
      </c>
      <c r="AC2634" t="s">
        <v>79</v>
      </c>
      <c r="AD2634" t="s">
        <v>301</v>
      </c>
      <c r="AE2634" t="s">
        <v>46</v>
      </c>
      <c r="AG2634">
        <v>52</v>
      </c>
      <c r="AH2634">
        <v>2</v>
      </c>
      <c r="AI2634" t="s">
        <v>50</v>
      </c>
      <c r="AK2634">
        <v>0</v>
      </c>
      <c r="AM2634">
        <v>0</v>
      </c>
      <c r="AP2634" t="s">
        <v>325</v>
      </c>
    </row>
    <row r="2635" spans="1:42" customFormat="1">
      <c r="A2635">
        <v>270145</v>
      </c>
      <c r="B2635" t="s">
        <v>2849</v>
      </c>
      <c r="C2635" t="s">
        <v>2850</v>
      </c>
      <c r="D2635" s="22">
        <v>0</v>
      </c>
      <c r="E2635" s="17">
        <v>42136</v>
      </c>
      <c r="F2635" s="18">
        <v>0.37778935185185186</v>
      </c>
      <c r="G2635" s="22">
        <v>3846.33</v>
      </c>
      <c r="H2635">
        <v>0</v>
      </c>
      <c r="I2635" s="19" t="e">
        <f>I2634 + (D2635-G2635)</f>
        <v>#VALUE!</v>
      </c>
      <c r="M2635">
        <v>123496</v>
      </c>
      <c r="N2635">
        <v>24</v>
      </c>
      <c r="O2635" t="s">
        <v>68</v>
      </c>
      <c r="P2635">
        <v>1</v>
      </c>
      <c r="R2635">
        <v>1414</v>
      </c>
      <c r="S2635" s="17">
        <v>42142</v>
      </c>
      <c r="T2635" s="17">
        <v>42142</v>
      </c>
      <c r="W2635">
        <v>2015</v>
      </c>
      <c r="X2635">
        <v>24</v>
      </c>
      <c r="AC2635" t="s">
        <v>79</v>
      </c>
      <c r="AD2635" t="s">
        <v>301</v>
      </c>
      <c r="AE2635" t="s">
        <v>46</v>
      </c>
      <c r="AG2635">
        <v>52</v>
      </c>
      <c r="AH2635">
        <v>2</v>
      </c>
      <c r="AI2635" t="s">
        <v>50</v>
      </c>
      <c r="AK2635">
        <v>0</v>
      </c>
      <c r="AM2635">
        <v>0</v>
      </c>
      <c r="AP2635" t="s">
        <v>325</v>
      </c>
    </row>
    <row r="2636" spans="1:42" customFormat="1">
      <c r="A2636">
        <v>270148</v>
      </c>
      <c r="B2636" t="s">
        <v>2853</v>
      </c>
      <c r="C2636" t="s">
        <v>2854</v>
      </c>
      <c r="D2636" s="22">
        <v>0</v>
      </c>
      <c r="E2636" s="17">
        <v>42136</v>
      </c>
      <c r="F2636" s="18">
        <v>0.38025462962962964</v>
      </c>
      <c r="G2636" s="22">
        <v>1068.3699999999999</v>
      </c>
      <c r="H2636">
        <v>0</v>
      </c>
      <c r="I2636" s="19" t="e">
        <f>I2635 + (D2636-G2636)</f>
        <v>#VALUE!</v>
      </c>
      <c r="M2636">
        <v>123390</v>
      </c>
      <c r="N2636">
        <v>24</v>
      </c>
      <c r="O2636" t="s">
        <v>68</v>
      </c>
      <c r="P2636">
        <v>1</v>
      </c>
      <c r="R2636">
        <v>1414</v>
      </c>
      <c r="S2636" s="17">
        <v>42142</v>
      </c>
      <c r="T2636" s="17">
        <v>42142</v>
      </c>
      <c r="W2636">
        <v>2015</v>
      </c>
      <c r="X2636">
        <v>24</v>
      </c>
      <c r="AC2636" t="s">
        <v>79</v>
      </c>
      <c r="AD2636" t="s">
        <v>301</v>
      </c>
      <c r="AE2636" t="s">
        <v>46</v>
      </c>
      <c r="AG2636">
        <v>52</v>
      </c>
      <c r="AH2636">
        <v>2</v>
      </c>
      <c r="AI2636" t="s">
        <v>50</v>
      </c>
      <c r="AK2636">
        <v>0</v>
      </c>
      <c r="AM2636">
        <v>0</v>
      </c>
      <c r="AP2636" t="s">
        <v>325</v>
      </c>
    </row>
    <row r="2637" spans="1:42" customFormat="1">
      <c r="A2637">
        <v>270149</v>
      </c>
      <c r="B2637" t="s">
        <v>2855</v>
      </c>
      <c r="C2637" t="s">
        <v>2856</v>
      </c>
      <c r="D2637" s="22">
        <v>0</v>
      </c>
      <c r="E2637" s="17">
        <v>42136</v>
      </c>
      <c r="F2637" s="18">
        <v>0.38045138888888891</v>
      </c>
      <c r="G2637" s="22">
        <v>1658.16</v>
      </c>
      <c r="H2637">
        <v>0</v>
      </c>
      <c r="I2637" s="19" t="e">
        <f>I2636 + (D2637-G2637)</f>
        <v>#VALUE!</v>
      </c>
      <c r="M2637">
        <v>123441</v>
      </c>
      <c r="N2637">
        <v>24</v>
      </c>
      <c r="O2637" t="s">
        <v>68</v>
      </c>
      <c r="P2637">
        <v>1</v>
      </c>
      <c r="R2637">
        <v>1414</v>
      </c>
      <c r="S2637" s="17">
        <v>42142</v>
      </c>
      <c r="T2637" s="17">
        <v>42142</v>
      </c>
      <c r="W2637">
        <v>2015</v>
      </c>
      <c r="X2637">
        <v>24</v>
      </c>
      <c r="AC2637" t="s">
        <v>79</v>
      </c>
      <c r="AD2637" t="s">
        <v>301</v>
      </c>
      <c r="AE2637" t="s">
        <v>46</v>
      </c>
      <c r="AG2637">
        <v>52</v>
      </c>
      <c r="AH2637">
        <v>2</v>
      </c>
      <c r="AI2637" t="s">
        <v>50</v>
      </c>
      <c r="AK2637">
        <v>0</v>
      </c>
      <c r="AM2637">
        <v>0</v>
      </c>
      <c r="AP2637" t="s">
        <v>325</v>
      </c>
    </row>
    <row r="2638" spans="1:42" customFormat="1">
      <c r="A2638">
        <v>270150</v>
      </c>
      <c r="B2638" t="s">
        <v>2857</v>
      </c>
      <c r="C2638" t="s">
        <v>2858</v>
      </c>
      <c r="D2638" s="22">
        <v>0</v>
      </c>
      <c r="E2638" s="17">
        <v>42136</v>
      </c>
      <c r="F2638" s="18">
        <v>0.38061342592592595</v>
      </c>
      <c r="G2638" s="22">
        <v>786.33</v>
      </c>
      <c r="H2638">
        <v>0</v>
      </c>
      <c r="I2638" s="19" t="e">
        <f>I2637 + (D2638-G2638)</f>
        <v>#VALUE!</v>
      </c>
      <c r="M2638">
        <v>123482</v>
      </c>
      <c r="N2638">
        <v>24</v>
      </c>
      <c r="O2638" t="s">
        <v>68</v>
      </c>
      <c r="P2638">
        <v>1</v>
      </c>
      <c r="R2638">
        <v>1414</v>
      </c>
      <c r="S2638" s="17">
        <v>42142</v>
      </c>
      <c r="T2638" s="17">
        <v>42142</v>
      </c>
      <c r="W2638">
        <v>2015</v>
      </c>
      <c r="X2638">
        <v>24</v>
      </c>
      <c r="AC2638" t="s">
        <v>79</v>
      </c>
      <c r="AD2638" t="s">
        <v>301</v>
      </c>
      <c r="AE2638" t="s">
        <v>46</v>
      </c>
      <c r="AG2638">
        <v>52</v>
      </c>
      <c r="AH2638">
        <v>2</v>
      </c>
      <c r="AI2638" t="s">
        <v>50</v>
      </c>
      <c r="AK2638">
        <v>0</v>
      </c>
      <c r="AM2638">
        <v>0</v>
      </c>
      <c r="AP2638" t="s">
        <v>325</v>
      </c>
    </row>
    <row r="2639" spans="1:42" customFormat="1">
      <c r="A2639">
        <v>270151</v>
      </c>
      <c r="B2639" t="s">
        <v>2859</v>
      </c>
      <c r="C2639" t="s">
        <v>2860</v>
      </c>
      <c r="D2639" s="22">
        <v>0</v>
      </c>
      <c r="E2639" s="17">
        <v>42136</v>
      </c>
      <c r="F2639" s="18">
        <v>0.38077546296296294</v>
      </c>
      <c r="G2639" s="22">
        <v>846.15</v>
      </c>
      <c r="H2639">
        <v>0</v>
      </c>
      <c r="I2639" s="19" t="e">
        <f>I2638 + (D2639-G2639)</f>
        <v>#VALUE!</v>
      </c>
      <c r="M2639">
        <v>123489</v>
      </c>
      <c r="N2639">
        <v>24</v>
      </c>
      <c r="O2639" t="s">
        <v>68</v>
      </c>
      <c r="P2639">
        <v>1</v>
      </c>
      <c r="R2639">
        <v>1414</v>
      </c>
      <c r="S2639" s="17">
        <v>42142</v>
      </c>
      <c r="T2639" s="17">
        <v>42142</v>
      </c>
      <c r="W2639">
        <v>2015</v>
      </c>
      <c r="X2639">
        <v>24</v>
      </c>
      <c r="AC2639" t="s">
        <v>79</v>
      </c>
      <c r="AD2639" t="s">
        <v>301</v>
      </c>
      <c r="AE2639" t="s">
        <v>46</v>
      </c>
      <c r="AG2639">
        <v>52</v>
      </c>
      <c r="AH2639">
        <v>2</v>
      </c>
      <c r="AI2639" t="s">
        <v>50</v>
      </c>
      <c r="AK2639">
        <v>0</v>
      </c>
      <c r="AM2639">
        <v>0</v>
      </c>
      <c r="AP2639" t="s">
        <v>325</v>
      </c>
    </row>
    <row r="2640" spans="1:42" customFormat="1">
      <c r="A2640">
        <v>270153</v>
      </c>
      <c r="B2640" t="s">
        <v>2863</v>
      </c>
      <c r="C2640" t="s">
        <v>2864</v>
      </c>
      <c r="D2640" s="22">
        <v>0</v>
      </c>
      <c r="E2640" s="17">
        <v>42136</v>
      </c>
      <c r="F2640" s="18">
        <v>0.38156250000000003</v>
      </c>
      <c r="G2640" s="22">
        <v>1606.08</v>
      </c>
      <c r="H2640">
        <v>0</v>
      </c>
      <c r="I2640" s="19" t="e">
        <f>I2639 + (D2640-G2640)</f>
        <v>#VALUE!</v>
      </c>
      <c r="M2640">
        <v>123286</v>
      </c>
      <c r="N2640">
        <v>24</v>
      </c>
      <c r="O2640" t="s">
        <v>68</v>
      </c>
      <c r="P2640">
        <v>1</v>
      </c>
      <c r="R2640">
        <v>1414</v>
      </c>
      <c r="S2640" s="17">
        <v>42142</v>
      </c>
      <c r="T2640" s="17">
        <v>42142</v>
      </c>
      <c r="W2640">
        <v>2015</v>
      </c>
      <c r="X2640">
        <v>24</v>
      </c>
      <c r="AC2640" t="s">
        <v>79</v>
      </c>
      <c r="AD2640" t="s">
        <v>301</v>
      </c>
      <c r="AE2640" t="s">
        <v>46</v>
      </c>
      <c r="AG2640">
        <v>52</v>
      </c>
      <c r="AH2640">
        <v>2</v>
      </c>
      <c r="AI2640" t="s">
        <v>50</v>
      </c>
      <c r="AK2640">
        <v>0</v>
      </c>
      <c r="AM2640">
        <v>0</v>
      </c>
      <c r="AP2640" t="s">
        <v>325</v>
      </c>
    </row>
    <row r="2641" spans="1:42" customFormat="1">
      <c r="A2641">
        <v>270156</v>
      </c>
      <c r="B2641" t="s">
        <v>2950</v>
      </c>
      <c r="C2641" t="s">
        <v>2951</v>
      </c>
      <c r="D2641" s="22">
        <v>0</v>
      </c>
      <c r="E2641" s="17">
        <v>42137</v>
      </c>
      <c r="F2641" s="18">
        <v>0.3833333333333333</v>
      </c>
      <c r="G2641" s="22">
        <v>3885.43</v>
      </c>
      <c r="H2641">
        <v>0</v>
      </c>
      <c r="I2641" s="19" t="e">
        <f>I2640 + (D2641-G2641)</f>
        <v>#VALUE!</v>
      </c>
      <c r="M2641">
        <v>123290</v>
      </c>
      <c r="N2641">
        <v>24</v>
      </c>
      <c r="O2641" t="s">
        <v>68</v>
      </c>
      <c r="P2641">
        <v>1</v>
      </c>
      <c r="R2641">
        <v>1414</v>
      </c>
      <c r="S2641" s="17">
        <v>42142</v>
      </c>
      <c r="T2641" s="17">
        <v>42142</v>
      </c>
      <c r="W2641">
        <v>2015</v>
      </c>
      <c r="X2641">
        <v>24</v>
      </c>
      <c r="AC2641" t="s">
        <v>79</v>
      </c>
      <c r="AD2641" t="s">
        <v>301</v>
      </c>
      <c r="AE2641" t="s">
        <v>46</v>
      </c>
      <c r="AG2641">
        <v>52</v>
      </c>
      <c r="AH2641">
        <v>2</v>
      </c>
      <c r="AI2641" t="s">
        <v>50</v>
      </c>
      <c r="AK2641">
        <v>0</v>
      </c>
      <c r="AM2641">
        <v>0</v>
      </c>
      <c r="AP2641" t="s">
        <v>325</v>
      </c>
    </row>
    <row r="2642" spans="1:42" customFormat="1">
      <c r="A2642">
        <v>270420</v>
      </c>
      <c r="B2642" t="s">
        <v>3002</v>
      </c>
      <c r="C2642" t="s">
        <v>3003</v>
      </c>
      <c r="D2642" s="22">
        <v>0</v>
      </c>
      <c r="E2642" s="17">
        <v>42137</v>
      </c>
      <c r="F2642" s="18">
        <v>0.45414351851851853</v>
      </c>
      <c r="G2642" s="22">
        <v>1325.8</v>
      </c>
      <c r="H2642">
        <v>0</v>
      </c>
      <c r="I2642" s="19" t="e">
        <f>I2641 + (D2642-G2642)</f>
        <v>#VALUE!</v>
      </c>
      <c r="M2642">
        <v>123515</v>
      </c>
      <c r="N2642">
        <v>24</v>
      </c>
      <c r="O2642" t="s">
        <v>68</v>
      </c>
      <c r="P2642">
        <v>1</v>
      </c>
      <c r="R2642">
        <v>1414</v>
      </c>
      <c r="S2642" s="17">
        <v>42144</v>
      </c>
      <c r="T2642" s="17">
        <v>42144</v>
      </c>
      <c r="W2642">
        <v>2015</v>
      </c>
      <c r="X2642">
        <v>24</v>
      </c>
      <c r="AC2642" t="s">
        <v>79</v>
      </c>
      <c r="AD2642" t="s">
        <v>301</v>
      </c>
      <c r="AE2642" t="s">
        <v>46</v>
      </c>
      <c r="AG2642">
        <v>52</v>
      </c>
      <c r="AH2642">
        <v>2</v>
      </c>
      <c r="AI2642" t="s">
        <v>50</v>
      </c>
      <c r="AK2642">
        <v>0</v>
      </c>
      <c r="AM2642">
        <v>0</v>
      </c>
      <c r="AP2642" t="s">
        <v>325</v>
      </c>
    </row>
    <row r="2643" spans="1:42" customFormat="1">
      <c r="A2643">
        <v>270422</v>
      </c>
      <c r="B2643" t="s">
        <v>3006</v>
      </c>
      <c r="C2643" t="s">
        <v>3007</v>
      </c>
      <c r="D2643" s="22">
        <v>0</v>
      </c>
      <c r="E2643" s="17">
        <v>42137</v>
      </c>
      <c r="F2643" s="18">
        <v>0.45446759259259256</v>
      </c>
      <c r="G2643" s="22">
        <v>1455.09</v>
      </c>
      <c r="H2643">
        <v>0</v>
      </c>
      <c r="I2643" s="19" t="e">
        <f>I2642 + (D2643-G2643)</f>
        <v>#VALUE!</v>
      </c>
      <c r="M2643">
        <v>123540</v>
      </c>
      <c r="N2643">
        <v>24</v>
      </c>
      <c r="O2643" t="s">
        <v>68</v>
      </c>
      <c r="P2643">
        <v>1</v>
      </c>
      <c r="R2643">
        <v>1414</v>
      </c>
      <c r="S2643" s="17">
        <v>42144</v>
      </c>
      <c r="T2643" s="17">
        <v>42144</v>
      </c>
      <c r="W2643">
        <v>2015</v>
      </c>
      <c r="X2643">
        <v>24</v>
      </c>
      <c r="AC2643" t="s">
        <v>79</v>
      </c>
      <c r="AD2643" t="s">
        <v>301</v>
      </c>
      <c r="AE2643" t="s">
        <v>46</v>
      </c>
      <c r="AG2643">
        <v>52</v>
      </c>
      <c r="AH2643">
        <v>2</v>
      </c>
      <c r="AI2643" t="s">
        <v>50</v>
      </c>
      <c r="AK2643">
        <v>0</v>
      </c>
      <c r="AM2643">
        <v>0</v>
      </c>
      <c r="AP2643" t="s">
        <v>325</v>
      </c>
    </row>
    <row r="2644" spans="1:42" customFormat="1">
      <c r="A2644">
        <v>270427</v>
      </c>
      <c r="B2644" t="s">
        <v>3014</v>
      </c>
      <c r="C2644" t="s">
        <v>3015</v>
      </c>
      <c r="D2644" s="22">
        <v>0</v>
      </c>
      <c r="E2644" s="17">
        <v>42137</v>
      </c>
      <c r="F2644" s="18">
        <v>0.4551736111111111</v>
      </c>
      <c r="G2644" s="22">
        <v>1790.15</v>
      </c>
      <c r="H2644">
        <v>0</v>
      </c>
      <c r="I2644" s="19" t="e">
        <f>I2643 + (D2644-G2644)</f>
        <v>#VALUE!</v>
      </c>
      <c r="M2644">
        <v>123556</v>
      </c>
      <c r="N2644">
        <v>24</v>
      </c>
      <c r="O2644" t="s">
        <v>68</v>
      </c>
      <c r="P2644">
        <v>1</v>
      </c>
      <c r="R2644">
        <v>1414</v>
      </c>
      <c r="S2644" s="17">
        <v>42144</v>
      </c>
      <c r="T2644" s="17">
        <v>42144</v>
      </c>
      <c r="W2644">
        <v>2015</v>
      </c>
      <c r="X2644">
        <v>24</v>
      </c>
      <c r="AC2644" t="s">
        <v>79</v>
      </c>
      <c r="AD2644" t="s">
        <v>301</v>
      </c>
      <c r="AE2644" t="s">
        <v>46</v>
      </c>
      <c r="AG2644">
        <v>52</v>
      </c>
      <c r="AH2644">
        <v>2</v>
      </c>
      <c r="AI2644" t="s">
        <v>50</v>
      </c>
      <c r="AK2644">
        <v>0</v>
      </c>
      <c r="AM2644">
        <v>0</v>
      </c>
      <c r="AP2644" t="s">
        <v>325</v>
      </c>
    </row>
    <row r="2645" spans="1:42" customFormat="1">
      <c r="A2645">
        <v>270428</v>
      </c>
      <c r="B2645" t="s">
        <v>3016</v>
      </c>
      <c r="C2645" t="s">
        <v>3017</v>
      </c>
      <c r="D2645" s="22">
        <v>0</v>
      </c>
      <c r="E2645" s="17">
        <v>42137</v>
      </c>
      <c r="F2645" s="18">
        <v>0.45534722222222218</v>
      </c>
      <c r="G2645" s="22">
        <v>930.66</v>
      </c>
      <c r="H2645">
        <v>0</v>
      </c>
      <c r="I2645" s="19" t="e">
        <f>I2644 + (D2645-G2645)</f>
        <v>#VALUE!</v>
      </c>
      <c r="M2645">
        <v>123565</v>
      </c>
      <c r="N2645">
        <v>24</v>
      </c>
      <c r="O2645" t="s">
        <v>68</v>
      </c>
      <c r="P2645">
        <v>1</v>
      </c>
      <c r="R2645">
        <v>1414</v>
      </c>
      <c r="S2645" s="17">
        <v>42144</v>
      </c>
      <c r="T2645" s="17">
        <v>42144</v>
      </c>
      <c r="W2645">
        <v>2015</v>
      </c>
      <c r="X2645">
        <v>24</v>
      </c>
      <c r="AC2645" t="s">
        <v>79</v>
      </c>
      <c r="AD2645" t="s">
        <v>301</v>
      </c>
      <c r="AE2645" t="s">
        <v>46</v>
      </c>
      <c r="AG2645">
        <v>52</v>
      </c>
      <c r="AH2645">
        <v>2</v>
      </c>
      <c r="AI2645" t="s">
        <v>50</v>
      </c>
      <c r="AK2645">
        <v>0</v>
      </c>
      <c r="AM2645">
        <v>0</v>
      </c>
      <c r="AP2645" t="s">
        <v>325</v>
      </c>
    </row>
    <row r="2646" spans="1:42" customFormat="1">
      <c r="A2646">
        <v>270429</v>
      </c>
      <c r="B2646" t="s">
        <v>3018</v>
      </c>
      <c r="C2646" t="s">
        <v>3019</v>
      </c>
      <c r="D2646" s="22">
        <v>0</v>
      </c>
      <c r="E2646" s="17">
        <v>42137</v>
      </c>
      <c r="F2646" s="18">
        <v>0.45628472222222222</v>
      </c>
      <c r="G2646" s="22">
        <v>1085.77</v>
      </c>
      <c r="H2646">
        <v>0</v>
      </c>
      <c r="I2646" s="19" t="e">
        <f>I2645 + (D2646-G2646)</f>
        <v>#VALUE!</v>
      </c>
      <c r="M2646">
        <v>123566</v>
      </c>
      <c r="N2646">
        <v>24</v>
      </c>
      <c r="O2646" t="s">
        <v>68</v>
      </c>
      <c r="P2646">
        <v>1</v>
      </c>
      <c r="R2646">
        <v>1414</v>
      </c>
      <c r="S2646" s="17">
        <v>42144</v>
      </c>
      <c r="T2646" s="17">
        <v>42144</v>
      </c>
      <c r="W2646">
        <v>2015</v>
      </c>
      <c r="X2646">
        <v>24</v>
      </c>
      <c r="AC2646" t="s">
        <v>79</v>
      </c>
      <c r="AD2646" t="s">
        <v>301</v>
      </c>
      <c r="AE2646" t="s">
        <v>46</v>
      </c>
      <c r="AG2646">
        <v>52</v>
      </c>
      <c r="AH2646">
        <v>2</v>
      </c>
      <c r="AI2646" t="s">
        <v>50</v>
      </c>
      <c r="AK2646">
        <v>0</v>
      </c>
      <c r="AM2646">
        <v>0</v>
      </c>
      <c r="AP2646" t="s">
        <v>325</v>
      </c>
    </row>
    <row r="2647" spans="1:42" customFormat="1">
      <c r="A2647">
        <v>270430</v>
      </c>
      <c r="B2647" t="s">
        <v>3020</v>
      </c>
      <c r="C2647" t="s">
        <v>3021</v>
      </c>
      <c r="D2647" s="22">
        <v>0</v>
      </c>
      <c r="E2647" s="17">
        <v>42137</v>
      </c>
      <c r="F2647" s="18">
        <v>0.45646990740740739</v>
      </c>
      <c r="G2647" s="22">
        <v>465.34</v>
      </c>
      <c r="H2647">
        <v>0</v>
      </c>
      <c r="I2647" s="19" t="e">
        <f>I2646 + (D2647-G2647)</f>
        <v>#VALUE!</v>
      </c>
      <c r="M2647">
        <v>123569</v>
      </c>
      <c r="N2647">
        <v>24</v>
      </c>
      <c r="O2647" t="s">
        <v>68</v>
      </c>
      <c r="P2647">
        <v>1</v>
      </c>
      <c r="R2647">
        <v>1414</v>
      </c>
      <c r="S2647" s="17">
        <v>42144</v>
      </c>
      <c r="T2647" s="17">
        <v>42144</v>
      </c>
      <c r="W2647">
        <v>2015</v>
      </c>
      <c r="X2647">
        <v>24</v>
      </c>
      <c r="AC2647" t="s">
        <v>79</v>
      </c>
      <c r="AD2647" t="s">
        <v>301</v>
      </c>
      <c r="AE2647" t="s">
        <v>46</v>
      </c>
      <c r="AG2647">
        <v>52</v>
      </c>
      <c r="AH2647">
        <v>2</v>
      </c>
      <c r="AI2647" t="s">
        <v>50</v>
      </c>
      <c r="AK2647">
        <v>0</v>
      </c>
      <c r="AM2647">
        <v>0</v>
      </c>
      <c r="AP2647" t="s">
        <v>325</v>
      </c>
    </row>
    <row r="2648" spans="1:42" customFormat="1">
      <c r="A2648">
        <v>274076</v>
      </c>
      <c r="B2648" t="s">
        <v>3770</v>
      </c>
      <c r="C2648" t="s">
        <v>3771</v>
      </c>
      <c r="D2648" s="22">
        <v>0</v>
      </c>
      <c r="E2648" s="17">
        <v>42143</v>
      </c>
      <c r="F2648" s="18">
        <v>0.57016203703703705</v>
      </c>
      <c r="G2648" s="22">
        <v>1489.76</v>
      </c>
      <c r="H2648">
        <v>0</v>
      </c>
      <c r="I2648" s="19" t="e">
        <f>I2647 + (D2648-G2648)</f>
        <v>#VALUE!</v>
      </c>
      <c r="M2648">
        <v>127360</v>
      </c>
      <c r="N2648">
        <v>24</v>
      </c>
      <c r="O2648" t="s">
        <v>68</v>
      </c>
      <c r="P2648">
        <v>1</v>
      </c>
      <c r="R2648">
        <v>1414</v>
      </c>
      <c r="S2648" s="17">
        <v>42180</v>
      </c>
      <c r="T2648" s="17">
        <v>42180</v>
      </c>
      <c r="W2648">
        <v>2015</v>
      </c>
      <c r="X2648">
        <v>24</v>
      </c>
      <c r="AC2648" t="s">
        <v>79</v>
      </c>
      <c r="AD2648" t="s">
        <v>301</v>
      </c>
      <c r="AE2648" t="s">
        <v>46</v>
      </c>
      <c r="AG2648">
        <v>26</v>
      </c>
      <c r="AH2648">
        <v>9</v>
      </c>
      <c r="AI2648" t="s">
        <v>54</v>
      </c>
      <c r="AK2648">
        <v>0</v>
      </c>
      <c r="AM2648">
        <v>0</v>
      </c>
      <c r="AP2648" t="s">
        <v>501</v>
      </c>
    </row>
    <row r="2649" spans="1:42" customFormat="1">
      <c r="A2649">
        <v>270681</v>
      </c>
      <c r="B2649" t="s">
        <v>3889</v>
      </c>
      <c r="C2649" t="s">
        <v>3890</v>
      </c>
      <c r="D2649" s="22">
        <v>0</v>
      </c>
      <c r="E2649" s="17">
        <v>42144</v>
      </c>
      <c r="F2649" s="18">
        <v>0.70980324074074075</v>
      </c>
      <c r="G2649" s="22">
        <v>1449.97</v>
      </c>
      <c r="H2649">
        <v>0</v>
      </c>
      <c r="I2649" s="19" t="e">
        <f>I2648 + (D2649-G2649)</f>
        <v>#VALUE!</v>
      </c>
      <c r="M2649">
        <v>118063</v>
      </c>
      <c r="N2649">
        <v>24</v>
      </c>
      <c r="O2649" t="s">
        <v>68</v>
      </c>
      <c r="P2649">
        <v>1</v>
      </c>
      <c r="R2649">
        <v>1412</v>
      </c>
      <c r="S2649" s="17">
        <v>42145</v>
      </c>
      <c r="T2649" s="17">
        <v>42145</v>
      </c>
      <c r="W2649">
        <v>2015</v>
      </c>
      <c r="X2649">
        <v>24</v>
      </c>
      <c r="AC2649" t="s">
        <v>3891</v>
      </c>
      <c r="AD2649" t="s">
        <v>301</v>
      </c>
      <c r="AE2649" t="s">
        <v>46</v>
      </c>
      <c r="AG2649">
        <v>4</v>
      </c>
      <c r="AH2649">
        <v>9</v>
      </c>
      <c r="AI2649" t="s">
        <v>54</v>
      </c>
      <c r="AK2649">
        <v>0</v>
      </c>
      <c r="AM2649">
        <v>0</v>
      </c>
      <c r="AP2649" t="s">
        <v>389</v>
      </c>
    </row>
    <row r="2650" spans="1:42" customFormat="1">
      <c r="A2650">
        <v>271379</v>
      </c>
      <c r="B2650" t="s">
        <v>4918</v>
      </c>
      <c r="C2650" t="s">
        <v>4919</v>
      </c>
      <c r="D2650" s="22">
        <v>0</v>
      </c>
      <c r="E2650" s="17">
        <v>42150</v>
      </c>
      <c r="F2650" s="18">
        <v>0.6918171296296296</v>
      </c>
      <c r="G2650" s="22">
        <v>221.4</v>
      </c>
      <c r="H2650">
        <v>0</v>
      </c>
      <c r="I2650" s="19" t="e">
        <f>I2649 + (D2650-G2650)</f>
        <v>#VALUE!</v>
      </c>
      <c r="M2650">
        <v>58518</v>
      </c>
      <c r="N2650">
        <v>24</v>
      </c>
      <c r="O2650" t="s">
        <v>68</v>
      </c>
      <c r="P2650">
        <v>1</v>
      </c>
      <c r="R2650">
        <v>1440</v>
      </c>
      <c r="S2650" s="17">
        <v>42151</v>
      </c>
      <c r="T2650" s="17">
        <v>42151</v>
      </c>
      <c r="W2650">
        <v>2015</v>
      </c>
      <c r="X2650">
        <v>24</v>
      </c>
      <c r="AC2650" t="s">
        <v>224</v>
      </c>
      <c r="AD2650" t="s">
        <v>301</v>
      </c>
      <c r="AE2650" t="s">
        <v>46</v>
      </c>
      <c r="AG2650">
        <v>26</v>
      </c>
      <c r="AH2650">
        <v>9</v>
      </c>
      <c r="AI2650" t="s">
        <v>54</v>
      </c>
      <c r="AK2650">
        <v>0</v>
      </c>
      <c r="AM2650">
        <v>0</v>
      </c>
      <c r="AP2650" t="s">
        <v>501</v>
      </c>
    </row>
    <row r="2651" spans="1:42" customFormat="1">
      <c r="A2651">
        <v>272076</v>
      </c>
      <c r="B2651" t="s">
        <v>4997</v>
      </c>
      <c r="C2651" t="s">
        <v>4998</v>
      </c>
      <c r="D2651" s="22">
        <v>0</v>
      </c>
      <c r="E2651" s="17">
        <v>42151</v>
      </c>
      <c r="F2651" s="18">
        <v>0.59859953703703705</v>
      </c>
      <c r="G2651" s="22">
        <v>441.64</v>
      </c>
      <c r="H2651">
        <v>0</v>
      </c>
      <c r="I2651" s="19" t="e">
        <f>I2650 + (D2651-G2651)</f>
        <v>#VALUE!</v>
      </c>
      <c r="M2651">
        <v>110466</v>
      </c>
      <c r="N2651">
        <v>24</v>
      </c>
      <c r="O2651" t="s">
        <v>68</v>
      </c>
      <c r="P2651">
        <v>1</v>
      </c>
      <c r="R2651">
        <v>1565</v>
      </c>
      <c r="S2651" s="17">
        <v>42160</v>
      </c>
      <c r="T2651" s="17">
        <v>42160</v>
      </c>
      <c r="W2651">
        <v>2015</v>
      </c>
      <c r="X2651">
        <v>24</v>
      </c>
      <c r="AC2651" t="s">
        <v>138</v>
      </c>
      <c r="AD2651" t="s">
        <v>301</v>
      </c>
      <c r="AE2651" t="s">
        <v>46</v>
      </c>
      <c r="AG2651">
        <v>2</v>
      </c>
      <c r="AH2651">
        <v>9</v>
      </c>
      <c r="AI2651" t="s">
        <v>54</v>
      </c>
      <c r="AK2651">
        <v>0</v>
      </c>
      <c r="AM2651">
        <v>0</v>
      </c>
      <c r="AP2651" t="s">
        <v>2544</v>
      </c>
    </row>
    <row r="2652" spans="1:42" customFormat="1">
      <c r="A2652">
        <v>270902</v>
      </c>
      <c r="B2652" t="s">
        <v>3807</v>
      </c>
      <c r="C2652" t="s">
        <v>3808</v>
      </c>
      <c r="D2652" s="22">
        <v>0</v>
      </c>
      <c r="E2652" s="17">
        <v>42143</v>
      </c>
      <c r="F2652" s="18">
        <v>0.70015046296296291</v>
      </c>
      <c r="G2652" s="22">
        <v>385.03</v>
      </c>
      <c r="H2652">
        <v>0</v>
      </c>
      <c r="I2652" s="19" t="e">
        <f>I2651 + (D2652-G2652)</f>
        <v>#VALUE!</v>
      </c>
      <c r="M2652">
        <v>110503</v>
      </c>
      <c r="N2652">
        <v>24</v>
      </c>
      <c r="O2652" t="s">
        <v>68</v>
      </c>
      <c r="P2652">
        <v>1</v>
      </c>
      <c r="R2652">
        <v>1427</v>
      </c>
      <c r="S2652" s="17">
        <v>42146</v>
      </c>
      <c r="T2652" s="17">
        <v>42146</v>
      </c>
      <c r="W2652">
        <v>2015</v>
      </c>
      <c r="X2652">
        <v>24</v>
      </c>
      <c r="AC2652" t="s">
        <v>246</v>
      </c>
      <c r="AD2652" t="s">
        <v>301</v>
      </c>
      <c r="AE2652" t="s">
        <v>46</v>
      </c>
      <c r="AG2652">
        <v>4</v>
      </c>
      <c r="AH2652">
        <v>9</v>
      </c>
      <c r="AI2652" t="s">
        <v>54</v>
      </c>
      <c r="AK2652">
        <v>0</v>
      </c>
      <c r="AM2652">
        <v>0</v>
      </c>
      <c r="AP2652" t="s">
        <v>389</v>
      </c>
    </row>
    <row r="2653" spans="1:42" customFormat="1">
      <c r="A2653">
        <v>271518</v>
      </c>
      <c r="B2653" t="s">
        <v>4928</v>
      </c>
      <c r="C2653" t="s">
        <v>4929</v>
      </c>
      <c r="D2653" s="22">
        <v>0</v>
      </c>
      <c r="E2653" s="17">
        <v>42150</v>
      </c>
      <c r="F2653" s="18">
        <v>0.70858796296296289</v>
      </c>
      <c r="G2653" s="22">
        <v>410.13</v>
      </c>
      <c r="H2653">
        <v>0</v>
      </c>
      <c r="I2653" s="19" t="e">
        <f>I2652 + (D2653-G2653)</f>
        <v>#VALUE!</v>
      </c>
      <c r="M2653">
        <v>122235</v>
      </c>
      <c r="N2653">
        <v>24</v>
      </c>
      <c r="O2653" t="s">
        <v>68</v>
      </c>
      <c r="P2653">
        <v>1</v>
      </c>
      <c r="R2653">
        <v>1427</v>
      </c>
      <c r="S2653" s="17">
        <v>42156</v>
      </c>
      <c r="T2653" s="17">
        <v>42156</v>
      </c>
      <c r="W2653">
        <v>2015</v>
      </c>
      <c r="X2653">
        <v>24</v>
      </c>
      <c r="AC2653" t="s">
        <v>246</v>
      </c>
      <c r="AD2653" t="s">
        <v>301</v>
      </c>
      <c r="AE2653" t="s">
        <v>46</v>
      </c>
      <c r="AG2653">
        <v>8</v>
      </c>
      <c r="AH2653">
        <v>9</v>
      </c>
      <c r="AI2653" t="s">
        <v>54</v>
      </c>
      <c r="AK2653">
        <v>0</v>
      </c>
      <c r="AM2653">
        <v>0</v>
      </c>
      <c r="AP2653" t="s">
        <v>1201</v>
      </c>
    </row>
    <row r="2654" spans="1:42" customFormat="1">
      <c r="A2654">
        <v>267681</v>
      </c>
      <c r="B2654" t="s">
        <v>1249</v>
      </c>
      <c r="C2654" t="s">
        <v>1250</v>
      </c>
      <c r="D2654" s="22">
        <v>0</v>
      </c>
      <c r="E2654" s="17">
        <v>42128</v>
      </c>
      <c r="F2654" s="18">
        <v>0.75465277777777784</v>
      </c>
      <c r="G2654" s="22">
        <v>1585.55</v>
      </c>
      <c r="H2654">
        <v>0</v>
      </c>
      <c r="I2654" s="19" t="e">
        <f>I2653 + (D2654-G2654)</f>
        <v>#VALUE!</v>
      </c>
      <c r="M2654">
        <v>120655</v>
      </c>
      <c r="N2654">
        <v>24</v>
      </c>
      <c r="O2654" t="s">
        <v>68</v>
      </c>
      <c r="P2654">
        <v>1</v>
      </c>
      <c r="R2654">
        <v>1428</v>
      </c>
      <c r="S2654" s="17">
        <v>42129</v>
      </c>
      <c r="T2654" s="17">
        <v>42129</v>
      </c>
      <c r="W2654">
        <v>2015</v>
      </c>
      <c r="X2654">
        <v>24</v>
      </c>
      <c r="AC2654" t="s">
        <v>97</v>
      </c>
      <c r="AD2654" t="s">
        <v>301</v>
      </c>
      <c r="AE2654" t="s">
        <v>46</v>
      </c>
      <c r="AG2654">
        <v>26</v>
      </c>
      <c r="AH2654">
        <v>9</v>
      </c>
      <c r="AI2654" t="s">
        <v>54</v>
      </c>
      <c r="AK2654">
        <v>0</v>
      </c>
      <c r="AM2654">
        <v>0</v>
      </c>
      <c r="AP2654" t="s">
        <v>501</v>
      </c>
    </row>
    <row r="2655" spans="1:42" customFormat="1">
      <c r="A2655">
        <v>270689</v>
      </c>
      <c r="B2655" t="s">
        <v>3907</v>
      </c>
      <c r="C2655" t="s">
        <v>3908</v>
      </c>
      <c r="D2655" s="22">
        <v>0</v>
      </c>
      <c r="E2655" s="17">
        <v>42144</v>
      </c>
      <c r="F2655" s="18">
        <v>0.72788194444444443</v>
      </c>
      <c r="G2655" s="22">
        <v>3873.62</v>
      </c>
      <c r="H2655">
        <v>0</v>
      </c>
      <c r="I2655" s="19" t="e">
        <f>I2654 + (D2655-G2655)</f>
        <v>#VALUE!</v>
      </c>
      <c r="M2655">
        <v>111403</v>
      </c>
      <c r="N2655">
        <v>24</v>
      </c>
      <c r="O2655" t="s">
        <v>68</v>
      </c>
      <c r="P2655">
        <v>1</v>
      </c>
      <c r="R2655">
        <v>103</v>
      </c>
      <c r="S2655" s="17">
        <v>42145</v>
      </c>
      <c r="T2655" s="17">
        <v>42145</v>
      </c>
      <c r="W2655">
        <v>2015</v>
      </c>
      <c r="X2655">
        <v>24</v>
      </c>
      <c r="AC2655" t="s">
        <v>251</v>
      </c>
      <c r="AD2655" t="s">
        <v>301</v>
      </c>
      <c r="AE2655" t="s">
        <v>46</v>
      </c>
      <c r="AG2655">
        <v>4</v>
      </c>
      <c r="AH2655">
        <v>9</v>
      </c>
      <c r="AI2655" t="s">
        <v>54</v>
      </c>
      <c r="AK2655">
        <v>0</v>
      </c>
      <c r="AM2655">
        <v>0</v>
      </c>
      <c r="AP2655" t="s">
        <v>389</v>
      </c>
    </row>
    <row r="2656" spans="1:42" customFormat="1">
      <c r="A2656">
        <v>270603</v>
      </c>
      <c r="B2656" t="s">
        <v>3714</v>
      </c>
      <c r="C2656" t="s">
        <v>3715</v>
      </c>
      <c r="D2656" s="22">
        <v>0</v>
      </c>
      <c r="E2656" s="17">
        <v>42143</v>
      </c>
      <c r="F2656" s="18">
        <v>0.41667824074074072</v>
      </c>
      <c r="G2656" s="22">
        <v>2999</v>
      </c>
      <c r="H2656">
        <v>0</v>
      </c>
      <c r="I2656" s="19" t="e">
        <f>I2655 + (D2656-G2656)</f>
        <v>#VALUE!</v>
      </c>
      <c r="M2656">
        <v>119655</v>
      </c>
      <c r="N2656">
        <v>24</v>
      </c>
      <c r="O2656" t="s">
        <v>68</v>
      </c>
      <c r="P2656">
        <v>1</v>
      </c>
      <c r="R2656">
        <v>110</v>
      </c>
      <c r="S2656" s="17">
        <v>42145</v>
      </c>
      <c r="T2656" s="17">
        <v>42145</v>
      </c>
      <c r="W2656">
        <v>2015</v>
      </c>
      <c r="X2656">
        <v>24</v>
      </c>
      <c r="AC2656" t="s">
        <v>294</v>
      </c>
      <c r="AD2656" t="s">
        <v>301</v>
      </c>
      <c r="AE2656" t="s">
        <v>46</v>
      </c>
      <c r="AG2656">
        <v>52</v>
      </c>
      <c r="AH2656">
        <v>2</v>
      </c>
      <c r="AI2656" t="s">
        <v>50</v>
      </c>
      <c r="AK2656">
        <v>0</v>
      </c>
      <c r="AM2656">
        <v>0</v>
      </c>
      <c r="AP2656" t="s">
        <v>325</v>
      </c>
    </row>
    <row r="2657" spans="1:42" customFormat="1">
      <c r="A2657">
        <v>270917</v>
      </c>
      <c r="B2657" t="s">
        <v>3920</v>
      </c>
      <c r="C2657" t="s">
        <v>3921</v>
      </c>
      <c r="D2657" s="22">
        <v>0</v>
      </c>
      <c r="E2657" s="17">
        <v>42145</v>
      </c>
      <c r="F2657" s="18">
        <v>0.37004629629629626</v>
      </c>
      <c r="G2657" s="22">
        <v>5830.64</v>
      </c>
      <c r="H2657">
        <v>0</v>
      </c>
      <c r="I2657" s="19" t="e">
        <f>I2656 + (D2657-G2657)</f>
        <v>#VALUE!</v>
      </c>
      <c r="M2657">
        <v>109676</v>
      </c>
      <c r="N2657">
        <v>24</v>
      </c>
      <c r="O2657" t="s">
        <v>68</v>
      </c>
      <c r="P2657">
        <v>1</v>
      </c>
      <c r="R2657">
        <v>134</v>
      </c>
      <c r="S2657" s="17">
        <v>42149</v>
      </c>
      <c r="T2657" s="17">
        <v>42149</v>
      </c>
      <c r="W2657">
        <v>2015</v>
      </c>
      <c r="X2657">
        <v>24</v>
      </c>
      <c r="AC2657" t="s">
        <v>272</v>
      </c>
      <c r="AD2657" t="s">
        <v>301</v>
      </c>
      <c r="AE2657" t="s">
        <v>46</v>
      </c>
      <c r="AG2657">
        <v>4</v>
      </c>
      <c r="AH2657">
        <v>8</v>
      </c>
      <c r="AI2657" t="s">
        <v>52</v>
      </c>
      <c r="AK2657">
        <v>0</v>
      </c>
      <c r="AM2657">
        <v>0</v>
      </c>
      <c r="AP2657" t="s">
        <v>389</v>
      </c>
    </row>
    <row r="2658" spans="1:42" customFormat="1">
      <c r="A2658">
        <v>269761</v>
      </c>
      <c r="B2658" t="s">
        <v>1987</v>
      </c>
      <c r="C2658" t="s">
        <v>1988</v>
      </c>
      <c r="D2658" s="22">
        <v>0</v>
      </c>
      <c r="E2658" s="17">
        <v>42131</v>
      </c>
      <c r="F2658" s="18">
        <v>0.46077546296296296</v>
      </c>
      <c r="G2658" s="22">
        <v>720</v>
      </c>
      <c r="H2658">
        <v>0</v>
      </c>
      <c r="I2658" s="19" t="e">
        <f>I2657 + (D2658-G2658)</f>
        <v>#VALUE!</v>
      </c>
      <c r="M2658">
        <v>123265</v>
      </c>
      <c r="N2658">
        <v>24</v>
      </c>
      <c r="O2658" t="s">
        <v>68</v>
      </c>
      <c r="P2658">
        <v>1</v>
      </c>
      <c r="R2658">
        <v>139</v>
      </c>
      <c r="S2658" s="17">
        <v>42137</v>
      </c>
      <c r="T2658" s="17">
        <v>42137</v>
      </c>
      <c r="W2658">
        <v>2015</v>
      </c>
      <c r="X2658">
        <v>24</v>
      </c>
      <c r="AC2658" t="s">
        <v>128</v>
      </c>
      <c r="AD2658" t="s">
        <v>301</v>
      </c>
      <c r="AE2658" t="s">
        <v>46</v>
      </c>
      <c r="AG2658">
        <v>56</v>
      </c>
      <c r="AH2658">
        <v>1</v>
      </c>
      <c r="AI2658" t="s">
        <v>58</v>
      </c>
      <c r="AK2658">
        <v>0</v>
      </c>
      <c r="AM2658">
        <v>0</v>
      </c>
      <c r="AP2658" t="s">
        <v>59</v>
      </c>
    </row>
    <row r="2659" spans="1:42" customFormat="1">
      <c r="A2659">
        <v>272907</v>
      </c>
      <c r="B2659" t="s">
        <v>2349</v>
      </c>
      <c r="C2659" t="s">
        <v>2350</v>
      </c>
      <c r="D2659" s="22">
        <v>0</v>
      </c>
      <c r="E2659" s="17">
        <v>42134</v>
      </c>
      <c r="F2659" s="18">
        <v>0.65863425925925922</v>
      </c>
      <c r="G2659" s="22">
        <v>630</v>
      </c>
      <c r="H2659">
        <v>0</v>
      </c>
      <c r="I2659" s="19" t="e">
        <f>I2658 + (D2659-G2659)</f>
        <v>#VALUE!</v>
      </c>
      <c r="M2659">
        <v>125107</v>
      </c>
      <c r="N2659">
        <v>24</v>
      </c>
      <c r="O2659" t="s">
        <v>68</v>
      </c>
      <c r="P2659">
        <v>1</v>
      </c>
      <c r="R2659">
        <v>139</v>
      </c>
      <c r="S2659" s="17">
        <v>42166</v>
      </c>
      <c r="T2659" s="17">
        <v>42166</v>
      </c>
      <c r="W2659">
        <v>2015</v>
      </c>
      <c r="X2659">
        <v>24</v>
      </c>
      <c r="AC2659" t="s">
        <v>128</v>
      </c>
      <c r="AD2659" t="s">
        <v>301</v>
      </c>
      <c r="AE2659" t="s">
        <v>46</v>
      </c>
      <c r="AG2659">
        <v>56</v>
      </c>
      <c r="AH2659">
        <v>1</v>
      </c>
      <c r="AI2659" t="s">
        <v>58</v>
      </c>
      <c r="AK2659">
        <v>0</v>
      </c>
      <c r="AM2659">
        <v>0</v>
      </c>
      <c r="AP2659" t="s">
        <v>59</v>
      </c>
    </row>
    <row r="2660" spans="1:42" customFormat="1">
      <c r="A2660">
        <v>270425</v>
      </c>
      <c r="B2660" t="s">
        <v>3012</v>
      </c>
      <c r="C2660" t="s">
        <v>3013</v>
      </c>
      <c r="D2660" s="22">
        <v>0</v>
      </c>
      <c r="E2660" s="17">
        <v>42137</v>
      </c>
      <c r="F2660" s="18">
        <v>0.45496527777777779</v>
      </c>
      <c r="G2660" s="22">
        <v>700</v>
      </c>
      <c r="H2660">
        <v>0</v>
      </c>
      <c r="I2660" s="19" t="e">
        <f>I2659 + (D2660-G2660)</f>
        <v>#VALUE!</v>
      </c>
      <c r="M2660">
        <v>122930</v>
      </c>
      <c r="N2660">
        <v>24</v>
      </c>
      <c r="O2660" t="s">
        <v>68</v>
      </c>
      <c r="P2660">
        <v>1</v>
      </c>
      <c r="R2660">
        <v>139</v>
      </c>
      <c r="S2660" s="17">
        <v>42144</v>
      </c>
      <c r="T2660" s="17">
        <v>42144</v>
      </c>
      <c r="W2660">
        <v>2015</v>
      </c>
      <c r="X2660">
        <v>24</v>
      </c>
      <c r="AC2660" t="s">
        <v>128</v>
      </c>
      <c r="AD2660" t="s">
        <v>301</v>
      </c>
      <c r="AE2660" t="s">
        <v>46</v>
      </c>
      <c r="AG2660">
        <v>52</v>
      </c>
      <c r="AH2660">
        <v>2</v>
      </c>
      <c r="AI2660" t="s">
        <v>50</v>
      </c>
      <c r="AK2660">
        <v>0</v>
      </c>
      <c r="AM2660">
        <v>0</v>
      </c>
      <c r="AP2660" t="s">
        <v>325</v>
      </c>
    </row>
    <row r="2661" spans="1:42" customFormat="1">
      <c r="A2661">
        <v>270204</v>
      </c>
      <c r="B2661" t="s">
        <v>3472</v>
      </c>
      <c r="C2661" t="s">
        <v>3473</v>
      </c>
      <c r="D2661" s="22">
        <v>0</v>
      </c>
      <c r="E2661" s="17">
        <v>42139</v>
      </c>
      <c r="F2661" s="18">
        <v>0.63609953703703703</v>
      </c>
      <c r="G2661" s="22">
        <v>270</v>
      </c>
      <c r="H2661">
        <v>0</v>
      </c>
      <c r="I2661" s="19" t="e">
        <f>I2660 + (D2661-G2661)</f>
        <v>#VALUE!</v>
      </c>
      <c r="M2661">
        <v>123543</v>
      </c>
      <c r="N2661">
        <v>24</v>
      </c>
      <c r="O2661" t="s">
        <v>68</v>
      </c>
      <c r="P2661">
        <v>1</v>
      </c>
      <c r="R2661">
        <v>139</v>
      </c>
      <c r="S2661" s="17">
        <v>42142</v>
      </c>
      <c r="T2661" s="17">
        <v>42142</v>
      </c>
      <c r="W2661">
        <v>2015</v>
      </c>
      <c r="X2661">
        <v>24</v>
      </c>
      <c r="AC2661" t="s">
        <v>128</v>
      </c>
      <c r="AD2661" t="s">
        <v>301</v>
      </c>
      <c r="AE2661" t="s">
        <v>46</v>
      </c>
      <c r="AG2661">
        <v>56</v>
      </c>
      <c r="AH2661">
        <v>1</v>
      </c>
      <c r="AI2661" t="s">
        <v>58</v>
      </c>
      <c r="AK2661">
        <v>0</v>
      </c>
      <c r="AM2661">
        <v>0</v>
      </c>
      <c r="AP2661" t="s">
        <v>59</v>
      </c>
    </row>
    <row r="2662" spans="1:42" customFormat="1">
      <c r="A2662">
        <v>270953</v>
      </c>
      <c r="B2662" t="s">
        <v>4135</v>
      </c>
      <c r="C2662" t="s">
        <v>4136</v>
      </c>
      <c r="D2662" s="22">
        <v>0</v>
      </c>
      <c r="E2662" s="17">
        <v>42146</v>
      </c>
      <c r="F2662" s="18">
        <v>0.42266203703703703</v>
      </c>
      <c r="G2662" s="22">
        <v>630</v>
      </c>
      <c r="H2662">
        <v>0</v>
      </c>
      <c r="I2662" s="19" t="e">
        <f>I2661 + (D2662-G2662)</f>
        <v>#VALUE!</v>
      </c>
      <c r="M2662">
        <v>123997</v>
      </c>
      <c r="N2662">
        <v>24</v>
      </c>
      <c r="O2662" t="s">
        <v>68</v>
      </c>
      <c r="P2662">
        <v>1</v>
      </c>
      <c r="R2662">
        <v>139</v>
      </c>
      <c r="S2662" s="17">
        <v>42149</v>
      </c>
      <c r="T2662" s="17">
        <v>42149</v>
      </c>
      <c r="W2662">
        <v>2015</v>
      </c>
      <c r="X2662">
        <v>24</v>
      </c>
      <c r="AC2662" t="s">
        <v>128</v>
      </c>
      <c r="AD2662" t="s">
        <v>301</v>
      </c>
      <c r="AE2662" t="s">
        <v>46</v>
      </c>
      <c r="AG2662">
        <v>56</v>
      </c>
      <c r="AH2662">
        <v>1</v>
      </c>
      <c r="AI2662" t="s">
        <v>58</v>
      </c>
      <c r="AK2662">
        <v>0</v>
      </c>
      <c r="AM2662">
        <v>0</v>
      </c>
      <c r="AP2662" t="s">
        <v>59</v>
      </c>
    </row>
    <row r="2663" spans="1:42" customFormat="1">
      <c r="A2663">
        <v>271522</v>
      </c>
      <c r="B2663" t="s">
        <v>5173</v>
      </c>
      <c r="C2663" t="s">
        <v>5174</v>
      </c>
      <c r="D2663" s="22">
        <v>0</v>
      </c>
      <c r="E2663" s="17">
        <v>42152</v>
      </c>
      <c r="F2663" s="18">
        <v>0.71949074074074071</v>
      </c>
      <c r="G2663" s="22">
        <v>225</v>
      </c>
      <c r="H2663">
        <v>0</v>
      </c>
      <c r="I2663" s="19" t="e">
        <f>I2662 + (D2663-G2663)</f>
        <v>#VALUE!</v>
      </c>
      <c r="M2663">
        <v>124356</v>
      </c>
      <c r="N2663">
        <v>24</v>
      </c>
      <c r="O2663" t="s">
        <v>68</v>
      </c>
      <c r="P2663">
        <v>1</v>
      </c>
      <c r="R2663">
        <v>139</v>
      </c>
      <c r="S2663" s="17">
        <v>42156</v>
      </c>
      <c r="T2663" s="17">
        <v>42156</v>
      </c>
      <c r="W2663">
        <v>2015</v>
      </c>
      <c r="X2663">
        <v>24</v>
      </c>
      <c r="AC2663" t="s">
        <v>128</v>
      </c>
      <c r="AD2663" t="s">
        <v>301</v>
      </c>
      <c r="AE2663" t="s">
        <v>46</v>
      </c>
      <c r="AG2663">
        <v>56</v>
      </c>
      <c r="AH2663">
        <v>1</v>
      </c>
      <c r="AI2663" t="s">
        <v>58</v>
      </c>
      <c r="AK2663">
        <v>0</v>
      </c>
      <c r="AM2663">
        <v>0</v>
      </c>
      <c r="AP2663" t="s">
        <v>59</v>
      </c>
    </row>
    <row r="2664" spans="1:42" customFormat="1">
      <c r="A2664">
        <v>269086</v>
      </c>
      <c r="B2664" t="s">
        <v>2008</v>
      </c>
      <c r="C2664" t="s">
        <v>2009</v>
      </c>
      <c r="D2664" s="22">
        <v>0</v>
      </c>
      <c r="E2664" s="17">
        <v>42131</v>
      </c>
      <c r="F2664" s="18">
        <v>0.63059027777777776</v>
      </c>
      <c r="G2664" s="22">
        <v>2903.9</v>
      </c>
      <c r="H2664">
        <v>0</v>
      </c>
      <c r="I2664" s="19" t="e">
        <f>I2663 + (D2664-G2664)</f>
        <v>#VALUE!</v>
      </c>
      <c r="M2664">
        <v>118069</v>
      </c>
      <c r="N2664">
        <v>24</v>
      </c>
      <c r="O2664" t="s">
        <v>68</v>
      </c>
      <c r="P2664">
        <v>1</v>
      </c>
      <c r="R2664">
        <v>142</v>
      </c>
      <c r="S2664" s="17">
        <v>42135</v>
      </c>
      <c r="T2664" s="17">
        <v>42135</v>
      </c>
      <c r="W2664">
        <v>2015</v>
      </c>
      <c r="X2664">
        <v>24</v>
      </c>
      <c r="AC2664" t="s">
        <v>2010</v>
      </c>
      <c r="AD2664" t="s">
        <v>301</v>
      </c>
      <c r="AE2664" t="s">
        <v>46</v>
      </c>
      <c r="AG2664">
        <v>12</v>
      </c>
      <c r="AH2664">
        <v>2</v>
      </c>
      <c r="AI2664" t="s">
        <v>50</v>
      </c>
      <c r="AK2664">
        <v>0</v>
      </c>
      <c r="AM2664">
        <v>0</v>
      </c>
      <c r="AP2664" t="s">
        <v>392</v>
      </c>
    </row>
    <row r="2665" spans="1:42" customFormat="1">
      <c r="A2665">
        <v>269748</v>
      </c>
      <c r="B2665" t="s">
        <v>2343</v>
      </c>
      <c r="C2665" t="s">
        <v>2344</v>
      </c>
      <c r="D2665" s="22">
        <v>0</v>
      </c>
      <c r="E2665" s="17">
        <v>42134</v>
      </c>
      <c r="F2665" s="18">
        <v>0.44259259259259259</v>
      </c>
      <c r="G2665" s="22">
        <v>150</v>
      </c>
      <c r="H2665">
        <v>0</v>
      </c>
      <c r="I2665" s="19" t="e">
        <f>I2664 + (D2665-G2665)</f>
        <v>#VALUE!</v>
      </c>
      <c r="M2665">
        <v>123248</v>
      </c>
      <c r="N2665">
        <v>24</v>
      </c>
      <c r="O2665" t="s">
        <v>68</v>
      </c>
      <c r="P2665">
        <v>1</v>
      </c>
      <c r="R2665">
        <v>155</v>
      </c>
      <c r="S2665" s="17">
        <v>42137</v>
      </c>
      <c r="T2665" s="17">
        <v>42137</v>
      </c>
      <c r="W2665">
        <v>2015</v>
      </c>
      <c r="X2665">
        <v>24</v>
      </c>
      <c r="AC2665" t="s">
        <v>2345</v>
      </c>
      <c r="AD2665" t="s">
        <v>301</v>
      </c>
      <c r="AE2665" t="s">
        <v>46</v>
      </c>
      <c r="AG2665">
        <v>56</v>
      </c>
      <c r="AH2665">
        <v>1</v>
      </c>
      <c r="AI2665" t="s">
        <v>58</v>
      </c>
      <c r="AK2665">
        <v>0</v>
      </c>
      <c r="AM2665">
        <v>0</v>
      </c>
      <c r="AP2665" t="s">
        <v>59</v>
      </c>
    </row>
    <row r="2666" spans="1:42" customFormat="1">
      <c r="A2666">
        <v>269768</v>
      </c>
      <c r="B2666" t="s">
        <v>1683</v>
      </c>
      <c r="C2666" t="s">
        <v>1684</v>
      </c>
      <c r="D2666" s="22">
        <v>0</v>
      </c>
      <c r="E2666" s="17">
        <v>42130</v>
      </c>
      <c r="F2666" s="18">
        <v>0.47085648148148151</v>
      </c>
      <c r="G2666" s="22">
        <v>602.33000000000004</v>
      </c>
      <c r="H2666">
        <v>0</v>
      </c>
      <c r="I2666" s="19" t="e">
        <f>I2665 + (D2666-G2666)</f>
        <v>#VALUE!</v>
      </c>
      <c r="M2666">
        <v>119671</v>
      </c>
      <c r="N2666">
        <v>24</v>
      </c>
      <c r="O2666" t="s">
        <v>68</v>
      </c>
      <c r="P2666">
        <v>1</v>
      </c>
      <c r="R2666">
        <v>157</v>
      </c>
      <c r="S2666" s="17">
        <v>42137</v>
      </c>
      <c r="T2666" s="17">
        <v>42137</v>
      </c>
      <c r="W2666">
        <v>2015</v>
      </c>
      <c r="X2666">
        <v>24</v>
      </c>
      <c r="AC2666" t="s">
        <v>154</v>
      </c>
      <c r="AD2666" t="s">
        <v>301</v>
      </c>
      <c r="AE2666" t="s">
        <v>46</v>
      </c>
      <c r="AG2666">
        <v>4</v>
      </c>
      <c r="AH2666">
        <v>9</v>
      </c>
      <c r="AI2666" t="s">
        <v>54</v>
      </c>
      <c r="AK2666">
        <v>0</v>
      </c>
      <c r="AM2666">
        <v>0</v>
      </c>
      <c r="AP2666" t="s">
        <v>389</v>
      </c>
    </row>
    <row r="2667" spans="1:42" customFormat="1">
      <c r="A2667">
        <v>271448</v>
      </c>
      <c r="B2667" t="s">
        <v>4771</v>
      </c>
      <c r="C2667" t="s">
        <v>4772</v>
      </c>
      <c r="D2667" s="22">
        <v>0</v>
      </c>
      <c r="E2667" s="17">
        <v>42150</v>
      </c>
      <c r="F2667" s="18">
        <v>0.45171296296296298</v>
      </c>
      <c r="G2667" s="22">
        <v>204.79</v>
      </c>
      <c r="H2667">
        <v>0</v>
      </c>
      <c r="I2667" s="19" t="e">
        <f>I2666 + (D2667-G2667)</f>
        <v>#VALUE!</v>
      </c>
      <c r="M2667">
        <v>122238</v>
      </c>
      <c r="N2667">
        <v>24</v>
      </c>
      <c r="O2667" t="s">
        <v>68</v>
      </c>
      <c r="P2667">
        <v>1</v>
      </c>
      <c r="R2667">
        <v>157</v>
      </c>
      <c r="S2667" s="17">
        <v>42152</v>
      </c>
      <c r="T2667" s="17">
        <v>42152</v>
      </c>
      <c r="W2667">
        <v>2015</v>
      </c>
      <c r="X2667">
        <v>24</v>
      </c>
      <c r="AC2667" t="s">
        <v>154</v>
      </c>
      <c r="AD2667" t="s">
        <v>301</v>
      </c>
      <c r="AE2667" t="s">
        <v>46</v>
      </c>
      <c r="AG2667">
        <v>8</v>
      </c>
      <c r="AH2667">
        <v>9</v>
      </c>
      <c r="AI2667" t="s">
        <v>54</v>
      </c>
      <c r="AK2667">
        <v>0</v>
      </c>
      <c r="AM2667">
        <v>0</v>
      </c>
      <c r="AP2667" t="s">
        <v>1201</v>
      </c>
    </row>
    <row r="2668" spans="1:42" customFormat="1">
      <c r="A2668">
        <v>270908</v>
      </c>
      <c r="B2668" t="s">
        <v>3597</v>
      </c>
      <c r="C2668" t="s">
        <v>3598</v>
      </c>
      <c r="D2668" s="22">
        <v>0</v>
      </c>
      <c r="E2668" s="17">
        <v>42143</v>
      </c>
      <c r="F2668" s="18">
        <v>0.35598379629629634</v>
      </c>
      <c r="G2668" s="22">
        <v>8.5</v>
      </c>
      <c r="H2668">
        <v>0</v>
      </c>
      <c r="I2668" s="19" t="e">
        <f>I2667 + (D2668-G2668)</f>
        <v>#VALUE!</v>
      </c>
      <c r="M2668">
        <v>123955</v>
      </c>
      <c r="N2668">
        <v>24</v>
      </c>
      <c r="O2668" t="s">
        <v>68</v>
      </c>
      <c r="P2668">
        <v>2</v>
      </c>
      <c r="R2668">
        <v>161</v>
      </c>
      <c r="S2668" s="17">
        <v>42149</v>
      </c>
      <c r="T2668" s="17">
        <v>42149</v>
      </c>
      <c r="W2668">
        <v>2015</v>
      </c>
      <c r="X2668">
        <v>24</v>
      </c>
      <c r="AC2668" t="s">
        <v>3599</v>
      </c>
      <c r="AD2668" t="s">
        <v>301</v>
      </c>
      <c r="AE2668" t="s">
        <v>46</v>
      </c>
      <c r="AG2668">
        <v>56</v>
      </c>
      <c r="AH2668">
        <v>1</v>
      </c>
      <c r="AI2668" t="s">
        <v>58</v>
      </c>
      <c r="AK2668">
        <v>0</v>
      </c>
      <c r="AM2668">
        <v>0</v>
      </c>
      <c r="AP2668" t="s">
        <v>59</v>
      </c>
    </row>
    <row r="2669" spans="1:42" customFormat="1">
      <c r="A2669">
        <v>270915</v>
      </c>
      <c r="B2669" t="s">
        <v>3916</v>
      </c>
      <c r="C2669" t="s">
        <v>3917</v>
      </c>
      <c r="D2669" s="22">
        <v>0</v>
      </c>
      <c r="E2669" s="17">
        <v>42145</v>
      </c>
      <c r="F2669" s="18">
        <v>0.36366898148148147</v>
      </c>
      <c r="G2669" s="22">
        <v>10</v>
      </c>
      <c r="H2669">
        <v>0</v>
      </c>
      <c r="I2669" s="19" t="e">
        <f>I2668 + (D2669-G2669)</f>
        <v>#VALUE!</v>
      </c>
      <c r="M2669">
        <v>123961</v>
      </c>
      <c r="N2669">
        <v>24</v>
      </c>
      <c r="O2669" t="s">
        <v>68</v>
      </c>
      <c r="P2669">
        <v>1</v>
      </c>
      <c r="R2669">
        <v>161</v>
      </c>
      <c r="S2669" s="17">
        <v>42149</v>
      </c>
      <c r="T2669" s="17">
        <v>42149</v>
      </c>
      <c r="W2669">
        <v>2015</v>
      </c>
      <c r="X2669">
        <v>24</v>
      </c>
      <c r="AC2669" t="s">
        <v>3599</v>
      </c>
      <c r="AD2669" t="s">
        <v>301</v>
      </c>
      <c r="AE2669" t="s">
        <v>46</v>
      </c>
      <c r="AG2669">
        <v>56</v>
      </c>
      <c r="AH2669">
        <v>1</v>
      </c>
      <c r="AI2669" t="s">
        <v>58</v>
      </c>
      <c r="AK2669">
        <v>0</v>
      </c>
      <c r="AM2669">
        <v>0</v>
      </c>
      <c r="AP2669" t="s">
        <v>59</v>
      </c>
    </row>
    <row r="2670" spans="1:42" customFormat="1">
      <c r="A2670">
        <v>271573</v>
      </c>
      <c r="B2670" t="s">
        <v>3724</v>
      </c>
      <c r="C2670" t="s">
        <v>3725</v>
      </c>
      <c r="D2670" s="22">
        <v>0</v>
      </c>
      <c r="E2670" s="17">
        <v>42143</v>
      </c>
      <c r="F2670" s="18">
        <v>0.43059027777777775</v>
      </c>
      <c r="G2670" s="22">
        <v>7</v>
      </c>
      <c r="H2670">
        <v>0</v>
      </c>
      <c r="I2670" s="19" t="e">
        <f>I2669 + (D2670-G2670)</f>
        <v>#VALUE!</v>
      </c>
      <c r="M2670">
        <v>124411</v>
      </c>
      <c r="N2670">
        <v>24</v>
      </c>
      <c r="O2670" t="s">
        <v>68</v>
      </c>
      <c r="P2670">
        <v>1</v>
      </c>
      <c r="R2670">
        <v>162</v>
      </c>
      <c r="S2670" s="17">
        <v>42157</v>
      </c>
      <c r="T2670" s="17">
        <v>42157</v>
      </c>
      <c r="W2670">
        <v>2015</v>
      </c>
      <c r="X2670">
        <v>24</v>
      </c>
      <c r="AC2670" t="s">
        <v>85</v>
      </c>
      <c r="AD2670" t="s">
        <v>301</v>
      </c>
      <c r="AE2670" t="s">
        <v>46</v>
      </c>
      <c r="AG2670">
        <v>56</v>
      </c>
      <c r="AH2670">
        <v>1</v>
      </c>
      <c r="AI2670" t="s">
        <v>58</v>
      </c>
      <c r="AK2670">
        <v>0</v>
      </c>
      <c r="AM2670">
        <v>0</v>
      </c>
      <c r="AP2670" t="s">
        <v>59</v>
      </c>
    </row>
    <row r="2671" spans="1:42" customFormat="1">
      <c r="A2671">
        <v>271574</v>
      </c>
      <c r="B2671" t="s">
        <v>3726</v>
      </c>
      <c r="C2671" t="s">
        <v>3727</v>
      </c>
      <c r="D2671" s="22">
        <v>0</v>
      </c>
      <c r="E2671" s="17">
        <v>42143</v>
      </c>
      <c r="F2671" s="18">
        <v>0.43106481481481485</v>
      </c>
      <c r="G2671" s="22">
        <v>7</v>
      </c>
      <c r="H2671">
        <v>0</v>
      </c>
      <c r="I2671" s="19" t="e">
        <f>I2670 + (D2671-G2671)</f>
        <v>#VALUE!</v>
      </c>
      <c r="M2671">
        <v>124412</v>
      </c>
      <c r="N2671">
        <v>24</v>
      </c>
      <c r="O2671" t="s">
        <v>68</v>
      </c>
      <c r="P2671">
        <v>1</v>
      </c>
      <c r="R2671">
        <v>162</v>
      </c>
      <c r="S2671" s="17">
        <v>42157</v>
      </c>
      <c r="T2671" s="17">
        <v>42157</v>
      </c>
      <c r="W2671">
        <v>2015</v>
      </c>
      <c r="X2671">
        <v>24</v>
      </c>
      <c r="AC2671" t="s">
        <v>85</v>
      </c>
      <c r="AD2671" t="s">
        <v>301</v>
      </c>
      <c r="AE2671" t="s">
        <v>46</v>
      </c>
      <c r="AG2671">
        <v>56</v>
      </c>
      <c r="AH2671">
        <v>1</v>
      </c>
      <c r="AI2671" t="s">
        <v>58</v>
      </c>
      <c r="AK2671">
        <v>0</v>
      </c>
      <c r="AM2671">
        <v>0</v>
      </c>
      <c r="AP2671" t="s">
        <v>59</v>
      </c>
    </row>
    <row r="2672" spans="1:42" customFormat="1">
      <c r="A2672">
        <v>269880</v>
      </c>
      <c r="B2672" t="s">
        <v>2091</v>
      </c>
      <c r="C2672" t="s">
        <v>2092</v>
      </c>
      <c r="D2672" s="22">
        <v>0</v>
      </c>
      <c r="E2672" s="17">
        <v>42132</v>
      </c>
      <c r="F2672" s="18">
        <v>0.39993055555555551</v>
      </c>
      <c r="G2672" s="22">
        <v>51214.39</v>
      </c>
      <c r="H2672">
        <v>0</v>
      </c>
      <c r="I2672" s="19" t="e">
        <f>I2671 + (D2672-G2672)</f>
        <v>#VALUE!</v>
      </c>
      <c r="M2672">
        <v>121398</v>
      </c>
      <c r="N2672">
        <v>12</v>
      </c>
      <c r="O2672" t="s">
        <v>214</v>
      </c>
      <c r="P2672">
        <v>1</v>
      </c>
      <c r="R2672">
        <v>116</v>
      </c>
      <c r="S2672" s="17">
        <v>42138</v>
      </c>
      <c r="T2672" s="17">
        <v>42138</v>
      </c>
      <c r="W2672">
        <v>2015</v>
      </c>
      <c r="X2672">
        <v>12</v>
      </c>
      <c r="AC2672" t="s">
        <v>165</v>
      </c>
      <c r="AD2672" t="s">
        <v>301</v>
      </c>
      <c r="AE2672" t="s">
        <v>46</v>
      </c>
      <c r="AG2672">
        <v>12</v>
      </c>
      <c r="AH2672">
        <v>9</v>
      </c>
      <c r="AI2672" t="s">
        <v>54</v>
      </c>
      <c r="AK2672">
        <v>0</v>
      </c>
      <c r="AM2672">
        <v>0</v>
      </c>
      <c r="AP2672" t="s">
        <v>392</v>
      </c>
    </row>
    <row r="2673" spans="1:42" customFormat="1">
      <c r="A2673">
        <v>270683</v>
      </c>
      <c r="B2673" t="s">
        <v>3894</v>
      </c>
      <c r="C2673" t="s">
        <v>3895</v>
      </c>
      <c r="D2673" s="22">
        <v>0</v>
      </c>
      <c r="E2673" s="17">
        <v>42144</v>
      </c>
      <c r="F2673" s="18">
        <v>0.71251157407407406</v>
      </c>
      <c r="G2673" s="22">
        <v>2518.5</v>
      </c>
      <c r="H2673">
        <v>0</v>
      </c>
      <c r="I2673" s="19" t="e">
        <f>I2672 + (D2673-G2673)</f>
        <v>#VALUE!</v>
      </c>
      <c r="M2673">
        <v>109176</v>
      </c>
      <c r="N2673">
        <v>24</v>
      </c>
      <c r="O2673" t="s">
        <v>68</v>
      </c>
      <c r="P2673">
        <v>1</v>
      </c>
      <c r="R2673">
        <v>113</v>
      </c>
      <c r="S2673" s="17">
        <v>42145</v>
      </c>
      <c r="T2673" s="17">
        <v>42145</v>
      </c>
      <c r="W2673">
        <v>2015</v>
      </c>
      <c r="X2673">
        <v>24</v>
      </c>
      <c r="AC2673" t="s">
        <v>199</v>
      </c>
      <c r="AD2673" t="s">
        <v>301</v>
      </c>
      <c r="AE2673" t="s">
        <v>46</v>
      </c>
      <c r="AG2673">
        <v>4</v>
      </c>
      <c r="AH2673">
        <v>9</v>
      </c>
      <c r="AI2673" t="s">
        <v>54</v>
      </c>
      <c r="AK2673">
        <v>0</v>
      </c>
      <c r="AM2673">
        <v>0</v>
      </c>
      <c r="AP2673" t="s">
        <v>389</v>
      </c>
    </row>
    <row r="2674" spans="1:42" customFormat="1">
      <c r="A2674">
        <v>270201</v>
      </c>
      <c r="B2674" t="s">
        <v>3053</v>
      </c>
      <c r="C2674" t="s">
        <v>3054</v>
      </c>
      <c r="D2674" s="22">
        <v>0</v>
      </c>
      <c r="E2674" s="17">
        <v>42137</v>
      </c>
      <c r="F2674" s="18">
        <v>0.62116898148148147</v>
      </c>
      <c r="G2674" s="22">
        <v>2741.8</v>
      </c>
      <c r="H2674">
        <v>0</v>
      </c>
      <c r="I2674" s="19" t="e">
        <f>I2673 + (D2674-G2674)</f>
        <v>#VALUE!</v>
      </c>
      <c r="M2674">
        <v>119188</v>
      </c>
      <c r="N2674">
        <v>24</v>
      </c>
      <c r="O2674" t="s">
        <v>68</v>
      </c>
      <c r="P2674">
        <v>1</v>
      </c>
      <c r="R2674">
        <v>168</v>
      </c>
      <c r="S2674" s="17">
        <v>42142</v>
      </c>
      <c r="T2674" s="17">
        <v>42142</v>
      </c>
      <c r="W2674">
        <v>2015</v>
      </c>
      <c r="X2674">
        <v>24</v>
      </c>
      <c r="AC2674" t="s">
        <v>144</v>
      </c>
      <c r="AD2674" t="s">
        <v>301</v>
      </c>
      <c r="AE2674" t="s">
        <v>46</v>
      </c>
      <c r="AG2674">
        <v>4</v>
      </c>
      <c r="AH2674">
        <v>9</v>
      </c>
      <c r="AI2674" t="s">
        <v>54</v>
      </c>
      <c r="AK2674">
        <v>0</v>
      </c>
      <c r="AM2674">
        <v>0</v>
      </c>
      <c r="AP2674" t="s">
        <v>389</v>
      </c>
    </row>
    <row r="2675" spans="1:42" customFormat="1">
      <c r="A2675">
        <v>271404</v>
      </c>
      <c r="B2675" t="s">
        <v>4717</v>
      </c>
      <c r="C2675" t="s">
        <v>4718</v>
      </c>
      <c r="D2675" s="22">
        <v>0</v>
      </c>
      <c r="E2675" s="17">
        <v>42150</v>
      </c>
      <c r="F2675" s="18">
        <v>0.38291666666666663</v>
      </c>
      <c r="G2675" s="22">
        <v>436.72</v>
      </c>
      <c r="H2675">
        <v>0</v>
      </c>
      <c r="I2675" s="19" t="e">
        <f>I2674 + (D2675-G2675)</f>
        <v>#VALUE!</v>
      </c>
      <c r="M2675">
        <v>119567</v>
      </c>
      <c r="N2675">
        <v>24</v>
      </c>
      <c r="O2675" t="s">
        <v>68</v>
      </c>
      <c r="P2675">
        <v>1</v>
      </c>
      <c r="R2675">
        <v>168</v>
      </c>
      <c r="S2675" s="17">
        <v>42152</v>
      </c>
      <c r="T2675" s="17">
        <v>42152</v>
      </c>
      <c r="W2675">
        <v>2015</v>
      </c>
      <c r="X2675">
        <v>24</v>
      </c>
      <c r="AC2675" t="s">
        <v>144</v>
      </c>
      <c r="AD2675" t="s">
        <v>301</v>
      </c>
      <c r="AE2675" t="s">
        <v>46</v>
      </c>
      <c r="AG2675">
        <v>8</v>
      </c>
      <c r="AH2675">
        <v>9</v>
      </c>
      <c r="AI2675" t="s">
        <v>54</v>
      </c>
      <c r="AK2675">
        <v>0</v>
      </c>
      <c r="AM2675">
        <v>0</v>
      </c>
      <c r="AP2675" t="s">
        <v>1201</v>
      </c>
    </row>
    <row r="2676" spans="1:42" customFormat="1">
      <c r="A2676">
        <v>268093</v>
      </c>
      <c r="B2676" t="s">
        <v>519</v>
      </c>
      <c r="C2676" t="s">
        <v>520</v>
      </c>
      <c r="D2676" s="22">
        <v>0</v>
      </c>
      <c r="E2676" s="17">
        <v>42128</v>
      </c>
      <c r="F2676" s="18">
        <v>0.63092592592592589</v>
      </c>
      <c r="G2676" s="22">
        <v>546</v>
      </c>
      <c r="H2676">
        <v>0</v>
      </c>
      <c r="I2676" s="19" t="e">
        <f>I2675 + (D2676-G2676)</f>
        <v>#VALUE!</v>
      </c>
      <c r="M2676">
        <v>121946</v>
      </c>
      <c r="N2676">
        <v>7</v>
      </c>
      <c r="O2676" t="s">
        <v>44</v>
      </c>
      <c r="P2676">
        <v>1</v>
      </c>
      <c r="R2676">
        <v>175</v>
      </c>
      <c r="S2676" s="17">
        <v>42130</v>
      </c>
      <c r="T2676" s="17">
        <v>42130</v>
      </c>
      <c r="W2676">
        <v>2015</v>
      </c>
      <c r="X2676">
        <v>7</v>
      </c>
      <c r="AC2676" t="s">
        <v>136</v>
      </c>
      <c r="AD2676" t="s">
        <v>301</v>
      </c>
      <c r="AE2676" t="s">
        <v>46</v>
      </c>
      <c r="AG2676">
        <v>12</v>
      </c>
      <c r="AH2676">
        <v>2</v>
      </c>
      <c r="AI2676" t="s">
        <v>50</v>
      </c>
      <c r="AK2676">
        <v>0</v>
      </c>
      <c r="AM2676">
        <v>0</v>
      </c>
      <c r="AP2676" t="s">
        <v>392</v>
      </c>
    </row>
    <row r="2677" spans="1:42" customFormat="1">
      <c r="A2677">
        <v>268094</v>
      </c>
      <c r="B2677" t="s">
        <v>521</v>
      </c>
      <c r="C2677" t="s">
        <v>522</v>
      </c>
      <c r="D2677" s="22">
        <v>0</v>
      </c>
      <c r="E2677" s="17">
        <v>42128</v>
      </c>
      <c r="F2677" s="18">
        <v>0.63119212962962956</v>
      </c>
      <c r="G2677" s="22">
        <v>1000</v>
      </c>
      <c r="H2677">
        <v>0</v>
      </c>
      <c r="I2677" s="19" t="e">
        <f>I2676 + (D2677-G2677)</f>
        <v>#VALUE!</v>
      </c>
      <c r="M2677">
        <v>121942</v>
      </c>
      <c r="N2677">
        <v>7</v>
      </c>
      <c r="O2677" t="s">
        <v>44</v>
      </c>
      <c r="P2677">
        <v>1</v>
      </c>
      <c r="R2677">
        <v>175</v>
      </c>
      <c r="S2677" s="17">
        <v>42130</v>
      </c>
      <c r="T2677" s="17">
        <v>42130</v>
      </c>
      <c r="W2677">
        <v>2015</v>
      </c>
      <c r="X2677">
        <v>7</v>
      </c>
      <c r="AC2677" t="s">
        <v>136</v>
      </c>
      <c r="AD2677" t="s">
        <v>301</v>
      </c>
      <c r="AE2677" t="s">
        <v>46</v>
      </c>
      <c r="AG2677">
        <v>12</v>
      </c>
      <c r="AH2677">
        <v>2</v>
      </c>
      <c r="AI2677" t="s">
        <v>50</v>
      </c>
      <c r="AK2677">
        <v>0</v>
      </c>
      <c r="AM2677">
        <v>0</v>
      </c>
      <c r="AP2677" t="s">
        <v>392</v>
      </c>
    </row>
    <row r="2678" spans="1:42" customFormat="1">
      <c r="A2678">
        <v>268095</v>
      </c>
      <c r="B2678" t="s">
        <v>523</v>
      </c>
      <c r="C2678" t="s">
        <v>524</v>
      </c>
      <c r="D2678" s="22">
        <v>0</v>
      </c>
      <c r="E2678" s="17">
        <v>42128</v>
      </c>
      <c r="F2678" s="18">
        <v>0.63140046296296293</v>
      </c>
      <c r="G2678" s="22">
        <v>1029.98</v>
      </c>
      <c r="H2678">
        <v>0</v>
      </c>
      <c r="I2678" s="19" t="e">
        <f>I2677 + (D2678-G2678)</f>
        <v>#VALUE!</v>
      </c>
      <c r="M2678">
        <v>121941</v>
      </c>
      <c r="N2678">
        <v>7</v>
      </c>
      <c r="O2678" t="s">
        <v>44</v>
      </c>
      <c r="P2678">
        <v>1</v>
      </c>
      <c r="R2678">
        <v>175</v>
      </c>
      <c r="S2678" s="17">
        <v>42130</v>
      </c>
      <c r="T2678" s="17">
        <v>42130</v>
      </c>
      <c r="W2678">
        <v>2015</v>
      </c>
      <c r="X2678">
        <v>7</v>
      </c>
      <c r="AC2678" t="s">
        <v>136</v>
      </c>
      <c r="AD2678" t="s">
        <v>301</v>
      </c>
      <c r="AE2678" t="s">
        <v>46</v>
      </c>
      <c r="AG2678">
        <v>12</v>
      </c>
      <c r="AH2678">
        <v>2</v>
      </c>
      <c r="AI2678" t="s">
        <v>50</v>
      </c>
      <c r="AK2678">
        <v>0</v>
      </c>
      <c r="AM2678">
        <v>0</v>
      </c>
      <c r="AP2678" t="s">
        <v>392</v>
      </c>
    </row>
    <row r="2679" spans="1:42" customFormat="1">
      <c r="A2679">
        <v>268096</v>
      </c>
      <c r="B2679" t="s">
        <v>525</v>
      </c>
      <c r="C2679" t="s">
        <v>526</v>
      </c>
      <c r="D2679" s="22">
        <v>0</v>
      </c>
      <c r="E2679" s="17">
        <v>42128</v>
      </c>
      <c r="F2679" s="18">
        <v>0.63280092592592596</v>
      </c>
      <c r="G2679" s="22">
        <v>1316.7</v>
      </c>
      <c r="H2679">
        <v>0</v>
      </c>
      <c r="I2679" s="19" t="e">
        <f>I2678 + (D2679-G2679)</f>
        <v>#VALUE!</v>
      </c>
      <c r="M2679">
        <v>121943</v>
      </c>
      <c r="N2679">
        <v>7</v>
      </c>
      <c r="O2679" t="s">
        <v>44</v>
      </c>
      <c r="P2679">
        <v>1</v>
      </c>
      <c r="R2679">
        <v>175</v>
      </c>
      <c r="S2679" s="17">
        <v>42130</v>
      </c>
      <c r="T2679" s="17">
        <v>42130</v>
      </c>
      <c r="W2679">
        <v>2015</v>
      </c>
      <c r="X2679">
        <v>7</v>
      </c>
      <c r="AC2679" t="s">
        <v>136</v>
      </c>
      <c r="AD2679" t="s">
        <v>301</v>
      </c>
      <c r="AE2679" t="s">
        <v>46</v>
      </c>
      <c r="AG2679">
        <v>12</v>
      </c>
      <c r="AH2679">
        <v>2</v>
      </c>
      <c r="AI2679" t="s">
        <v>50</v>
      </c>
      <c r="AK2679">
        <v>0</v>
      </c>
      <c r="AM2679">
        <v>0</v>
      </c>
      <c r="AP2679" t="s">
        <v>392</v>
      </c>
    </row>
    <row r="2680" spans="1:42" customFormat="1">
      <c r="A2680">
        <v>268097</v>
      </c>
      <c r="B2680" t="s">
        <v>527</v>
      </c>
      <c r="C2680" t="s">
        <v>528</v>
      </c>
      <c r="D2680" s="22">
        <v>0</v>
      </c>
      <c r="E2680" s="17">
        <v>42128</v>
      </c>
      <c r="F2680" s="18">
        <v>0.63293981481481476</v>
      </c>
      <c r="G2680" s="22">
        <v>1300</v>
      </c>
      <c r="H2680">
        <v>0</v>
      </c>
      <c r="I2680" s="19" t="e">
        <f>I2679 + (D2680-G2680)</f>
        <v>#VALUE!</v>
      </c>
      <c r="M2680">
        <v>121944</v>
      </c>
      <c r="N2680">
        <v>7</v>
      </c>
      <c r="O2680" t="s">
        <v>44</v>
      </c>
      <c r="P2680">
        <v>1</v>
      </c>
      <c r="R2680">
        <v>175</v>
      </c>
      <c r="S2680" s="17">
        <v>42130</v>
      </c>
      <c r="T2680" s="17">
        <v>42130</v>
      </c>
      <c r="W2680">
        <v>2015</v>
      </c>
      <c r="X2680">
        <v>7</v>
      </c>
      <c r="AC2680" t="s">
        <v>136</v>
      </c>
      <c r="AD2680" t="s">
        <v>301</v>
      </c>
      <c r="AE2680" t="s">
        <v>46</v>
      </c>
      <c r="AG2680">
        <v>12</v>
      </c>
      <c r="AH2680">
        <v>2</v>
      </c>
      <c r="AI2680" t="s">
        <v>50</v>
      </c>
      <c r="AK2680">
        <v>0</v>
      </c>
      <c r="AM2680">
        <v>0</v>
      </c>
      <c r="AP2680" t="s">
        <v>392</v>
      </c>
    </row>
    <row r="2681" spans="1:42" customFormat="1">
      <c r="A2681">
        <v>268098</v>
      </c>
      <c r="B2681" t="s">
        <v>529</v>
      </c>
      <c r="C2681" t="s">
        <v>530</v>
      </c>
      <c r="D2681" s="22">
        <v>0</v>
      </c>
      <c r="E2681" s="17">
        <v>42128</v>
      </c>
      <c r="F2681" s="18">
        <v>0.63322916666666662</v>
      </c>
      <c r="G2681" s="22">
        <v>1386</v>
      </c>
      <c r="H2681">
        <v>0</v>
      </c>
      <c r="I2681" s="19" t="e">
        <f>I2680 + (D2681-G2681)</f>
        <v>#VALUE!</v>
      </c>
      <c r="M2681">
        <v>121945</v>
      </c>
      <c r="N2681">
        <v>7</v>
      </c>
      <c r="O2681" t="s">
        <v>44</v>
      </c>
      <c r="P2681">
        <v>1</v>
      </c>
      <c r="R2681">
        <v>175</v>
      </c>
      <c r="S2681" s="17">
        <v>42130</v>
      </c>
      <c r="T2681" s="17">
        <v>42130</v>
      </c>
      <c r="W2681">
        <v>2015</v>
      </c>
      <c r="X2681">
        <v>7</v>
      </c>
      <c r="AC2681" t="s">
        <v>136</v>
      </c>
      <c r="AD2681" t="s">
        <v>301</v>
      </c>
      <c r="AE2681" t="s">
        <v>46</v>
      </c>
      <c r="AG2681">
        <v>12</v>
      </c>
      <c r="AH2681">
        <v>2</v>
      </c>
      <c r="AI2681" t="s">
        <v>50</v>
      </c>
      <c r="AK2681">
        <v>0</v>
      </c>
      <c r="AM2681">
        <v>0</v>
      </c>
      <c r="AP2681" t="s">
        <v>392</v>
      </c>
    </row>
    <row r="2682" spans="1:42" customFormat="1">
      <c r="A2682">
        <v>268099</v>
      </c>
      <c r="B2682" t="s">
        <v>531</v>
      </c>
      <c r="C2682" t="s">
        <v>532</v>
      </c>
      <c r="D2682" s="22">
        <v>0</v>
      </c>
      <c r="E2682" s="17">
        <v>42128</v>
      </c>
      <c r="F2682" s="18">
        <v>0.63337962962962957</v>
      </c>
      <c r="G2682" s="22">
        <v>838.41</v>
      </c>
      <c r="H2682">
        <v>0</v>
      </c>
      <c r="I2682" s="19" t="e">
        <f>I2681 + (D2682-G2682)</f>
        <v>#VALUE!</v>
      </c>
      <c r="M2682">
        <v>121940</v>
      </c>
      <c r="N2682">
        <v>7</v>
      </c>
      <c r="O2682" t="s">
        <v>44</v>
      </c>
      <c r="P2682">
        <v>1</v>
      </c>
      <c r="R2682">
        <v>175</v>
      </c>
      <c r="S2682" s="17">
        <v>42130</v>
      </c>
      <c r="T2682" s="17">
        <v>42130</v>
      </c>
      <c r="W2682">
        <v>2015</v>
      </c>
      <c r="X2682">
        <v>7</v>
      </c>
      <c r="AC2682" t="s">
        <v>136</v>
      </c>
      <c r="AD2682" t="s">
        <v>301</v>
      </c>
      <c r="AE2682" t="s">
        <v>46</v>
      </c>
      <c r="AG2682">
        <v>12</v>
      </c>
      <c r="AH2682">
        <v>2</v>
      </c>
      <c r="AI2682" t="s">
        <v>50</v>
      </c>
      <c r="AK2682">
        <v>0</v>
      </c>
      <c r="AM2682">
        <v>0</v>
      </c>
      <c r="AP2682" t="s">
        <v>392</v>
      </c>
    </row>
    <row r="2683" spans="1:42" customFormat="1">
      <c r="A2683">
        <v>269859</v>
      </c>
      <c r="B2683" t="s">
        <v>1621</v>
      </c>
      <c r="C2683" t="s">
        <v>1622</v>
      </c>
      <c r="D2683" s="22">
        <v>0</v>
      </c>
      <c r="E2683" s="17">
        <v>42130</v>
      </c>
      <c r="F2683" s="18">
        <v>0.33739583333333334</v>
      </c>
      <c r="G2683" s="22">
        <v>1045</v>
      </c>
      <c r="H2683">
        <v>0</v>
      </c>
      <c r="I2683" s="19" t="e">
        <f>I2682 + (D2683-G2683)</f>
        <v>#VALUE!</v>
      </c>
      <c r="M2683">
        <v>123231</v>
      </c>
      <c r="N2683">
        <v>24</v>
      </c>
      <c r="O2683" t="s">
        <v>68</v>
      </c>
      <c r="P2683">
        <v>1</v>
      </c>
      <c r="R2683">
        <v>175</v>
      </c>
      <c r="S2683" s="17">
        <v>42138</v>
      </c>
      <c r="T2683" s="17">
        <v>42138</v>
      </c>
      <c r="W2683">
        <v>2015</v>
      </c>
      <c r="X2683">
        <v>24</v>
      </c>
      <c r="AC2683" t="s">
        <v>136</v>
      </c>
      <c r="AD2683" t="s">
        <v>301</v>
      </c>
      <c r="AE2683" t="s">
        <v>46</v>
      </c>
      <c r="AG2683">
        <v>12</v>
      </c>
      <c r="AH2683">
        <v>2</v>
      </c>
      <c r="AI2683" t="s">
        <v>50</v>
      </c>
      <c r="AK2683">
        <v>0</v>
      </c>
      <c r="AM2683">
        <v>0</v>
      </c>
      <c r="AP2683" t="s">
        <v>392</v>
      </c>
    </row>
    <row r="2684" spans="1:42" customFormat="1">
      <c r="A2684">
        <v>269883</v>
      </c>
      <c r="B2684" t="s">
        <v>1974</v>
      </c>
      <c r="C2684" t="s">
        <v>1975</v>
      </c>
      <c r="D2684" s="22">
        <v>0</v>
      </c>
      <c r="E2684" s="17">
        <v>42131</v>
      </c>
      <c r="F2684" s="18">
        <v>0.42611111111111111</v>
      </c>
      <c r="G2684" s="22">
        <v>4512.2299999999996</v>
      </c>
      <c r="H2684">
        <v>0</v>
      </c>
      <c r="I2684" s="19" t="e">
        <f>I2683 + (D2684-G2684)</f>
        <v>#VALUE!</v>
      </c>
      <c r="M2684">
        <v>123244</v>
      </c>
      <c r="N2684">
        <v>24</v>
      </c>
      <c r="O2684" t="s">
        <v>68</v>
      </c>
      <c r="P2684">
        <v>1</v>
      </c>
      <c r="R2684">
        <v>175</v>
      </c>
      <c r="S2684" s="17">
        <v>42138</v>
      </c>
      <c r="T2684" s="17">
        <v>42138</v>
      </c>
      <c r="W2684">
        <v>2015</v>
      </c>
      <c r="X2684">
        <v>24</v>
      </c>
      <c r="AC2684" t="s">
        <v>136</v>
      </c>
      <c r="AD2684" t="s">
        <v>301</v>
      </c>
      <c r="AE2684" t="s">
        <v>46</v>
      </c>
      <c r="AG2684">
        <v>12</v>
      </c>
      <c r="AH2684">
        <v>2</v>
      </c>
      <c r="AI2684" t="s">
        <v>50</v>
      </c>
      <c r="AK2684">
        <v>0</v>
      </c>
      <c r="AM2684">
        <v>0</v>
      </c>
      <c r="AP2684" t="s">
        <v>392</v>
      </c>
    </row>
    <row r="2685" spans="1:42" customFormat="1">
      <c r="A2685">
        <v>269872</v>
      </c>
      <c r="B2685" t="s">
        <v>2067</v>
      </c>
      <c r="C2685" t="s">
        <v>2068</v>
      </c>
      <c r="D2685" s="22">
        <v>0</v>
      </c>
      <c r="E2685" s="17">
        <v>42132</v>
      </c>
      <c r="F2685" s="18">
        <v>0.35743055555555553</v>
      </c>
      <c r="G2685" s="22">
        <v>924.88</v>
      </c>
      <c r="H2685">
        <v>0</v>
      </c>
      <c r="I2685" s="19" t="e">
        <f>I2684 + (D2685-G2685)</f>
        <v>#VALUE!</v>
      </c>
      <c r="M2685">
        <v>123236</v>
      </c>
      <c r="N2685">
        <v>7</v>
      </c>
      <c r="O2685" t="s">
        <v>44</v>
      </c>
      <c r="P2685">
        <v>1</v>
      </c>
      <c r="R2685">
        <v>175</v>
      </c>
      <c r="S2685" s="17">
        <v>42138</v>
      </c>
      <c r="T2685" s="17">
        <v>42138</v>
      </c>
      <c r="W2685">
        <v>2015</v>
      </c>
      <c r="X2685">
        <v>7</v>
      </c>
      <c r="AC2685" t="s">
        <v>136</v>
      </c>
      <c r="AD2685" t="s">
        <v>301</v>
      </c>
      <c r="AE2685" t="s">
        <v>46</v>
      </c>
      <c r="AG2685">
        <v>52</v>
      </c>
      <c r="AH2685">
        <v>9</v>
      </c>
      <c r="AI2685" t="s">
        <v>54</v>
      </c>
      <c r="AK2685">
        <v>0</v>
      </c>
      <c r="AM2685">
        <v>0</v>
      </c>
      <c r="AP2685" t="s">
        <v>325</v>
      </c>
    </row>
    <row r="2686" spans="1:42" customFormat="1">
      <c r="A2686">
        <v>269873</v>
      </c>
      <c r="B2686" t="s">
        <v>2069</v>
      </c>
      <c r="C2686" t="s">
        <v>2070</v>
      </c>
      <c r="D2686" s="22">
        <v>0</v>
      </c>
      <c r="E2686" s="17">
        <v>42132</v>
      </c>
      <c r="F2686" s="18">
        <v>0.3576273148148148</v>
      </c>
      <c r="G2686" s="22">
        <v>950</v>
      </c>
      <c r="H2686">
        <v>0</v>
      </c>
      <c r="I2686" s="19" t="e">
        <f>I2685 + (D2686-G2686)</f>
        <v>#VALUE!</v>
      </c>
      <c r="M2686">
        <v>123235</v>
      </c>
      <c r="N2686">
        <v>7</v>
      </c>
      <c r="O2686" t="s">
        <v>44</v>
      </c>
      <c r="P2686">
        <v>1</v>
      </c>
      <c r="R2686">
        <v>175</v>
      </c>
      <c r="S2686" s="17">
        <v>42138</v>
      </c>
      <c r="T2686" s="17">
        <v>42138</v>
      </c>
      <c r="W2686">
        <v>2015</v>
      </c>
      <c r="X2686">
        <v>7</v>
      </c>
      <c r="AC2686" t="s">
        <v>136</v>
      </c>
      <c r="AD2686" t="s">
        <v>301</v>
      </c>
      <c r="AE2686" t="s">
        <v>46</v>
      </c>
      <c r="AG2686">
        <v>52</v>
      </c>
      <c r="AH2686">
        <v>9</v>
      </c>
      <c r="AI2686" t="s">
        <v>54</v>
      </c>
      <c r="AK2686">
        <v>0</v>
      </c>
      <c r="AM2686">
        <v>0</v>
      </c>
      <c r="AP2686" t="s">
        <v>325</v>
      </c>
    </row>
    <row r="2687" spans="1:42" customFormat="1">
      <c r="A2687">
        <v>269874</v>
      </c>
      <c r="B2687" t="s">
        <v>2071</v>
      </c>
      <c r="C2687" t="s">
        <v>2072</v>
      </c>
      <c r="D2687" s="22">
        <v>0</v>
      </c>
      <c r="E2687" s="17">
        <v>42132</v>
      </c>
      <c r="F2687" s="18">
        <v>0.35780092592592588</v>
      </c>
      <c r="G2687" s="22">
        <v>1000</v>
      </c>
      <c r="H2687">
        <v>0</v>
      </c>
      <c r="I2687" s="19" t="e">
        <f>I2686 + (D2687-G2687)</f>
        <v>#VALUE!</v>
      </c>
      <c r="M2687">
        <v>123234</v>
      </c>
      <c r="N2687">
        <v>7</v>
      </c>
      <c r="O2687" t="s">
        <v>44</v>
      </c>
      <c r="P2687">
        <v>1</v>
      </c>
      <c r="R2687">
        <v>175</v>
      </c>
      <c r="S2687" s="17">
        <v>42138</v>
      </c>
      <c r="T2687" s="17">
        <v>42138</v>
      </c>
      <c r="W2687">
        <v>2015</v>
      </c>
      <c r="X2687">
        <v>7</v>
      </c>
      <c r="AC2687" t="s">
        <v>136</v>
      </c>
      <c r="AD2687" t="s">
        <v>301</v>
      </c>
      <c r="AE2687" t="s">
        <v>46</v>
      </c>
      <c r="AG2687">
        <v>52</v>
      </c>
      <c r="AH2687">
        <v>9</v>
      </c>
      <c r="AI2687" t="s">
        <v>54</v>
      </c>
      <c r="AK2687">
        <v>0</v>
      </c>
      <c r="AM2687">
        <v>0</v>
      </c>
      <c r="AP2687" t="s">
        <v>325</v>
      </c>
    </row>
    <row r="2688" spans="1:42" customFormat="1">
      <c r="A2688">
        <v>269875</v>
      </c>
      <c r="B2688" t="s">
        <v>2073</v>
      </c>
      <c r="C2688" t="s">
        <v>2074</v>
      </c>
      <c r="D2688" s="22">
        <v>0</v>
      </c>
      <c r="E2688" s="17">
        <v>42132</v>
      </c>
      <c r="F2688" s="18">
        <v>0.35802083333333329</v>
      </c>
      <c r="G2688" s="22">
        <v>693</v>
      </c>
      <c r="H2688">
        <v>0</v>
      </c>
      <c r="I2688" s="19" t="e">
        <f>I2687 + (D2688-G2688)</f>
        <v>#VALUE!</v>
      </c>
      <c r="M2688">
        <v>123233</v>
      </c>
      <c r="N2688">
        <v>7</v>
      </c>
      <c r="O2688" t="s">
        <v>44</v>
      </c>
      <c r="P2688">
        <v>1</v>
      </c>
      <c r="R2688">
        <v>175</v>
      </c>
      <c r="S2688" s="17">
        <v>42138</v>
      </c>
      <c r="T2688" s="17">
        <v>42138</v>
      </c>
      <c r="W2688">
        <v>2015</v>
      </c>
      <c r="X2688">
        <v>7</v>
      </c>
      <c r="AC2688" t="s">
        <v>136</v>
      </c>
      <c r="AD2688" t="s">
        <v>301</v>
      </c>
      <c r="AE2688" t="s">
        <v>46</v>
      </c>
      <c r="AG2688">
        <v>52</v>
      </c>
      <c r="AH2688">
        <v>9</v>
      </c>
      <c r="AI2688" t="s">
        <v>54</v>
      </c>
      <c r="AK2688">
        <v>0</v>
      </c>
      <c r="AM2688">
        <v>0</v>
      </c>
      <c r="AP2688" t="s">
        <v>325</v>
      </c>
    </row>
    <row r="2689" spans="1:42" customFormat="1">
      <c r="A2689">
        <v>269876</v>
      </c>
      <c r="B2689" t="s">
        <v>2075</v>
      </c>
      <c r="C2689" t="s">
        <v>2076</v>
      </c>
      <c r="D2689" s="22">
        <v>0</v>
      </c>
      <c r="E2689" s="17">
        <v>42132</v>
      </c>
      <c r="F2689" s="18">
        <v>0.35817129629629635</v>
      </c>
      <c r="G2689" s="22">
        <v>1386</v>
      </c>
      <c r="H2689">
        <v>0</v>
      </c>
      <c r="I2689" s="19" t="e">
        <f>I2688 + (D2689-G2689)</f>
        <v>#VALUE!</v>
      </c>
      <c r="M2689">
        <v>123227</v>
      </c>
      <c r="N2689">
        <v>7</v>
      </c>
      <c r="O2689" t="s">
        <v>44</v>
      </c>
      <c r="P2689">
        <v>1</v>
      </c>
      <c r="R2689">
        <v>175</v>
      </c>
      <c r="S2689" s="17">
        <v>42138</v>
      </c>
      <c r="T2689" s="17">
        <v>42138</v>
      </c>
      <c r="W2689">
        <v>2015</v>
      </c>
      <c r="X2689">
        <v>7</v>
      </c>
      <c r="AC2689" t="s">
        <v>136</v>
      </c>
      <c r="AD2689" t="s">
        <v>301</v>
      </c>
      <c r="AE2689" t="s">
        <v>46</v>
      </c>
      <c r="AG2689">
        <v>52</v>
      </c>
      <c r="AH2689">
        <v>9</v>
      </c>
      <c r="AI2689" t="s">
        <v>54</v>
      </c>
      <c r="AK2689">
        <v>0</v>
      </c>
      <c r="AM2689">
        <v>0</v>
      </c>
      <c r="AP2689" t="s">
        <v>325</v>
      </c>
    </row>
    <row r="2690" spans="1:42" customFormat="1">
      <c r="A2690">
        <v>269877</v>
      </c>
      <c r="B2690" t="s">
        <v>2077</v>
      </c>
      <c r="C2690" t="s">
        <v>2078</v>
      </c>
      <c r="D2690" s="22">
        <v>0</v>
      </c>
      <c r="E2690" s="17">
        <v>42132</v>
      </c>
      <c r="F2690" s="18">
        <v>0.35836805555555556</v>
      </c>
      <c r="G2690" s="22">
        <v>1087.29</v>
      </c>
      <c r="H2690">
        <v>0</v>
      </c>
      <c r="I2690" s="19" t="e">
        <f>I2689 + (D2690-G2690)</f>
        <v>#VALUE!</v>
      </c>
      <c r="M2690">
        <v>123232</v>
      </c>
      <c r="N2690">
        <v>7</v>
      </c>
      <c r="O2690" t="s">
        <v>44</v>
      </c>
      <c r="P2690">
        <v>1</v>
      </c>
      <c r="R2690">
        <v>175</v>
      </c>
      <c r="S2690" s="17">
        <v>42138</v>
      </c>
      <c r="T2690" s="17">
        <v>42138</v>
      </c>
      <c r="W2690">
        <v>2015</v>
      </c>
      <c r="X2690">
        <v>7</v>
      </c>
      <c r="AC2690" t="s">
        <v>136</v>
      </c>
      <c r="AD2690" t="s">
        <v>301</v>
      </c>
      <c r="AE2690" t="s">
        <v>46</v>
      </c>
      <c r="AG2690">
        <v>52</v>
      </c>
      <c r="AH2690">
        <v>9</v>
      </c>
      <c r="AI2690" t="s">
        <v>54</v>
      </c>
      <c r="AK2690">
        <v>0</v>
      </c>
      <c r="AM2690">
        <v>0</v>
      </c>
      <c r="AP2690" t="s">
        <v>325</v>
      </c>
    </row>
    <row r="2691" spans="1:42" customFormat="1">
      <c r="A2691">
        <v>269714</v>
      </c>
      <c r="B2691" t="s">
        <v>2085</v>
      </c>
      <c r="C2691" t="s">
        <v>2086</v>
      </c>
      <c r="D2691" s="22">
        <v>0</v>
      </c>
      <c r="E2691" s="17">
        <v>42132</v>
      </c>
      <c r="F2691" s="18">
        <v>0.38267361111111109</v>
      </c>
      <c r="G2691" s="22">
        <v>284</v>
      </c>
      <c r="H2691">
        <v>0</v>
      </c>
      <c r="I2691" s="19" t="e">
        <f>I2690 + (D2691-G2691)</f>
        <v>#VALUE!</v>
      </c>
      <c r="M2691">
        <v>123225</v>
      </c>
      <c r="N2691">
        <v>24</v>
      </c>
      <c r="O2691" t="s">
        <v>68</v>
      </c>
      <c r="P2691">
        <v>1</v>
      </c>
      <c r="R2691">
        <v>175</v>
      </c>
      <c r="S2691" s="17">
        <v>42137</v>
      </c>
      <c r="T2691" s="17">
        <v>42137</v>
      </c>
      <c r="W2691">
        <v>2015</v>
      </c>
      <c r="X2691">
        <v>24</v>
      </c>
      <c r="AC2691" t="s">
        <v>136</v>
      </c>
      <c r="AD2691" t="s">
        <v>301</v>
      </c>
      <c r="AE2691" t="s">
        <v>46</v>
      </c>
      <c r="AG2691">
        <v>56</v>
      </c>
      <c r="AH2691">
        <v>1</v>
      </c>
      <c r="AI2691" t="s">
        <v>58</v>
      </c>
      <c r="AK2691">
        <v>0</v>
      </c>
      <c r="AM2691">
        <v>0</v>
      </c>
      <c r="AP2691" t="s">
        <v>59</v>
      </c>
    </row>
    <row r="2692" spans="1:42" customFormat="1">
      <c r="A2692">
        <v>269889</v>
      </c>
      <c r="B2692" t="s">
        <v>2108</v>
      </c>
      <c r="C2692" t="s">
        <v>2109</v>
      </c>
      <c r="D2692" s="22">
        <v>0</v>
      </c>
      <c r="E2692" s="17">
        <v>42132</v>
      </c>
      <c r="F2692" s="18">
        <v>0.43252314814814818</v>
      </c>
      <c r="G2692" s="22">
        <v>1386</v>
      </c>
      <c r="H2692">
        <v>0</v>
      </c>
      <c r="I2692" s="19" t="e">
        <f>I2691 + (D2692-G2692)</f>
        <v>#VALUE!</v>
      </c>
      <c r="M2692">
        <v>123230</v>
      </c>
      <c r="N2692">
        <v>24</v>
      </c>
      <c r="O2692" t="s">
        <v>68</v>
      </c>
      <c r="P2692">
        <v>1</v>
      </c>
      <c r="R2692">
        <v>175</v>
      </c>
      <c r="S2692" s="17">
        <v>42138</v>
      </c>
      <c r="T2692" s="17">
        <v>42138</v>
      </c>
      <c r="W2692">
        <v>2015</v>
      </c>
      <c r="X2692">
        <v>24</v>
      </c>
      <c r="AC2692" t="s">
        <v>136</v>
      </c>
      <c r="AD2692" t="s">
        <v>301</v>
      </c>
      <c r="AE2692" t="s">
        <v>46</v>
      </c>
      <c r="AG2692">
        <v>12</v>
      </c>
      <c r="AH2692">
        <v>2</v>
      </c>
      <c r="AI2692" t="s">
        <v>50</v>
      </c>
      <c r="AK2692">
        <v>0</v>
      </c>
      <c r="AM2692">
        <v>0</v>
      </c>
      <c r="AP2692" t="s">
        <v>392</v>
      </c>
    </row>
    <row r="2693" spans="1:42" customFormat="1">
      <c r="A2693">
        <v>269890</v>
      </c>
      <c r="B2693" t="s">
        <v>2110</v>
      </c>
      <c r="C2693" t="s">
        <v>2111</v>
      </c>
      <c r="D2693" s="22">
        <v>0</v>
      </c>
      <c r="E2693" s="17">
        <v>42132</v>
      </c>
      <c r="F2693" s="18">
        <v>0.43269675925925927</v>
      </c>
      <c r="G2693" s="22">
        <v>1640</v>
      </c>
      <c r="H2693">
        <v>0</v>
      </c>
      <c r="I2693" s="19" t="e">
        <f>I2692 + (D2693-G2693)</f>
        <v>#VALUE!</v>
      </c>
      <c r="M2693">
        <v>123229</v>
      </c>
      <c r="N2693">
        <v>24</v>
      </c>
      <c r="O2693" t="s">
        <v>68</v>
      </c>
      <c r="P2693">
        <v>1</v>
      </c>
      <c r="R2693">
        <v>175</v>
      </c>
      <c r="S2693" s="17">
        <v>42138</v>
      </c>
      <c r="T2693" s="17">
        <v>42138</v>
      </c>
      <c r="W2693">
        <v>2015</v>
      </c>
      <c r="X2693">
        <v>24</v>
      </c>
      <c r="AC2693" t="s">
        <v>136</v>
      </c>
      <c r="AD2693" t="s">
        <v>301</v>
      </c>
      <c r="AE2693" t="s">
        <v>46</v>
      </c>
      <c r="AG2693">
        <v>12</v>
      </c>
      <c r="AH2693">
        <v>2</v>
      </c>
      <c r="AI2693" t="s">
        <v>50</v>
      </c>
      <c r="AK2693">
        <v>0</v>
      </c>
      <c r="AM2693">
        <v>0</v>
      </c>
      <c r="AP2693" t="s">
        <v>392</v>
      </c>
    </row>
    <row r="2694" spans="1:42" customFormat="1">
      <c r="A2694">
        <v>269891</v>
      </c>
      <c r="B2694" t="s">
        <v>2112</v>
      </c>
      <c r="C2694" t="s">
        <v>2113</v>
      </c>
      <c r="D2694" s="22">
        <v>0</v>
      </c>
      <c r="E2694" s="17">
        <v>42132</v>
      </c>
      <c r="F2694" s="18">
        <v>0.43292824074074071</v>
      </c>
      <c r="G2694" s="22">
        <v>1386</v>
      </c>
      <c r="H2694">
        <v>0</v>
      </c>
      <c r="I2694" s="19" t="e">
        <f>I2693 + (D2694-G2694)</f>
        <v>#VALUE!</v>
      </c>
      <c r="M2694">
        <v>123228</v>
      </c>
      <c r="N2694">
        <v>24</v>
      </c>
      <c r="O2694" t="s">
        <v>68</v>
      </c>
      <c r="P2694">
        <v>1</v>
      </c>
      <c r="R2694">
        <v>175</v>
      </c>
      <c r="S2694" s="17">
        <v>42138</v>
      </c>
      <c r="T2694" s="17">
        <v>42138</v>
      </c>
      <c r="W2694">
        <v>2015</v>
      </c>
      <c r="X2694">
        <v>24</v>
      </c>
      <c r="AC2694" t="s">
        <v>136</v>
      </c>
      <c r="AD2694" t="s">
        <v>301</v>
      </c>
      <c r="AE2694" t="s">
        <v>46</v>
      </c>
      <c r="AG2694">
        <v>12</v>
      </c>
      <c r="AH2694">
        <v>2</v>
      </c>
      <c r="AI2694" t="s">
        <v>50</v>
      </c>
      <c r="AK2694">
        <v>0</v>
      </c>
      <c r="AM2694">
        <v>0</v>
      </c>
      <c r="AP2694" t="s">
        <v>392</v>
      </c>
    </row>
    <row r="2695" spans="1:42" customFormat="1">
      <c r="A2695">
        <v>269892</v>
      </c>
      <c r="B2695" t="s">
        <v>2114</v>
      </c>
      <c r="C2695" t="s">
        <v>2115</v>
      </c>
      <c r="D2695" s="22">
        <v>0</v>
      </c>
      <c r="E2695" s="17">
        <v>42132</v>
      </c>
      <c r="F2695" s="18">
        <v>0.43307870370370366</v>
      </c>
      <c r="G2695" s="22">
        <v>1386</v>
      </c>
      <c r="H2695">
        <v>0</v>
      </c>
      <c r="I2695" s="19" t="e">
        <f>I2694 + (D2695-G2695)</f>
        <v>#VALUE!</v>
      </c>
      <c r="M2695">
        <v>123226</v>
      </c>
      <c r="N2695">
        <v>24</v>
      </c>
      <c r="O2695" t="s">
        <v>68</v>
      </c>
      <c r="P2695">
        <v>1</v>
      </c>
      <c r="R2695">
        <v>175</v>
      </c>
      <c r="S2695" s="17">
        <v>42138</v>
      </c>
      <c r="T2695" s="17">
        <v>42138</v>
      </c>
      <c r="W2695">
        <v>2015</v>
      </c>
      <c r="X2695">
        <v>24</v>
      </c>
      <c r="AC2695" t="s">
        <v>136</v>
      </c>
      <c r="AD2695" t="s">
        <v>301</v>
      </c>
      <c r="AE2695" t="s">
        <v>46</v>
      </c>
      <c r="AG2695">
        <v>12</v>
      </c>
      <c r="AH2695">
        <v>2</v>
      </c>
      <c r="AI2695" t="s">
        <v>50</v>
      </c>
      <c r="AK2695">
        <v>0</v>
      </c>
      <c r="AM2695">
        <v>0</v>
      </c>
      <c r="AP2695" t="s">
        <v>392</v>
      </c>
    </row>
    <row r="2696" spans="1:42" customFormat="1">
      <c r="A2696">
        <v>270376</v>
      </c>
      <c r="B2696" t="s">
        <v>2878</v>
      </c>
      <c r="C2696" t="s">
        <v>2879</v>
      </c>
      <c r="D2696" s="22">
        <v>0</v>
      </c>
      <c r="E2696" s="17">
        <v>42136</v>
      </c>
      <c r="F2696" s="18">
        <v>0.42714120370370368</v>
      </c>
      <c r="G2696" s="22">
        <v>693</v>
      </c>
      <c r="H2696">
        <v>0</v>
      </c>
      <c r="I2696" s="19" t="e">
        <f>I2695 + (D2696-G2696)</f>
        <v>#VALUE!</v>
      </c>
      <c r="M2696">
        <v>123524</v>
      </c>
      <c r="N2696">
        <v>24</v>
      </c>
      <c r="O2696" t="s">
        <v>68</v>
      </c>
      <c r="P2696">
        <v>1</v>
      </c>
      <c r="R2696">
        <v>175</v>
      </c>
      <c r="S2696" s="17">
        <v>42144</v>
      </c>
      <c r="T2696" s="17">
        <v>42144</v>
      </c>
      <c r="W2696">
        <v>2015</v>
      </c>
      <c r="X2696">
        <v>24</v>
      </c>
      <c r="AC2696" t="s">
        <v>136</v>
      </c>
      <c r="AD2696" t="s">
        <v>301</v>
      </c>
      <c r="AE2696" t="s">
        <v>46</v>
      </c>
      <c r="AG2696">
        <v>12</v>
      </c>
      <c r="AH2696">
        <v>2</v>
      </c>
      <c r="AI2696" t="s">
        <v>50</v>
      </c>
      <c r="AK2696">
        <v>0</v>
      </c>
      <c r="AM2696">
        <v>0</v>
      </c>
      <c r="AP2696" t="s">
        <v>392</v>
      </c>
    </row>
    <row r="2697" spans="1:42" customFormat="1">
      <c r="A2697">
        <v>272788</v>
      </c>
      <c r="B2697" t="s">
        <v>3162</v>
      </c>
      <c r="C2697" t="s">
        <v>3163</v>
      </c>
      <c r="D2697" s="22">
        <v>0</v>
      </c>
      <c r="E2697" s="17">
        <v>42138</v>
      </c>
      <c r="F2697" s="18">
        <v>0.43556712962962968</v>
      </c>
      <c r="G2697" s="22">
        <v>999</v>
      </c>
      <c r="H2697">
        <v>0</v>
      </c>
      <c r="I2697" s="19" t="e">
        <f>I2696 + (D2697-G2697)</f>
        <v>#VALUE!</v>
      </c>
      <c r="N2697">
        <v>24</v>
      </c>
      <c r="O2697" t="s">
        <v>68</v>
      </c>
      <c r="P2697">
        <v>1</v>
      </c>
      <c r="R2697">
        <v>175</v>
      </c>
      <c r="S2697" s="17">
        <v>42166</v>
      </c>
      <c r="T2697" s="17">
        <v>42166</v>
      </c>
      <c r="W2697">
        <v>2015</v>
      </c>
      <c r="X2697">
        <v>24</v>
      </c>
      <c r="AC2697" t="s">
        <v>136</v>
      </c>
      <c r="AD2697" t="s">
        <v>301</v>
      </c>
      <c r="AE2697" t="s">
        <v>46</v>
      </c>
      <c r="AG2697">
        <v>12</v>
      </c>
      <c r="AH2697">
        <v>2</v>
      </c>
      <c r="AI2697" t="s">
        <v>50</v>
      </c>
      <c r="AM2697">
        <v>0</v>
      </c>
      <c r="AP2697" t="s">
        <v>392</v>
      </c>
    </row>
    <row r="2698" spans="1:42" customFormat="1">
      <c r="A2698">
        <v>272789</v>
      </c>
      <c r="B2698" t="s">
        <v>102</v>
      </c>
      <c r="C2698" t="s">
        <v>3164</v>
      </c>
      <c r="D2698" s="22">
        <v>0</v>
      </c>
      <c r="E2698" s="17">
        <v>42138</v>
      </c>
      <c r="F2698" s="18">
        <v>0.43682870370370369</v>
      </c>
      <c r="G2698" s="22">
        <v>1386</v>
      </c>
      <c r="H2698">
        <v>0</v>
      </c>
      <c r="I2698" s="19" t="e">
        <f>I2697 + (D2698-G2698)</f>
        <v>#VALUE!</v>
      </c>
      <c r="N2698">
        <v>24</v>
      </c>
      <c r="O2698" t="s">
        <v>68</v>
      </c>
      <c r="P2698">
        <v>1</v>
      </c>
      <c r="R2698">
        <v>175</v>
      </c>
      <c r="S2698" s="17">
        <v>42166</v>
      </c>
      <c r="T2698" s="17">
        <v>42166</v>
      </c>
      <c r="W2698">
        <v>2015</v>
      </c>
      <c r="X2698">
        <v>24</v>
      </c>
      <c r="AC2698" t="s">
        <v>136</v>
      </c>
      <c r="AD2698" t="s">
        <v>301</v>
      </c>
      <c r="AE2698" t="s">
        <v>46</v>
      </c>
      <c r="AG2698">
        <v>12</v>
      </c>
      <c r="AH2698">
        <v>2</v>
      </c>
      <c r="AI2698" t="s">
        <v>50</v>
      </c>
      <c r="AM2698">
        <v>0</v>
      </c>
      <c r="AP2698" t="s">
        <v>392</v>
      </c>
    </row>
    <row r="2699" spans="1:42" customFormat="1">
      <c r="A2699">
        <v>272790</v>
      </c>
      <c r="B2699" t="s">
        <v>102</v>
      </c>
      <c r="C2699" t="s">
        <v>3165</v>
      </c>
      <c r="D2699" s="22">
        <v>0</v>
      </c>
      <c r="E2699" s="17">
        <v>42138</v>
      </c>
      <c r="F2699" s="18">
        <v>0.43718750000000001</v>
      </c>
      <c r="G2699" s="22">
        <v>1386</v>
      </c>
      <c r="H2699">
        <v>0</v>
      </c>
      <c r="I2699" s="19" t="e">
        <f>I2698 + (D2699-G2699)</f>
        <v>#VALUE!</v>
      </c>
      <c r="N2699">
        <v>24</v>
      </c>
      <c r="O2699" t="s">
        <v>68</v>
      </c>
      <c r="P2699">
        <v>1</v>
      </c>
      <c r="R2699">
        <v>175</v>
      </c>
      <c r="S2699" s="17">
        <v>42166</v>
      </c>
      <c r="T2699" s="17">
        <v>42166</v>
      </c>
      <c r="W2699">
        <v>2015</v>
      </c>
      <c r="X2699">
        <v>24</v>
      </c>
      <c r="AC2699" t="s">
        <v>136</v>
      </c>
      <c r="AD2699" t="s">
        <v>301</v>
      </c>
      <c r="AE2699" t="s">
        <v>46</v>
      </c>
      <c r="AG2699">
        <v>12</v>
      </c>
      <c r="AH2699">
        <v>2</v>
      </c>
      <c r="AI2699" t="s">
        <v>50</v>
      </c>
      <c r="AM2699">
        <v>0</v>
      </c>
      <c r="AP2699" t="s">
        <v>392</v>
      </c>
    </row>
    <row r="2700" spans="1:42" customFormat="1">
      <c r="A2700">
        <v>272791</v>
      </c>
      <c r="B2700" t="s">
        <v>102</v>
      </c>
      <c r="C2700" t="s">
        <v>3166</v>
      </c>
      <c r="D2700" s="22">
        <v>0</v>
      </c>
      <c r="E2700" s="17">
        <v>42138</v>
      </c>
      <c r="F2700" s="18">
        <v>0.43747685185185187</v>
      </c>
      <c r="G2700" s="22">
        <v>1092</v>
      </c>
      <c r="H2700">
        <v>0</v>
      </c>
      <c r="I2700" s="19" t="e">
        <f>I2699 + (D2700-G2700)</f>
        <v>#VALUE!</v>
      </c>
      <c r="N2700">
        <v>24</v>
      </c>
      <c r="O2700" t="s">
        <v>68</v>
      </c>
      <c r="P2700">
        <v>1</v>
      </c>
      <c r="R2700">
        <v>175</v>
      </c>
      <c r="S2700" s="17">
        <v>42166</v>
      </c>
      <c r="T2700" s="17">
        <v>42166</v>
      </c>
      <c r="W2700">
        <v>2015</v>
      </c>
      <c r="X2700">
        <v>24</v>
      </c>
      <c r="AC2700" t="s">
        <v>136</v>
      </c>
      <c r="AD2700" t="s">
        <v>301</v>
      </c>
      <c r="AE2700" t="s">
        <v>46</v>
      </c>
      <c r="AG2700">
        <v>12</v>
      </c>
      <c r="AH2700">
        <v>2</v>
      </c>
      <c r="AI2700" t="s">
        <v>50</v>
      </c>
      <c r="AM2700">
        <v>0</v>
      </c>
      <c r="AP2700" t="s">
        <v>392</v>
      </c>
    </row>
    <row r="2701" spans="1:42" customFormat="1">
      <c r="A2701">
        <v>272792</v>
      </c>
      <c r="B2701" t="s">
        <v>102</v>
      </c>
      <c r="C2701" t="s">
        <v>3167</v>
      </c>
      <c r="D2701" s="22">
        <v>0</v>
      </c>
      <c r="E2701" s="17">
        <v>42138</v>
      </c>
      <c r="F2701" s="18">
        <v>0.43777777777777777</v>
      </c>
      <c r="G2701" s="22">
        <v>1386</v>
      </c>
      <c r="H2701">
        <v>0</v>
      </c>
      <c r="I2701" s="19" t="e">
        <f>I2700 + (D2701-G2701)</f>
        <v>#VALUE!</v>
      </c>
      <c r="N2701">
        <v>24</v>
      </c>
      <c r="O2701" t="s">
        <v>68</v>
      </c>
      <c r="P2701">
        <v>1</v>
      </c>
      <c r="R2701">
        <v>175</v>
      </c>
      <c r="S2701" s="17">
        <v>42166</v>
      </c>
      <c r="T2701" s="17">
        <v>42166</v>
      </c>
      <c r="W2701">
        <v>2015</v>
      </c>
      <c r="X2701">
        <v>24</v>
      </c>
      <c r="AC2701" t="s">
        <v>136</v>
      </c>
      <c r="AD2701" t="s">
        <v>301</v>
      </c>
      <c r="AE2701" t="s">
        <v>46</v>
      </c>
      <c r="AG2701">
        <v>12</v>
      </c>
      <c r="AH2701">
        <v>2</v>
      </c>
      <c r="AI2701" t="s">
        <v>50</v>
      </c>
      <c r="AM2701">
        <v>0</v>
      </c>
      <c r="AP2701" t="s">
        <v>392</v>
      </c>
    </row>
    <row r="2702" spans="1:42" customFormat="1">
      <c r="A2702">
        <v>272793</v>
      </c>
      <c r="B2702" t="s">
        <v>102</v>
      </c>
      <c r="C2702" t="s">
        <v>3168</v>
      </c>
      <c r="D2702" s="22">
        <v>0</v>
      </c>
      <c r="E2702" s="17">
        <v>42138</v>
      </c>
      <c r="F2702" s="18">
        <v>0.43805555555555559</v>
      </c>
      <c r="G2702" s="22">
        <v>1130</v>
      </c>
      <c r="H2702">
        <v>0</v>
      </c>
      <c r="I2702" s="19" t="e">
        <f>I2701 + (D2702-G2702)</f>
        <v>#VALUE!</v>
      </c>
      <c r="N2702">
        <v>24</v>
      </c>
      <c r="O2702" t="s">
        <v>68</v>
      </c>
      <c r="P2702">
        <v>1</v>
      </c>
      <c r="R2702">
        <v>175</v>
      </c>
      <c r="S2702" s="17">
        <v>42166</v>
      </c>
      <c r="T2702" s="17">
        <v>42166</v>
      </c>
      <c r="W2702">
        <v>2015</v>
      </c>
      <c r="X2702">
        <v>24</v>
      </c>
      <c r="AC2702" t="s">
        <v>136</v>
      </c>
      <c r="AD2702" t="s">
        <v>301</v>
      </c>
      <c r="AE2702" t="s">
        <v>46</v>
      </c>
      <c r="AG2702">
        <v>12</v>
      </c>
      <c r="AH2702">
        <v>2</v>
      </c>
      <c r="AI2702" t="s">
        <v>50</v>
      </c>
      <c r="AM2702">
        <v>0</v>
      </c>
      <c r="AP2702" t="s">
        <v>392</v>
      </c>
    </row>
    <row r="2703" spans="1:42" customFormat="1">
      <c r="A2703">
        <v>272794</v>
      </c>
      <c r="B2703" t="s">
        <v>102</v>
      </c>
      <c r="C2703" t="s">
        <v>3169</v>
      </c>
      <c r="D2703" s="22">
        <v>0</v>
      </c>
      <c r="E2703" s="17">
        <v>42138</v>
      </c>
      <c r="F2703" s="18">
        <v>0.43840277777777775</v>
      </c>
      <c r="G2703" s="22">
        <v>1386</v>
      </c>
      <c r="H2703">
        <v>0</v>
      </c>
      <c r="I2703" s="19" t="e">
        <f>I2702 + (D2703-G2703)</f>
        <v>#VALUE!</v>
      </c>
      <c r="N2703">
        <v>24</v>
      </c>
      <c r="O2703" t="s">
        <v>68</v>
      </c>
      <c r="P2703">
        <v>1</v>
      </c>
      <c r="R2703">
        <v>175</v>
      </c>
      <c r="S2703" s="17">
        <v>42166</v>
      </c>
      <c r="T2703" s="17">
        <v>42166</v>
      </c>
      <c r="W2703">
        <v>2015</v>
      </c>
      <c r="X2703">
        <v>24</v>
      </c>
      <c r="AC2703" t="s">
        <v>136</v>
      </c>
      <c r="AD2703" t="s">
        <v>301</v>
      </c>
      <c r="AE2703" t="s">
        <v>46</v>
      </c>
      <c r="AG2703">
        <v>12</v>
      </c>
      <c r="AH2703">
        <v>2</v>
      </c>
      <c r="AI2703" t="s">
        <v>50</v>
      </c>
      <c r="AM2703">
        <v>0</v>
      </c>
      <c r="AP2703" t="s">
        <v>392</v>
      </c>
    </row>
    <row r="2704" spans="1:42" customFormat="1">
      <c r="A2704">
        <v>272795</v>
      </c>
      <c r="B2704" t="s">
        <v>102</v>
      </c>
      <c r="C2704" t="s">
        <v>3170</v>
      </c>
      <c r="D2704" s="22">
        <v>0</v>
      </c>
      <c r="E2704" s="17">
        <v>42138</v>
      </c>
      <c r="F2704" s="18">
        <v>0.43876157407407407</v>
      </c>
      <c r="G2704" s="22">
        <v>1386</v>
      </c>
      <c r="H2704">
        <v>0</v>
      </c>
      <c r="I2704" s="19" t="e">
        <f>I2703 + (D2704-G2704)</f>
        <v>#VALUE!</v>
      </c>
      <c r="N2704">
        <v>24</v>
      </c>
      <c r="O2704" t="s">
        <v>68</v>
      </c>
      <c r="P2704">
        <v>1</v>
      </c>
      <c r="R2704">
        <v>175</v>
      </c>
      <c r="S2704" s="17">
        <v>42166</v>
      </c>
      <c r="T2704" s="17">
        <v>42166</v>
      </c>
      <c r="W2704">
        <v>2015</v>
      </c>
      <c r="X2704">
        <v>24</v>
      </c>
      <c r="AC2704" t="s">
        <v>136</v>
      </c>
      <c r="AD2704" t="s">
        <v>301</v>
      </c>
      <c r="AE2704" t="s">
        <v>46</v>
      </c>
      <c r="AG2704">
        <v>12</v>
      </c>
      <c r="AH2704">
        <v>2</v>
      </c>
      <c r="AI2704" t="s">
        <v>50</v>
      </c>
      <c r="AM2704">
        <v>0</v>
      </c>
      <c r="AP2704" t="s">
        <v>392</v>
      </c>
    </row>
    <row r="2705" spans="1:42" customFormat="1">
      <c r="A2705">
        <v>272800</v>
      </c>
      <c r="B2705" t="s">
        <v>3433</v>
      </c>
      <c r="C2705" t="s">
        <v>3434</v>
      </c>
      <c r="D2705" s="22">
        <v>0</v>
      </c>
      <c r="E2705" s="17">
        <v>42139</v>
      </c>
      <c r="F2705" s="18">
        <v>0.44274305555555554</v>
      </c>
      <c r="G2705" s="22">
        <v>708.14</v>
      </c>
      <c r="H2705">
        <v>0</v>
      </c>
      <c r="I2705" s="19" t="e">
        <f>I2704 + (D2705-G2705)</f>
        <v>#VALUE!</v>
      </c>
      <c r="M2705">
        <v>123522</v>
      </c>
      <c r="N2705">
        <v>24</v>
      </c>
      <c r="O2705" t="s">
        <v>68</v>
      </c>
      <c r="P2705">
        <v>1</v>
      </c>
      <c r="R2705">
        <v>175</v>
      </c>
      <c r="S2705" s="17">
        <v>42166</v>
      </c>
      <c r="T2705" s="17">
        <v>42166</v>
      </c>
      <c r="W2705">
        <v>2015</v>
      </c>
      <c r="X2705">
        <v>24</v>
      </c>
      <c r="AC2705" t="s">
        <v>136</v>
      </c>
      <c r="AD2705" t="s">
        <v>301</v>
      </c>
      <c r="AE2705" t="s">
        <v>46</v>
      </c>
      <c r="AG2705">
        <v>12</v>
      </c>
      <c r="AH2705">
        <v>2</v>
      </c>
      <c r="AI2705" t="s">
        <v>50</v>
      </c>
      <c r="AK2705">
        <v>0</v>
      </c>
      <c r="AM2705">
        <v>0</v>
      </c>
      <c r="AP2705" t="s">
        <v>392</v>
      </c>
    </row>
    <row r="2706" spans="1:42" customFormat="1">
      <c r="A2706">
        <v>272801</v>
      </c>
      <c r="B2706" t="s">
        <v>3435</v>
      </c>
      <c r="C2706" t="s">
        <v>3436</v>
      </c>
      <c r="D2706" s="22">
        <v>0</v>
      </c>
      <c r="E2706" s="17">
        <v>42139</v>
      </c>
      <c r="F2706" s="18">
        <v>0.44293981481481487</v>
      </c>
      <c r="G2706" s="22">
        <v>900</v>
      </c>
      <c r="H2706">
        <v>0</v>
      </c>
      <c r="I2706" s="19" t="e">
        <f>I2705 + (D2706-G2706)</f>
        <v>#VALUE!</v>
      </c>
      <c r="M2706">
        <v>123523</v>
      </c>
      <c r="N2706">
        <v>24</v>
      </c>
      <c r="O2706" t="s">
        <v>68</v>
      </c>
      <c r="P2706">
        <v>1</v>
      </c>
      <c r="R2706">
        <v>175</v>
      </c>
      <c r="S2706" s="17">
        <v>42166</v>
      </c>
      <c r="T2706" s="17">
        <v>42166</v>
      </c>
      <c r="W2706">
        <v>2015</v>
      </c>
      <c r="X2706">
        <v>24</v>
      </c>
      <c r="AC2706" t="s">
        <v>136</v>
      </c>
      <c r="AD2706" t="s">
        <v>301</v>
      </c>
      <c r="AE2706" t="s">
        <v>46</v>
      </c>
      <c r="AG2706">
        <v>12</v>
      </c>
      <c r="AH2706">
        <v>2</v>
      </c>
      <c r="AI2706" t="s">
        <v>50</v>
      </c>
      <c r="AK2706">
        <v>0</v>
      </c>
      <c r="AM2706">
        <v>0</v>
      </c>
      <c r="AP2706" t="s">
        <v>392</v>
      </c>
    </row>
    <row r="2707" spans="1:42" customFormat="1">
      <c r="A2707">
        <v>270551</v>
      </c>
      <c r="B2707" t="s">
        <v>3522</v>
      </c>
      <c r="C2707" t="s">
        <v>3523</v>
      </c>
      <c r="D2707" s="22">
        <v>0</v>
      </c>
      <c r="E2707" s="17">
        <v>42142</v>
      </c>
      <c r="F2707" s="18">
        <v>0.40596064814814814</v>
      </c>
      <c r="G2707" s="22">
        <v>1386</v>
      </c>
      <c r="H2707">
        <v>0</v>
      </c>
      <c r="I2707" s="19" t="e">
        <f>I2706 + (D2707-G2707)</f>
        <v>#VALUE!</v>
      </c>
      <c r="M2707">
        <v>123560</v>
      </c>
      <c r="N2707">
        <v>24</v>
      </c>
      <c r="O2707" t="s">
        <v>68</v>
      </c>
      <c r="P2707">
        <v>1</v>
      </c>
      <c r="R2707">
        <v>175</v>
      </c>
      <c r="S2707" s="17">
        <v>42145</v>
      </c>
      <c r="T2707" s="17">
        <v>42145</v>
      </c>
      <c r="W2707">
        <v>2015</v>
      </c>
      <c r="X2707">
        <v>24</v>
      </c>
      <c r="AC2707" t="s">
        <v>136</v>
      </c>
      <c r="AD2707" t="s">
        <v>301</v>
      </c>
      <c r="AE2707" t="s">
        <v>46</v>
      </c>
      <c r="AG2707">
        <v>52</v>
      </c>
      <c r="AH2707">
        <v>2</v>
      </c>
      <c r="AI2707" t="s">
        <v>50</v>
      </c>
      <c r="AK2707">
        <v>0</v>
      </c>
      <c r="AM2707">
        <v>0</v>
      </c>
      <c r="AP2707" t="s">
        <v>325</v>
      </c>
    </row>
    <row r="2708" spans="1:42" customFormat="1">
      <c r="A2708">
        <v>273083</v>
      </c>
      <c r="B2708" t="s">
        <v>3593</v>
      </c>
      <c r="C2708" t="s">
        <v>3594</v>
      </c>
      <c r="D2708" s="22">
        <v>0</v>
      </c>
      <c r="E2708" s="17">
        <v>42142</v>
      </c>
      <c r="F2708" s="18">
        <v>0.73222222222222222</v>
      </c>
      <c r="G2708" s="22">
        <v>1130</v>
      </c>
      <c r="H2708">
        <v>0</v>
      </c>
      <c r="I2708" s="19" t="e">
        <f>I2707 + (D2708-G2708)</f>
        <v>#VALUE!</v>
      </c>
      <c r="M2708">
        <v>126919</v>
      </c>
      <c r="N2708">
        <v>24</v>
      </c>
      <c r="O2708" t="s">
        <v>68</v>
      </c>
      <c r="P2708">
        <v>1</v>
      </c>
      <c r="R2708">
        <v>175</v>
      </c>
      <c r="S2708" s="17">
        <v>42170</v>
      </c>
      <c r="T2708" s="17">
        <v>42170</v>
      </c>
      <c r="W2708">
        <v>2015</v>
      </c>
      <c r="X2708">
        <v>24</v>
      </c>
      <c r="AC2708" t="s">
        <v>136</v>
      </c>
      <c r="AD2708" t="s">
        <v>301</v>
      </c>
      <c r="AE2708" t="s">
        <v>46</v>
      </c>
      <c r="AG2708">
        <v>4</v>
      </c>
      <c r="AH2708">
        <v>9</v>
      </c>
      <c r="AI2708" t="s">
        <v>54</v>
      </c>
      <c r="AK2708">
        <v>0</v>
      </c>
      <c r="AM2708">
        <v>0</v>
      </c>
      <c r="AP2708" t="s">
        <v>389</v>
      </c>
    </row>
    <row r="2709" spans="1:42" customFormat="1">
      <c r="A2709">
        <v>273084</v>
      </c>
      <c r="B2709" t="s">
        <v>3595</v>
      </c>
      <c r="C2709" t="s">
        <v>3596</v>
      </c>
      <c r="D2709" s="22">
        <v>0</v>
      </c>
      <c r="E2709" s="17">
        <v>42142</v>
      </c>
      <c r="F2709" s="18">
        <v>0.73222222222222222</v>
      </c>
      <c r="G2709" s="22">
        <v>1386</v>
      </c>
      <c r="H2709">
        <v>0</v>
      </c>
      <c r="I2709" s="19" t="e">
        <f>I2708 + (D2709-G2709)</f>
        <v>#VALUE!</v>
      </c>
      <c r="M2709">
        <v>126920</v>
      </c>
      <c r="N2709">
        <v>24</v>
      </c>
      <c r="O2709" t="s">
        <v>68</v>
      </c>
      <c r="P2709">
        <v>1</v>
      </c>
      <c r="R2709">
        <v>175</v>
      </c>
      <c r="S2709" s="17">
        <v>42170</v>
      </c>
      <c r="T2709" s="17">
        <v>42170</v>
      </c>
      <c r="W2709">
        <v>2015</v>
      </c>
      <c r="X2709">
        <v>24</v>
      </c>
      <c r="AC2709" t="s">
        <v>136</v>
      </c>
      <c r="AD2709" t="s">
        <v>301</v>
      </c>
      <c r="AE2709" t="s">
        <v>46</v>
      </c>
      <c r="AG2709">
        <v>4</v>
      </c>
      <c r="AH2709">
        <v>9</v>
      </c>
      <c r="AI2709" t="s">
        <v>54</v>
      </c>
      <c r="AK2709">
        <v>0</v>
      </c>
      <c r="AM2709">
        <v>0</v>
      </c>
      <c r="AP2709" t="s">
        <v>389</v>
      </c>
    </row>
    <row r="2710" spans="1:42" customFormat="1">
      <c r="A2710">
        <v>270923</v>
      </c>
      <c r="B2710" t="s">
        <v>3609</v>
      </c>
      <c r="C2710" t="s">
        <v>3610</v>
      </c>
      <c r="D2710" s="22">
        <v>0</v>
      </c>
      <c r="E2710" s="17">
        <v>42143</v>
      </c>
      <c r="F2710" s="18">
        <v>0.37967592592592592</v>
      </c>
      <c r="G2710" s="22">
        <v>220</v>
      </c>
      <c r="H2710">
        <v>0</v>
      </c>
      <c r="I2710" s="19" t="e">
        <f>I2709 + (D2710-G2710)</f>
        <v>#VALUE!</v>
      </c>
      <c r="M2710">
        <v>123962</v>
      </c>
      <c r="N2710">
        <v>24</v>
      </c>
      <c r="O2710" t="s">
        <v>68</v>
      </c>
      <c r="P2710">
        <v>2</v>
      </c>
      <c r="R2710">
        <v>175</v>
      </c>
      <c r="S2710" s="17">
        <v>42149</v>
      </c>
      <c r="T2710" s="17">
        <v>42149</v>
      </c>
      <c r="W2710">
        <v>2015</v>
      </c>
      <c r="X2710">
        <v>24</v>
      </c>
      <c r="AC2710" t="s">
        <v>136</v>
      </c>
      <c r="AD2710" t="s">
        <v>301</v>
      </c>
      <c r="AE2710" t="s">
        <v>46</v>
      </c>
      <c r="AG2710">
        <v>56</v>
      </c>
      <c r="AH2710">
        <v>1</v>
      </c>
      <c r="AI2710" t="s">
        <v>58</v>
      </c>
      <c r="AK2710">
        <v>0</v>
      </c>
      <c r="AM2710">
        <v>0</v>
      </c>
      <c r="AP2710" t="s">
        <v>59</v>
      </c>
    </row>
    <row r="2711" spans="1:42" customFormat="1">
      <c r="A2711">
        <v>270865</v>
      </c>
      <c r="B2711" t="s">
        <v>3795</v>
      </c>
      <c r="C2711" t="s">
        <v>3796</v>
      </c>
      <c r="D2711" s="22">
        <v>0</v>
      </c>
      <c r="E2711" s="17">
        <v>42143</v>
      </c>
      <c r="F2711" s="18">
        <v>0.65218750000000003</v>
      </c>
      <c r="G2711" s="22">
        <v>1386</v>
      </c>
      <c r="H2711">
        <v>0</v>
      </c>
      <c r="I2711" s="19" t="e">
        <f>I2710 + (D2711-G2711)</f>
        <v>#VALUE!</v>
      </c>
      <c r="M2711">
        <v>123835</v>
      </c>
      <c r="N2711">
        <v>24</v>
      </c>
      <c r="O2711" t="s">
        <v>68</v>
      </c>
      <c r="P2711">
        <v>1</v>
      </c>
      <c r="R2711">
        <v>175</v>
      </c>
      <c r="S2711" s="17">
        <v>42146</v>
      </c>
      <c r="T2711" s="17">
        <v>42146</v>
      </c>
      <c r="W2711">
        <v>2015</v>
      </c>
      <c r="X2711">
        <v>24</v>
      </c>
      <c r="AC2711" t="s">
        <v>136</v>
      </c>
      <c r="AD2711" t="s">
        <v>301</v>
      </c>
      <c r="AE2711" t="s">
        <v>46</v>
      </c>
      <c r="AG2711">
        <v>2</v>
      </c>
      <c r="AH2711">
        <v>2</v>
      </c>
      <c r="AI2711" t="s">
        <v>50</v>
      </c>
      <c r="AK2711">
        <v>0</v>
      </c>
      <c r="AM2711">
        <v>0</v>
      </c>
      <c r="AP2711" t="s">
        <v>2544</v>
      </c>
    </row>
    <row r="2712" spans="1:42" customFormat="1">
      <c r="A2712">
        <v>270866</v>
      </c>
      <c r="B2712" t="s">
        <v>3797</v>
      </c>
      <c r="C2712" t="s">
        <v>3798</v>
      </c>
      <c r="D2712" s="22">
        <v>0</v>
      </c>
      <c r="E2712" s="17">
        <v>42143</v>
      </c>
      <c r="F2712" s="18">
        <v>0.65238425925925925</v>
      </c>
      <c r="G2712" s="22">
        <v>1386</v>
      </c>
      <c r="H2712">
        <v>0</v>
      </c>
      <c r="I2712" s="19" t="e">
        <f>I2711 + (D2712-G2712)</f>
        <v>#VALUE!</v>
      </c>
      <c r="M2712">
        <v>123836</v>
      </c>
      <c r="N2712">
        <v>24</v>
      </c>
      <c r="O2712" t="s">
        <v>68</v>
      </c>
      <c r="P2712">
        <v>1</v>
      </c>
      <c r="R2712">
        <v>175</v>
      </c>
      <c r="S2712" s="17">
        <v>42146</v>
      </c>
      <c r="T2712" s="17">
        <v>42146</v>
      </c>
      <c r="W2712">
        <v>2015</v>
      </c>
      <c r="X2712">
        <v>24</v>
      </c>
      <c r="AC2712" t="s">
        <v>136</v>
      </c>
      <c r="AD2712" t="s">
        <v>301</v>
      </c>
      <c r="AE2712" t="s">
        <v>46</v>
      </c>
      <c r="AG2712">
        <v>2</v>
      </c>
      <c r="AH2712">
        <v>2</v>
      </c>
      <c r="AI2712" t="s">
        <v>50</v>
      </c>
      <c r="AK2712">
        <v>0</v>
      </c>
      <c r="AM2712">
        <v>0</v>
      </c>
      <c r="AP2712" t="s">
        <v>2544</v>
      </c>
    </row>
    <row r="2713" spans="1:42" customFormat="1">
      <c r="A2713">
        <v>270867</v>
      </c>
      <c r="B2713" t="s">
        <v>3799</v>
      </c>
      <c r="C2713" t="s">
        <v>3800</v>
      </c>
      <c r="D2713" s="22">
        <v>0</v>
      </c>
      <c r="E2713" s="17">
        <v>42143</v>
      </c>
      <c r="F2713" s="18">
        <v>0.6525347222222222</v>
      </c>
      <c r="G2713" s="22">
        <v>1386</v>
      </c>
      <c r="H2713">
        <v>0</v>
      </c>
      <c r="I2713" s="19" t="e">
        <f>I2712 + (D2713-G2713)</f>
        <v>#VALUE!</v>
      </c>
      <c r="M2713">
        <v>123833</v>
      </c>
      <c r="N2713">
        <v>24</v>
      </c>
      <c r="O2713" t="s">
        <v>68</v>
      </c>
      <c r="P2713">
        <v>1</v>
      </c>
      <c r="R2713">
        <v>175</v>
      </c>
      <c r="S2713" s="17">
        <v>42146</v>
      </c>
      <c r="T2713" s="17">
        <v>42146</v>
      </c>
      <c r="W2713">
        <v>2015</v>
      </c>
      <c r="X2713">
        <v>24</v>
      </c>
      <c r="AC2713" t="s">
        <v>136</v>
      </c>
      <c r="AD2713" t="s">
        <v>301</v>
      </c>
      <c r="AE2713" t="s">
        <v>46</v>
      </c>
      <c r="AG2713">
        <v>2</v>
      </c>
      <c r="AH2713">
        <v>2</v>
      </c>
      <c r="AI2713" t="s">
        <v>50</v>
      </c>
      <c r="AK2713">
        <v>0</v>
      </c>
      <c r="AM2713">
        <v>0</v>
      </c>
      <c r="AP2713" t="s">
        <v>2544</v>
      </c>
    </row>
    <row r="2714" spans="1:42" customFormat="1">
      <c r="A2714">
        <v>270868</v>
      </c>
      <c r="B2714" t="s">
        <v>3801</v>
      </c>
      <c r="C2714" t="s">
        <v>3802</v>
      </c>
      <c r="D2714" s="22">
        <v>0</v>
      </c>
      <c r="E2714" s="17">
        <v>42143</v>
      </c>
      <c r="F2714" s="18">
        <v>0.6526967592592593</v>
      </c>
      <c r="G2714" s="22">
        <v>1386</v>
      </c>
      <c r="H2714">
        <v>0</v>
      </c>
      <c r="I2714" s="19" t="e">
        <f>I2713 + (D2714-G2714)</f>
        <v>#VALUE!</v>
      </c>
      <c r="M2714">
        <v>123832</v>
      </c>
      <c r="N2714">
        <v>24</v>
      </c>
      <c r="O2714" t="s">
        <v>68</v>
      </c>
      <c r="P2714">
        <v>1</v>
      </c>
      <c r="R2714">
        <v>175</v>
      </c>
      <c r="S2714" s="17">
        <v>42146</v>
      </c>
      <c r="T2714" s="17">
        <v>42146</v>
      </c>
      <c r="W2714">
        <v>2015</v>
      </c>
      <c r="X2714">
        <v>24</v>
      </c>
      <c r="AC2714" t="s">
        <v>136</v>
      </c>
      <c r="AD2714" t="s">
        <v>301</v>
      </c>
      <c r="AE2714" t="s">
        <v>46</v>
      </c>
      <c r="AG2714">
        <v>2</v>
      </c>
      <c r="AH2714">
        <v>2</v>
      </c>
      <c r="AI2714" t="s">
        <v>50</v>
      </c>
      <c r="AK2714">
        <v>0</v>
      </c>
      <c r="AM2714">
        <v>0</v>
      </c>
      <c r="AP2714" t="s">
        <v>2544</v>
      </c>
    </row>
    <row r="2715" spans="1:42" customFormat="1">
      <c r="A2715">
        <v>270869</v>
      </c>
      <c r="B2715" t="s">
        <v>3803</v>
      </c>
      <c r="C2715" t="s">
        <v>3804</v>
      </c>
      <c r="D2715" s="22">
        <v>0</v>
      </c>
      <c r="E2715" s="17">
        <v>42143</v>
      </c>
      <c r="F2715" s="18">
        <v>0.65293981481481478</v>
      </c>
      <c r="G2715" s="22">
        <v>1280</v>
      </c>
      <c r="H2715">
        <v>0</v>
      </c>
      <c r="I2715" s="19" t="e">
        <f>I2714 + (D2715-G2715)</f>
        <v>#VALUE!</v>
      </c>
      <c r="M2715">
        <v>123834</v>
      </c>
      <c r="N2715">
        <v>24</v>
      </c>
      <c r="O2715" t="s">
        <v>68</v>
      </c>
      <c r="P2715">
        <v>1</v>
      </c>
      <c r="R2715">
        <v>175</v>
      </c>
      <c r="S2715" s="17">
        <v>42146</v>
      </c>
      <c r="T2715" s="17">
        <v>42146</v>
      </c>
      <c r="W2715">
        <v>2015</v>
      </c>
      <c r="X2715">
        <v>24</v>
      </c>
      <c r="AC2715" t="s">
        <v>136</v>
      </c>
      <c r="AD2715" t="s">
        <v>301</v>
      </c>
      <c r="AE2715" t="s">
        <v>46</v>
      </c>
      <c r="AG2715">
        <v>2</v>
      </c>
      <c r="AH2715">
        <v>2</v>
      </c>
      <c r="AI2715" t="s">
        <v>50</v>
      </c>
      <c r="AK2715">
        <v>0</v>
      </c>
      <c r="AM2715">
        <v>0</v>
      </c>
      <c r="AP2715" t="s">
        <v>2544</v>
      </c>
    </row>
    <row r="2716" spans="1:42" customFormat="1">
      <c r="A2716">
        <v>270948</v>
      </c>
      <c r="B2716" t="s">
        <v>4124</v>
      </c>
      <c r="C2716" t="s">
        <v>4125</v>
      </c>
      <c r="D2716" s="22">
        <v>0</v>
      </c>
      <c r="E2716" s="17">
        <v>42146</v>
      </c>
      <c r="F2716" s="18">
        <v>0.41751157407407408</v>
      </c>
      <c r="G2716" s="22">
        <v>1386</v>
      </c>
      <c r="H2716">
        <v>0</v>
      </c>
      <c r="I2716" s="19" t="e">
        <f>I2715 + (D2716-G2716)</f>
        <v>#VALUE!</v>
      </c>
      <c r="M2716">
        <v>123992</v>
      </c>
      <c r="N2716">
        <v>24</v>
      </c>
      <c r="O2716" t="s">
        <v>68</v>
      </c>
      <c r="P2716">
        <v>1</v>
      </c>
      <c r="R2716">
        <v>175</v>
      </c>
      <c r="S2716" s="17">
        <v>42149</v>
      </c>
      <c r="T2716" s="17">
        <v>42149</v>
      </c>
      <c r="W2716">
        <v>2015</v>
      </c>
      <c r="X2716">
        <v>24</v>
      </c>
      <c r="AC2716" t="s">
        <v>136</v>
      </c>
      <c r="AD2716" t="s">
        <v>301</v>
      </c>
      <c r="AE2716" t="s">
        <v>46</v>
      </c>
      <c r="AG2716">
        <v>4</v>
      </c>
      <c r="AH2716">
        <v>9</v>
      </c>
      <c r="AI2716" t="s">
        <v>54</v>
      </c>
      <c r="AK2716">
        <v>0</v>
      </c>
      <c r="AM2716">
        <v>0</v>
      </c>
      <c r="AP2716" t="s">
        <v>389</v>
      </c>
    </row>
    <row r="2717" spans="1:42" customFormat="1">
      <c r="A2717">
        <v>270955</v>
      </c>
      <c r="B2717" t="s">
        <v>4149</v>
      </c>
      <c r="C2717" t="s">
        <v>4150</v>
      </c>
      <c r="D2717" s="22">
        <v>0</v>
      </c>
      <c r="E2717" s="17">
        <v>42146</v>
      </c>
      <c r="F2717" s="18">
        <v>0.42473379629629626</v>
      </c>
      <c r="G2717" s="22">
        <v>190</v>
      </c>
      <c r="H2717">
        <v>0</v>
      </c>
      <c r="I2717" s="19" t="e">
        <f>I2716 + (D2717-G2717)</f>
        <v>#VALUE!</v>
      </c>
      <c r="M2717">
        <v>124000</v>
      </c>
      <c r="N2717">
        <v>24</v>
      </c>
      <c r="O2717" t="s">
        <v>68</v>
      </c>
      <c r="P2717">
        <v>1</v>
      </c>
      <c r="R2717">
        <v>175</v>
      </c>
      <c r="S2717" s="17">
        <v>42149</v>
      </c>
      <c r="T2717" s="17">
        <v>42149</v>
      </c>
      <c r="W2717">
        <v>2015</v>
      </c>
      <c r="X2717">
        <v>24</v>
      </c>
      <c r="AC2717" t="s">
        <v>136</v>
      </c>
      <c r="AD2717" t="s">
        <v>301</v>
      </c>
      <c r="AE2717" t="s">
        <v>46</v>
      </c>
      <c r="AG2717">
        <v>56</v>
      </c>
      <c r="AH2717">
        <v>1</v>
      </c>
      <c r="AI2717" t="s">
        <v>58</v>
      </c>
      <c r="AK2717">
        <v>0</v>
      </c>
      <c r="AM2717">
        <v>0</v>
      </c>
      <c r="AP2717" t="s">
        <v>59</v>
      </c>
    </row>
    <row r="2718" spans="1:42" customFormat="1">
      <c r="A2718">
        <v>273094</v>
      </c>
      <c r="B2718" t="s">
        <v>4498</v>
      </c>
      <c r="C2718" t="s">
        <v>4499</v>
      </c>
      <c r="D2718" s="22">
        <v>0</v>
      </c>
      <c r="E2718" s="17">
        <v>42146</v>
      </c>
      <c r="F2718" s="18">
        <v>0.75760416666666675</v>
      </c>
      <c r="G2718" s="22">
        <v>1386</v>
      </c>
      <c r="H2718">
        <v>0</v>
      </c>
      <c r="I2718" s="19" t="e">
        <f>I2717 + (D2718-G2718)</f>
        <v>#VALUE!</v>
      </c>
      <c r="M2718">
        <v>124275</v>
      </c>
      <c r="N2718">
        <v>24</v>
      </c>
      <c r="O2718" t="s">
        <v>68</v>
      </c>
      <c r="P2718">
        <v>2</v>
      </c>
      <c r="R2718">
        <v>175</v>
      </c>
      <c r="S2718" s="17">
        <v>42170</v>
      </c>
      <c r="T2718" s="17">
        <v>42170</v>
      </c>
      <c r="W2718">
        <v>2015</v>
      </c>
      <c r="X2718">
        <v>24</v>
      </c>
      <c r="AC2718" t="s">
        <v>136</v>
      </c>
      <c r="AD2718" t="s">
        <v>301</v>
      </c>
      <c r="AE2718" t="s">
        <v>46</v>
      </c>
      <c r="AG2718">
        <v>2</v>
      </c>
      <c r="AH2718">
        <v>2</v>
      </c>
      <c r="AI2718" t="s">
        <v>50</v>
      </c>
      <c r="AK2718">
        <v>0</v>
      </c>
      <c r="AM2718">
        <v>0</v>
      </c>
      <c r="AP2718" t="s">
        <v>2544</v>
      </c>
    </row>
    <row r="2719" spans="1:42" customFormat="1">
      <c r="A2719">
        <v>273118</v>
      </c>
      <c r="B2719" t="s">
        <v>5196</v>
      </c>
      <c r="C2719" t="s">
        <v>5197</v>
      </c>
      <c r="D2719" s="22">
        <v>0</v>
      </c>
      <c r="E2719" s="17">
        <v>42153</v>
      </c>
      <c r="F2719" s="18">
        <v>0.38510416666666664</v>
      </c>
      <c r="G2719" s="22">
        <v>294.60000000000002</v>
      </c>
      <c r="H2719">
        <v>0</v>
      </c>
      <c r="I2719" s="19" t="e">
        <f>I2718 + (D2719-G2719)</f>
        <v>#VALUE!</v>
      </c>
      <c r="M2719">
        <v>124438</v>
      </c>
      <c r="N2719">
        <v>24</v>
      </c>
      <c r="O2719" t="s">
        <v>68</v>
      </c>
      <c r="P2719">
        <v>1</v>
      </c>
      <c r="R2719">
        <v>175</v>
      </c>
      <c r="S2719" s="17">
        <v>42171</v>
      </c>
      <c r="T2719" s="17">
        <v>42171</v>
      </c>
      <c r="W2719">
        <v>2015</v>
      </c>
      <c r="X2719">
        <v>24</v>
      </c>
      <c r="AC2719" t="s">
        <v>136</v>
      </c>
      <c r="AD2719" t="s">
        <v>301</v>
      </c>
      <c r="AE2719" t="s">
        <v>46</v>
      </c>
      <c r="AG2719">
        <v>2</v>
      </c>
      <c r="AH2719">
        <v>2</v>
      </c>
      <c r="AI2719" t="s">
        <v>50</v>
      </c>
      <c r="AK2719">
        <v>0</v>
      </c>
      <c r="AM2719">
        <v>0</v>
      </c>
      <c r="AP2719" t="s">
        <v>2544</v>
      </c>
    </row>
    <row r="2720" spans="1:42" customFormat="1">
      <c r="A2720">
        <v>273119</v>
      </c>
      <c r="B2720" t="s">
        <v>5198</v>
      </c>
      <c r="C2720" t="s">
        <v>5199</v>
      </c>
      <c r="D2720" s="22">
        <v>0</v>
      </c>
      <c r="E2720" s="17">
        <v>42153</v>
      </c>
      <c r="F2720" s="18">
        <v>0.38526620370370374</v>
      </c>
      <c r="G2720" s="22">
        <v>1000</v>
      </c>
      <c r="H2720">
        <v>0</v>
      </c>
      <c r="I2720" s="19" t="e">
        <f>I2719 + (D2720-G2720)</f>
        <v>#VALUE!</v>
      </c>
      <c r="M2720">
        <v>124340</v>
      </c>
      <c r="N2720">
        <v>24</v>
      </c>
      <c r="O2720" t="s">
        <v>68</v>
      </c>
      <c r="P2720">
        <v>1</v>
      </c>
      <c r="R2720">
        <v>175</v>
      </c>
      <c r="S2720" s="17">
        <v>42171</v>
      </c>
      <c r="T2720" s="17">
        <v>42171</v>
      </c>
      <c r="W2720">
        <v>2015</v>
      </c>
      <c r="X2720">
        <v>24</v>
      </c>
      <c r="AC2720" t="s">
        <v>136</v>
      </c>
      <c r="AD2720" t="s">
        <v>301</v>
      </c>
      <c r="AE2720" t="s">
        <v>46</v>
      </c>
      <c r="AG2720">
        <v>2</v>
      </c>
      <c r="AH2720">
        <v>2</v>
      </c>
      <c r="AI2720" t="s">
        <v>50</v>
      </c>
      <c r="AK2720">
        <v>0</v>
      </c>
      <c r="AM2720">
        <v>0</v>
      </c>
      <c r="AP2720" t="s">
        <v>2544</v>
      </c>
    </row>
    <row r="2721" spans="1:42" customFormat="1">
      <c r="A2721">
        <v>273120</v>
      </c>
      <c r="B2721" t="s">
        <v>5200</v>
      </c>
      <c r="C2721" t="s">
        <v>5201</v>
      </c>
      <c r="D2721" s="22">
        <v>0</v>
      </c>
      <c r="E2721" s="17">
        <v>42153</v>
      </c>
      <c r="F2721" s="18">
        <v>0.38543981481481482</v>
      </c>
      <c r="G2721" s="22">
        <v>1200</v>
      </c>
      <c r="H2721">
        <v>0</v>
      </c>
      <c r="I2721" s="19" t="e">
        <f>I2720 + (D2721-G2721)</f>
        <v>#VALUE!</v>
      </c>
      <c r="M2721">
        <v>124348</v>
      </c>
      <c r="N2721">
        <v>24</v>
      </c>
      <c r="O2721" t="s">
        <v>68</v>
      </c>
      <c r="P2721">
        <v>1</v>
      </c>
      <c r="R2721">
        <v>175</v>
      </c>
      <c r="S2721" s="17">
        <v>42171</v>
      </c>
      <c r="T2721" s="17">
        <v>42171</v>
      </c>
      <c r="W2721">
        <v>2015</v>
      </c>
      <c r="X2721">
        <v>24</v>
      </c>
      <c r="AC2721" t="s">
        <v>136</v>
      </c>
      <c r="AD2721" t="s">
        <v>301</v>
      </c>
      <c r="AE2721" t="s">
        <v>46</v>
      </c>
      <c r="AG2721">
        <v>2</v>
      </c>
      <c r="AH2721">
        <v>2</v>
      </c>
      <c r="AI2721" t="s">
        <v>50</v>
      </c>
      <c r="AK2721">
        <v>0</v>
      </c>
      <c r="AM2721">
        <v>0</v>
      </c>
      <c r="AP2721" t="s">
        <v>2544</v>
      </c>
    </row>
    <row r="2722" spans="1:42" customFormat="1">
      <c r="A2722">
        <v>273121</v>
      </c>
      <c r="B2722" t="s">
        <v>5202</v>
      </c>
      <c r="C2722" t="s">
        <v>5203</v>
      </c>
      <c r="D2722" s="22">
        <v>0</v>
      </c>
      <c r="E2722" s="17">
        <v>42153</v>
      </c>
      <c r="F2722" s="18">
        <v>0.3856134259259259</v>
      </c>
      <c r="G2722" s="22">
        <v>521.52</v>
      </c>
      <c r="H2722">
        <v>0</v>
      </c>
      <c r="I2722" s="19" t="e">
        <f>I2721 + (D2722-G2722)</f>
        <v>#VALUE!</v>
      </c>
      <c r="M2722">
        <v>124349</v>
      </c>
      <c r="N2722">
        <v>24</v>
      </c>
      <c r="O2722" t="s">
        <v>68</v>
      </c>
      <c r="P2722">
        <v>1</v>
      </c>
      <c r="R2722">
        <v>175</v>
      </c>
      <c r="S2722" s="17">
        <v>42171</v>
      </c>
      <c r="T2722" s="17">
        <v>42171</v>
      </c>
      <c r="W2722">
        <v>2015</v>
      </c>
      <c r="X2722">
        <v>24</v>
      </c>
      <c r="AC2722" t="s">
        <v>136</v>
      </c>
      <c r="AD2722" t="s">
        <v>301</v>
      </c>
      <c r="AE2722" t="s">
        <v>46</v>
      </c>
      <c r="AG2722">
        <v>2</v>
      </c>
      <c r="AH2722">
        <v>2</v>
      </c>
      <c r="AI2722" t="s">
        <v>50</v>
      </c>
      <c r="AK2722">
        <v>0</v>
      </c>
      <c r="AM2722">
        <v>0</v>
      </c>
      <c r="AP2722" t="s">
        <v>2544</v>
      </c>
    </row>
    <row r="2723" spans="1:42" customFormat="1">
      <c r="A2723">
        <v>273122</v>
      </c>
      <c r="B2723" t="s">
        <v>5204</v>
      </c>
      <c r="C2723" t="s">
        <v>5205</v>
      </c>
      <c r="D2723" s="22">
        <v>0</v>
      </c>
      <c r="E2723" s="17">
        <v>42153</v>
      </c>
      <c r="F2723" s="18">
        <v>0.38578703703703704</v>
      </c>
      <c r="G2723" s="22">
        <v>1339.35</v>
      </c>
      <c r="H2723">
        <v>0</v>
      </c>
      <c r="I2723" s="19" t="e">
        <f>I2722 + (D2723-G2723)</f>
        <v>#VALUE!</v>
      </c>
      <c r="M2723">
        <v>124339</v>
      </c>
      <c r="N2723">
        <v>24</v>
      </c>
      <c r="O2723" t="s">
        <v>68</v>
      </c>
      <c r="P2723">
        <v>1</v>
      </c>
      <c r="R2723">
        <v>175</v>
      </c>
      <c r="S2723" s="17">
        <v>42171</v>
      </c>
      <c r="T2723" s="17">
        <v>42171</v>
      </c>
      <c r="W2723">
        <v>2015</v>
      </c>
      <c r="X2723">
        <v>24</v>
      </c>
      <c r="AC2723" t="s">
        <v>136</v>
      </c>
      <c r="AD2723" t="s">
        <v>301</v>
      </c>
      <c r="AE2723" t="s">
        <v>46</v>
      </c>
      <c r="AG2723">
        <v>2</v>
      </c>
      <c r="AH2723">
        <v>2</v>
      </c>
      <c r="AI2723" t="s">
        <v>50</v>
      </c>
      <c r="AK2723">
        <v>0</v>
      </c>
      <c r="AM2723">
        <v>0</v>
      </c>
      <c r="AP2723" t="s">
        <v>2544</v>
      </c>
    </row>
    <row r="2724" spans="1:42" customFormat="1">
      <c r="A2724">
        <v>273123</v>
      </c>
      <c r="B2724" t="s">
        <v>5207</v>
      </c>
      <c r="C2724" t="s">
        <v>5208</v>
      </c>
      <c r="D2724" s="22">
        <v>0</v>
      </c>
      <c r="E2724" s="17">
        <v>42153</v>
      </c>
      <c r="F2724" s="18">
        <v>0.38596064814814812</v>
      </c>
      <c r="G2724" s="22">
        <v>1178.4000000000001</v>
      </c>
      <c r="H2724">
        <v>0</v>
      </c>
      <c r="I2724" s="19" t="e">
        <f>I2723 + (D2724-G2724)</f>
        <v>#VALUE!</v>
      </c>
      <c r="M2724">
        <v>124346</v>
      </c>
      <c r="N2724">
        <v>24</v>
      </c>
      <c r="O2724" t="s">
        <v>68</v>
      </c>
      <c r="P2724">
        <v>1</v>
      </c>
      <c r="R2724">
        <v>175</v>
      </c>
      <c r="S2724" s="17">
        <v>42171</v>
      </c>
      <c r="T2724" s="17">
        <v>42171</v>
      </c>
      <c r="W2724">
        <v>2015</v>
      </c>
      <c r="X2724">
        <v>24</v>
      </c>
      <c r="AC2724" t="s">
        <v>136</v>
      </c>
      <c r="AD2724" t="s">
        <v>301</v>
      </c>
      <c r="AE2724" t="s">
        <v>46</v>
      </c>
      <c r="AG2724">
        <v>2</v>
      </c>
      <c r="AH2724">
        <v>2</v>
      </c>
      <c r="AI2724" t="s">
        <v>50</v>
      </c>
      <c r="AK2724">
        <v>0</v>
      </c>
      <c r="AM2724">
        <v>0</v>
      </c>
      <c r="AP2724" t="s">
        <v>2544</v>
      </c>
    </row>
    <row r="2725" spans="1:42" customFormat="1">
      <c r="A2725">
        <v>273124</v>
      </c>
      <c r="B2725" t="s">
        <v>5209</v>
      </c>
      <c r="C2725" t="s">
        <v>5210</v>
      </c>
      <c r="D2725" s="22">
        <v>0</v>
      </c>
      <c r="E2725" s="17">
        <v>42153</v>
      </c>
      <c r="F2725" s="18">
        <v>0.38616898148148149</v>
      </c>
      <c r="G2725" s="22">
        <v>1178.0999999999999</v>
      </c>
      <c r="H2725">
        <v>0</v>
      </c>
      <c r="I2725" s="19" t="e">
        <f>I2724 + (D2725-G2725)</f>
        <v>#VALUE!</v>
      </c>
      <c r="M2725">
        <v>124343</v>
      </c>
      <c r="N2725">
        <v>24</v>
      </c>
      <c r="O2725" t="s">
        <v>68</v>
      </c>
      <c r="P2725">
        <v>1</v>
      </c>
      <c r="R2725">
        <v>175</v>
      </c>
      <c r="S2725" s="17">
        <v>42171</v>
      </c>
      <c r="T2725" s="17">
        <v>42171</v>
      </c>
      <c r="W2725">
        <v>2015</v>
      </c>
      <c r="X2725">
        <v>24</v>
      </c>
      <c r="AC2725" t="s">
        <v>136</v>
      </c>
      <c r="AD2725" t="s">
        <v>301</v>
      </c>
      <c r="AE2725" t="s">
        <v>46</v>
      </c>
      <c r="AG2725">
        <v>2</v>
      </c>
      <c r="AH2725">
        <v>2</v>
      </c>
      <c r="AI2725" t="s">
        <v>50</v>
      </c>
      <c r="AK2725">
        <v>0</v>
      </c>
      <c r="AM2725">
        <v>0</v>
      </c>
      <c r="AP2725" t="s">
        <v>2544</v>
      </c>
    </row>
    <row r="2726" spans="1:42" customFormat="1">
      <c r="A2726">
        <v>273125</v>
      </c>
      <c r="B2726" t="s">
        <v>5211</v>
      </c>
      <c r="C2726" t="s">
        <v>5212</v>
      </c>
      <c r="D2726" s="22">
        <v>0</v>
      </c>
      <c r="E2726" s="17">
        <v>42153</v>
      </c>
      <c r="F2726" s="18">
        <v>0.38634259259259257</v>
      </c>
      <c r="G2726" s="22">
        <v>1325.7</v>
      </c>
      <c r="H2726">
        <v>0</v>
      </c>
      <c r="I2726" s="19" t="e">
        <f>I2725 + (D2726-G2726)</f>
        <v>#VALUE!</v>
      </c>
      <c r="M2726">
        <v>124342</v>
      </c>
      <c r="N2726">
        <v>24</v>
      </c>
      <c r="O2726" t="s">
        <v>68</v>
      </c>
      <c r="P2726">
        <v>1</v>
      </c>
      <c r="R2726">
        <v>175</v>
      </c>
      <c r="S2726" s="17">
        <v>42171</v>
      </c>
      <c r="T2726" s="17">
        <v>42171</v>
      </c>
      <c r="W2726">
        <v>2015</v>
      </c>
      <c r="X2726">
        <v>24</v>
      </c>
      <c r="AC2726" t="s">
        <v>136</v>
      </c>
      <c r="AD2726" t="s">
        <v>301</v>
      </c>
      <c r="AE2726" t="s">
        <v>46</v>
      </c>
      <c r="AG2726">
        <v>2</v>
      </c>
      <c r="AH2726">
        <v>2</v>
      </c>
      <c r="AI2726" t="s">
        <v>50</v>
      </c>
      <c r="AK2726">
        <v>0</v>
      </c>
      <c r="AM2726">
        <v>0</v>
      </c>
      <c r="AP2726" t="s">
        <v>2544</v>
      </c>
    </row>
    <row r="2727" spans="1:42" customFormat="1">
      <c r="A2727">
        <v>273126</v>
      </c>
      <c r="B2727" t="s">
        <v>5213</v>
      </c>
      <c r="C2727" t="s">
        <v>5214</v>
      </c>
      <c r="D2727" s="22">
        <v>0</v>
      </c>
      <c r="E2727" s="17">
        <v>42153</v>
      </c>
      <c r="F2727" s="18">
        <v>0.38648148148148148</v>
      </c>
      <c r="G2727" s="22">
        <v>328.7</v>
      </c>
      <c r="H2727">
        <v>0</v>
      </c>
      <c r="I2727" s="19" t="e">
        <f>I2726 + (D2727-G2727)</f>
        <v>#VALUE!</v>
      </c>
      <c r="M2727">
        <v>124347</v>
      </c>
      <c r="N2727">
        <v>24</v>
      </c>
      <c r="O2727" t="s">
        <v>68</v>
      </c>
      <c r="P2727">
        <v>1</v>
      </c>
      <c r="R2727">
        <v>175</v>
      </c>
      <c r="S2727" s="17">
        <v>42171</v>
      </c>
      <c r="T2727" s="17">
        <v>42171</v>
      </c>
      <c r="W2727">
        <v>2015</v>
      </c>
      <c r="X2727">
        <v>24</v>
      </c>
      <c r="AC2727" t="s">
        <v>136</v>
      </c>
      <c r="AD2727" t="s">
        <v>301</v>
      </c>
      <c r="AE2727" t="s">
        <v>46</v>
      </c>
      <c r="AG2727">
        <v>2</v>
      </c>
      <c r="AH2727">
        <v>2</v>
      </c>
      <c r="AI2727" t="s">
        <v>50</v>
      </c>
      <c r="AK2727">
        <v>0</v>
      </c>
      <c r="AM2727">
        <v>0</v>
      </c>
      <c r="AP2727" t="s">
        <v>2544</v>
      </c>
    </row>
    <row r="2728" spans="1:42" customFormat="1">
      <c r="A2728">
        <v>271384</v>
      </c>
      <c r="B2728" t="s">
        <v>4922</v>
      </c>
      <c r="C2728" t="s">
        <v>4923</v>
      </c>
      <c r="D2728" s="22">
        <v>0</v>
      </c>
      <c r="E2728" s="17">
        <v>42150</v>
      </c>
      <c r="F2728" s="18">
        <v>0.69295138888888896</v>
      </c>
      <c r="G2728" s="22">
        <v>223.82</v>
      </c>
      <c r="H2728">
        <v>0</v>
      </c>
      <c r="I2728" s="19" t="e">
        <f>I2727 + (D2728-G2728)</f>
        <v>#VALUE!</v>
      </c>
      <c r="M2728">
        <v>58492</v>
      </c>
      <c r="N2728">
        <v>24</v>
      </c>
      <c r="O2728" t="s">
        <v>68</v>
      </c>
      <c r="P2728">
        <v>1</v>
      </c>
      <c r="R2728">
        <v>180</v>
      </c>
      <c r="S2728" s="17">
        <v>42151</v>
      </c>
      <c r="T2728" s="17">
        <v>42151</v>
      </c>
      <c r="W2728">
        <v>2015</v>
      </c>
      <c r="X2728">
        <v>24</v>
      </c>
      <c r="AC2728" t="s">
        <v>141</v>
      </c>
      <c r="AD2728" t="s">
        <v>301</v>
      </c>
      <c r="AE2728" t="s">
        <v>46</v>
      </c>
      <c r="AG2728">
        <v>26</v>
      </c>
      <c r="AH2728">
        <v>9</v>
      </c>
      <c r="AI2728" t="s">
        <v>54</v>
      </c>
      <c r="AK2728">
        <v>0</v>
      </c>
      <c r="AM2728">
        <v>0</v>
      </c>
      <c r="AP2728" t="s">
        <v>501</v>
      </c>
    </row>
    <row r="2729" spans="1:42" customFormat="1">
      <c r="A2729">
        <v>271220</v>
      </c>
      <c r="B2729" t="s">
        <v>4847</v>
      </c>
      <c r="C2729" t="s">
        <v>4848</v>
      </c>
      <c r="D2729" s="22">
        <v>0</v>
      </c>
      <c r="E2729" s="17">
        <v>42150</v>
      </c>
      <c r="F2729" s="18">
        <v>0.60990740740740745</v>
      </c>
      <c r="G2729" s="22">
        <v>880</v>
      </c>
      <c r="H2729">
        <v>0</v>
      </c>
      <c r="I2729" s="19" t="e">
        <f>I2728 + (D2729-G2729)</f>
        <v>#VALUE!</v>
      </c>
      <c r="M2729">
        <v>124189</v>
      </c>
      <c r="N2729">
        <v>24</v>
      </c>
      <c r="O2729" t="s">
        <v>68</v>
      </c>
      <c r="P2729">
        <v>1</v>
      </c>
      <c r="R2729">
        <v>1564</v>
      </c>
      <c r="S2729" s="17">
        <v>42150</v>
      </c>
      <c r="T2729" s="17">
        <v>42150</v>
      </c>
      <c r="W2729">
        <v>2015</v>
      </c>
      <c r="X2729">
        <v>24</v>
      </c>
      <c r="AC2729" t="s">
        <v>177</v>
      </c>
      <c r="AD2729" t="s">
        <v>301</v>
      </c>
      <c r="AE2729" t="s">
        <v>46</v>
      </c>
      <c r="AG2729">
        <v>26</v>
      </c>
      <c r="AH2729">
        <v>9</v>
      </c>
      <c r="AI2729" t="s">
        <v>54</v>
      </c>
      <c r="AK2729">
        <v>0</v>
      </c>
      <c r="AM2729">
        <v>0</v>
      </c>
      <c r="AP2729" t="s">
        <v>501</v>
      </c>
    </row>
    <row r="2730" spans="1:42" customFormat="1">
      <c r="A2730">
        <v>272075</v>
      </c>
      <c r="B2730" t="s">
        <v>4995</v>
      </c>
      <c r="C2730" t="s">
        <v>4996</v>
      </c>
      <c r="D2730" s="22">
        <v>0</v>
      </c>
      <c r="E2730" s="17">
        <v>42151</v>
      </c>
      <c r="F2730" s="18">
        <v>0.59722222222222221</v>
      </c>
      <c r="G2730" s="22">
        <v>577.48</v>
      </c>
      <c r="H2730">
        <v>0</v>
      </c>
      <c r="I2730" s="19" t="e">
        <f>I2729 + (D2730-G2730)</f>
        <v>#VALUE!</v>
      </c>
      <c r="M2730">
        <v>110478</v>
      </c>
      <c r="N2730">
        <v>24</v>
      </c>
      <c r="O2730" t="s">
        <v>68</v>
      </c>
      <c r="P2730">
        <v>1</v>
      </c>
      <c r="R2730">
        <v>1564</v>
      </c>
      <c r="S2730" s="17">
        <v>42160</v>
      </c>
      <c r="T2730" s="17">
        <v>42160</v>
      </c>
      <c r="W2730">
        <v>2015</v>
      </c>
      <c r="X2730">
        <v>24</v>
      </c>
      <c r="AC2730" t="s">
        <v>177</v>
      </c>
      <c r="AD2730" t="s">
        <v>301</v>
      </c>
      <c r="AE2730" t="s">
        <v>46</v>
      </c>
      <c r="AG2730">
        <v>2</v>
      </c>
      <c r="AH2730">
        <v>9</v>
      </c>
      <c r="AI2730" t="s">
        <v>54</v>
      </c>
      <c r="AK2730">
        <v>0</v>
      </c>
      <c r="AM2730">
        <v>0</v>
      </c>
      <c r="AP2730" t="s">
        <v>2544</v>
      </c>
    </row>
    <row r="2731" spans="1:42" customFormat="1">
      <c r="A2731">
        <v>271415</v>
      </c>
      <c r="B2731" t="s">
        <v>4731</v>
      </c>
      <c r="C2731" t="s">
        <v>4732</v>
      </c>
      <c r="D2731" s="22">
        <v>0</v>
      </c>
      <c r="E2731" s="17">
        <v>42150</v>
      </c>
      <c r="F2731" s="18">
        <v>0.39096064814814818</v>
      </c>
      <c r="G2731" s="22">
        <v>223.78</v>
      </c>
      <c r="H2731">
        <v>0</v>
      </c>
      <c r="I2731" s="19" t="e">
        <f>I2730 + (D2731-G2731)</f>
        <v>#VALUE!</v>
      </c>
      <c r="M2731">
        <v>122148</v>
      </c>
      <c r="N2731">
        <v>24</v>
      </c>
      <c r="O2731" t="s">
        <v>68</v>
      </c>
      <c r="P2731">
        <v>1</v>
      </c>
      <c r="R2731">
        <v>186</v>
      </c>
      <c r="S2731" s="17">
        <v>42152</v>
      </c>
      <c r="T2731" s="17">
        <v>42152</v>
      </c>
      <c r="W2731">
        <v>2015</v>
      </c>
      <c r="X2731">
        <v>24</v>
      </c>
      <c r="AC2731" t="s">
        <v>178</v>
      </c>
      <c r="AD2731" t="s">
        <v>301</v>
      </c>
      <c r="AE2731" t="s">
        <v>46</v>
      </c>
      <c r="AG2731">
        <v>26</v>
      </c>
      <c r="AH2731">
        <v>9</v>
      </c>
      <c r="AI2731" t="s">
        <v>54</v>
      </c>
      <c r="AK2731">
        <v>0</v>
      </c>
      <c r="AM2731">
        <v>0</v>
      </c>
      <c r="AP2731" t="s">
        <v>501</v>
      </c>
    </row>
    <row r="2732" spans="1:42" customFormat="1">
      <c r="A2732">
        <v>270903</v>
      </c>
      <c r="B2732" t="s">
        <v>3811</v>
      </c>
      <c r="C2732" t="s">
        <v>3812</v>
      </c>
      <c r="D2732" s="22">
        <v>0</v>
      </c>
      <c r="E2732" s="17">
        <v>42143</v>
      </c>
      <c r="F2732" s="18">
        <v>0.70197916666666671</v>
      </c>
      <c r="G2732" s="22">
        <v>1079.6400000000001</v>
      </c>
      <c r="H2732">
        <v>0</v>
      </c>
      <c r="I2732" s="19" t="e">
        <f>I2731 + (D2732-G2732)</f>
        <v>#VALUE!</v>
      </c>
      <c r="M2732">
        <v>109743</v>
      </c>
      <c r="N2732">
        <v>24</v>
      </c>
      <c r="O2732" t="s">
        <v>68</v>
      </c>
      <c r="P2732">
        <v>1</v>
      </c>
      <c r="R2732">
        <v>187</v>
      </c>
      <c r="S2732" s="17">
        <v>42146</v>
      </c>
      <c r="T2732" s="17">
        <v>42146</v>
      </c>
      <c r="W2732">
        <v>2015</v>
      </c>
      <c r="X2732">
        <v>24</v>
      </c>
      <c r="AC2732" t="s">
        <v>232</v>
      </c>
      <c r="AD2732" t="s">
        <v>301</v>
      </c>
      <c r="AE2732" t="s">
        <v>46</v>
      </c>
      <c r="AG2732">
        <v>4</v>
      </c>
      <c r="AH2732">
        <v>9</v>
      </c>
      <c r="AI2732" t="s">
        <v>54</v>
      </c>
      <c r="AK2732">
        <v>0</v>
      </c>
      <c r="AM2732">
        <v>0</v>
      </c>
      <c r="AP2732" t="s">
        <v>389</v>
      </c>
    </row>
    <row r="2733" spans="1:42" customFormat="1">
      <c r="A2733">
        <v>267684</v>
      </c>
      <c r="B2733" t="s">
        <v>1253</v>
      </c>
      <c r="C2733" t="s">
        <v>1254</v>
      </c>
      <c r="D2733" s="22">
        <v>0</v>
      </c>
      <c r="E2733" s="17">
        <v>42128</v>
      </c>
      <c r="F2733" s="18">
        <v>0.75553240740740746</v>
      </c>
      <c r="G2733" s="22">
        <v>984.95</v>
      </c>
      <c r="H2733">
        <v>0</v>
      </c>
      <c r="I2733" s="19" t="e">
        <f>I2732 + (D2733-G2733)</f>
        <v>#VALUE!</v>
      </c>
      <c r="M2733">
        <v>120658</v>
      </c>
      <c r="N2733">
        <v>24</v>
      </c>
      <c r="O2733" t="s">
        <v>68</v>
      </c>
      <c r="P2733">
        <v>1</v>
      </c>
      <c r="R2733">
        <v>192</v>
      </c>
      <c r="S2733" s="17">
        <v>42129</v>
      </c>
      <c r="T2733" s="17">
        <v>42129</v>
      </c>
      <c r="W2733">
        <v>2015</v>
      </c>
      <c r="X2733">
        <v>24</v>
      </c>
      <c r="AC2733" t="s">
        <v>96</v>
      </c>
      <c r="AD2733" t="s">
        <v>301</v>
      </c>
      <c r="AE2733" t="s">
        <v>46</v>
      </c>
      <c r="AG2733">
        <v>26</v>
      </c>
      <c r="AH2733">
        <v>9</v>
      </c>
      <c r="AI2733" t="s">
        <v>54</v>
      </c>
      <c r="AK2733">
        <v>0</v>
      </c>
      <c r="AM2733">
        <v>0</v>
      </c>
      <c r="AP2733" t="s">
        <v>501</v>
      </c>
    </row>
    <row r="2734" spans="1:42" customFormat="1">
      <c r="A2734">
        <v>268548</v>
      </c>
      <c r="B2734" t="s">
        <v>1166</v>
      </c>
      <c r="C2734" t="s">
        <v>1167</v>
      </c>
      <c r="D2734" s="22">
        <v>0</v>
      </c>
      <c r="E2734" s="17">
        <v>42128</v>
      </c>
      <c r="F2734" s="18">
        <v>0.69879629629629625</v>
      </c>
      <c r="G2734" s="22">
        <v>45</v>
      </c>
      <c r="H2734">
        <v>0</v>
      </c>
      <c r="I2734" s="19" t="e">
        <f>I2733 + (D2734-G2734)</f>
        <v>#VALUE!</v>
      </c>
      <c r="M2734">
        <v>122844</v>
      </c>
      <c r="N2734">
        <v>7</v>
      </c>
      <c r="O2734" t="s">
        <v>44</v>
      </c>
      <c r="P2734">
        <v>1</v>
      </c>
      <c r="R2734">
        <v>1513</v>
      </c>
      <c r="S2734" s="17">
        <v>42130</v>
      </c>
      <c r="T2734" s="17">
        <v>42130</v>
      </c>
      <c r="W2734">
        <v>2015</v>
      </c>
      <c r="X2734">
        <v>7</v>
      </c>
      <c r="AC2734" t="s">
        <v>125</v>
      </c>
      <c r="AD2734" t="s">
        <v>302</v>
      </c>
      <c r="AE2734" t="s">
        <v>46</v>
      </c>
      <c r="AG2734">
        <v>26</v>
      </c>
      <c r="AH2734">
        <v>9</v>
      </c>
      <c r="AI2734" t="s">
        <v>54</v>
      </c>
      <c r="AK2734">
        <v>0</v>
      </c>
      <c r="AM2734">
        <v>0</v>
      </c>
      <c r="AP2734" t="s">
        <v>501</v>
      </c>
    </row>
    <row r="2735" spans="1:42" customFormat="1">
      <c r="A2735">
        <v>268549</v>
      </c>
      <c r="B2735" t="s">
        <v>1168</v>
      </c>
      <c r="C2735" t="s">
        <v>1169</v>
      </c>
      <c r="D2735" s="22">
        <v>0</v>
      </c>
      <c r="E2735" s="17">
        <v>42128</v>
      </c>
      <c r="F2735" s="18">
        <v>0.69879629629629625</v>
      </c>
      <c r="G2735" s="22">
        <v>7.95</v>
      </c>
      <c r="H2735">
        <v>0</v>
      </c>
      <c r="I2735" s="19" t="e">
        <f>I2734 + (D2735-G2735)</f>
        <v>#VALUE!</v>
      </c>
      <c r="M2735">
        <v>122845</v>
      </c>
      <c r="N2735">
        <v>7</v>
      </c>
      <c r="O2735" t="s">
        <v>44</v>
      </c>
      <c r="P2735">
        <v>1</v>
      </c>
      <c r="R2735">
        <v>1513</v>
      </c>
      <c r="S2735" s="17">
        <v>42130</v>
      </c>
      <c r="T2735" s="17">
        <v>42130</v>
      </c>
      <c r="W2735">
        <v>2015</v>
      </c>
      <c r="X2735">
        <v>7</v>
      </c>
      <c r="AC2735" t="s">
        <v>125</v>
      </c>
      <c r="AD2735" t="s">
        <v>302</v>
      </c>
      <c r="AE2735" t="s">
        <v>46</v>
      </c>
      <c r="AG2735">
        <v>26</v>
      </c>
      <c r="AH2735">
        <v>9</v>
      </c>
      <c r="AI2735" t="s">
        <v>54</v>
      </c>
      <c r="AK2735">
        <v>0</v>
      </c>
      <c r="AM2735">
        <v>0</v>
      </c>
      <c r="AP2735" t="s">
        <v>501</v>
      </c>
    </row>
    <row r="2736" spans="1:42" customFormat="1">
      <c r="A2736">
        <v>268587</v>
      </c>
      <c r="B2736" t="s">
        <v>1202</v>
      </c>
      <c r="C2736" t="s">
        <v>1203</v>
      </c>
      <c r="D2736" s="22">
        <v>0</v>
      </c>
      <c r="E2736" s="17">
        <v>42128</v>
      </c>
      <c r="F2736" s="18">
        <v>0.7047106481481481</v>
      </c>
      <c r="G2736" s="22">
        <v>36.82</v>
      </c>
      <c r="H2736">
        <v>0</v>
      </c>
      <c r="I2736" s="19" t="e">
        <f>I2735 + (D2736-G2736)</f>
        <v>#VALUE!</v>
      </c>
      <c r="M2736">
        <v>122402</v>
      </c>
      <c r="N2736">
        <v>7</v>
      </c>
      <c r="O2736" t="s">
        <v>44</v>
      </c>
      <c r="P2736">
        <v>1</v>
      </c>
      <c r="R2736">
        <v>1513</v>
      </c>
      <c r="S2736" s="17">
        <v>42130</v>
      </c>
      <c r="T2736" s="17">
        <v>42130</v>
      </c>
      <c r="W2736">
        <v>2015</v>
      </c>
      <c r="X2736">
        <v>7</v>
      </c>
      <c r="AC2736" t="s">
        <v>125</v>
      </c>
      <c r="AD2736" t="s">
        <v>302</v>
      </c>
      <c r="AE2736" t="s">
        <v>46</v>
      </c>
      <c r="AG2736">
        <v>8</v>
      </c>
      <c r="AH2736">
        <v>8</v>
      </c>
      <c r="AI2736" t="s">
        <v>52</v>
      </c>
      <c r="AK2736">
        <v>0</v>
      </c>
      <c r="AM2736">
        <v>0</v>
      </c>
      <c r="AP2736" t="s">
        <v>1201</v>
      </c>
    </row>
    <row r="2737" spans="1:42" customFormat="1">
      <c r="A2737">
        <v>268588</v>
      </c>
      <c r="B2737" t="s">
        <v>1204</v>
      </c>
      <c r="C2737" t="s">
        <v>1205</v>
      </c>
      <c r="D2737" s="22">
        <v>0</v>
      </c>
      <c r="E2737" s="17">
        <v>42128</v>
      </c>
      <c r="F2737" s="18">
        <v>0.7047106481481481</v>
      </c>
      <c r="G2737" s="22">
        <v>5.26</v>
      </c>
      <c r="H2737">
        <v>0</v>
      </c>
      <c r="I2737" s="19" t="e">
        <f>I2736 + (D2737-G2737)</f>
        <v>#VALUE!</v>
      </c>
      <c r="M2737">
        <v>122403</v>
      </c>
      <c r="N2737">
        <v>7</v>
      </c>
      <c r="O2737" t="s">
        <v>44</v>
      </c>
      <c r="P2737">
        <v>1</v>
      </c>
      <c r="R2737">
        <v>1513</v>
      </c>
      <c r="S2737" s="17">
        <v>42130</v>
      </c>
      <c r="T2737" s="17">
        <v>42130</v>
      </c>
      <c r="W2737">
        <v>2015</v>
      </c>
      <c r="X2737">
        <v>7</v>
      </c>
      <c r="AC2737" t="s">
        <v>125</v>
      </c>
      <c r="AD2737" t="s">
        <v>302</v>
      </c>
      <c r="AE2737" t="s">
        <v>46</v>
      </c>
      <c r="AG2737">
        <v>8</v>
      </c>
      <c r="AH2737">
        <v>8</v>
      </c>
      <c r="AI2737" t="s">
        <v>52</v>
      </c>
      <c r="AK2737">
        <v>0</v>
      </c>
      <c r="AM2737">
        <v>0</v>
      </c>
      <c r="AP2737" t="s">
        <v>1201</v>
      </c>
    </row>
    <row r="2738" spans="1:42" customFormat="1">
      <c r="A2738">
        <v>268594</v>
      </c>
      <c r="B2738" t="s">
        <v>1206</v>
      </c>
      <c r="C2738" t="s">
        <v>1207</v>
      </c>
      <c r="D2738" s="22">
        <v>0</v>
      </c>
      <c r="E2738" s="17">
        <v>42128</v>
      </c>
      <c r="F2738" s="18">
        <v>0.70628472222222216</v>
      </c>
      <c r="G2738" s="22">
        <v>18.2</v>
      </c>
      <c r="H2738">
        <v>0</v>
      </c>
      <c r="I2738" s="19" t="e">
        <f>I2737 + (D2738-G2738)</f>
        <v>#VALUE!</v>
      </c>
      <c r="M2738">
        <v>122843</v>
      </c>
      <c r="N2738">
        <v>7</v>
      </c>
      <c r="O2738" t="s">
        <v>44</v>
      </c>
      <c r="P2738">
        <v>1</v>
      </c>
      <c r="R2738">
        <v>1513</v>
      </c>
      <c r="S2738" s="17">
        <v>42130</v>
      </c>
      <c r="T2738" s="17">
        <v>42130</v>
      </c>
      <c r="W2738">
        <v>2015</v>
      </c>
      <c r="X2738">
        <v>7</v>
      </c>
      <c r="AC2738" t="s">
        <v>125</v>
      </c>
      <c r="AD2738" t="s">
        <v>302</v>
      </c>
      <c r="AE2738" t="s">
        <v>46</v>
      </c>
      <c r="AG2738">
        <v>26</v>
      </c>
      <c r="AH2738">
        <v>8</v>
      </c>
      <c r="AI2738" t="s">
        <v>52</v>
      </c>
      <c r="AK2738">
        <v>0</v>
      </c>
      <c r="AM2738">
        <v>0</v>
      </c>
      <c r="AP2738" t="s">
        <v>501</v>
      </c>
    </row>
    <row r="2739" spans="1:42" customFormat="1">
      <c r="A2739">
        <v>268562</v>
      </c>
      <c r="B2739" t="s">
        <v>1575</v>
      </c>
      <c r="C2739" t="s">
        <v>1576</v>
      </c>
      <c r="D2739" s="22">
        <v>0</v>
      </c>
      <c r="E2739" s="17">
        <v>42129</v>
      </c>
      <c r="F2739" s="18">
        <v>0.69909722222222215</v>
      </c>
      <c r="G2739" s="22">
        <v>7.95</v>
      </c>
      <c r="H2739">
        <v>0</v>
      </c>
      <c r="I2739" s="19" t="e">
        <f>I2738 + (D2739-G2739)</f>
        <v>#VALUE!</v>
      </c>
      <c r="M2739">
        <v>122846</v>
      </c>
      <c r="N2739">
        <v>7</v>
      </c>
      <c r="O2739" t="s">
        <v>44</v>
      </c>
      <c r="P2739">
        <v>1</v>
      </c>
      <c r="R2739">
        <v>1513</v>
      </c>
      <c r="S2739" s="17">
        <v>42130</v>
      </c>
      <c r="T2739" s="17">
        <v>42130</v>
      </c>
      <c r="W2739">
        <v>2015</v>
      </c>
      <c r="X2739">
        <v>7</v>
      </c>
      <c r="AC2739" t="s">
        <v>125</v>
      </c>
      <c r="AD2739" t="s">
        <v>302</v>
      </c>
      <c r="AE2739" t="s">
        <v>46</v>
      </c>
      <c r="AG2739">
        <v>26</v>
      </c>
      <c r="AH2739">
        <v>9</v>
      </c>
      <c r="AI2739" t="s">
        <v>54</v>
      </c>
      <c r="AK2739">
        <v>0</v>
      </c>
      <c r="AM2739">
        <v>0</v>
      </c>
      <c r="AP2739" t="s">
        <v>501</v>
      </c>
    </row>
    <row r="2740" spans="1:42" customFormat="1">
      <c r="A2740">
        <v>268590</v>
      </c>
      <c r="B2740" t="s">
        <v>1585</v>
      </c>
      <c r="C2740" t="s">
        <v>1586</v>
      </c>
      <c r="D2740" s="22">
        <v>0</v>
      </c>
      <c r="E2740" s="17">
        <v>42129</v>
      </c>
      <c r="F2740" s="18">
        <v>0.70516203703703706</v>
      </c>
      <c r="G2740" s="22">
        <v>144</v>
      </c>
      <c r="H2740">
        <v>0</v>
      </c>
      <c r="I2740" s="19" t="e">
        <f>I2739 + (D2740-G2740)</f>
        <v>#VALUE!</v>
      </c>
      <c r="M2740">
        <v>122833</v>
      </c>
      <c r="N2740">
        <v>7</v>
      </c>
      <c r="O2740" t="s">
        <v>44</v>
      </c>
      <c r="P2740">
        <v>1</v>
      </c>
      <c r="R2740">
        <v>1513</v>
      </c>
      <c r="S2740" s="17">
        <v>42130</v>
      </c>
      <c r="T2740" s="17">
        <v>42130</v>
      </c>
      <c r="W2740">
        <v>2015</v>
      </c>
      <c r="X2740">
        <v>7</v>
      </c>
      <c r="AC2740" t="s">
        <v>125</v>
      </c>
      <c r="AD2740" t="s">
        <v>302</v>
      </c>
      <c r="AE2740" t="s">
        <v>46</v>
      </c>
      <c r="AG2740">
        <v>26</v>
      </c>
      <c r="AH2740">
        <v>8</v>
      </c>
      <c r="AI2740" t="s">
        <v>52</v>
      </c>
      <c r="AK2740">
        <v>0</v>
      </c>
      <c r="AM2740">
        <v>0</v>
      </c>
      <c r="AP2740" t="s">
        <v>501</v>
      </c>
    </row>
    <row r="2741" spans="1:42" customFormat="1">
      <c r="A2741">
        <v>269935</v>
      </c>
      <c r="B2741" t="s">
        <v>1692</v>
      </c>
      <c r="C2741" t="s">
        <v>1693</v>
      </c>
      <c r="D2741" s="22">
        <v>0</v>
      </c>
      <c r="E2741" s="17">
        <v>42130</v>
      </c>
      <c r="F2741" s="18">
        <v>0.47349537037037037</v>
      </c>
      <c r="G2741" s="22">
        <v>32.46</v>
      </c>
      <c r="H2741">
        <v>0</v>
      </c>
      <c r="I2741" s="19" t="e">
        <f>I2740 + (D2741-G2741)</f>
        <v>#VALUE!</v>
      </c>
      <c r="M2741">
        <v>123317</v>
      </c>
      <c r="N2741">
        <v>24</v>
      </c>
      <c r="O2741" t="s">
        <v>68</v>
      </c>
      <c r="P2741">
        <v>1</v>
      </c>
      <c r="R2741">
        <v>1513</v>
      </c>
      <c r="S2741" s="17">
        <v>42138</v>
      </c>
      <c r="T2741" s="17">
        <v>42138</v>
      </c>
      <c r="W2741">
        <v>2015</v>
      </c>
      <c r="X2741">
        <v>24</v>
      </c>
      <c r="AC2741" t="s">
        <v>125</v>
      </c>
      <c r="AD2741" t="s">
        <v>302</v>
      </c>
      <c r="AE2741" t="s">
        <v>46</v>
      </c>
      <c r="AG2741">
        <v>59</v>
      </c>
      <c r="AH2741">
        <v>9</v>
      </c>
      <c r="AI2741" t="s">
        <v>54</v>
      </c>
      <c r="AK2741">
        <v>0</v>
      </c>
      <c r="AM2741">
        <v>0</v>
      </c>
      <c r="AP2741" t="s">
        <v>341</v>
      </c>
    </row>
    <row r="2742" spans="1:42" customFormat="1">
      <c r="A2742">
        <v>269936</v>
      </c>
      <c r="B2742" t="s">
        <v>1993</v>
      </c>
      <c r="C2742" t="s">
        <v>1994</v>
      </c>
      <c r="D2742" s="22">
        <v>0</v>
      </c>
      <c r="E2742" s="17">
        <v>42131</v>
      </c>
      <c r="F2742" s="18">
        <v>0.47407407407407409</v>
      </c>
      <c r="G2742" s="22">
        <v>67.11</v>
      </c>
      <c r="H2742">
        <v>0</v>
      </c>
      <c r="I2742" s="19" t="e">
        <f>I2741 + (D2742-G2742)</f>
        <v>#VALUE!</v>
      </c>
      <c r="M2742">
        <v>123318</v>
      </c>
      <c r="N2742">
        <v>24</v>
      </c>
      <c r="O2742" t="s">
        <v>68</v>
      </c>
      <c r="P2742">
        <v>1</v>
      </c>
      <c r="R2742">
        <v>1513</v>
      </c>
      <c r="S2742" s="17">
        <v>42138</v>
      </c>
      <c r="T2742" s="17">
        <v>42138</v>
      </c>
      <c r="W2742">
        <v>2015</v>
      </c>
      <c r="X2742">
        <v>24</v>
      </c>
      <c r="AC2742" t="s">
        <v>125</v>
      </c>
      <c r="AD2742" t="s">
        <v>302</v>
      </c>
      <c r="AE2742" t="s">
        <v>46</v>
      </c>
      <c r="AG2742">
        <v>59</v>
      </c>
      <c r="AH2742">
        <v>9</v>
      </c>
      <c r="AI2742" t="s">
        <v>54</v>
      </c>
      <c r="AK2742">
        <v>0</v>
      </c>
      <c r="AM2742">
        <v>0</v>
      </c>
      <c r="AP2742" t="s">
        <v>341</v>
      </c>
    </row>
    <row r="2743" spans="1:42" customFormat="1">
      <c r="A2743">
        <v>269916</v>
      </c>
      <c r="B2743" t="s">
        <v>2185</v>
      </c>
      <c r="C2743" t="s">
        <v>2186</v>
      </c>
      <c r="D2743" s="22">
        <v>0</v>
      </c>
      <c r="E2743" s="17">
        <v>42132</v>
      </c>
      <c r="F2743" s="18">
        <v>0.45987268518518515</v>
      </c>
      <c r="G2743" s="22">
        <v>7.8</v>
      </c>
      <c r="H2743">
        <v>0</v>
      </c>
      <c r="I2743" s="19" t="e">
        <f>I2742 + (D2743-G2743)</f>
        <v>#VALUE!</v>
      </c>
      <c r="M2743">
        <v>123309</v>
      </c>
      <c r="N2743">
        <v>24</v>
      </c>
      <c r="O2743" t="s">
        <v>68</v>
      </c>
      <c r="P2743">
        <v>1</v>
      </c>
      <c r="R2743">
        <v>1513</v>
      </c>
      <c r="S2743" s="17">
        <v>42138</v>
      </c>
      <c r="T2743" s="17">
        <v>42138</v>
      </c>
      <c r="W2743">
        <v>2015</v>
      </c>
      <c r="X2743">
        <v>24</v>
      </c>
      <c r="AC2743" t="s">
        <v>125</v>
      </c>
      <c r="AD2743" t="s">
        <v>302</v>
      </c>
      <c r="AE2743" t="s">
        <v>46</v>
      </c>
      <c r="AG2743">
        <v>4</v>
      </c>
      <c r="AH2743">
        <v>9</v>
      </c>
      <c r="AI2743" t="s">
        <v>54</v>
      </c>
      <c r="AK2743">
        <v>0</v>
      </c>
      <c r="AM2743">
        <v>0</v>
      </c>
      <c r="AP2743" t="s">
        <v>389</v>
      </c>
    </row>
    <row r="2744" spans="1:42" customFormat="1">
      <c r="A2744">
        <v>269827</v>
      </c>
      <c r="B2744" t="s">
        <v>2618</v>
      </c>
      <c r="C2744" t="s">
        <v>2619</v>
      </c>
      <c r="D2744" s="22">
        <v>0</v>
      </c>
      <c r="E2744" s="17">
        <v>42135</v>
      </c>
      <c r="F2744" s="18">
        <v>0.60060185185185189</v>
      </c>
      <c r="G2744" s="22">
        <v>7.9</v>
      </c>
      <c r="H2744">
        <v>0</v>
      </c>
      <c r="I2744" s="19" t="e">
        <f>I2743 + (D2744-G2744)</f>
        <v>#VALUE!</v>
      </c>
      <c r="M2744">
        <v>123280</v>
      </c>
      <c r="N2744">
        <v>24</v>
      </c>
      <c r="O2744" t="s">
        <v>68</v>
      </c>
      <c r="P2744">
        <v>1</v>
      </c>
      <c r="R2744">
        <v>1513</v>
      </c>
      <c r="S2744" s="17">
        <v>42137</v>
      </c>
      <c r="T2744" s="17">
        <v>42137</v>
      </c>
      <c r="W2744">
        <v>2015</v>
      </c>
      <c r="X2744">
        <v>24</v>
      </c>
      <c r="AC2744" t="s">
        <v>125</v>
      </c>
      <c r="AD2744" t="s">
        <v>302</v>
      </c>
      <c r="AE2744" t="s">
        <v>46</v>
      </c>
      <c r="AG2744">
        <v>2</v>
      </c>
      <c r="AH2744">
        <v>9</v>
      </c>
      <c r="AI2744" t="s">
        <v>54</v>
      </c>
      <c r="AK2744">
        <v>0</v>
      </c>
      <c r="AM2744">
        <v>0</v>
      </c>
      <c r="AP2744" t="s">
        <v>2544</v>
      </c>
    </row>
    <row r="2745" spans="1:42" customFormat="1">
      <c r="A2745">
        <v>269825</v>
      </c>
      <c r="B2745" t="s">
        <v>2620</v>
      </c>
      <c r="C2745" t="s">
        <v>2621</v>
      </c>
      <c r="D2745" s="22">
        <v>0</v>
      </c>
      <c r="E2745" s="17">
        <v>42135</v>
      </c>
      <c r="F2745" s="18">
        <v>0.60060185185185189</v>
      </c>
      <c r="G2745" s="22">
        <v>7.9</v>
      </c>
      <c r="H2745">
        <v>0</v>
      </c>
      <c r="I2745" s="19" t="e">
        <f>I2744 + (D2745-G2745)</f>
        <v>#VALUE!</v>
      </c>
      <c r="M2745">
        <v>123278</v>
      </c>
      <c r="N2745">
        <v>24</v>
      </c>
      <c r="O2745" t="s">
        <v>68</v>
      </c>
      <c r="P2745">
        <v>1</v>
      </c>
      <c r="R2745">
        <v>1513</v>
      </c>
      <c r="S2745" s="17">
        <v>42137</v>
      </c>
      <c r="T2745" s="17">
        <v>42137</v>
      </c>
      <c r="W2745">
        <v>2015</v>
      </c>
      <c r="X2745">
        <v>24</v>
      </c>
      <c r="AC2745" t="s">
        <v>125</v>
      </c>
      <c r="AD2745" t="s">
        <v>302</v>
      </c>
      <c r="AE2745" t="s">
        <v>46</v>
      </c>
      <c r="AG2745">
        <v>2</v>
      </c>
      <c r="AH2745">
        <v>9</v>
      </c>
      <c r="AI2745" t="s">
        <v>54</v>
      </c>
      <c r="AK2745">
        <v>0</v>
      </c>
      <c r="AM2745">
        <v>0</v>
      </c>
      <c r="AP2745" t="s">
        <v>2544</v>
      </c>
    </row>
    <row r="2746" spans="1:42" customFormat="1">
      <c r="A2746">
        <v>269826</v>
      </c>
      <c r="B2746" t="s">
        <v>2622</v>
      </c>
      <c r="C2746" t="s">
        <v>2623</v>
      </c>
      <c r="D2746" s="22">
        <v>0</v>
      </c>
      <c r="E2746" s="17">
        <v>42135</v>
      </c>
      <c r="F2746" s="18">
        <v>0.60060185185185189</v>
      </c>
      <c r="G2746" s="22">
        <v>7.9</v>
      </c>
      <c r="H2746">
        <v>0</v>
      </c>
      <c r="I2746" s="19" t="e">
        <f>I2745 + (D2746-G2746)</f>
        <v>#VALUE!</v>
      </c>
      <c r="M2746">
        <v>123279</v>
      </c>
      <c r="N2746">
        <v>24</v>
      </c>
      <c r="O2746" t="s">
        <v>68</v>
      </c>
      <c r="P2746">
        <v>1</v>
      </c>
      <c r="R2746">
        <v>1513</v>
      </c>
      <c r="S2746" s="17">
        <v>42137</v>
      </c>
      <c r="T2746" s="17">
        <v>42137</v>
      </c>
      <c r="W2746">
        <v>2015</v>
      </c>
      <c r="X2746">
        <v>24</v>
      </c>
      <c r="AC2746" t="s">
        <v>125</v>
      </c>
      <c r="AD2746" t="s">
        <v>302</v>
      </c>
      <c r="AE2746" t="s">
        <v>46</v>
      </c>
      <c r="AG2746">
        <v>2</v>
      </c>
      <c r="AH2746">
        <v>9</v>
      </c>
      <c r="AI2746" t="s">
        <v>54</v>
      </c>
      <c r="AK2746">
        <v>0</v>
      </c>
      <c r="AM2746">
        <v>0</v>
      </c>
      <c r="AP2746" t="s">
        <v>2544</v>
      </c>
    </row>
    <row r="2747" spans="1:42" customFormat="1">
      <c r="A2747">
        <v>269960</v>
      </c>
      <c r="B2747" t="s">
        <v>2690</v>
      </c>
      <c r="C2747" t="s">
        <v>2691</v>
      </c>
      <c r="D2747" s="22">
        <v>0</v>
      </c>
      <c r="E2747" s="17">
        <v>42135</v>
      </c>
      <c r="F2747" s="18">
        <v>0.66821759259259261</v>
      </c>
      <c r="G2747" s="22">
        <v>7.8</v>
      </c>
      <c r="H2747">
        <v>0</v>
      </c>
      <c r="I2747" s="19" t="e">
        <f>I2746 + (D2747-G2747)</f>
        <v>#VALUE!</v>
      </c>
      <c r="M2747">
        <v>123339</v>
      </c>
      <c r="N2747">
        <v>24</v>
      </c>
      <c r="O2747" t="s">
        <v>68</v>
      </c>
      <c r="P2747">
        <v>1</v>
      </c>
      <c r="R2747">
        <v>1513</v>
      </c>
      <c r="S2747" s="17">
        <v>42138</v>
      </c>
      <c r="T2747" s="17">
        <v>42138</v>
      </c>
      <c r="W2747">
        <v>2015</v>
      </c>
      <c r="X2747">
        <v>24</v>
      </c>
      <c r="AC2747" t="s">
        <v>125</v>
      </c>
      <c r="AD2747" t="s">
        <v>302</v>
      </c>
      <c r="AE2747" t="s">
        <v>46</v>
      </c>
      <c r="AG2747">
        <v>4</v>
      </c>
      <c r="AH2747">
        <v>9</v>
      </c>
      <c r="AI2747" t="s">
        <v>54</v>
      </c>
      <c r="AK2747">
        <v>0</v>
      </c>
      <c r="AM2747">
        <v>0</v>
      </c>
      <c r="AP2747" t="s">
        <v>389</v>
      </c>
    </row>
    <row r="2748" spans="1:42" customFormat="1">
      <c r="A2748">
        <v>269961</v>
      </c>
      <c r="B2748" t="s">
        <v>2692</v>
      </c>
      <c r="C2748" t="s">
        <v>2693</v>
      </c>
      <c r="D2748" s="22">
        <v>0</v>
      </c>
      <c r="E2748" s="17">
        <v>42135</v>
      </c>
      <c r="F2748" s="18">
        <v>0.66821759259259261</v>
      </c>
      <c r="G2748" s="22">
        <v>7.8</v>
      </c>
      <c r="H2748">
        <v>0</v>
      </c>
      <c r="I2748" s="19" t="e">
        <f>I2747 + (D2748-G2748)</f>
        <v>#VALUE!</v>
      </c>
      <c r="M2748">
        <v>123340</v>
      </c>
      <c r="N2748">
        <v>24</v>
      </c>
      <c r="O2748" t="s">
        <v>68</v>
      </c>
      <c r="P2748">
        <v>1</v>
      </c>
      <c r="R2748">
        <v>1513</v>
      </c>
      <c r="S2748" s="17">
        <v>42138</v>
      </c>
      <c r="T2748" s="17">
        <v>42138</v>
      </c>
      <c r="W2748">
        <v>2015</v>
      </c>
      <c r="X2748">
        <v>24</v>
      </c>
      <c r="AC2748" t="s">
        <v>125</v>
      </c>
      <c r="AD2748" t="s">
        <v>302</v>
      </c>
      <c r="AE2748" t="s">
        <v>46</v>
      </c>
      <c r="AG2748">
        <v>4</v>
      </c>
      <c r="AH2748">
        <v>9</v>
      </c>
      <c r="AI2748" t="s">
        <v>54</v>
      </c>
      <c r="AK2748">
        <v>0</v>
      </c>
      <c r="AM2748">
        <v>0</v>
      </c>
      <c r="AP2748" t="s">
        <v>389</v>
      </c>
    </row>
    <row r="2749" spans="1:42" customFormat="1">
      <c r="A2749">
        <v>270648</v>
      </c>
      <c r="B2749" t="s">
        <v>3035</v>
      </c>
      <c r="C2749" t="s">
        <v>3036</v>
      </c>
      <c r="D2749" s="22">
        <v>0</v>
      </c>
      <c r="E2749" s="17">
        <v>42137</v>
      </c>
      <c r="F2749" s="18">
        <v>0.46870370370370368</v>
      </c>
      <c r="G2749" s="22">
        <v>7.9</v>
      </c>
      <c r="H2749">
        <v>0</v>
      </c>
      <c r="I2749" s="19" t="e">
        <f>I2748 + (D2749-G2749)</f>
        <v>#VALUE!</v>
      </c>
      <c r="M2749">
        <v>123813</v>
      </c>
      <c r="N2749">
        <v>24</v>
      </c>
      <c r="O2749" t="s">
        <v>68</v>
      </c>
      <c r="P2749">
        <v>1</v>
      </c>
      <c r="R2749">
        <v>1513</v>
      </c>
      <c r="S2749" s="17">
        <v>42145</v>
      </c>
      <c r="T2749" s="17">
        <v>42145</v>
      </c>
      <c r="W2749">
        <v>2015</v>
      </c>
      <c r="X2749">
        <v>24</v>
      </c>
      <c r="AC2749" t="s">
        <v>125</v>
      </c>
      <c r="AD2749" t="s">
        <v>302</v>
      </c>
      <c r="AE2749" t="s">
        <v>46</v>
      </c>
      <c r="AG2749">
        <v>2</v>
      </c>
      <c r="AH2749">
        <v>9</v>
      </c>
      <c r="AI2749" t="s">
        <v>54</v>
      </c>
      <c r="AK2749">
        <v>0</v>
      </c>
      <c r="AM2749">
        <v>0</v>
      </c>
      <c r="AP2749" t="s">
        <v>2544</v>
      </c>
    </row>
    <row r="2750" spans="1:42" customFormat="1">
      <c r="A2750">
        <v>270649</v>
      </c>
      <c r="B2750" t="s">
        <v>3037</v>
      </c>
      <c r="C2750" t="s">
        <v>3038</v>
      </c>
      <c r="D2750" s="22">
        <v>0</v>
      </c>
      <c r="E2750" s="17">
        <v>42137</v>
      </c>
      <c r="F2750" s="18">
        <v>0.46870370370370368</v>
      </c>
      <c r="G2750" s="22">
        <v>7.9</v>
      </c>
      <c r="H2750">
        <v>0</v>
      </c>
      <c r="I2750" s="19" t="e">
        <f>I2749 + (D2750-G2750)</f>
        <v>#VALUE!</v>
      </c>
      <c r="M2750">
        <v>123814</v>
      </c>
      <c r="N2750">
        <v>24</v>
      </c>
      <c r="O2750" t="s">
        <v>68</v>
      </c>
      <c r="P2750">
        <v>1</v>
      </c>
      <c r="R2750">
        <v>1513</v>
      </c>
      <c r="S2750" s="17">
        <v>42145</v>
      </c>
      <c r="T2750" s="17">
        <v>42145</v>
      </c>
      <c r="W2750">
        <v>2015</v>
      </c>
      <c r="X2750">
        <v>24</v>
      </c>
      <c r="AC2750" t="s">
        <v>125</v>
      </c>
      <c r="AD2750" t="s">
        <v>302</v>
      </c>
      <c r="AE2750" t="s">
        <v>46</v>
      </c>
      <c r="AG2750">
        <v>2</v>
      </c>
      <c r="AH2750">
        <v>9</v>
      </c>
      <c r="AI2750" t="s">
        <v>54</v>
      </c>
      <c r="AK2750">
        <v>0</v>
      </c>
      <c r="AM2750">
        <v>0</v>
      </c>
      <c r="AP2750" t="s">
        <v>2544</v>
      </c>
    </row>
    <row r="2751" spans="1:42" customFormat="1">
      <c r="A2751">
        <v>270041</v>
      </c>
      <c r="B2751" t="s">
        <v>3067</v>
      </c>
      <c r="C2751" t="s">
        <v>3068</v>
      </c>
      <c r="D2751" s="22">
        <v>0</v>
      </c>
      <c r="E2751" s="17">
        <v>42137</v>
      </c>
      <c r="F2751" s="18">
        <v>0.62960648148148146</v>
      </c>
      <c r="G2751" s="22">
        <v>32.46</v>
      </c>
      <c r="H2751">
        <v>0</v>
      </c>
      <c r="I2751" s="19" t="e">
        <f>I2750 + (D2751-G2751)</f>
        <v>#VALUE!</v>
      </c>
      <c r="M2751">
        <v>123442</v>
      </c>
      <c r="N2751">
        <v>24</v>
      </c>
      <c r="O2751" t="s">
        <v>68</v>
      </c>
      <c r="P2751">
        <v>1</v>
      </c>
      <c r="R2751">
        <v>1513</v>
      </c>
      <c r="S2751" s="17">
        <v>42139</v>
      </c>
      <c r="T2751" s="17">
        <v>42139</v>
      </c>
      <c r="W2751">
        <v>2015</v>
      </c>
      <c r="X2751">
        <v>24</v>
      </c>
      <c r="AC2751" t="s">
        <v>125</v>
      </c>
      <c r="AD2751" t="s">
        <v>302</v>
      </c>
      <c r="AE2751" t="s">
        <v>46</v>
      </c>
      <c r="AG2751">
        <v>59</v>
      </c>
      <c r="AH2751">
        <v>9</v>
      </c>
      <c r="AI2751" t="s">
        <v>54</v>
      </c>
      <c r="AK2751">
        <v>0</v>
      </c>
      <c r="AM2751">
        <v>0</v>
      </c>
      <c r="AP2751" t="s">
        <v>341</v>
      </c>
    </row>
    <row r="2752" spans="1:42" customFormat="1">
      <c r="A2752">
        <v>269965</v>
      </c>
      <c r="B2752" t="s">
        <v>3102</v>
      </c>
      <c r="C2752" t="s">
        <v>3103</v>
      </c>
      <c r="D2752" s="22">
        <v>0</v>
      </c>
      <c r="E2752" s="17">
        <v>42137</v>
      </c>
      <c r="F2752" s="18">
        <v>0.67083333333333339</v>
      </c>
      <c r="G2752" s="22">
        <v>7.8</v>
      </c>
      <c r="H2752">
        <v>0</v>
      </c>
      <c r="I2752" s="19" t="e">
        <f>I2751 + (D2752-G2752)</f>
        <v>#VALUE!</v>
      </c>
      <c r="M2752">
        <v>123342</v>
      </c>
      <c r="N2752">
        <v>24</v>
      </c>
      <c r="O2752" t="s">
        <v>68</v>
      </c>
      <c r="P2752">
        <v>1</v>
      </c>
      <c r="R2752">
        <v>1513</v>
      </c>
      <c r="S2752" s="17">
        <v>42138</v>
      </c>
      <c r="T2752" s="17">
        <v>42138</v>
      </c>
      <c r="W2752">
        <v>2015</v>
      </c>
      <c r="X2752">
        <v>24</v>
      </c>
      <c r="AC2752" t="s">
        <v>125</v>
      </c>
      <c r="AD2752" t="s">
        <v>302</v>
      </c>
      <c r="AE2752" t="s">
        <v>46</v>
      </c>
      <c r="AG2752">
        <v>4</v>
      </c>
      <c r="AH2752">
        <v>9</v>
      </c>
      <c r="AI2752" t="s">
        <v>54</v>
      </c>
      <c r="AK2752">
        <v>0</v>
      </c>
      <c r="AM2752">
        <v>0</v>
      </c>
      <c r="AP2752" t="s">
        <v>389</v>
      </c>
    </row>
    <row r="2753" spans="1:42" customFormat="1">
      <c r="A2753">
        <v>269966</v>
      </c>
      <c r="B2753" t="s">
        <v>3104</v>
      </c>
      <c r="C2753" t="s">
        <v>3105</v>
      </c>
      <c r="D2753" s="22">
        <v>0</v>
      </c>
      <c r="E2753" s="17">
        <v>42137</v>
      </c>
      <c r="F2753" s="18">
        <v>0.67083333333333339</v>
      </c>
      <c r="G2753" s="22">
        <v>7.8</v>
      </c>
      <c r="H2753">
        <v>0</v>
      </c>
      <c r="I2753" s="19" t="e">
        <f>I2752 + (D2753-G2753)</f>
        <v>#VALUE!</v>
      </c>
      <c r="M2753">
        <v>123343</v>
      </c>
      <c r="N2753">
        <v>24</v>
      </c>
      <c r="O2753" t="s">
        <v>68</v>
      </c>
      <c r="P2753">
        <v>1</v>
      </c>
      <c r="R2753">
        <v>1513</v>
      </c>
      <c r="S2753" s="17">
        <v>42138</v>
      </c>
      <c r="T2753" s="17">
        <v>42138</v>
      </c>
      <c r="W2753">
        <v>2015</v>
      </c>
      <c r="X2753">
        <v>24</v>
      </c>
      <c r="AC2753" t="s">
        <v>125</v>
      </c>
      <c r="AD2753" t="s">
        <v>302</v>
      </c>
      <c r="AE2753" t="s">
        <v>46</v>
      </c>
      <c r="AG2753">
        <v>4</v>
      </c>
      <c r="AH2753">
        <v>9</v>
      </c>
      <c r="AI2753" t="s">
        <v>54</v>
      </c>
      <c r="AK2753">
        <v>0</v>
      </c>
      <c r="AM2753">
        <v>0</v>
      </c>
      <c r="AP2753" t="s">
        <v>389</v>
      </c>
    </row>
    <row r="2754" spans="1:42" customFormat="1">
      <c r="A2754">
        <v>269967</v>
      </c>
      <c r="B2754" t="s">
        <v>3107</v>
      </c>
      <c r="C2754" t="s">
        <v>3108</v>
      </c>
      <c r="D2754" s="22">
        <v>0</v>
      </c>
      <c r="E2754" s="17">
        <v>42137</v>
      </c>
      <c r="F2754" s="18">
        <v>0.67123842592592586</v>
      </c>
      <c r="G2754" s="22">
        <v>7.8</v>
      </c>
      <c r="H2754">
        <v>0</v>
      </c>
      <c r="I2754" s="19" t="e">
        <f>I2753 + (D2754-G2754)</f>
        <v>#VALUE!</v>
      </c>
      <c r="M2754">
        <v>123344</v>
      </c>
      <c r="N2754">
        <v>24</v>
      </c>
      <c r="O2754" t="s">
        <v>68</v>
      </c>
      <c r="P2754">
        <v>1</v>
      </c>
      <c r="R2754">
        <v>1513</v>
      </c>
      <c r="S2754" s="17">
        <v>42138</v>
      </c>
      <c r="T2754" s="17">
        <v>42138</v>
      </c>
      <c r="W2754">
        <v>2015</v>
      </c>
      <c r="X2754">
        <v>24</v>
      </c>
      <c r="AC2754" t="s">
        <v>125</v>
      </c>
      <c r="AD2754" t="s">
        <v>302</v>
      </c>
      <c r="AE2754" t="s">
        <v>46</v>
      </c>
      <c r="AG2754">
        <v>4</v>
      </c>
      <c r="AH2754">
        <v>9</v>
      </c>
      <c r="AI2754" t="s">
        <v>54</v>
      </c>
      <c r="AK2754">
        <v>0</v>
      </c>
      <c r="AM2754">
        <v>0</v>
      </c>
      <c r="AP2754" t="s">
        <v>389</v>
      </c>
    </row>
    <row r="2755" spans="1:42" customFormat="1">
      <c r="A2755">
        <v>270611</v>
      </c>
      <c r="B2755" t="s">
        <v>3148</v>
      </c>
      <c r="C2755" t="s">
        <v>3149</v>
      </c>
      <c r="D2755" s="22">
        <v>0</v>
      </c>
      <c r="E2755" s="17">
        <v>42138</v>
      </c>
      <c r="F2755" s="18">
        <v>0.4230902777777778</v>
      </c>
      <c r="G2755" s="22">
        <v>7.8</v>
      </c>
      <c r="H2755">
        <v>0</v>
      </c>
      <c r="I2755" s="19" t="e">
        <f>I2754 + (D2755-G2755)</f>
        <v>#VALUE!</v>
      </c>
      <c r="M2755">
        <v>123782</v>
      </c>
      <c r="N2755">
        <v>24</v>
      </c>
      <c r="O2755" t="s">
        <v>68</v>
      </c>
      <c r="P2755">
        <v>1</v>
      </c>
      <c r="R2755">
        <v>1513</v>
      </c>
      <c r="S2755" s="17">
        <v>42145</v>
      </c>
      <c r="T2755" s="17">
        <v>42145</v>
      </c>
      <c r="W2755">
        <v>2015</v>
      </c>
      <c r="X2755">
        <v>24</v>
      </c>
      <c r="AC2755" t="s">
        <v>125</v>
      </c>
      <c r="AD2755" t="s">
        <v>302</v>
      </c>
      <c r="AE2755" t="s">
        <v>46</v>
      </c>
      <c r="AG2755">
        <v>4</v>
      </c>
      <c r="AH2755">
        <v>9</v>
      </c>
      <c r="AI2755" t="s">
        <v>54</v>
      </c>
      <c r="AK2755">
        <v>0</v>
      </c>
      <c r="AM2755">
        <v>0</v>
      </c>
      <c r="AP2755" t="s">
        <v>389</v>
      </c>
    </row>
    <row r="2756" spans="1:42" customFormat="1">
      <c r="A2756">
        <v>270612</v>
      </c>
      <c r="B2756" t="s">
        <v>3150</v>
      </c>
      <c r="C2756" t="s">
        <v>3151</v>
      </c>
      <c r="D2756" s="22">
        <v>0</v>
      </c>
      <c r="E2756" s="17">
        <v>42138</v>
      </c>
      <c r="F2756" s="18">
        <v>0.4230902777777778</v>
      </c>
      <c r="G2756" s="22">
        <v>7.8</v>
      </c>
      <c r="H2756">
        <v>0</v>
      </c>
      <c r="I2756" s="19" t="e">
        <f>I2755 + (D2756-G2756)</f>
        <v>#VALUE!</v>
      </c>
      <c r="M2756">
        <v>123783</v>
      </c>
      <c r="N2756">
        <v>24</v>
      </c>
      <c r="O2756" t="s">
        <v>68</v>
      </c>
      <c r="P2756">
        <v>1</v>
      </c>
      <c r="R2756">
        <v>1513</v>
      </c>
      <c r="S2756" s="17">
        <v>42145</v>
      </c>
      <c r="T2756" s="17">
        <v>42145</v>
      </c>
      <c r="W2756">
        <v>2015</v>
      </c>
      <c r="X2756">
        <v>24</v>
      </c>
      <c r="AC2756" t="s">
        <v>125</v>
      </c>
      <c r="AD2756" t="s">
        <v>302</v>
      </c>
      <c r="AE2756" t="s">
        <v>46</v>
      </c>
      <c r="AG2756">
        <v>4</v>
      </c>
      <c r="AH2756">
        <v>9</v>
      </c>
      <c r="AI2756" t="s">
        <v>54</v>
      </c>
      <c r="AK2756">
        <v>0</v>
      </c>
      <c r="AM2756">
        <v>0</v>
      </c>
      <c r="AP2756" t="s">
        <v>389</v>
      </c>
    </row>
    <row r="2757" spans="1:42" customFormat="1">
      <c r="A2757">
        <v>270657</v>
      </c>
      <c r="B2757" t="s">
        <v>3181</v>
      </c>
      <c r="C2757" t="s">
        <v>3182</v>
      </c>
      <c r="D2757" s="22">
        <v>0</v>
      </c>
      <c r="E2757" s="17">
        <v>42138</v>
      </c>
      <c r="F2757" s="18">
        <v>0.4697453703703704</v>
      </c>
      <c r="G2757" s="22">
        <v>7.9</v>
      </c>
      <c r="H2757">
        <v>0</v>
      </c>
      <c r="I2757" s="19" t="e">
        <f>I2756 + (D2757-G2757)</f>
        <v>#VALUE!</v>
      </c>
      <c r="M2757">
        <v>123816</v>
      </c>
      <c r="N2757">
        <v>24</v>
      </c>
      <c r="O2757" t="s">
        <v>68</v>
      </c>
      <c r="P2757">
        <v>1</v>
      </c>
      <c r="R2757">
        <v>1513</v>
      </c>
      <c r="S2757" s="17">
        <v>42145</v>
      </c>
      <c r="T2757" s="17">
        <v>42145</v>
      </c>
      <c r="W2757">
        <v>2015</v>
      </c>
      <c r="X2757">
        <v>24</v>
      </c>
      <c r="AC2757" t="s">
        <v>125</v>
      </c>
      <c r="AD2757" t="s">
        <v>302</v>
      </c>
      <c r="AE2757" t="s">
        <v>46</v>
      </c>
      <c r="AG2757">
        <v>2</v>
      </c>
      <c r="AH2757">
        <v>9</v>
      </c>
      <c r="AI2757" t="s">
        <v>54</v>
      </c>
      <c r="AK2757">
        <v>0</v>
      </c>
      <c r="AM2757">
        <v>0</v>
      </c>
      <c r="AP2757" t="s">
        <v>2544</v>
      </c>
    </row>
    <row r="2758" spans="1:42" customFormat="1">
      <c r="A2758">
        <v>270487</v>
      </c>
      <c r="B2758" t="s">
        <v>3286</v>
      </c>
      <c r="C2758" t="s">
        <v>3287</v>
      </c>
      <c r="D2758" s="22">
        <v>0</v>
      </c>
      <c r="E2758" s="17">
        <v>42139</v>
      </c>
      <c r="F2758" s="18">
        <v>0.39012731481481483</v>
      </c>
      <c r="G2758" s="22">
        <v>15.9</v>
      </c>
      <c r="H2758">
        <v>0</v>
      </c>
      <c r="I2758" s="19" t="e">
        <f>I2757 + (D2758-G2758)</f>
        <v>#VALUE!</v>
      </c>
      <c r="M2758">
        <v>123689</v>
      </c>
      <c r="N2758">
        <v>7</v>
      </c>
      <c r="O2758" t="s">
        <v>44</v>
      </c>
      <c r="P2758">
        <v>1</v>
      </c>
      <c r="R2758">
        <v>1513</v>
      </c>
      <c r="S2758" s="17">
        <v>42145</v>
      </c>
      <c r="T2758" s="17">
        <v>42145</v>
      </c>
      <c r="W2758">
        <v>2015</v>
      </c>
      <c r="X2758">
        <v>7</v>
      </c>
      <c r="AC2758" t="s">
        <v>125</v>
      </c>
      <c r="AD2758" t="s">
        <v>302</v>
      </c>
      <c r="AE2758" t="s">
        <v>46</v>
      </c>
      <c r="AG2758">
        <v>26</v>
      </c>
      <c r="AH2758">
        <v>9</v>
      </c>
      <c r="AI2758" t="s">
        <v>54</v>
      </c>
      <c r="AK2758">
        <v>0</v>
      </c>
      <c r="AM2758">
        <v>0</v>
      </c>
      <c r="AP2758" t="s">
        <v>501</v>
      </c>
    </row>
    <row r="2759" spans="1:42" customFormat="1">
      <c r="A2759">
        <v>270618</v>
      </c>
      <c r="B2759" t="s">
        <v>3409</v>
      </c>
      <c r="C2759" t="s">
        <v>3410</v>
      </c>
      <c r="D2759" s="22">
        <v>0</v>
      </c>
      <c r="E2759" s="17">
        <v>42139</v>
      </c>
      <c r="F2759" s="18">
        <v>0.42964120370370368</v>
      </c>
      <c r="G2759" s="22">
        <v>7.8</v>
      </c>
      <c r="H2759">
        <v>0</v>
      </c>
      <c r="I2759" s="19" t="e">
        <f>I2758 + (D2759-G2759)</f>
        <v>#VALUE!</v>
      </c>
      <c r="M2759">
        <v>123786</v>
      </c>
      <c r="N2759">
        <v>24</v>
      </c>
      <c r="O2759" t="s">
        <v>68</v>
      </c>
      <c r="P2759">
        <v>1</v>
      </c>
      <c r="R2759">
        <v>1513</v>
      </c>
      <c r="S2759" s="17">
        <v>42145</v>
      </c>
      <c r="T2759" s="17">
        <v>42145</v>
      </c>
      <c r="W2759">
        <v>2015</v>
      </c>
      <c r="X2759">
        <v>24</v>
      </c>
      <c r="AC2759" t="s">
        <v>125</v>
      </c>
      <c r="AD2759" t="s">
        <v>302</v>
      </c>
      <c r="AE2759" t="s">
        <v>46</v>
      </c>
      <c r="AG2759">
        <v>4</v>
      </c>
      <c r="AH2759">
        <v>9</v>
      </c>
      <c r="AI2759" t="s">
        <v>54</v>
      </c>
      <c r="AK2759">
        <v>0</v>
      </c>
      <c r="AM2759">
        <v>0</v>
      </c>
      <c r="AP2759" t="s">
        <v>389</v>
      </c>
    </row>
    <row r="2760" spans="1:42" customFormat="1">
      <c r="A2760">
        <v>270619</v>
      </c>
      <c r="B2760" t="s">
        <v>3411</v>
      </c>
      <c r="C2760" t="s">
        <v>3412</v>
      </c>
      <c r="D2760" s="22">
        <v>0</v>
      </c>
      <c r="E2760" s="17">
        <v>42139</v>
      </c>
      <c r="F2760" s="18">
        <v>0.42964120370370368</v>
      </c>
      <c r="G2760" s="22">
        <v>7.8</v>
      </c>
      <c r="H2760">
        <v>0</v>
      </c>
      <c r="I2760" s="19" t="e">
        <f>I2759 + (D2760-G2760)</f>
        <v>#VALUE!</v>
      </c>
      <c r="M2760">
        <v>123787</v>
      </c>
      <c r="N2760">
        <v>24</v>
      </c>
      <c r="O2760" t="s">
        <v>68</v>
      </c>
      <c r="P2760">
        <v>1</v>
      </c>
      <c r="R2760">
        <v>1513</v>
      </c>
      <c r="S2760" s="17">
        <v>42145</v>
      </c>
      <c r="T2760" s="17">
        <v>42145</v>
      </c>
      <c r="W2760">
        <v>2015</v>
      </c>
      <c r="X2760">
        <v>24</v>
      </c>
      <c r="AC2760" t="s">
        <v>125</v>
      </c>
      <c r="AD2760" t="s">
        <v>302</v>
      </c>
      <c r="AE2760" t="s">
        <v>46</v>
      </c>
      <c r="AG2760">
        <v>4</v>
      </c>
      <c r="AH2760">
        <v>9</v>
      </c>
      <c r="AI2760" t="s">
        <v>54</v>
      </c>
      <c r="AK2760">
        <v>0</v>
      </c>
      <c r="AM2760">
        <v>0</v>
      </c>
      <c r="AP2760" t="s">
        <v>389</v>
      </c>
    </row>
    <row r="2761" spans="1:42" customFormat="1">
      <c r="A2761">
        <v>270620</v>
      </c>
      <c r="B2761" t="s">
        <v>3413</v>
      </c>
      <c r="C2761" t="s">
        <v>3414</v>
      </c>
      <c r="D2761" s="22">
        <v>0</v>
      </c>
      <c r="E2761" s="17">
        <v>42139</v>
      </c>
      <c r="F2761" s="18">
        <v>0.42964120370370368</v>
      </c>
      <c r="G2761" s="22">
        <v>7.8</v>
      </c>
      <c r="H2761">
        <v>0</v>
      </c>
      <c r="I2761" s="19" t="e">
        <f>I2760 + (D2761-G2761)</f>
        <v>#VALUE!</v>
      </c>
      <c r="M2761">
        <v>123788</v>
      </c>
      <c r="N2761">
        <v>24</v>
      </c>
      <c r="O2761" t="s">
        <v>68</v>
      </c>
      <c r="P2761">
        <v>1</v>
      </c>
      <c r="R2761">
        <v>1513</v>
      </c>
      <c r="S2761" s="17">
        <v>42145</v>
      </c>
      <c r="T2761" s="17">
        <v>42145</v>
      </c>
      <c r="W2761">
        <v>2015</v>
      </c>
      <c r="X2761">
        <v>24</v>
      </c>
      <c r="AC2761" t="s">
        <v>125</v>
      </c>
      <c r="AD2761" t="s">
        <v>302</v>
      </c>
      <c r="AE2761" t="s">
        <v>46</v>
      </c>
      <c r="AG2761">
        <v>4</v>
      </c>
      <c r="AH2761">
        <v>9</v>
      </c>
      <c r="AI2761" t="s">
        <v>54</v>
      </c>
      <c r="AK2761">
        <v>0</v>
      </c>
      <c r="AM2761">
        <v>0</v>
      </c>
      <c r="AP2761" t="s">
        <v>389</v>
      </c>
    </row>
    <row r="2762" spans="1:42" customFormat="1">
      <c r="A2762">
        <v>270621</v>
      </c>
      <c r="B2762" t="s">
        <v>3415</v>
      </c>
      <c r="C2762" t="s">
        <v>3416</v>
      </c>
      <c r="D2762" s="22">
        <v>0</v>
      </c>
      <c r="E2762" s="17">
        <v>42139</v>
      </c>
      <c r="F2762" s="18">
        <v>0.42964120370370368</v>
      </c>
      <c r="G2762" s="22">
        <v>7.8</v>
      </c>
      <c r="H2762">
        <v>0</v>
      </c>
      <c r="I2762" s="19" t="e">
        <f>I2761 + (D2762-G2762)</f>
        <v>#VALUE!</v>
      </c>
      <c r="M2762">
        <v>123789</v>
      </c>
      <c r="N2762">
        <v>24</v>
      </c>
      <c r="O2762" t="s">
        <v>68</v>
      </c>
      <c r="P2762">
        <v>1</v>
      </c>
      <c r="R2762">
        <v>1513</v>
      </c>
      <c r="S2762" s="17">
        <v>42145</v>
      </c>
      <c r="T2762" s="17">
        <v>42145</v>
      </c>
      <c r="W2762">
        <v>2015</v>
      </c>
      <c r="X2762">
        <v>24</v>
      </c>
      <c r="AC2762" t="s">
        <v>125</v>
      </c>
      <c r="AD2762" t="s">
        <v>302</v>
      </c>
      <c r="AE2762" t="s">
        <v>46</v>
      </c>
      <c r="AG2762">
        <v>4</v>
      </c>
      <c r="AH2762">
        <v>9</v>
      </c>
      <c r="AI2762" t="s">
        <v>54</v>
      </c>
      <c r="AK2762">
        <v>0</v>
      </c>
      <c r="AM2762">
        <v>0</v>
      </c>
      <c r="AP2762" t="s">
        <v>389</v>
      </c>
    </row>
    <row r="2763" spans="1:42" customFormat="1">
      <c r="A2763">
        <v>270622</v>
      </c>
      <c r="B2763" t="s">
        <v>3417</v>
      </c>
      <c r="C2763" t="s">
        <v>3418</v>
      </c>
      <c r="D2763" s="22">
        <v>0</v>
      </c>
      <c r="E2763" s="17">
        <v>42139</v>
      </c>
      <c r="F2763" s="18">
        <v>0.42964120370370368</v>
      </c>
      <c r="G2763" s="22">
        <v>7.8</v>
      </c>
      <c r="H2763">
        <v>0</v>
      </c>
      <c r="I2763" s="19" t="e">
        <f>I2762 + (D2763-G2763)</f>
        <v>#VALUE!</v>
      </c>
      <c r="M2763">
        <v>123790</v>
      </c>
      <c r="N2763">
        <v>24</v>
      </c>
      <c r="O2763" t="s">
        <v>68</v>
      </c>
      <c r="P2763">
        <v>1</v>
      </c>
      <c r="R2763">
        <v>1513</v>
      </c>
      <c r="S2763" s="17">
        <v>42145</v>
      </c>
      <c r="T2763" s="17">
        <v>42145</v>
      </c>
      <c r="W2763">
        <v>2015</v>
      </c>
      <c r="X2763">
        <v>24</v>
      </c>
      <c r="AC2763" t="s">
        <v>125</v>
      </c>
      <c r="AD2763" t="s">
        <v>302</v>
      </c>
      <c r="AE2763" t="s">
        <v>46</v>
      </c>
      <c r="AG2763">
        <v>4</v>
      </c>
      <c r="AH2763">
        <v>9</v>
      </c>
      <c r="AI2763" t="s">
        <v>54</v>
      </c>
      <c r="AK2763">
        <v>0</v>
      </c>
      <c r="AM2763">
        <v>0</v>
      </c>
      <c r="AP2763" t="s">
        <v>389</v>
      </c>
    </row>
    <row r="2764" spans="1:42" customFormat="1">
      <c r="A2764">
        <v>270623</v>
      </c>
      <c r="B2764" t="s">
        <v>3419</v>
      </c>
      <c r="C2764" t="s">
        <v>3420</v>
      </c>
      <c r="D2764" s="22">
        <v>0</v>
      </c>
      <c r="E2764" s="17">
        <v>42139</v>
      </c>
      <c r="F2764" s="18">
        <v>0.42964120370370368</v>
      </c>
      <c r="G2764" s="22">
        <v>7.8</v>
      </c>
      <c r="H2764">
        <v>0</v>
      </c>
      <c r="I2764" s="19" t="e">
        <f>I2763 + (D2764-G2764)</f>
        <v>#VALUE!</v>
      </c>
      <c r="M2764">
        <v>123791</v>
      </c>
      <c r="N2764">
        <v>24</v>
      </c>
      <c r="O2764" t="s">
        <v>68</v>
      </c>
      <c r="P2764">
        <v>1</v>
      </c>
      <c r="R2764">
        <v>1513</v>
      </c>
      <c r="S2764" s="17">
        <v>42145</v>
      </c>
      <c r="T2764" s="17">
        <v>42145</v>
      </c>
      <c r="W2764">
        <v>2015</v>
      </c>
      <c r="X2764">
        <v>24</v>
      </c>
      <c r="AC2764" t="s">
        <v>125</v>
      </c>
      <c r="AD2764" t="s">
        <v>302</v>
      </c>
      <c r="AE2764" t="s">
        <v>46</v>
      </c>
      <c r="AG2764">
        <v>4</v>
      </c>
      <c r="AH2764">
        <v>9</v>
      </c>
      <c r="AI2764" t="s">
        <v>54</v>
      </c>
      <c r="AK2764">
        <v>0</v>
      </c>
      <c r="AM2764">
        <v>0</v>
      </c>
      <c r="AP2764" t="s">
        <v>389</v>
      </c>
    </row>
    <row r="2765" spans="1:42" customFormat="1">
      <c r="A2765">
        <v>270624</v>
      </c>
      <c r="B2765" t="s">
        <v>3421</v>
      </c>
      <c r="C2765" t="s">
        <v>3422</v>
      </c>
      <c r="D2765" s="22">
        <v>0</v>
      </c>
      <c r="E2765" s="17">
        <v>42139</v>
      </c>
      <c r="F2765" s="18">
        <v>0.42964120370370368</v>
      </c>
      <c r="G2765" s="22">
        <v>7.8</v>
      </c>
      <c r="H2765">
        <v>0</v>
      </c>
      <c r="I2765" s="19" t="e">
        <f>I2764 + (D2765-G2765)</f>
        <v>#VALUE!</v>
      </c>
      <c r="M2765">
        <v>123792</v>
      </c>
      <c r="N2765">
        <v>24</v>
      </c>
      <c r="O2765" t="s">
        <v>68</v>
      </c>
      <c r="P2765">
        <v>1</v>
      </c>
      <c r="R2765">
        <v>1513</v>
      </c>
      <c r="S2765" s="17">
        <v>42145</v>
      </c>
      <c r="T2765" s="17">
        <v>42145</v>
      </c>
      <c r="W2765">
        <v>2015</v>
      </c>
      <c r="X2765">
        <v>24</v>
      </c>
      <c r="AC2765" t="s">
        <v>125</v>
      </c>
      <c r="AD2765" t="s">
        <v>302</v>
      </c>
      <c r="AE2765" t="s">
        <v>46</v>
      </c>
      <c r="AG2765">
        <v>4</v>
      </c>
      <c r="AH2765">
        <v>9</v>
      </c>
      <c r="AI2765" t="s">
        <v>54</v>
      </c>
      <c r="AK2765">
        <v>0</v>
      </c>
      <c r="AM2765">
        <v>0</v>
      </c>
      <c r="AP2765" t="s">
        <v>389</v>
      </c>
    </row>
    <row r="2766" spans="1:42" customFormat="1">
      <c r="A2766">
        <v>270625</v>
      </c>
      <c r="B2766" t="s">
        <v>3423</v>
      </c>
      <c r="C2766" t="s">
        <v>3424</v>
      </c>
      <c r="D2766" s="22">
        <v>0</v>
      </c>
      <c r="E2766" s="17">
        <v>42139</v>
      </c>
      <c r="F2766" s="18">
        <v>0.42964120370370368</v>
      </c>
      <c r="G2766" s="22">
        <v>7.8</v>
      </c>
      <c r="H2766">
        <v>0</v>
      </c>
      <c r="I2766" s="19" t="e">
        <f>I2765 + (D2766-G2766)</f>
        <v>#VALUE!</v>
      </c>
      <c r="M2766">
        <v>123793</v>
      </c>
      <c r="N2766">
        <v>24</v>
      </c>
      <c r="O2766" t="s">
        <v>68</v>
      </c>
      <c r="P2766">
        <v>1</v>
      </c>
      <c r="R2766">
        <v>1513</v>
      </c>
      <c r="S2766" s="17">
        <v>42145</v>
      </c>
      <c r="T2766" s="17">
        <v>42145</v>
      </c>
      <c r="W2766">
        <v>2015</v>
      </c>
      <c r="X2766">
        <v>24</v>
      </c>
      <c r="AC2766" t="s">
        <v>125</v>
      </c>
      <c r="AD2766" t="s">
        <v>302</v>
      </c>
      <c r="AE2766" t="s">
        <v>46</v>
      </c>
      <c r="AG2766">
        <v>4</v>
      </c>
      <c r="AH2766">
        <v>9</v>
      </c>
      <c r="AI2766" t="s">
        <v>54</v>
      </c>
      <c r="AK2766">
        <v>0</v>
      </c>
      <c r="AM2766">
        <v>0</v>
      </c>
      <c r="AP2766" t="s">
        <v>389</v>
      </c>
    </row>
    <row r="2767" spans="1:42" customFormat="1">
      <c r="A2767">
        <v>270626</v>
      </c>
      <c r="B2767" t="s">
        <v>3425</v>
      </c>
      <c r="C2767" t="s">
        <v>3426</v>
      </c>
      <c r="D2767" s="22">
        <v>0</v>
      </c>
      <c r="E2767" s="17">
        <v>42139</v>
      </c>
      <c r="F2767" s="18">
        <v>0.42964120370370368</v>
      </c>
      <c r="G2767" s="22">
        <v>7.8</v>
      </c>
      <c r="H2767">
        <v>0</v>
      </c>
      <c r="I2767" s="19" t="e">
        <f>I2766 + (D2767-G2767)</f>
        <v>#VALUE!</v>
      </c>
      <c r="M2767">
        <v>123794</v>
      </c>
      <c r="N2767">
        <v>24</v>
      </c>
      <c r="O2767" t="s">
        <v>68</v>
      </c>
      <c r="P2767">
        <v>1</v>
      </c>
      <c r="R2767">
        <v>1513</v>
      </c>
      <c r="S2767" s="17">
        <v>42145</v>
      </c>
      <c r="T2767" s="17">
        <v>42145</v>
      </c>
      <c r="W2767">
        <v>2015</v>
      </c>
      <c r="X2767">
        <v>24</v>
      </c>
      <c r="AC2767" t="s">
        <v>125</v>
      </c>
      <c r="AD2767" t="s">
        <v>302</v>
      </c>
      <c r="AE2767" t="s">
        <v>46</v>
      </c>
      <c r="AG2767">
        <v>4</v>
      </c>
      <c r="AH2767">
        <v>9</v>
      </c>
      <c r="AI2767" t="s">
        <v>54</v>
      </c>
      <c r="AK2767">
        <v>0</v>
      </c>
      <c r="AM2767">
        <v>0</v>
      </c>
      <c r="AP2767" t="s">
        <v>389</v>
      </c>
    </row>
    <row r="2768" spans="1:42" customFormat="1">
      <c r="A2768">
        <v>270491</v>
      </c>
      <c r="B2768" t="s">
        <v>3506</v>
      </c>
      <c r="C2768" t="s">
        <v>3507</v>
      </c>
      <c r="D2768" s="22">
        <v>0</v>
      </c>
      <c r="E2768" s="17">
        <v>42142</v>
      </c>
      <c r="F2768" s="18">
        <v>0.39020833333333332</v>
      </c>
      <c r="G2768" s="22">
        <v>7.95</v>
      </c>
      <c r="H2768">
        <v>0</v>
      </c>
      <c r="I2768" s="19" t="e">
        <f>I2767 + (D2768-G2768)</f>
        <v>#VALUE!</v>
      </c>
      <c r="M2768">
        <v>123693</v>
      </c>
      <c r="N2768">
        <v>7</v>
      </c>
      <c r="O2768" t="s">
        <v>44</v>
      </c>
      <c r="P2768">
        <v>1</v>
      </c>
      <c r="R2768">
        <v>1513</v>
      </c>
      <c r="S2768" s="17">
        <v>42145</v>
      </c>
      <c r="T2768" s="17">
        <v>42145</v>
      </c>
      <c r="W2768">
        <v>2015</v>
      </c>
      <c r="X2768">
        <v>7</v>
      </c>
      <c r="AC2768" t="s">
        <v>125</v>
      </c>
      <c r="AD2768" t="s">
        <v>302</v>
      </c>
      <c r="AE2768" t="s">
        <v>46</v>
      </c>
      <c r="AG2768">
        <v>26</v>
      </c>
      <c r="AH2768">
        <v>9</v>
      </c>
      <c r="AI2768" t="s">
        <v>54</v>
      </c>
      <c r="AK2768">
        <v>0</v>
      </c>
      <c r="AM2768">
        <v>0</v>
      </c>
      <c r="AP2768" t="s">
        <v>501</v>
      </c>
    </row>
    <row r="2769" spans="1:42" customFormat="1">
      <c r="A2769">
        <v>270844</v>
      </c>
      <c r="B2769" t="s">
        <v>3558</v>
      </c>
      <c r="C2769" t="s">
        <v>3559</v>
      </c>
      <c r="D2769" s="22">
        <v>0</v>
      </c>
      <c r="E2769" s="17">
        <v>42142</v>
      </c>
      <c r="F2769" s="18">
        <v>0.55694444444444446</v>
      </c>
      <c r="G2769" s="22">
        <v>7.8</v>
      </c>
      <c r="H2769">
        <v>0</v>
      </c>
      <c r="I2769" s="19" t="e">
        <f>I2768 + (D2769-G2769)</f>
        <v>#VALUE!</v>
      </c>
      <c r="M2769">
        <v>123935</v>
      </c>
      <c r="N2769">
        <v>24</v>
      </c>
      <c r="O2769" t="s">
        <v>68</v>
      </c>
      <c r="P2769">
        <v>1</v>
      </c>
      <c r="R2769">
        <v>1513</v>
      </c>
      <c r="S2769" s="17">
        <v>42146</v>
      </c>
      <c r="T2769" s="17">
        <v>42146</v>
      </c>
      <c r="W2769">
        <v>2015</v>
      </c>
      <c r="X2769">
        <v>24</v>
      </c>
      <c r="AC2769" t="s">
        <v>125</v>
      </c>
      <c r="AD2769" t="s">
        <v>302</v>
      </c>
      <c r="AE2769" t="s">
        <v>46</v>
      </c>
      <c r="AG2769">
        <v>4</v>
      </c>
      <c r="AH2769">
        <v>9</v>
      </c>
      <c r="AI2769" t="s">
        <v>54</v>
      </c>
      <c r="AK2769">
        <v>0</v>
      </c>
      <c r="AM2769">
        <v>0</v>
      </c>
      <c r="AP2769" t="s">
        <v>389</v>
      </c>
    </row>
    <row r="2770" spans="1:42" customFormat="1">
      <c r="A2770">
        <v>274016</v>
      </c>
      <c r="B2770" t="s">
        <v>3590</v>
      </c>
      <c r="C2770" t="s">
        <v>3591</v>
      </c>
      <c r="D2770" s="22">
        <v>0</v>
      </c>
      <c r="E2770" s="17">
        <v>42142</v>
      </c>
      <c r="F2770" s="18">
        <v>0.72510416666666666</v>
      </c>
      <c r="G2770" s="22">
        <v>4</v>
      </c>
      <c r="H2770">
        <v>0</v>
      </c>
      <c r="I2770" s="19" t="e">
        <f>I2769 + (D2770-G2770)</f>
        <v>#VALUE!</v>
      </c>
      <c r="M2770">
        <v>127347</v>
      </c>
      <c r="N2770">
        <v>24</v>
      </c>
      <c r="O2770" t="s">
        <v>68</v>
      </c>
      <c r="P2770">
        <v>1</v>
      </c>
      <c r="R2770">
        <v>1513</v>
      </c>
      <c r="S2770" s="17">
        <v>42179</v>
      </c>
      <c r="T2770" s="17">
        <v>42179</v>
      </c>
      <c r="W2770">
        <v>2015</v>
      </c>
      <c r="X2770">
        <v>24</v>
      </c>
      <c r="AC2770" t="s">
        <v>125</v>
      </c>
      <c r="AD2770" t="s">
        <v>302</v>
      </c>
      <c r="AE2770" t="s">
        <v>46</v>
      </c>
      <c r="AG2770">
        <v>59</v>
      </c>
      <c r="AH2770">
        <v>9</v>
      </c>
      <c r="AI2770" t="s">
        <v>54</v>
      </c>
      <c r="AK2770">
        <v>0</v>
      </c>
      <c r="AM2770">
        <v>0</v>
      </c>
      <c r="AP2770" t="s">
        <v>341</v>
      </c>
    </row>
    <row r="2771" spans="1:42" customFormat="1">
      <c r="A2771">
        <v>270555</v>
      </c>
      <c r="B2771" t="s">
        <v>3620</v>
      </c>
      <c r="C2771" t="s">
        <v>3621</v>
      </c>
      <c r="D2771" s="22">
        <v>0</v>
      </c>
      <c r="E2771" s="17">
        <v>42143</v>
      </c>
      <c r="F2771" s="18">
        <v>0.4107986111111111</v>
      </c>
      <c r="G2771" s="22">
        <v>23.85</v>
      </c>
      <c r="H2771">
        <v>0</v>
      </c>
      <c r="I2771" s="19" t="e">
        <f>I2770 + (D2771-G2771)</f>
        <v>#VALUE!</v>
      </c>
      <c r="M2771">
        <v>123734</v>
      </c>
      <c r="N2771">
        <v>7</v>
      </c>
      <c r="O2771" t="s">
        <v>44</v>
      </c>
      <c r="P2771">
        <v>1</v>
      </c>
      <c r="R2771">
        <v>1513</v>
      </c>
      <c r="S2771" s="17">
        <v>42145</v>
      </c>
      <c r="T2771" s="17">
        <v>42145</v>
      </c>
      <c r="W2771">
        <v>2015</v>
      </c>
      <c r="X2771">
        <v>7</v>
      </c>
      <c r="AC2771" t="s">
        <v>125</v>
      </c>
      <c r="AD2771" t="s">
        <v>302</v>
      </c>
      <c r="AE2771" t="s">
        <v>46</v>
      </c>
      <c r="AG2771">
        <v>26</v>
      </c>
      <c r="AH2771">
        <v>9</v>
      </c>
      <c r="AI2771" t="s">
        <v>54</v>
      </c>
      <c r="AK2771">
        <v>0</v>
      </c>
      <c r="AM2771">
        <v>0</v>
      </c>
      <c r="AP2771" t="s">
        <v>501</v>
      </c>
    </row>
    <row r="2772" spans="1:42" customFormat="1">
      <c r="A2772">
        <v>270556</v>
      </c>
      <c r="B2772" t="s">
        <v>3622</v>
      </c>
      <c r="C2772" t="s">
        <v>3623</v>
      </c>
      <c r="D2772" s="22">
        <v>0</v>
      </c>
      <c r="E2772" s="17">
        <v>42143</v>
      </c>
      <c r="F2772" s="18">
        <v>0.4107986111111111</v>
      </c>
      <c r="G2772" s="22">
        <v>7.95</v>
      </c>
      <c r="H2772">
        <v>0</v>
      </c>
      <c r="I2772" s="19" t="e">
        <f>I2771 + (D2772-G2772)</f>
        <v>#VALUE!</v>
      </c>
      <c r="M2772">
        <v>123735</v>
      </c>
      <c r="N2772">
        <v>7</v>
      </c>
      <c r="O2772" t="s">
        <v>44</v>
      </c>
      <c r="P2772">
        <v>1</v>
      </c>
      <c r="R2772">
        <v>1513</v>
      </c>
      <c r="S2772" s="17">
        <v>42145</v>
      </c>
      <c r="T2772" s="17">
        <v>42145</v>
      </c>
      <c r="W2772">
        <v>2015</v>
      </c>
      <c r="X2772">
        <v>7</v>
      </c>
      <c r="AC2772" t="s">
        <v>125</v>
      </c>
      <c r="AD2772" t="s">
        <v>302</v>
      </c>
      <c r="AE2772" t="s">
        <v>46</v>
      </c>
      <c r="AG2772">
        <v>26</v>
      </c>
      <c r="AH2772">
        <v>9</v>
      </c>
      <c r="AI2772" t="s">
        <v>54</v>
      </c>
      <c r="AK2772">
        <v>0</v>
      </c>
      <c r="AM2772">
        <v>0</v>
      </c>
      <c r="AP2772" t="s">
        <v>501</v>
      </c>
    </row>
    <row r="2773" spans="1:42" customFormat="1">
      <c r="A2773">
        <v>270557</v>
      </c>
      <c r="B2773" t="s">
        <v>3624</v>
      </c>
      <c r="C2773" t="s">
        <v>3625</v>
      </c>
      <c r="D2773" s="22">
        <v>0</v>
      </c>
      <c r="E2773" s="17">
        <v>42143</v>
      </c>
      <c r="F2773" s="18">
        <v>0.4107986111111111</v>
      </c>
      <c r="G2773" s="22">
        <v>2.7</v>
      </c>
      <c r="H2773">
        <v>0</v>
      </c>
      <c r="I2773" s="19" t="e">
        <f>I2772 + (D2773-G2773)</f>
        <v>#VALUE!</v>
      </c>
      <c r="M2773">
        <v>123736</v>
      </c>
      <c r="N2773">
        <v>7</v>
      </c>
      <c r="O2773" t="s">
        <v>44</v>
      </c>
      <c r="P2773">
        <v>1</v>
      </c>
      <c r="R2773">
        <v>1513</v>
      </c>
      <c r="S2773" s="17">
        <v>42145</v>
      </c>
      <c r="T2773" s="17">
        <v>42145</v>
      </c>
      <c r="W2773">
        <v>2015</v>
      </c>
      <c r="X2773">
        <v>7</v>
      </c>
      <c r="AC2773" t="s">
        <v>125</v>
      </c>
      <c r="AD2773" t="s">
        <v>302</v>
      </c>
      <c r="AE2773" t="s">
        <v>46</v>
      </c>
      <c r="AG2773">
        <v>26</v>
      </c>
      <c r="AH2773">
        <v>9</v>
      </c>
      <c r="AI2773" t="s">
        <v>54</v>
      </c>
      <c r="AK2773">
        <v>0</v>
      </c>
      <c r="AM2773">
        <v>0</v>
      </c>
      <c r="AP2773" t="s">
        <v>501</v>
      </c>
    </row>
    <row r="2774" spans="1:42" customFormat="1">
      <c r="A2774">
        <v>270634</v>
      </c>
      <c r="B2774" t="s">
        <v>3730</v>
      </c>
      <c r="C2774" t="s">
        <v>3731</v>
      </c>
      <c r="D2774" s="22">
        <v>0</v>
      </c>
      <c r="E2774" s="17">
        <v>42143</v>
      </c>
      <c r="F2774" s="18">
        <v>0.43204861111111109</v>
      </c>
      <c r="G2774" s="22">
        <v>7.8</v>
      </c>
      <c r="H2774">
        <v>0</v>
      </c>
      <c r="I2774" s="19" t="e">
        <f>I2773 + (D2774-G2774)</f>
        <v>#VALUE!</v>
      </c>
      <c r="M2774">
        <v>123800</v>
      </c>
      <c r="N2774">
        <v>24</v>
      </c>
      <c r="O2774" t="s">
        <v>68</v>
      </c>
      <c r="P2774">
        <v>1</v>
      </c>
      <c r="R2774">
        <v>1513</v>
      </c>
      <c r="S2774" s="17">
        <v>42145</v>
      </c>
      <c r="T2774" s="17">
        <v>42145</v>
      </c>
      <c r="W2774">
        <v>2015</v>
      </c>
      <c r="X2774">
        <v>24</v>
      </c>
      <c r="AC2774" t="s">
        <v>125</v>
      </c>
      <c r="AD2774" t="s">
        <v>302</v>
      </c>
      <c r="AE2774" t="s">
        <v>46</v>
      </c>
      <c r="AG2774">
        <v>4</v>
      </c>
      <c r="AH2774">
        <v>9</v>
      </c>
      <c r="AI2774" t="s">
        <v>54</v>
      </c>
      <c r="AK2774">
        <v>0</v>
      </c>
      <c r="AM2774">
        <v>0</v>
      </c>
      <c r="AP2774" t="s">
        <v>389</v>
      </c>
    </row>
    <row r="2775" spans="1:42" customFormat="1">
      <c r="A2775">
        <v>270635</v>
      </c>
      <c r="B2775" t="s">
        <v>3732</v>
      </c>
      <c r="C2775" t="s">
        <v>3733</v>
      </c>
      <c r="D2775" s="22">
        <v>0</v>
      </c>
      <c r="E2775" s="17">
        <v>42143</v>
      </c>
      <c r="F2775" s="18">
        <v>0.43204861111111109</v>
      </c>
      <c r="G2775" s="22">
        <v>7.8</v>
      </c>
      <c r="H2775">
        <v>0</v>
      </c>
      <c r="I2775" s="19" t="e">
        <f>I2774 + (D2775-G2775)</f>
        <v>#VALUE!</v>
      </c>
      <c r="M2775">
        <v>123801</v>
      </c>
      <c r="N2775">
        <v>24</v>
      </c>
      <c r="O2775" t="s">
        <v>68</v>
      </c>
      <c r="P2775">
        <v>1</v>
      </c>
      <c r="R2775">
        <v>1513</v>
      </c>
      <c r="S2775" s="17">
        <v>42145</v>
      </c>
      <c r="T2775" s="17">
        <v>42145</v>
      </c>
      <c r="W2775">
        <v>2015</v>
      </c>
      <c r="X2775">
        <v>24</v>
      </c>
      <c r="AC2775" t="s">
        <v>125</v>
      </c>
      <c r="AD2775" t="s">
        <v>302</v>
      </c>
      <c r="AE2775" t="s">
        <v>46</v>
      </c>
      <c r="AG2775">
        <v>4</v>
      </c>
      <c r="AH2775">
        <v>9</v>
      </c>
      <c r="AI2775" t="s">
        <v>54</v>
      </c>
      <c r="AK2775">
        <v>0</v>
      </c>
      <c r="AM2775">
        <v>0</v>
      </c>
      <c r="AP2775" t="s">
        <v>389</v>
      </c>
    </row>
    <row r="2776" spans="1:42" customFormat="1">
      <c r="A2776">
        <v>270636</v>
      </c>
      <c r="B2776" t="s">
        <v>3734</v>
      </c>
      <c r="C2776" t="s">
        <v>3735</v>
      </c>
      <c r="D2776" s="22">
        <v>0</v>
      </c>
      <c r="E2776" s="17">
        <v>42143</v>
      </c>
      <c r="F2776" s="18">
        <v>0.43204861111111109</v>
      </c>
      <c r="G2776" s="22">
        <v>7.8</v>
      </c>
      <c r="H2776">
        <v>0</v>
      </c>
      <c r="I2776" s="19" t="e">
        <f>I2775 + (D2776-G2776)</f>
        <v>#VALUE!</v>
      </c>
      <c r="M2776">
        <v>123802</v>
      </c>
      <c r="N2776">
        <v>24</v>
      </c>
      <c r="O2776" t="s">
        <v>68</v>
      </c>
      <c r="P2776">
        <v>1</v>
      </c>
      <c r="R2776">
        <v>1513</v>
      </c>
      <c r="S2776" s="17">
        <v>42145</v>
      </c>
      <c r="T2776" s="17">
        <v>42145</v>
      </c>
      <c r="W2776">
        <v>2015</v>
      </c>
      <c r="X2776">
        <v>24</v>
      </c>
      <c r="AC2776" t="s">
        <v>125</v>
      </c>
      <c r="AD2776" t="s">
        <v>302</v>
      </c>
      <c r="AE2776" t="s">
        <v>46</v>
      </c>
      <c r="AG2776">
        <v>4</v>
      </c>
      <c r="AH2776">
        <v>9</v>
      </c>
      <c r="AI2776" t="s">
        <v>54</v>
      </c>
      <c r="AK2776">
        <v>0</v>
      </c>
      <c r="AM2776">
        <v>0</v>
      </c>
      <c r="AP2776" t="s">
        <v>389</v>
      </c>
    </row>
    <row r="2777" spans="1:42" customFormat="1">
      <c r="A2777">
        <v>270629</v>
      </c>
      <c r="B2777" t="s">
        <v>3736</v>
      </c>
      <c r="C2777" t="s">
        <v>3737</v>
      </c>
      <c r="D2777" s="22">
        <v>0</v>
      </c>
      <c r="E2777" s="17">
        <v>42143</v>
      </c>
      <c r="F2777" s="18">
        <v>0.43204861111111109</v>
      </c>
      <c r="G2777" s="22">
        <v>7.8</v>
      </c>
      <c r="H2777">
        <v>0</v>
      </c>
      <c r="I2777" s="19" t="e">
        <f>I2776 + (D2777-G2777)</f>
        <v>#VALUE!</v>
      </c>
      <c r="M2777">
        <v>123795</v>
      </c>
      <c r="N2777">
        <v>24</v>
      </c>
      <c r="O2777" t="s">
        <v>68</v>
      </c>
      <c r="P2777">
        <v>1</v>
      </c>
      <c r="R2777">
        <v>1513</v>
      </c>
      <c r="S2777" s="17">
        <v>42145</v>
      </c>
      <c r="T2777" s="17">
        <v>42145</v>
      </c>
      <c r="W2777">
        <v>2015</v>
      </c>
      <c r="X2777">
        <v>24</v>
      </c>
      <c r="AC2777" t="s">
        <v>125</v>
      </c>
      <c r="AD2777" t="s">
        <v>302</v>
      </c>
      <c r="AE2777" t="s">
        <v>46</v>
      </c>
      <c r="AG2777">
        <v>4</v>
      </c>
      <c r="AH2777">
        <v>9</v>
      </c>
      <c r="AI2777" t="s">
        <v>54</v>
      </c>
      <c r="AK2777">
        <v>0</v>
      </c>
      <c r="AM2777">
        <v>0</v>
      </c>
      <c r="AP2777" t="s">
        <v>389</v>
      </c>
    </row>
    <row r="2778" spans="1:42" customFormat="1">
      <c r="A2778">
        <v>270630</v>
      </c>
      <c r="B2778" t="s">
        <v>3738</v>
      </c>
      <c r="C2778" t="s">
        <v>3739</v>
      </c>
      <c r="D2778" s="22">
        <v>0</v>
      </c>
      <c r="E2778" s="17">
        <v>42143</v>
      </c>
      <c r="F2778" s="18">
        <v>0.43204861111111109</v>
      </c>
      <c r="G2778" s="22">
        <v>7.8</v>
      </c>
      <c r="H2778">
        <v>0</v>
      </c>
      <c r="I2778" s="19" t="e">
        <f>I2777 + (D2778-G2778)</f>
        <v>#VALUE!</v>
      </c>
      <c r="M2778">
        <v>123796</v>
      </c>
      <c r="N2778">
        <v>24</v>
      </c>
      <c r="O2778" t="s">
        <v>68</v>
      </c>
      <c r="P2778">
        <v>1</v>
      </c>
      <c r="R2778">
        <v>1513</v>
      </c>
      <c r="S2778" s="17">
        <v>42145</v>
      </c>
      <c r="T2778" s="17">
        <v>42145</v>
      </c>
      <c r="W2778">
        <v>2015</v>
      </c>
      <c r="X2778">
        <v>24</v>
      </c>
      <c r="AC2778" t="s">
        <v>125</v>
      </c>
      <c r="AD2778" t="s">
        <v>302</v>
      </c>
      <c r="AE2778" t="s">
        <v>46</v>
      </c>
      <c r="AG2778">
        <v>4</v>
      </c>
      <c r="AH2778">
        <v>9</v>
      </c>
      <c r="AI2778" t="s">
        <v>54</v>
      </c>
      <c r="AK2778">
        <v>0</v>
      </c>
      <c r="AM2778">
        <v>0</v>
      </c>
      <c r="AP2778" t="s">
        <v>389</v>
      </c>
    </row>
    <row r="2779" spans="1:42" customFormat="1">
      <c r="A2779">
        <v>270631</v>
      </c>
      <c r="B2779" t="s">
        <v>3740</v>
      </c>
      <c r="C2779" t="s">
        <v>3741</v>
      </c>
      <c r="D2779" s="22">
        <v>0</v>
      </c>
      <c r="E2779" s="17">
        <v>42143</v>
      </c>
      <c r="F2779" s="18">
        <v>0.43204861111111109</v>
      </c>
      <c r="G2779" s="22">
        <v>7.8</v>
      </c>
      <c r="H2779">
        <v>0</v>
      </c>
      <c r="I2779" s="19" t="e">
        <f>I2778 + (D2779-G2779)</f>
        <v>#VALUE!</v>
      </c>
      <c r="M2779">
        <v>123797</v>
      </c>
      <c r="N2779">
        <v>24</v>
      </c>
      <c r="O2779" t="s">
        <v>68</v>
      </c>
      <c r="P2779">
        <v>1</v>
      </c>
      <c r="R2779">
        <v>1513</v>
      </c>
      <c r="S2779" s="17">
        <v>42145</v>
      </c>
      <c r="T2779" s="17">
        <v>42145</v>
      </c>
      <c r="W2779">
        <v>2015</v>
      </c>
      <c r="X2779">
        <v>24</v>
      </c>
      <c r="AC2779" t="s">
        <v>125</v>
      </c>
      <c r="AD2779" t="s">
        <v>302</v>
      </c>
      <c r="AE2779" t="s">
        <v>46</v>
      </c>
      <c r="AG2779">
        <v>4</v>
      </c>
      <c r="AH2779">
        <v>9</v>
      </c>
      <c r="AI2779" t="s">
        <v>54</v>
      </c>
      <c r="AK2779">
        <v>0</v>
      </c>
      <c r="AM2779">
        <v>0</v>
      </c>
      <c r="AP2779" t="s">
        <v>389</v>
      </c>
    </row>
    <row r="2780" spans="1:42" customFormat="1">
      <c r="A2780">
        <v>270632</v>
      </c>
      <c r="B2780" t="s">
        <v>3742</v>
      </c>
      <c r="C2780" t="s">
        <v>3743</v>
      </c>
      <c r="D2780" s="22">
        <v>0</v>
      </c>
      <c r="E2780" s="17">
        <v>42143</v>
      </c>
      <c r="F2780" s="18">
        <v>0.43204861111111109</v>
      </c>
      <c r="G2780" s="22">
        <v>7.8</v>
      </c>
      <c r="H2780">
        <v>0</v>
      </c>
      <c r="I2780" s="19" t="e">
        <f>I2779 + (D2780-G2780)</f>
        <v>#VALUE!</v>
      </c>
      <c r="M2780">
        <v>123798</v>
      </c>
      <c r="N2780">
        <v>24</v>
      </c>
      <c r="O2780" t="s">
        <v>68</v>
      </c>
      <c r="P2780">
        <v>1</v>
      </c>
      <c r="R2780">
        <v>1513</v>
      </c>
      <c r="S2780" s="17">
        <v>42145</v>
      </c>
      <c r="T2780" s="17">
        <v>42145</v>
      </c>
      <c r="W2780">
        <v>2015</v>
      </c>
      <c r="X2780">
        <v>24</v>
      </c>
      <c r="AC2780" t="s">
        <v>125</v>
      </c>
      <c r="AD2780" t="s">
        <v>302</v>
      </c>
      <c r="AE2780" t="s">
        <v>46</v>
      </c>
      <c r="AG2780">
        <v>4</v>
      </c>
      <c r="AH2780">
        <v>9</v>
      </c>
      <c r="AI2780" t="s">
        <v>54</v>
      </c>
      <c r="AK2780">
        <v>0</v>
      </c>
      <c r="AM2780">
        <v>0</v>
      </c>
      <c r="AP2780" t="s">
        <v>389</v>
      </c>
    </row>
    <row r="2781" spans="1:42" customFormat="1">
      <c r="A2781">
        <v>270633</v>
      </c>
      <c r="B2781" t="s">
        <v>3744</v>
      </c>
      <c r="C2781" t="s">
        <v>3745</v>
      </c>
      <c r="D2781" s="22">
        <v>0</v>
      </c>
      <c r="E2781" s="17">
        <v>42143</v>
      </c>
      <c r="F2781" s="18">
        <v>0.43204861111111109</v>
      </c>
      <c r="G2781" s="22">
        <v>7.8</v>
      </c>
      <c r="H2781">
        <v>0</v>
      </c>
      <c r="I2781" s="19" t="e">
        <f>I2780 + (D2781-G2781)</f>
        <v>#VALUE!</v>
      </c>
      <c r="M2781">
        <v>123799</v>
      </c>
      <c r="N2781">
        <v>24</v>
      </c>
      <c r="O2781" t="s">
        <v>68</v>
      </c>
      <c r="P2781">
        <v>1</v>
      </c>
      <c r="R2781">
        <v>1513</v>
      </c>
      <c r="S2781" s="17">
        <v>42145</v>
      </c>
      <c r="T2781" s="17">
        <v>42145</v>
      </c>
      <c r="W2781">
        <v>2015</v>
      </c>
      <c r="X2781">
        <v>24</v>
      </c>
      <c r="AC2781" t="s">
        <v>125</v>
      </c>
      <c r="AD2781" t="s">
        <v>302</v>
      </c>
      <c r="AE2781" t="s">
        <v>46</v>
      </c>
      <c r="AG2781">
        <v>4</v>
      </c>
      <c r="AH2781">
        <v>9</v>
      </c>
      <c r="AI2781" t="s">
        <v>54</v>
      </c>
      <c r="AK2781">
        <v>0</v>
      </c>
      <c r="AM2781">
        <v>0</v>
      </c>
      <c r="AP2781" t="s">
        <v>389</v>
      </c>
    </row>
    <row r="2782" spans="1:42" customFormat="1">
      <c r="A2782">
        <v>270849</v>
      </c>
      <c r="B2782" t="s">
        <v>3863</v>
      </c>
      <c r="C2782" t="s">
        <v>3864</v>
      </c>
      <c r="D2782" s="22">
        <v>0</v>
      </c>
      <c r="E2782" s="17">
        <v>42144</v>
      </c>
      <c r="F2782" s="18">
        <v>0.56379629629629624</v>
      </c>
      <c r="G2782" s="22">
        <v>7.8</v>
      </c>
      <c r="H2782">
        <v>0</v>
      </c>
      <c r="I2782" s="19" t="e">
        <f>I2781 + (D2782-G2782)</f>
        <v>#VALUE!</v>
      </c>
      <c r="M2782">
        <v>123936</v>
      </c>
      <c r="N2782">
        <v>24</v>
      </c>
      <c r="O2782" t="s">
        <v>68</v>
      </c>
      <c r="P2782">
        <v>1</v>
      </c>
      <c r="R2782">
        <v>1513</v>
      </c>
      <c r="S2782" s="17">
        <v>42146</v>
      </c>
      <c r="T2782" s="17">
        <v>42146</v>
      </c>
      <c r="W2782">
        <v>2015</v>
      </c>
      <c r="X2782">
        <v>24</v>
      </c>
      <c r="AC2782" t="s">
        <v>125</v>
      </c>
      <c r="AD2782" t="s">
        <v>302</v>
      </c>
      <c r="AE2782" t="s">
        <v>46</v>
      </c>
      <c r="AG2782">
        <v>4</v>
      </c>
      <c r="AH2782">
        <v>9</v>
      </c>
      <c r="AI2782" t="s">
        <v>54</v>
      </c>
      <c r="AK2782">
        <v>0</v>
      </c>
      <c r="AM2782">
        <v>0</v>
      </c>
      <c r="AP2782" t="s">
        <v>389</v>
      </c>
    </row>
    <row r="2783" spans="1:42" customFormat="1">
      <c r="A2783">
        <v>270850</v>
      </c>
      <c r="B2783" t="s">
        <v>3865</v>
      </c>
      <c r="C2783" t="s">
        <v>3866</v>
      </c>
      <c r="D2783" s="22">
        <v>0</v>
      </c>
      <c r="E2783" s="17">
        <v>42144</v>
      </c>
      <c r="F2783" s="18">
        <v>0.56379629629629624</v>
      </c>
      <c r="G2783" s="22">
        <v>7.8</v>
      </c>
      <c r="H2783">
        <v>0</v>
      </c>
      <c r="I2783" s="19" t="e">
        <f>I2782 + (D2783-G2783)</f>
        <v>#VALUE!</v>
      </c>
      <c r="M2783">
        <v>123937</v>
      </c>
      <c r="N2783">
        <v>24</v>
      </c>
      <c r="O2783" t="s">
        <v>68</v>
      </c>
      <c r="P2783">
        <v>1</v>
      </c>
      <c r="R2783">
        <v>1513</v>
      </c>
      <c r="S2783" s="17">
        <v>42146</v>
      </c>
      <c r="T2783" s="17">
        <v>42146</v>
      </c>
      <c r="W2783">
        <v>2015</v>
      </c>
      <c r="X2783">
        <v>24</v>
      </c>
      <c r="AC2783" t="s">
        <v>125</v>
      </c>
      <c r="AD2783" t="s">
        <v>302</v>
      </c>
      <c r="AE2783" t="s">
        <v>46</v>
      </c>
      <c r="AG2783">
        <v>4</v>
      </c>
      <c r="AH2783">
        <v>9</v>
      </c>
      <c r="AI2783" t="s">
        <v>54</v>
      </c>
      <c r="AK2783">
        <v>0</v>
      </c>
      <c r="AM2783">
        <v>0</v>
      </c>
      <c r="AP2783" t="s">
        <v>389</v>
      </c>
    </row>
    <row r="2784" spans="1:42" customFormat="1">
      <c r="A2784">
        <v>270862</v>
      </c>
      <c r="B2784" t="s">
        <v>3885</v>
      </c>
      <c r="C2784" t="s">
        <v>3886</v>
      </c>
      <c r="D2784" s="22">
        <v>0</v>
      </c>
      <c r="E2784" s="17">
        <v>42144</v>
      </c>
      <c r="F2784" s="18">
        <v>0.64799768518518519</v>
      </c>
      <c r="G2784" s="22">
        <v>0.9</v>
      </c>
      <c r="H2784">
        <v>0</v>
      </c>
      <c r="I2784" s="19" t="e">
        <f>I2783 + (D2784-G2784)</f>
        <v>#VALUE!</v>
      </c>
      <c r="M2784">
        <v>123947</v>
      </c>
      <c r="N2784">
        <v>24</v>
      </c>
      <c r="O2784" t="s">
        <v>68</v>
      </c>
      <c r="P2784">
        <v>1</v>
      </c>
      <c r="R2784">
        <v>1513</v>
      </c>
      <c r="S2784" s="17">
        <v>42146</v>
      </c>
      <c r="T2784" s="17">
        <v>42146</v>
      </c>
      <c r="W2784">
        <v>2015</v>
      </c>
      <c r="X2784">
        <v>24</v>
      </c>
      <c r="AC2784" t="s">
        <v>125</v>
      </c>
      <c r="AD2784" t="s">
        <v>302</v>
      </c>
      <c r="AE2784" t="s">
        <v>46</v>
      </c>
      <c r="AG2784">
        <v>26</v>
      </c>
      <c r="AH2784">
        <v>9</v>
      </c>
      <c r="AI2784" t="s">
        <v>54</v>
      </c>
      <c r="AK2784">
        <v>0</v>
      </c>
      <c r="AM2784">
        <v>0</v>
      </c>
      <c r="AP2784" t="s">
        <v>501</v>
      </c>
    </row>
    <row r="2785" spans="1:42" customFormat="1">
      <c r="A2785">
        <v>270863</v>
      </c>
      <c r="B2785" t="s">
        <v>3887</v>
      </c>
      <c r="C2785" t="s">
        <v>3888</v>
      </c>
      <c r="D2785" s="22">
        <v>0</v>
      </c>
      <c r="E2785" s="17">
        <v>42144</v>
      </c>
      <c r="F2785" s="18">
        <v>0.64799768518518519</v>
      </c>
      <c r="G2785" s="22">
        <v>7.95</v>
      </c>
      <c r="H2785">
        <v>0</v>
      </c>
      <c r="I2785" s="19" t="e">
        <f>I2784 + (D2785-G2785)</f>
        <v>#VALUE!</v>
      </c>
      <c r="M2785">
        <v>123948</v>
      </c>
      <c r="N2785">
        <v>24</v>
      </c>
      <c r="O2785" t="s">
        <v>68</v>
      </c>
      <c r="P2785">
        <v>1</v>
      </c>
      <c r="R2785">
        <v>1513</v>
      </c>
      <c r="S2785" s="17">
        <v>42146</v>
      </c>
      <c r="T2785" s="17">
        <v>42146</v>
      </c>
      <c r="W2785">
        <v>2015</v>
      </c>
      <c r="X2785">
        <v>24</v>
      </c>
      <c r="AC2785" t="s">
        <v>125</v>
      </c>
      <c r="AD2785" t="s">
        <v>302</v>
      </c>
      <c r="AE2785" t="s">
        <v>46</v>
      </c>
      <c r="AG2785">
        <v>26</v>
      </c>
      <c r="AH2785">
        <v>9</v>
      </c>
      <c r="AI2785" t="s">
        <v>54</v>
      </c>
      <c r="AK2785">
        <v>0</v>
      </c>
      <c r="AM2785">
        <v>0</v>
      </c>
      <c r="AP2785" t="s">
        <v>501</v>
      </c>
    </row>
    <row r="2786" spans="1:42" customFormat="1">
      <c r="A2786">
        <v>271017</v>
      </c>
      <c r="B2786" t="s">
        <v>3991</v>
      </c>
      <c r="C2786" t="s">
        <v>3992</v>
      </c>
      <c r="D2786" s="22">
        <v>0</v>
      </c>
      <c r="E2786" s="17">
        <v>42145</v>
      </c>
      <c r="F2786" s="18">
        <v>0.42324074074074075</v>
      </c>
      <c r="G2786" s="22">
        <v>7.9</v>
      </c>
      <c r="H2786">
        <v>0</v>
      </c>
      <c r="I2786" s="19" t="e">
        <f>I2785 + (D2786-G2786)</f>
        <v>#VALUE!</v>
      </c>
      <c r="M2786">
        <v>124031</v>
      </c>
      <c r="N2786">
        <v>7</v>
      </c>
      <c r="O2786" t="s">
        <v>44</v>
      </c>
      <c r="P2786">
        <v>1</v>
      </c>
      <c r="R2786">
        <v>1513</v>
      </c>
      <c r="S2786" s="17">
        <v>42150</v>
      </c>
      <c r="T2786" s="17">
        <v>42150</v>
      </c>
      <c r="W2786">
        <v>2015</v>
      </c>
      <c r="X2786">
        <v>7</v>
      </c>
      <c r="AC2786" t="s">
        <v>125</v>
      </c>
      <c r="AD2786" t="s">
        <v>302</v>
      </c>
      <c r="AE2786" t="s">
        <v>46</v>
      </c>
      <c r="AG2786">
        <v>2</v>
      </c>
      <c r="AH2786">
        <v>9</v>
      </c>
      <c r="AI2786" t="s">
        <v>54</v>
      </c>
      <c r="AK2786">
        <v>0</v>
      </c>
      <c r="AM2786">
        <v>0</v>
      </c>
      <c r="AP2786" t="s">
        <v>2544</v>
      </c>
    </row>
    <row r="2787" spans="1:42" customFormat="1">
      <c r="A2787">
        <v>271018</v>
      </c>
      <c r="B2787" t="s">
        <v>3993</v>
      </c>
      <c r="C2787" t="s">
        <v>3994</v>
      </c>
      <c r="D2787" s="22">
        <v>0</v>
      </c>
      <c r="E2787" s="17">
        <v>42145</v>
      </c>
      <c r="F2787" s="18">
        <v>0.42324074074074075</v>
      </c>
      <c r="G2787" s="22">
        <v>7.9</v>
      </c>
      <c r="H2787">
        <v>0</v>
      </c>
      <c r="I2787" s="19" t="e">
        <f>I2786 + (D2787-G2787)</f>
        <v>#VALUE!</v>
      </c>
      <c r="M2787">
        <v>124032</v>
      </c>
      <c r="N2787">
        <v>7</v>
      </c>
      <c r="O2787" t="s">
        <v>44</v>
      </c>
      <c r="P2787">
        <v>1</v>
      </c>
      <c r="R2787">
        <v>1513</v>
      </c>
      <c r="S2787" s="17">
        <v>42150</v>
      </c>
      <c r="T2787" s="17">
        <v>42150</v>
      </c>
      <c r="W2787">
        <v>2015</v>
      </c>
      <c r="X2787">
        <v>7</v>
      </c>
      <c r="AC2787" t="s">
        <v>125</v>
      </c>
      <c r="AD2787" t="s">
        <v>302</v>
      </c>
      <c r="AE2787" t="s">
        <v>46</v>
      </c>
      <c r="AG2787">
        <v>2</v>
      </c>
      <c r="AH2787">
        <v>9</v>
      </c>
      <c r="AI2787" t="s">
        <v>54</v>
      </c>
      <c r="AK2787">
        <v>0</v>
      </c>
      <c r="AM2787">
        <v>0</v>
      </c>
      <c r="AP2787" t="s">
        <v>2544</v>
      </c>
    </row>
    <row r="2788" spans="1:42" customFormat="1">
      <c r="A2788">
        <v>270864</v>
      </c>
      <c r="B2788" t="s">
        <v>4105</v>
      </c>
      <c r="C2788" t="s">
        <v>4106</v>
      </c>
      <c r="D2788" s="22">
        <v>0</v>
      </c>
      <c r="E2788" s="17">
        <v>42145</v>
      </c>
      <c r="F2788" s="18">
        <v>0.64832175925925928</v>
      </c>
      <c r="G2788" s="22">
        <v>7.95</v>
      </c>
      <c r="H2788">
        <v>0</v>
      </c>
      <c r="I2788" s="19" t="e">
        <f>I2787 + (D2788-G2788)</f>
        <v>#VALUE!</v>
      </c>
      <c r="M2788">
        <v>123949</v>
      </c>
      <c r="N2788">
        <v>24</v>
      </c>
      <c r="O2788" t="s">
        <v>68</v>
      </c>
      <c r="P2788">
        <v>1</v>
      </c>
      <c r="R2788">
        <v>1513</v>
      </c>
      <c r="S2788" s="17">
        <v>42146</v>
      </c>
      <c r="T2788" s="17">
        <v>42146</v>
      </c>
      <c r="W2788">
        <v>2015</v>
      </c>
      <c r="X2788">
        <v>24</v>
      </c>
      <c r="AC2788" t="s">
        <v>125</v>
      </c>
      <c r="AD2788" t="s">
        <v>302</v>
      </c>
      <c r="AE2788" t="s">
        <v>46</v>
      </c>
      <c r="AG2788">
        <v>26</v>
      </c>
      <c r="AH2788">
        <v>9</v>
      </c>
      <c r="AI2788" t="s">
        <v>54</v>
      </c>
      <c r="AK2788">
        <v>0</v>
      </c>
      <c r="AM2788">
        <v>0</v>
      </c>
      <c r="AP2788" t="s">
        <v>501</v>
      </c>
    </row>
    <row r="2789" spans="1:42" customFormat="1">
      <c r="A2789">
        <v>271023</v>
      </c>
      <c r="B2789" t="s">
        <v>4139</v>
      </c>
      <c r="C2789" t="s">
        <v>4140</v>
      </c>
      <c r="D2789" s="22">
        <v>0</v>
      </c>
      <c r="E2789" s="17">
        <v>42146</v>
      </c>
      <c r="F2789" s="18">
        <v>0.42333333333333334</v>
      </c>
      <c r="G2789" s="22">
        <v>7.9</v>
      </c>
      <c r="H2789">
        <v>0</v>
      </c>
      <c r="I2789" s="19" t="e">
        <f>I2788 + (D2789-G2789)</f>
        <v>#VALUE!</v>
      </c>
      <c r="M2789">
        <v>124030</v>
      </c>
      <c r="N2789">
        <v>7</v>
      </c>
      <c r="O2789" t="s">
        <v>44</v>
      </c>
      <c r="P2789">
        <v>1</v>
      </c>
      <c r="R2789">
        <v>1513</v>
      </c>
      <c r="S2789" s="17">
        <v>42150</v>
      </c>
      <c r="T2789" s="17">
        <v>42150</v>
      </c>
      <c r="W2789">
        <v>2015</v>
      </c>
      <c r="X2789">
        <v>7</v>
      </c>
      <c r="AC2789" t="s">
        <v>125</v>
      </c>
      <c r="AD2789" t="s">
        <v>302</v>
      </c>
      <c r="AE2789" t="s">
        <v>46</v>
      </c>
      <c r="AG2789">
        <v>2</v>
      </c>
      <c r="AH2789">
        <v>9</v>
      </c>
      <c r="AI2789" t="s">
        <v>54</v>
      </c>
      <c r="AK2789">
        <v>0</v>
      </c>
      <c r="AM2789">
        <v>0</v>
      </c>
      <c r="AP2789" t="s">
        <v>2544</v>
      </c>
    </row>
    <row r="2790" spans="1:42" customFormat="1">
      <c r="A2790">
        <v>271019</v>
      </c>
      <c r="B2790" t="s">
        <v>4141</v>
      </c>
      <c r="C2790" t="s">
        <v>4142</v>
      </c>
      <c r="D2790" s="22">
        <v>0</v>
      </c>
      <c r="E2790" s="17">
        <v>42146</v>
      </c>
      <c r="F2790" s="18">
        <v>0.42333333333333334</v>
      </c>
      <c r="G2790" s="22">
        <v>7.9</v>
      </c>
      <c r="H2790">
        <v>0</v>
      </c>
      <c r="I2790" s="19" t="e">
        <f>I2789 + (D2790-G2790)</f>
        <v>#VALUE!</v>
      </c>
      <c r="M2790">
        <v>124026</v>
      </c>
      <c r="N2790">
        <v>7</v>
      </c>
      <c r="O2790" t="s">
        <v>44</v>
      </c>
      <c r="P2790">
        <v>1</v>
      </c>
      <c r="R2790">
        <v>1513</v>
      </c>
      <c r="S2790" s="17">
        <v>42150</v>
      </c>
      <c r="T2790" s="17">
        <v>42150</v>
      </c>
      <c r="W2790">
        <v>2015</v>
      </c>
      <c r="X2790">
        <v>7</v>
      </c>
      <c r="AC2790" t="s">
        <v>125</v>
      </c>
      <c r="AD2790" t="s">
        <v>302</v>
      </c>
      <c r="AE2790" t="s">
        <v>46</v>
      </c>
      <c r="AG2790">
        <v>2</v>
      </c>
      <c r="AH2790">
        <v>9</v>
      </c>
      <c r="AI2790" t="s">
        <v>54</v>
      </c>
      <c r="AK2790">
        <v>0</v>
      </c>
      <c r="AM2790">
        <v>0</v>
      </c>
      <c r="AP2790" t="s">
        <v>2544</v>
      </c>
    </row>
    <row r="2791" spans="1:42" customFormat="1">
      <c r="A2791">
        <v>271020</v>
      </c>
      <c r="B2791" t="s">
        <v>4143</v>
      </c>
      <c r="C2791" t="s">
        <v>4144</v>
      </c>
      <c r="D2791" s="22">
        <v>0</v>
      </c>
      <c r="E2791" s="17">
        <v>42146</v>
      </c>
      <c r="F2791" s="18">
        <v>0.42333333333333334</v>
      </c>
      <c r="G2791" s="22">
        <v>7.9</v>
      </c>
      <c r="H2791">
        <v>0</v>
      </c>
      <c r="I2791" s="19" t="e">
        <f>I2790 + (D2791-G2791)</f>
        <v>#VALUE!</v>
      </c>
      <c r="M2791">
        <v>124027</v>
      </c>
      <c r="N2791">
        <v>7</v>
      </c>
      <c r="O2791" t="s">
        <v>44</v>
      </c>
      <c r="P2791">
        <v>1</v>
      </c>
      <c r="R2791">
        <v>1513</v>
      </c>
      <c r="S2791" s="17">
        <v>42150</v>
      </c>
      <c r="T2791" s="17">
        <v>42150</v>
      </c>
      <c r="W2791">
        <v>2015</v>
      </c>
      <c r="X2791">
        <v>7</v>
      </c>
      <c r="AC2791" t="s">
        <v>125</v>
      </c>
      <c r="AD2791" t="s">
        <v>302</v>
      </c>
      <c r="AE2791" t="s">
        <v>46</v>
      </c>
      <c r="AG2791">
        <v>2</v>
      </c>
      <c r="AH2791">
        <v>9</v>
      </c>
      <c r="AI2791" t="s">
        <v>54</v>
      </c>
      <c r="AK2791">
        <v>0</v>
      </c>
      <c r="AM2791">
        <v>0</v>
      </c>
      <c r="AP2791" t="s">
        <v>2544</v>
      </c>
    </row>
    <row r="2792" spans="1:42" customFormat="1">
      <c r="A2792">
        <v>271021</v>
      </c>
      <c r="B2792" t="s">
        <v>4145</v>
      </c>
      <c r="C2792" t="s">
        <v>4146</v>
      </c>
      <c r="D2792" s="22">
        <v>0</v>
      </c>
      <c r="E2792" s="17">
        <v>42146</v>
      </c>
      <c r="F2792" s="18">
        <v>0.42333333333333334</v>
      </c>
      <c r="G2792" s="22">
        <v>7.9</v>
      </c>
      <c r="H2792">
        <v>0</v>
      </c>
      <c r="I2792" s="19" t="e">
        <f>I2791 + (D2792-G2792)</f>
        <v>#VALUE!</v>
      </c>
      <c r="M2792">
        <v>124028</v>
      </c>
      <c r="N2792">
        <v>7</v>
      </c>
      <c r="O2792" t="s">
        <v>44</v>
      </c>
      <c r="P2792">
        <v>1</v>
      </c>
      <c r="R2792">
        <v>1513</v>
      </c>
      <c r="S2792" s="17">
        <v>42150</v>
      </c>
      <c r="T2792" s="17">
        <v>42150</v>
      </c>
      <c r="W2792">
        <v>2015</v>
      </c>
      <c r="X2792">
        <v>7</v>
      </c>
      <c r="AC2792" t="s">
        <v>125</v>
      </c>
      <c r="AD2792" t="s">
        <v>302</v>
      </c>
      <c r="AE2792" t="s">
        <v>46</v>
      </c>
      <c r="AG2792">
        <v>2</v>
      </c>
      <c r="AH2792">
        <v>9</v>
      </c>
      <c r="AI2792" t="s">
        <v>54</v>
      </c>
      <c r="AK2792">
        <v>0</v>
      </c>
      <c r="AM2792">
        <v>0</v>
      </c>
      <c r="AP2792" t="s">
        <v>2544</v>
      </c>
    </row>
    <row r="2793" spans="1:42" customFormat="1">
      <c r="A2793">
        <v>271022</v>
      </c>
      <c r="B2793" t="s">
        <v>4147</v>
      </c>
      <c r="C2793" t="s">
        <v>4148</v>
      </c>
      <c r="D2793" s="22">
        <v>0</v>
      </c>
      <c r="E2793" s="17">
        <v>42146</v>
      </c>
      <c r="F2793" s="18">
        <v>0.42333333333333334</v>
      </c>
      <c r="G2793" s="22">
        <v>7.9</v>
      </c>
      <c r="H2793">
        <v>0</v>
      </c>
      <c r="I2793" s="19" t="e">
        <f>I2792 + (D2793-G2793)</f>
        <v>#VALUE!</v>
      </c>
      <c r="M2793">
        <v>124029</v>
      </c>
      <c r="N2793">
        <v>7</v>
      </c>
      <c r="O2793" t="s">
        <v>44</v>
      </c>
      <c r="P2793">
        <v>1</v>
      </c>
      <c r="R2793">
        <v>1513</v>
      </c>
      <c r="S2793" s="17">
        <v>42150</v>
      </c>
      <c r="T2793" s="17">
        <v>42150</v>
      </c>
      <c r="W2793">
        <v>2015</v>
      </c>
      <c r="X2793">
        <v>7</v>
      </c>
      <c r="AC2793" t="s">
        <v>125</v>
      </c>
      <c r="AD2793" t="s">
        <v>302</v>
      </c>
      <c r="AE2793" t="s">
        <v>46</v>
      </c>
      <c r="AG2793">
        <v>2</v>
      </c>
      <c r="AH2793">
        <v>9</v>
      </c>
      <c r="AI2793" t="s">
        <v>54</v>
      </c>
      <c r="AK2793">
        <v>0</v>
      </c>
      <c r="AM2793">
        <v>0</v>
      </c>
      <c r="AP2793" t="s">
        <v>2544</v>
      </c>
    </row>
    <row r="2794" spans="1:42" customFormat="1">
      <c r="A2794">
        <v>271052</v>
      </c>
      <c r="B2794" t="s">
        <v>4156</v>
      </c>
      <c r="C2794" t="s">
        <v>4157</v>
      </c>
      <c r="D2794" s="22">
        <v>0</v>
      </c>
      <c r="E2794" s="17">
        <v>42146</v>
      </c>
      <c r="F2794" s="18">
        <v>0.48388888888888887</v>
      </c>
      <c r="G2794" s="22">
        <v>7.95</v>
      </c>
      <c r="H2794">
        <v>0</v>
      </c>
      <c r="I2794" s="19" t="e">
        <f>I2793 + (D2794-G2794)</f>
        <v>#VALUE!</v>
      </c>
      <c r="M2794">
        <v>124035</v>
      </c>
      <c r="N2794">
        <v>7</v>
      </c>
      <c r="O2794" t="s">
        <v>44</v>
      </c>
      <c r="P2794">
        <v>1</v>
      </c>
      <c r="R2794">
        <v>1513</v>
      </c>
      <c r="S2794" s="17">
        <v>42150</v>
      </c>
      <c r="T2794" s="17">
        <v>42150</v>
      </c>
      <c r="W2794">
        <v>2015</v>
      </c>
      <c r="X2794">
        <v>7</v>
      </c>
      <c r="AC2794" t="s">
        <v>125</v>
      </c>
      <c r="AD2794" t="s">
        <v>302</v>
      </c>
      <c r="AE2794" t="s">
        <v>46</v>
      </c>
      <c r="AG2794">
        <v>26</v>
      </c>
      <c r="AH2794">
        <v>8</v>
      </c>
      <c r="AI2794" t="s">
        <v>52</v>
      </c>
      <c r="AK2794">
        <v>0</v>
      </c>
      <c r="AM2794">
        <v>0</v>
      </c>
      <c r="AP2794" t="s">
        <v>501</v>
      </c>
    </row>
    <row r="2795" spans="1:42" customFormat="1">
      <c r="A2795">
        <v>271053</v>
      </c>
      <c r="B2795" t="s">
        <v>4158</v>
      </c>
      <c r="C2795" t="s">
        <v>4159</v>
      </c>
      <c r="D2795" s="22">
        <v>0</v>
      </c>
      <c r="E2795" s="17">
        <v>42146</v>
      </c>
      <c r="F2795" s="18">
        <v>0.48388888888888887</v>
      </c>
      <c r="G2795" s="22">
        <v>7.95</v>
      </c>
      <c r="H2795">
        <v>0</v>
      </c>
      <c r="I2795" s="19" t="e">
        <f>I2794 + (D2795-G2795)</f>
        <v>#VALUE!</v>
      </c>
      <c r="M2795">
        <v>124036</v>
      </c>
      <c r="N2795">
        <v>7</v>
      </c>
      <c r="O2795" t="s">
        <v>44</v>
      </c>
      <c r="P2795">
        <v>1</v>
      </c>
      <c r="R2795">
        <v>1513</v>
      </c>
      <c r="S2795" s="17">
        <v>42150</v>
      </c>
      <c r="T2795" s="17">
        <v>42150</v>
      </c>
      <c r="W2795">
        <v>2015</v>
      </c>
      <c r="X2795">
        <v>7</v>
      </c>
      <c r="AC2795" t="s">
        <v>125</v>
      </c>
      <c r="AD2795" t="s">
        <v>302</v>
      </c>
      <c r="AE2795" t="s">
        <v>46</v>
      </c>
      <c r="AG2795">
        <v>26</v>
      </c>
      <c r="AH2795">
        <v>8</v>
      </c>
      <c r="AI2795" t="s">
        <v>52</v>
      </c>
      <c r="AK2795">
        <v>0</v>
      </c>
      <c r="AM2795">
        <v>0</v>
      </c>
      <c r="AP2795" t="s">
        <v>501</v>
      </c>
    </row>
    <row r="2796" spans="1:42" customFormat="1">
      <c r="A2796">
        <v>274043</v>
      </c>
      <c r="B2796" t="s">
        <v>4509</v>
      </c>
      <c r="C2796" t="s">
        <v>4510</v>
      </c>
      <c r="D2796" s="22">
        <v>0</v>
      </c>
      <c r="E2796" s="17">
        <v>42149</v>
      </c>
      <c r="F2796" s="18">
        <v>0.38415509259259256</v>
      </c>
      <c r="G2796" s="22">
        <v>7.95</v>
      </c>
      <c r="H2796">
        <v>0</v>
      </c>
      <c r="I2796" s="19" t="e">
        <f>I2795 + (D2796-G2796)</f>
        <v>#VALUE!</v>
      </c>
      <c r="M2796">
        <v>127354</v>
      </c>
      <c r="N2796">
        <v>24</v>
      </c>
      <c r="O2796" t="s">
        <v>68</v>
      </c>
      <c r="P2796">
        <v>2</v>
      </c>
      <c r="R2796">
        <v>1513</v>
      </c>
      <c r="S2796" s="17">
        <v>42180</v>
      </c>
      <c r="T2796" s="17">
        <v>42180</v>
      </c>
      <c r="W2796">
        <v>2015</v>
      </c>
      <c r="X2796">
        <v>24</v>
      </c>
      <c r="AC2796" t="s">
        <v>125</v>
      </c>
      <c r="AD2796" t="s">
        <v>302</v>
      </c>
      <c r="AE2796" t="s">
        <v>46</v>
      </c>
      <c r="AG2796">
        <v>26</v>
      </c>
      <c r="AH2796">
        <v>9</v>
      </c>
      <c r="AI2796" t="s">
        <v>54</v>
      </c>
      <c r="AK2796">
        <v>0</v>
      </c>
      <c r="AM2796">
        <v>0</v>
      </c>
      <c r="AP2796" t="s">
        <v>501</v>
      </c>
    </row>
    <row r="2797" spans="1:42" customFormat="1">
      <c r="A2797">
        <v>273078</v>
      </c>
      <c r="B2797" t="s">
        <v>4677</v>
      </c>
      <c r="C2797" t="s">
        <v>4678</v>
      </c>
      <c r="D2797" s="22">
        <v>0</v>
      </c>
      <c r="E2797" s="17">
        <v>42149</v>
      </c>
      <c r="F2797" s="18">
        <v>0.72965277777777782</v>
      </c>
      <c r="G2797" s="22">
        <v>7.8</v>
      </c>
      <c r="H2797">
        <v>0</v>
      </c>
      <c r="I2797" s="19" t="e">
        <f>I2796 + (D2797-G2797)</f>
        <v>#VALUE!</v>
      </c>
      <c r="M2797">
        <v>126917</v>
      </c>
      <c r="N2797">
        <v>24</v>
      </c>
      <c r="O2797" t="s">
        <v>68</v>
      </c>
      <c r="P2797">
        <v>1</v>
      </c>
      <c r="R2797">
        <v>1513</v>
      </c>
      <c r="S2797" s="17">
        <v>42170</v>
      </c>
      <c r="T2797" s="17">
        <v>42170</v>
      </c>
      <c r="W2797">
        <v>2015</v>
      </c>
      <c r="X2797">
        <v>24</v>
      </c>
      <c r="AC2797" t="s">
        <v>125</v>
      </c>
      <c r="AD2797" t="s">
        <v>302</v>
      </c>
      <c r="AE2797" t="s">
        <v>46</v>
      </c>
      <c r="AG2797">
        <v>4</v>
      </c>
      <c r="AH2797">
        <v>9</v>
      </c>
      <c r="AI2797" t="s">
        <v>54</v>
      </c>
      <c r="AK2797">
        <v>0</v>
      </c>
      <c r="AM2797">
        <v>0</v>
      </c>
      <c r="AP2797" t="s">
        <v>389</v>
      </c>
    </row>
    <row r="2798" spans="1:42" customFormat="1">
      <c r="A2798">
        <v>273079</v>
      </c>
      <c r="B2798" t="s">
        <v>4679</v>
      </c>
      <c r="C2798" t="s">
        <v>4680</v>
      </c>
      <c r="D2798" s="22">
        <v>0</v>
      </c>
      <c r="E2798" s="17">
        <v>42149</v>
      </c>
      <c r="F2798" s="18">
        <v>0.72965277777777782</v>
      </c>
      <c r="G2798" s="22">
        <v>7.8</v>
      </c>
      <c r="H2798">
        <v>0</v>
      </c>
      <c r="I2798" s="19" t="e">
        <f>I2797 + (D2798-G2798)</f>
        <v>#VALUE!</v>
      </c>
      <c r="M2798">
        <v>126918</v>
      </c>
      <c r="N2798">
        <v>24</v>
      </c>
      <c r="O2798" t="s">
        <v>68</v>
      </c>
      <c r="P2798">
        <v>1</v>
      </c>
      <c r="R2798">
        <v>1513</v>
      </c>
      <c r="S2798" s="17">
        <v>42170</v>
      </c>
      <c r="T2798" s="17">
        <v>42170</v>
      </c>
      <c r="W2798">
        <v>2015</v>
      </c>
      <c r="X2798">
        <v>24</v>
      </c>
      <c r="AC2798" t="s">
        <v>125</v>
      </c>
      <c r="AD2798" t="s">
        <v>302</v>
      </c>
      <c r="AE2798" t="s">
        <v>46</v>
      </c>
      <c r="AG2798">
        <v>4</v>
      </c>
      <c r="AH2798">
        <v>9</v>
      </c>
      <c r="AI2798" t="s">
        <v>54</v>
      </c>
      <c r="AK2798">
        <v>0</v>
      </c>
      <c r="AM2798">
        <v>0</v>
      </c>
      <c r="AP2798" t="s">
        <v>389</v>
      </c>
    </row>
    <row r="2799" spans="1:42" customFormat="1">
      <c r="A2799">
        <v>273102</v>
      </c>
      <c r="B2799" t="s">
        <v>4687</v>
      </c>
      <c r="C2799" t="s">
        <v>4688</v>
      </c>
      <c r="D2799" s="22">
        <v>0</v>
      </c>
      <c r="E2799" s="17">
        <v>42150</v>
      </c>
      <c r="F2799" s="18">
        <v>0.37765046296296295</v>
      </c>
      <c r="G2799" s="22">
        <v>7.9</v>
      </c>
      <c r="H2799">
        <v>0</v>
      </c>
      <c r="I2799" s="19" t="e">
        <f>I2798 + (D2799-G2799)</f>
        <v>#VALUE!</v>
      </c>
      <c r="M2799">
        <v>126925</v>
      </c>
      <c r="N2799">
        <v>24</v>
      </c>
      <c r="O2799" t="s">
        <v>68</v>
      </c>
      <c r="P2799">
        <v>1</v>
      </c>
      <c r="R2799">
        <v>1513</v>
      </c>
      <c r="S2799" s="17">
        <v>42171</v>
      </c>
      <c r="T2799" s="17">
        <v>42171</v>
      </c>
      <c r="W2799">
        <v>2015</v>
      </c>
      <c r="X2799">
        <v>24</v>
      </c>
      <c r="AC2799" t="s">
        <v>125</v>
      </c>
      <c r="AD2799" t="s">
        <v>302</v>
      </c>
      <c r="AE2799" t="s">
        <v>46</v>
      </c>
      <c r="AG2799">
        <v>2</v>
      </c>
      <c r="AH2799">
        <v>9</v>
      </c>
      <c r="AI2799" t="s">
        <v>54</v>
      </c>
      <c r="AK2799">
        <v>0</v>
      </c>
      <c r="AM2799">
        <v>0</v>
      </c>
      <c r="AP2799" t="s">
        <v>2544</v>
      </c>
    </row>
    <row r="2800" spans="1:42" customFormat="1">
      <c r="A2800">
        <v>273103</v>
      </c>
      <c r="B2800" t="s">
        <v>4689</v>
      </c>
      <c r="C2800" t="s">
        <v>4690</v>
      </c>
      <c r="D2800" s="22">
        <v>0</v>
      </c>
      <c r="E2800" s="17">
        <v>42150</v>
      </c>
      <c r="F2800" s="18">
        <v>0.37765046296296295</v>
      </c>
      <c r="G2800" s="22">
        <v>7.9</v>
      </c>
      <c r="H2800">
        <v>0</v>
      </c>
      <c r="I2800" s="19" t="e">
        <f>I2799 + (D2800-G2800)</f>
        <v>#VALUE!</v>
      </c>
      <c r="M2800">
        <v>126926</v>
      </c>
      <c r="N2800">
        <v>24</v>
      </c>
      <c r="O2800" t="s">
        <v>68</v>
      </c>
      <c r="P2800">
        <v>1</v>
      </c>
      <c r="R2800">
        <v>1513</v>
      </c>
      <c r="S2800" s="17">
        <v>42171</v>
      </c>
      <c r="T2800" s="17">
        <v>42171</v>
      </c>
      <c r="W2800">
        <v>2015</v>
      </c>
      <c r="X2800">
        <v>24</v>
      </c>
      <c r="AC2800" t="s">
        <v>125</v>
      </c>
      <c r="AD2800" t="s">
        <v>302</v>
      </c>
      <c r="AE2800" t="s">
        <v>46</v>
      </c>
      <c r="AG2800">
        <v>2</v>
      </c>
      <c r="AH2800">
        <v>9</v>
      </c>
      <c r="AI2800" t="s">
        <v>54</v>
      </c>
      <c r="AK2800">
        <v>0</v>
      </c>
      <c r="AM2800">
        <v>0</v>
      </c>
      <c r="AP2800" t="s">
        <v>2544</v>
      </c>
    </row>
    <row r="2801" spans="1:42" customFormat="1">
      <c r="A2801">
        <v>273104</v>
      </c>
      <c r="B2801" t="s">
        <v>4691</v>
      </c>
      <c r="C2801" t="s">
        <v>4692</v>
      </c>
      <c r="D2801" s="22">
        <v>0</v>
      </c>
      <c r="E2801" s="17">
        <v>42150</v>
      </c>
      <c r="F2801" s="18">
        <v>0.37765046296296295</v>
      </c>
      <c r="G2801" s="22">
        <v>7.9</v>
      </c>
      <c r="H2801">
        <v>0</v>
      </c>
      <c r="I2801" s="19" t="e">
        <f>I2800 + (D2801-G2801)</f>
        <v>#VALUE!</v>
      </c>
      <c r="M2801">
        <v>126927</v>
      </c>
      <c r="N2801">
        <v>24</v>
      </c>
      <c r="O2801" t="s">
        <v>68</v>
      </c>
      <c r="P2801">
        <v>1</v>
      </c>
      <c r="R2801">
        <v>1513</v>
      </c>
      <c r="S2801" s="17">
        <v>42171</v>
      </c>
      <c r="T2801" s="17">
        <v>42171</v>
      </c>
      <c r="W2801">
        <v>2015</v>
      </c>
      <c r="X2801">
        <v>24</v>
      </c>
      <c r="AC2801" t="s">
        <v>125</v>
      </c>
      <c r="AD2801" t="s">
        <v>302</v>
      </c>
      <c r="AE2801" t="s">
        <v>46</v>
      </c>
      <c r="AG2801">
        <v>2</v>
      </c>
      <c r="AH2801">
        <v>9</v>
      </c>
      <c r="AI2801" t="s">
        <v>54</v>
      </c>
      <c r="AK2801">
        <v>0</v>
      </c>
      <c r="AM2801">
        <v>0</v>
      </c>
      <c r="AP2801" t="s">
        <v>2544</v>
      </c>
    </row>
    <row r="2802" spans="1:42" customFormat="1">
      <c r="A2802">
        <v>273105</v>
      </c>
      <c r="B2802" t="s">
        <v>4693</v>
      </c>
      <c r="C2802" t="s">
        <v>4694</v>
      </c>
      <c r="D2802" s="22">
        <v>0</v>
      </c>
      <c r="E2802" s="17">
        <v>42150</v>
      </c>
      <c r="F2802" s="18">
        <v>0.37765046296296295</v>
      </c>
      <c r="G2802" s="22">
        <v>7.9</v>
      </c>
      <c r="H2802">
        <v>0</v>
      </c>
      <c r="I2802" s="19" t="e">
        <f>I2801 + (D2802-G2802)</f>
        <v>#VALUE!</v>
      </c>
      <c r="M2802">
        <v>126928</v>
      </c>
      <c r="N2802">
        <v>24</v>
      </c>
      <c r="O2802" t="s">
        <v>68</v>
      </c>
      <c r="P2802">
        <v>1</v>
      </c>
      <c r="R2802">
        <v>1513</v>
      </c>
      <c r="S2802" s="17">
        <v>42171</v>
      </c>
      <c r="T2802" s="17">
        <v>42171</v>
      </c>
      <c r="W2802">
        <v>2015</v>
      </c>
      <c r="X2802">
        <v>24</v>
      </c>
      <c r="AC2802" t="s">
        <v>125</v>
      </c>
      <c r="AD2802" t="s">
        <v>302</v>
      </c>
      <c r="AE2802" t="s">
        <v>46</v>
      </c>
      <c r="AG2802">
        <v>2</v>
      </c>
      <c r="AH2802">
        <v>9</v>
      </c>
      <c r="AI2802" t="s">
        <v>54</v>
      </c>
      <c r="AK2802">
        <v>0</v>
      </c>
      <c r="AM2802">
        <v>0</v>
      </c>
      <c r="AP2802" t="s">
        <v>2544</v>
      </c>
    </row>
    <row r="2803" spans="1:42" customFormat="1">
      <c r="A2803">
        <v>274039</v>
      </c>
      <c r="B2803" t="s">
        <v>4708</v>
      </c>
      <c r="C2803" t="s">
        <v>4709</v>
      </c>
      <c r="D2803" s="22">
        <v>0</v>
      </c>
      <c r="E2803" s="17">
        <v>42150</v>
      </c>
      <c r="F2803" s="18">
        <v>0.38209490740740742</v>
      </c>
      <c r="G2803" s="22">
        <v>5.6</v>
      </c>
      <c r="H2803">
        <v>0</v>
      </c>
      <c r="I2803" s="19" t="e">
        <f>I2802 + (D2803-G2803)</f>
        <v>#VALUE!</v>
      </c>
      <c r="M2803">
        <v>127352</v>
      </c>
      <c r="N2803">
        <v>24</v>
      </c>
      <c r="O2803" t="s">
        <v>68</v>
      </c>
      <c r="P2803">
        <v>2</v>
      </c>
      <c r="R2803">
        <v>1513</v>
      </c>
      <c r="S2803" s="17">
        <v>42180</v>
      </c>
      <c r="T2803" s="17">
        <v>42180</v>
      </c>
      <c r="W2803">
        <v>2015</v>
      </c>
      <c r="X2803">
        <v>24</v>
      </c>
      <c r="AC2803" t="s">
        <v>125</v>
      </c>
      <c r="AD2803" t="s">
        <v>302</v>
      </c>
      <c r="AE2803" t="s">
        <v>46</v>
      </c>
      <c r="AG2803">
        <v>26</v>
      </c>
      <c r="AH2803">
        <v>9</v>
      </c>
      <c r="AI2803" t="s">
        <v>54</v>
      </c>
      <c r="AK2803">
        <v>0</v>
      </c>
      <c r="AM2803">
        <v>0</v>
      </c>
      <c r="AP2803" t="s">
        <v>501</v>
      </c>
    </row>
    <row r="2804" spans="1:42" customFormat="1">
      <c r="A2804">
        <v>274040</v>
      </c>
      <c r="B2804" t="s">
        <v>4710</v>
      </c>
      <c r="C2804" t="s">
        <v>4711</v>
      </c>
      <c r="D2804" s="22">
        <v>0</v>
      </c>
      <c r="E2804" s="17">
        <v>42150</v>
      </c>
      <c r="F2804" s="18">
        <v>0.38209490740740742</v>
      </c>
      <c r="G2804" s="22">
        <v>15.9</v>
      </c>
      <c r="H2804">
        <v>0</v>
      </c>
      <c r="I2804" s="19" t="e">
        <f>I2803 + (D2804-G2804)</f>
        <v>#VALUE!</v>
      </c>
      <c r="M2804">
        <v>127353</v>
      </c>
      <c r="N2804">
        <v>24</v>
      </c>
      <c r="O2804" t="s">
        <v>68</v>
      </c>
      <c r="P2804">
        <v>2</v>
      </c>
      <c r="R2804">
        <v>1513</v>
      </c>
      <c r="S2804" s="17">
        <v>42180</v>
      </c>
      <c r="T2804" s="17">
        <v>42180</v>
      </c>
      <c r="W2804">
        <v>2015</v>
      </c>
      <c r="X2804">
        <v>24</v>
      </c>
      <c r="AC2804" t="s">
        <v>125</v>
      </c>
      <c r="AD2804" t="s">
        <v>302</v>
      </c>
      <c r="AE2804" t="s">
        <v>46</v>
      </c>
      <c r="AG2804">
        <v>26</v>
      </c>
      <c r="AH2804">
        <v>9</v>
      </c>
      <c r="AI2804" t="s">
        <v>54</v>
      </c>
      <c r="AK2804">
        <v>0</v>
      </c>
      <c r="AM2804">
        <v>0</v>
      </c>
      <c r="AP2804" t="s">
        <v>501</v>
      </c>
    </row>
    <row r="2805" spans="1:42" customFormat="1">
      <c r="A2805">
        <v>273111</v>
      </c>
      <c r="B2805" t="s">
        <v>4934</v>
      </c>
      <c r="C2805" t="s">
        <v>4935</v>
      </c>
      <c r="D2805" s="22">
        <v>0</v>
      </c>
      <c r="E2805" s="17">
        <v>42151</v>
      </c>
      <c r="F2805" s="18">
        <v>0.3802314814814815</v>
      </c>
      <c r="G2805" s="22">
        <v>7.9</v>
      </c>
      <c r="H2805">
        <v>0</v>
      </c>
      <c r="I2805" s="19" t="e">
        <f>I2804 + (D2805-G2805)</f>
        <v>#VALUE!</v>
      </c>
      <c r="M2805">
        <v>126930</v>
      </c>
      <c r="N2805">
        <v>24</v>
      </c>
      <c r="O2805" t="s">
        <v>68</v>
      </c>
      <c r="P2805">
        <v>1</v>
      </c>
      <c r="R2805">
        <v>1513</v>
      </c>
      <c r="S2805" s="17">
        <v>42171</v>
      </c>
      <c r="T2805" s="17">
        <v>42171</v>
      </c>
      <c r="W2805">
        <v>2015</v>
      </c>
      <c r="X2805">
        <v>24</v>
      </c>
      <c r="AC2805" t="s">
        <v>125</v>
      </c>
      <c r="AD2805" t="s">
        <v>302</v>
      </c>
      <c r="AE2805" t="s">
        <v>46</v>
      </c>
      <c r="AG2805">
        <v>2</v>
      </c>
      <c r="AH2805">
        <v>9</v>
      </c>
      <c r="AI2805" t="s">
        <v>54</v>
      </c>
      <c r="AK2805">
        <v>0</v>
      </c>
      <c r="AM2805">
        <v>0</v>
      </c>
      <c r="AP2805" t="s">
        <v>2544</v>
      </c>
    </row>
    <row r="2806" spans="1:42" customFormat="1">
      <c r="A2806">
        <v>273085</v>
      </c>
      <c r="B2806" t="s">
        <v>5181</v>
      </c>
      <c r="C2806" t="s">
        <v>5182</v>
      </c>
      <c r="D2806" s="22">
        <v>0</v>
      </c>
      <c r="E2806" s="17">
        <v>42152</v>
      </c>
      <c r="F2806" s="18">
        <v>0.73398148148148146</v>
      </c>
      <c r="G2806" s="22">
        <v>7.8</v>
      </c>
      <c r="H2806">
        <v>0</v>
      </c>
      <c r="I2806" s="19" t="e">
        <f>I2805 + (D2806-G2806)</f>
        <v>#VALUE!</v>
      </c>
      <c r="M2806">
        <v>126921</v>
      </c>
      <c r="N2806">
        <v>24</v>
      </c>
      <c r="O2806" t="s">
        <v>68</v>
      </c>
      <c r="P2806">
        <v>1</v>
      </c>
      <c r="R2806">
        <v>1513</v>
      </c>
      <c r="S2806" s="17">
        <v>42170</v>
      </c>
      <c r="T2806" s="17">
        <v>42170</v>
      </c>
      <c r="W2806">
        <v>2015</v>
      </c>
      <c r="X2806">
        <v>24</v>
      </c>
      <c r="AC2806" t="s">
        <v>125</v>
      </c>
      <c r="AD2806" t="s">
        <v>302</v>
      </c>
      <c r="AE2806" t="s">
        <v>46</v>
      </c>
      <c r="AG2806">
        <v>4</v>
      </c>
      <c r="AH2806">
        <v>9</v>
      </c>
      <c r="AI2806" t="s">
        <v>54</v>
      </c>
      <c r="AK2806">
        <v>0</v>
      </c>
      <c r="AM2806">
        <v>0</v>
      </c>
      <c r="AP2806" t="s">
        <v>389</v>
      </c>
    </row>
    <row r="2807" spans="1:42" customFormat="1">
      <c r="A2807">
        <v>273086</v>
      </c>
      <c r="B2807" t="s">
        <v>5183</v>
      </c>
      <c r="C2807" t="s">
        <v>5184</v>
      </c>
      <c r="D2807" s="22">
        <v>0</v>
      </c>
      <c r="E2807" s="17">
        <v>42152</v>
      </c>
      <c r="F2807" s="18">
        <v>0.73398148148148146</v>
      </c>
      <c r="G2807" s="22">
        <v>7.8</v>
      </c>
      <c r="H2807">
        <v>0</v>
      </c>
      <c r="I2807" s="19" t="e">
        <f>I2806 + (D2807-G2807)</f>
        <v>#VALUE!</v>
      </c>
      <c r="M2807">
        <v>126922</v>
      </c>
      <c r="N2807">
        <v>24</v>
      </c>
      <c r="O2807" t="s">
        <v>68</v>
      </c>
      <c r="P2807">
        <v>1</v>
      </c>
      <c r="R2807">
        <v>1513</v>
      </c>
      <c r="S2807" s="17">
        <v>42170</v>
      </c>
      <c r="T2807" s="17">
        <v>42170</v>
      </c>
      <c r="W2807">
        <v>2015</v>
      </c>
      <c r="X2807">
        <v>24</v>
      </c>
      <c r="AC2807" t="s">
        <v>125</v>
      </c>
      <c r="AD2807" t="s">
        <v>302</v>
      </c>
      <c r="AE2807" t="s">
        <v>46</v>
      </c>
      <c r="AG2807">
        <v>4</v>
      </c>
      <c r="AH2807">
        <v>9</v>
      </c>
      <c r="AI2807" t="s">
        <v>54</v>
      </c>
      <c r="AK2807">
        <v>0</v>
      </c>
      <c r="AM2807">
        <v>0</v>
      </c>
      <c r="AP2807" t="s">
        <v>389</v>
      </c>
    </row>
    <row r="2808" spans="1:42" customFormat="1">
      <c r="A2808">
        <v>273116</v>
      </c>
      <c r="B2808" t="s">
        <v>5192</v>
      </c>
      <c r="C2808" t="s">
        <v>5193</v>
      </c>
      <c r="D2808" s="22">
        <v>0</v>
      </c>
      <c r="E2808" s="17">
        <v>42153</v>
      </c>
      <c r="F2808" s="18">
        <v>0.38482638888888893</v>
      </c>
      <c r="G2808" s="22">
        <v>7.9</v>
      </c>
      <c r="H2808">
        <v>0</v>
      </c>
      <c r="I2808" s="19" t="e">
        <f>I2807 + (D2808-G2808)</f>
        <v>#VALUE!</v>
      </c>
      <c r="M2808">
        <v>126931</v>
      </c>
      <c r="N2808">
        <v>24</v>
      </c>
      <c r="O2808" t="s">
        <v>68</v>
      </c>
      <c r="P2808">
        <v>1</v>
      </c>
      <c r="R2808">
        <v>1513</v>
      </c>
      <c r="S2808" s="17">
        <v>42171</v>
      </c>
      <c r="T2808" s="17">
        <v>42171</v>
      </c>
      <c r="W2808">
        <v>2015</v>
      </c>
      <c r="X2808">
        <v>24</v>
      </c>
      <c r="AC2808" t="s">
        <v>125</v>
      </c>
      <c r="AD2808" t="s">
        <v>302</v>
      </c>
      <c r="AE2808" t="s">
        <v>46</v>
      </c>
      <c r="AG2808">
        <v>2</v>
      </c>
      <c r="AH2808">
        <v>9</v>
      </c>
      <c r="AI2808" t="s">
        <v>54</v>
      </c>
      <c r="AK2808">
        <v>0</v>
      </c>
      <c r="AM2808">
        <v>0</v>
      </c>
      <c r="AP2808" t="s">
        <v>2544</v>
      </c>
    </row>
    <row r="2809" spans="1:42" customFormat="1">
      <c r="A2809">
        <v>273117</v>
      </c>
      <c r="B2809" t="s">
        <v>5194</v>
      </c>
      <c r="C2809" t="s">
        <v>5195</v>
      </c>
      <c r="D2809" s="22">
        <v>0</v>
      </c>
      <c r="E2809" s="17">
        <v>42153</v>
      </c>
      <c r="F2809" s="18">
        <v>0.38482638888888893</v>
      </c>
      <c r="G2809" s="22">
        <v>7.9</v>
      </c>
      <c r="H2809">
        <v>0</v>
      </c>
      <c r="I2809" s="19" t="e">
        <f>I2808 + (D2809-G2809)</f>
        <v>#VALUE!</v>
      </c>
      <c r="M2809">
        <v>126932</v>
      </c>
      <c r="N2809">
        <v>24</v>
      </c>
      <c r="O2809" t="s">
        <v>68</v>
      </c>
      <c r="P2809">
        <v>1</v>
      </c>
      <c r="R2809">
        <v>1513</v>
      </c>
      <c r="S2809" s="17">
        <v>42171</v>
      </c>
      <c r="T2809" s="17">
        <v>42171</v>
      </c>
      <c r="W2809">
        <v>2015</v>
      </c>
      <c r="X2809">
        <v>24</v>
      </c>
      <c r="AC2809" t="s">
        <v>125</v>
      </c>
      <c r="AD2809" t="s">
        <v>302</v>
      </c>
      <c r="AE2809" t="s">
        <v>46</v>
      </c>
      <c r="AG2809">
        <v>2</v>
      </c>
      <c r="AH2809">
        <v>9</v>
      </c>
      <c r="AI2809" t="s">
        <v>54</v>
      </c>
      <c r="AK2809">
        <v>0</v>
      </c>
      <c r="AM2809">
        <v>0</v>
      </c>
      <c r="AP2809" t="s">
        <v>2544</v>
      </c>
    </row>
    <row r="2810" spans="1:42" customFormat="1">
      <c r="A2810">
        <v>273022</v>
      </c>
      <c r="B2810" t="s">
        <v>5295</v>
      </c>
      <c r="C2810" t="s">
        <v>5296</v>
      </c>
      <c r="D2810" s="22">
        <v>0</v>
      </c>
      <c r="E2810" s="17">
        <v>42153</v>
      </c>
      <c r="F2810" s="18">
        <v>0.41711805555555559</v>
      </c>
      <c r="G2810" s="22">
        <v>8.5</v>
      </c>
      <c r="H2810">
        <v>0</v>
      </c>
      <c r="I2810" s="19" t="e">
        <f>I2809 + (D2810-G2810)</f>
        <v>#VALUE!</v>
      </c>
      <c r="M2810">
        <v>125169</v>
      </c>
      <c r="N2810">
        <v>24</v>
      </c>
      <c r="O2810" t="s">
        <v>68</v>
      </c>
      <c r="P2810">
        <v>1</v>
      </c>
      <c r="R2810">
        <v>1513</v>
      </c>
      <c r="S2810" s="17">
        <v>42167</v>
      </c>
      <c r="T2810" s="17">
        <v>42167</v>
      </c>
      <c r="W2810">
        <v>2015</v>
      </c>
      <c r="X2810">
        <v>24</v>
      </c>
      <c r="AC2810" t="s">
        <v>125</v>
      </c>
      <c r="AD2810" t="s">
        <v>302</v>
      </c>
      <c r="AE2810" t="s">
        <v>46</v>
      </c>
      <c r="AG2810">
        <v>33</v>
      </c>
      <c r="AH2810">
        <v>9</v>
      </c>
      <c r="AI2810" t="s">
        <v>54</v>
      </c>
      <c r="AK2810">
        <v>0</v>
      </c>
      <c r="AM2810">
        <v>0</v>
      </c>
      <c r="AP2810" t="s">
        <v>457</v>
      </c>
    </row>
    <row r="2811" spans="1:42" customFormat="1">
      <c r="A2811">
        <v>273023</v>
      </c>
      <c r="B2811" t="s">
        <v>5297</v>
      </c>
      <c r="C2811" t="s">
        <v>5298</v>
      </c>
      <c r="D2811" s="22">
        <v>0</v>
      </c>
      <c r="E2811" s="17">
        <v>42153</v>
      </c>
      <c r="F2811" s="18">
        <v>0.41711805555555559</v>
      </c>
      <c r="G2811" s="22">
        <v>54</v>
      </c>
      <c r="H2811">
        <v>0</v>
      </c>
      <c r="I2811" s="19" t="e">
        <f>I2810 + (D2811-G2811)</f>
        <v>#VALUE!</v>
      </c>
      <c r="M2811">
        <v>125170</v>
      </c>
      <c r="N2811">
        <v>24</v>
      </c>
      <c r="O2811" t="s">
        <v>68</v>
      </c>
      <c r="P2811">
        <v>1</v>
      </c>
      <c r="R2811">
        <v>1513</v>
      </c>
      <c r="S2811" s="17">
        <v>42167</v>
      </c>
      <c r="T2811" s="17">
        <v>42167</v>
      </c>
      <c r="W2811">
        <v>2015</v>
      </c>
      <c r="X2811">
        <v>24</v>
      </c>
      <c r="AC2811" t="s">
        <v>125</v>
      </c>
      <c r="AD2811" t="s">
        <v>302</v>
      </c>
      <c r="AE2811" t="s">
        <v>46</v>
      </c>
      <c r="AG2811">
        <v>33</v>
      </c>
      <c r="AH2811">
        <v>9</v>
      </c>
      <c r="AI2811" t="s">
        <v>54</v>
      </c>
      <c r="AK2811">
        <v>0</v>
      </c>
      <c r="AM2811">
        <v>0</v>
      </c>
      <c r="AP2811" t="s">
        <v>457</v>
      </c>
    </row>
    <row r="2812" spans="1:42" customFormat="1">
      <c r="A2812">
        <v>273042</v>
      </c>
      <c r="B2812" t="s">
        <v>5313</v>
      </c>
      <c r="C2812" t="s">
        <v>5314</v>
      </c>
      <c r="D2812" s="22">
        <v>0</v>
      </c>
      <c r="E2812" s="17">
        <v>42153</v>
      </c>
      <c r="F2812" s="18">
        <v>0.42798611111111112</v>
      </c>
      <c r="G2812" s="22">
        <v>34</v>
      </c>
      <c r="H2812">
        <v>0</v>
      </c>
      <c r="I2812" s="19" t="e">
        <f>I2811 + (D2812-G2812)</f>
        <v>#VALUE!</v>
      </c>
      <c r="M2812">
        <v>125189</v>
      </c>
      <c r="N2812">
        <v>24</v>
      </c>
      <c r="O2812" t="s">
        <v>68</v>
      </c>
      <c r="P2812">
        <v>1</v>
      </c>
      <c r="R2812">
        <v>1513</v>
      </c>
      <c r="S2812" s="17">
        <v>42167</v>
      </c>
      <c r="T2812" s="17">
        <v>42167</v>
      </c>
      <c r="W2812">
        <v>2015</v>
      </c>
      <c r="X2812">
        <v>24</v>
      </c>
      <c r="AC2812" t="s">
        <v>125</v>
      </c>
      <c r="AD2812" t="s">
        <v>302</v>
      </c>
      <c r="AE2812" t="s">
        <v>46</v>
      </c>
      <c r="AG2812">
        <v>5</v>
      </c>
      <c r="AH2812">
        <v>9</v>
      </c>
      <c r="AI2812" t="s">
        <v>54</v>
      </c>
      <c r="AK2812">
        <v>0</v>
      </c>
      <c r="AM2812">
        <v>0</v>
      </c>
      <c r="AP2812" t="s">
        <v>312</v>
      </c>
    </row>
    <row r="2813" spans="1:42" customFormat="1">
      <c r="A2813">
        <v>269923</v>
      </c>
      <c r="B2813" t="s">
        <v>440</v>
      </c>
      <c r="C2813" t="s">
        <v>441</v>
      </c>
      <c r="D2813" s="22">
        <v>0</v>
      </c>
      <c r="E2813" s="17">
        <v>42128</v>
      </c>
      <c r="F2813" s="18">
        <v>0.46696759259259263</v>
      </c>
      <c r="G2813" s="22">
        <v>58.46</v>
      </c>
      <c r="H2813">
        <v>0</v>
      </c>
      <c r="I2813" s="19" t="e">
        <f>I2812 + (D2813-G2813)</f>
        <v>#VALUE!</v>
      </c>
      <c r="M2813">
        <v>123315</v>
      </c>
      <c r="N2813">
        <v>24</v>
      </c>
      <c r="O2813" t="s">
        <v>68</v>
      </c>
      <c r="P2813">
        <v>1</v>
      </c>
      <c r="R2813">
        <v>1511</v>
      </c>
      <c r="S2813" s="17">
        <v>42138</v>
      </c>
      <c r="T2813" s="17">
        <v>42138</v>
      </c>
      <c r="W2813">
        <v>2015</v>
      </c>
      <c r="X2813">
        <v>24</v>
      </c>
      <c r="AC2813" t="s">
        <v>62</v>
      </c>
      <c r="AD2813" t="s">
        <v>302</v>
      </c>
      <c r="AE2813" t="s">
        <v>46</v>
      </c>
      <c r="AG2813">
        <v>69</v>
      </c>
      <c r="AH2813">
        <v>9</v>
      </c>
      <c r="AI2813" t="s">
        <v>54</v>
      </c>
      <c r="AK2813">
        <v>0</v>
      </c>
      <c r="AM2813">
        <v>0</v>
      </c>
      <c r="AP2813" t="s">
        <v>339</v>
      </c>
    </row>
    <row r="2814" spans="1:42" customFormat="1">
      <c r="A2814">
        <v>276168</v>
      </c>
      <c r="B2814" t="s">
        <v>1128</v>
      </c>
      <c r="C2814" t="s">
        <v>1129</v>
      </c>
      <c r="D2814" s="22">
        <v>0</v>
      </c>
      <c r="E2814" s="17">
        <v>42128</v>
      </c>
      <c r="F2814" s="18">
        <v>0.69177083333333333</v>
      </c>
      <c r="G2814" s="22">
        <v>41.28</v>
      </c>
      <c r="H2814">
        <v>0</v>
      </c>
      <c r="I2814" s="19" t="e">
        <f>I2813 + (D2814-G2814)</f>
        <v>#VALUE!</v>
      </c>
      <c r="M2814">
        <v>128698</v>
      </c>
      <c r="N2814">
        <v>24</v>
      </c>
      <c r="O2814" t="s">
        <v>68</v>
      </c>
      <c r="P2814">
        <v>1</v>
      </c>
      <c r="R2814">
        <v>1511</v>
      </c>
      <c r="S2814" s="17">
        <v>42188</v>
      </c>
      <c r="T2814" s="17">
        <v>42188</v>
      </c>
      <c r="W2814">
        <v>2015</v>
      </c>
      <c r="X2814">
        <v>24</v>
      </c>
      <c r="AC2814" t="s">
        <v>62</v>
      </c>
      <c r="AD2814" t="s">
        <v>302</v>
      </c>
      <c r="AE2814" t="s">
        <v>46</v>
      </c>
      <c r="AG2814">
        <v>107</v>
      </c>
      <c r="AH2814">
        <v>9</v>
      </c>
      <c r="AI2814" t="s">
        <v>54</v>
      </c>
      <c r="AK2814">
        <v>0</v>
      </c>
      <c r="AM2814">
        <v>0</v>
      </c>
      <c r="AP2814" t="s">
        <v>1121</v>
      </c>
    </row>
    <row r="2815" spans="1:42" customFormat="1">
      <c r="A2815">
        <v>268524</v>
      </c>
      <c r="B2815" t="s">
        <v>1146</v>
      </c>
      <c r="C2815" t="s">
        <v>1147</v>
      </c>
      <c r="D2815" s="22">
        <v>0</v>
      </c>
      <c r="E2815" s="17">
        <v>42128</v>
      </c>
      <c r="F2815" s="18">
        <v>0.69354166666666661</v>
      </c>
      <c r="G2815" s="22">
        <v>16.5</v>
      </c>
      <c r="H2815">
        <v>0</v>
      </c>
      <c r="I2815" s="19" t="e">
        <f>I2814 + (D2815-G2815)</f>
        <v>#VALUE!</v>
      </c>
      <c r="M2815">
        <v>122839</v>
      </c>
      <c r="N2815">
        <v>60</v>
      </c>
      <c r="O2815" t="s">
        <v>60</v>
      </c>
      <c r="P2815">
        <v>1</v>
      </c>
      <c r="R2815">
        <v>1511</v>
      </c>
      <c r="S2815" s="17">
        <v>42130</v>
      </c>
      <c r="T2815" s="17">
        <v>42130</v>
      </c>
      <c r="W2815">
        <v>2015</v>
      </c>
      <c r="X2815">
        <v>60</v>
      </c>
      <c r="AC2815" t="s">
        <v>62</v>
      </c>
      <c r="AD2815" t="s">
        <v>302</v>
      </c>
      <c r="AE2815" t="s">
        <v>46</v>
      </c>
      <c r="AG2815">
        <v>52</v>
      </c>
      <c r="AH2815">
        <v>9</v>
      </c>
      <c r="AI2815" t="s">
        <v>54</v>
      </c>
      <c r="AK2815">
        <v>0</v>
      </c>
      <c r="AM2815">
        <v>0</v>
      </c>
      <c r="AP2815" t="s">
        <v>325</v>
      </c>
    </row>
    <row r="2816" spans="1:42" customFormat="1">
      <c r="A2816">
        <v>268589</v>
      </c>
      <c r="B2816" t="s">
        <v>1583</v>
      </c>
      <c r="C2816" t="s">
        <v>1584</v>
      </c>
      <c r="D2816" s="22">
        <v>0</v>
      </c>
      <c r="E2816" s="17">
        <v>42129</v>
      </c>
      <c r="F2816" s="18">
        <v>0.70481481481481489</v>
      </c>
      <c r="G2816" s="22">
        <v>144</v>
      </c>
      <c r="H2816">
        <v>0</v>
      </c>
      <c r="I2816" s="19" t="e">
        <f>I2815 + (D2816-G2816)</f>
        <v>#VALUE!</v>
      </c>
      <c r="M2816">
        <v>122858</v>
      </c>
      <c r="N2816">
        <v>7</v>
      </c>
      <c r="O2816" t="s">
        <v>44</v>
      </c>
      <c r="P2816">
        <v>1</v>
      </c>
      <c r="R2816">
        <v>1511</v>
      </c>
      <c r="S2816" s="17">
        <v>42130</v>
      </c>
      <c r="T2816" s="17">
        <v>42130</v>
      </c>
      <c r="W2816">
        <v>2015</v>
      </c>
      <c r="X2816">
        <v>7</v>
      </c>
      <c r="AC2816" t="s">
        <v>62</v>
      </c>
      <c r="AD2816" t="s">
        <v>302</v>
      </c>
      <c r="AE2816" t="s">
        <v>46</v>
      </c>
      <c r="AG2816">
        <v>8</v>
      </c>
      <c r="AH2816">
        <v>8</v>
      </c>
      <c r="AI2816" t="s">
        <v>52</v>
      </c>
      <c r="AK2816">
        <v>0</v>
      </c>
      <c r="AM2816">
        <v>0</v>
      </c>
      <c r="AP2816" t="s">
        <v>1201</v>
      </c>
    </row>
    <row r="2817" spans="1:42" customFormat="1">
      <c r="A2817">
        <v>274086</v>
      </c>
      <c r="B2817" t="s">
        <v>5490</v>
      </c>
      <c r="C2817" t="s">
        <v>5491</v>
      </c>
      <c r="D2817" s="22">
        <v>0</v>
      </c>
      <c r="E2817" s="17">
        <v>42153</v>
      </c>
      <c r="F2817" s="18">
        <v>0.58740740740740738</v>
      </c>
      <c r="G2817" s="22">
        <v>12.8</v>
      </c>
      <c r="H2817">
        <v>0</v>
      </c>
      <c r="I2817" s="19" t="e">
        <f>I2816 + (D2817-G2817)</f>
        <v>#VALUE!</v>
      </c>
      <c r="M2817">
        <v>127363</v>
      </c>
      <c r="N2817">
        <v>24</v>
      </c>
      <c r="O2817" t="s">
        <v>68</v>
      </c>
      <c r="P2817">
        <v>1</v>
      </c>
      <c r="R2817">
        <v>1511</v>
      </c>
      <c r="S2817" s="17">
        <v>42180</v>
      </c>
      <c r="T2817" s="17">
        <v>42180</v>
      </c>
      <c r="W2817">
        <v>2015</v>
      </c>
      <c r="X2817">
        <v>24</v>
      </c>
      <c r="AC2817" t="s">
        <v>62</v>
      </c>
      <c r="AD2817" t="s">
        <v>302</v>
      </c>
      <c r="AE2817" t="s">
        <v>46</v>
      </c>
      <c r="AG2817">
        <v>29</v>
      </c>
      <c r="AH2817">
        <v>9</v>
      </c>
      <c r="AI2817" t="s">
        <v>54</v>
      </c>
      <c r="AK2817">
        <v>0</v>
      </c>
      <c r="AM2817">
        <v>0</v>
      </c>
      <c r="AP2817" t="s">
        <v>497</v>
      </c>
    </row>
    <row r="2818" spans="1:42" customFormat="1">
      <c r="A2818">
        <v>268055</v>
      </c>
      <c r="B2818">
        <v>216532</v>
      </c>
      <c r="C2818" t="s">
        <v>1338</v>
      </c>
      <c r="D2818" s="22">
        <v>73</v>
      </c>
      <c r="E2818" s="17">
        <v>42129</v>
      </c>
      <c r="F2818" s="18">
        <v>0.59332175925925923</v>
      </c>
      <c r="G2818" s="22">
        <v>0</v>
      </c>
      <c r="H2818">
        <v>0</v>
      </c>
      <c r="I2818" s="19" t="e">
        <f>I2817 + (D2818-G2818)</f>
        <v>#VALUE!</v>
      </c>
      <c r="L2818">
        <v>216532</v>
      </c>
      <c r="N2818">
        <v>7</v>
      </c>
      <c r="O2818" t="s">
        <v>44</v>
      </c>
      <c r="P2818">
        <v>1</v>
      </c>
      <c r="R2818">
        <v>1385</v>
      </c>
      <c r="S2818" s="17">
        <v>42130</v>
      </c>
      <c r="T2818" s="17">
        <v>42130</v>
      </c>
      <c r="W2818">
        <v>2015</v>
      </c>
      <c r="X2818">
        <v>7</v>
      </c>
      <c r="AC2818" t="s">
        <v>1339</v>
      </c>
      <c r="AD2818" t="s">
        <v>302</v>
      </c>
      <c r="AE2818" t="s">
        <v>46</v>
      </c>
      <c r="AG2818">
        <v>27</v>
      </c>
      <c r="AH2818">
        <v>9</v>
      </c>
      <c r="AI2818" t="s">
        <v>54</v>
      </c>
      <c r="AK2818">
        <v>0</v>
      </c>
      <c r="AM2818">
        <v>0</v>
      </c>
      <c r="AP2818" t="s">
        <v>1337</v>
      </c>
    </row>
    <row r="2819" spans="1:42" customFormat="1">
      <c r="A2819">
        <v>268056</v>
      </c>
      <c r="B2819">
        <v>216533</v>
      </c>
      <c r="C2819" t="s">
        <v>1338</v>
      </c>
      <c r="D2819" s="22">
        <v>73</v>
      </c>
      <c r="E2819" s="17">
        <v>42129</v>
      </c>
      <c r="F2819" s="18">
        <v>0.59333333333333338</v>
      </c>
      <c r="G2819" s="22">
        <v>0</v>
      </c>
      <c r="H2819">
        <v>0</v>
      </c>
      <c r="I2819" s="19" t="e">
        <f>I2818 + (D2819-G2819)</f>
        <v>#VALUE!</v>
      </c>
      <c r="L2819">
        <v>216533</v>
      </c>
      <c r="N2819">
        <v>7</v>
      </c>
      <c r="O2819" t="s">
        <v>44</v>
      </c>
      <c r="P2819">
        <v>1</v>
      </c>
      <c r="R2819">
        <v>1385</v>
      </c>
      <c r="S2819" s="17">
        <v>42130</v>
      </c>
      <c r="T2819" s="17">
        <v>42130</v>
      </c>
      <c r="W2819">
        <v>2015</v>
      </c>
      <c r="X2819">
        <v>7</v>
      </c>
      <c r="AC2819" t="s">
        <v>1339</v>
      </c>
      <c r="AD2819" t="s">
        <v>302</v>
      </c>
      <c r="AE2819" t="s">
        <v>46</v>
      </c>
      <c r="AG2819">
        <v>27</v>
      </c>
      <c r="AH2819">
        <v>9</v>
      </c>
      <c r="AI2819" t="s">
        <v>54</v>
      </c>
      <c r="AK2819">
        <v>0</v>
      </c>
      <c r="AM2819">
        <v>0</v>
      </c>
      <c r="AP2819" t="s">
        <v>1337</v>
      </c>
    </row>
    <row r="2820" spans="1:42" customFormat="1">
      <c r="A2820">
        <v>268057</v>
      </c>
      <c r="B2820">
        <v>216534</v>
      </c>
      <c r="C2820" t="s">
        <v>1338</v>
      </c>
      <c r="D2820" s="22">
        <v>73</v>
      </c>
      <c r="E2820" s="17">
        <v>42129</v>
      </c>
      <c r="F2820" s="18">
        <v>0.59333333333333338</v>
      </c>
      <c r="G2820" s="22">
        <v>0</v>
      </c>
      <c r="H2820">
        <v>0</v>
      </c>
      <c r="I2820" s="19" t="e">
        <f>I2819 + (D2820-G2820)</f>
        <v>#VALUE!</v>
      </c>
      <c r="L2820">
        <v>216534</v>
      </c>
      <c r="N2820">
        <v>7</v>
      </c>
      <c r="O2820" t="s">
        <v>44</v>
      </c>
      <c r="P2820">
        <v>1</v>
      </c>
      <c r="R2820">
        <v>1385</v>
      </c>
      <c r="S2820" s="17">
        <v>42130</v>
      </c>
      <c r="T2820" s="17">
        <v>42130</v>
      </c>
      <c r="W2820">
        <v>2015</v>
      </c>
      <c r="X2820">
        <v>7</v>
      </c>
      <c r="AC2820" t="s">
        <v>1339</v>
      </c>
      <c r="AD2820" t="s">
        <v>302</v>
      </c>
      <c r="AE2820" t="s">
        <v>46</v>
      </c>
      <c r="AG2820">
        <v>27</v>
      </c>
      <c r="AH2820">
        <v>9</v>
      </c>
      <c r="AI2820" t="s">
        <v>54</v>
      </c>
      <c r="AK2820">
        <v>0</v>
      </c>
      <c r="AM2820">
        <v>0</v>
      </c>
      <c r="AP2820" t="s">
        <v>1337</v>
      </c>
    </row>
    <row r="2821" spans="1:42" customFormat="1">
      <c r="A2821">
        <v>268058</v>
      </c>
      <c r="B2821">
        <v>216526</v>
      </c>
      <c r="C2821" t="s">
        <v>1340</v>
      </c>
      <c r="D2821" s="22">
        <v>73</v>
      </c>
      <c r="E2821" s="17">
        <v>42129</v>
      </c>
      <c r="F2821" s="18">
        <v>0.59393518518518518</v>
      </c>
      <c r="G2821" s="22">
        <v>0</v>
      </c>
      <c r="H2821">
        <v>0</v>
      </c>
      <c r="I2821" s="19" t="e">
        <f>I2820 + (D2821-G2821)</f>
        <v>#VALUE!</v>
      </c>
      <c r="L2821">
        <v>216526</v>
      </c>
      <c r="N2821">
        <v>7</v>
      </c>
      <c r="O2821" t="s">
        <v>44</v>
      </c>
      <c r="P2821">
        <v>1</v>
      </c>
      <c r="R2821">
        <v>1385</v>
      </c>
      <c r="S2821" s="17">
        <v>42130</v>
      </c>
      <c r="T2821" s="17">
        <v>42130</v>
      </c>
      <c r="W2821">
        <v>2015</v>
      </c>
      <c r="X2821">
        <v>7</v>
      </c>
      <c r="AC2821" t="s">
        <v>1339</v>
      </c>
      <c r="AD2821" t="s">
        <v>302</v>
      </c>
      <c r="AE2821" t="s">
        <v>46</v>
      </c>
      <c r="AG2821">
        <v>27</v>
      </c>
      <c r="AH2821">
        <v>9</v>
      </c>
      <c r="AI2821" t="s">
        <v>54</v>
      </c>
      <c r="AK2821">
        <v>0</v>
      </c>
      <c r="AM2821">
        <v>0</v>
      </c>
      <c r="AP2821" t="s">
        <v>1337</v>
      </c>
    </row>
    <row r="2822" spans="1:42" customFormat="1">
      <c r="A2822">
        <v>268059</v>
      </c>
      <c r="B2822">
        <v>216527</v>
      </c>
      <c r="C2822" t="s">
        <v>1340</v>
      </c>
      <c r="D2822" s="22">
        <v>73</v>
      </c>
      <c r="E2822" s="17">
        <v>42129</v>
      </c>
      <c r="F2822" s="18">
        <v>0.59393518518518518</v>
      </c>
      <c r="G2822" s="22">
        <v>0</v>
      </c>
      <c r="H2822">
        <v>0</v>
      </c>
      <c r="I2822" s="19" t="e">
        <f>I2821 + (D2822-G2822)</f>
        <v>#VALUE!</v>
      </c>
      <c r="L2822">
        <v>216527</v>
      </c>
      <c r="N2822">
        <v>7</v>
      </c>
      <c r="O2822" t="s">
        <v>44</v>
      </c>
      <c r="P2822">
        <v>1</v>
      </c>
      <c r="R2822">
        <v>1385</v>
      </c>
      <c r="S2822" s="17">
        <v>42130</v>
      </c>
      <c r="T2822" s="17">
        <v>42130</v>
      </c>
      <c r="W2822">
        <v>2015</v>
      </c>
      <c r="X2822">
        <v>7</v>
      </c>
      <c r="AC2822" t="s">
        <v>1339</v>
      </c>
      <c r="AD2822" t="s">
        <v>302</v>
      </c>
      <c r="AE2822" t="s">
        <v>46</v>
      </c>
      <c r="AG2822">
        <v>27</v>
      </c>
      <c r="AH2822">
        <v>9</v>
      </c>
      <c r="AI2822" t="s">
        <v>54</v>
      </c>
      <c r="AK2822">
        <v>0</v>
      </c>
      <c r="AM2822">
        <v>0</v>
      </c>
      <c r="AP2822" t="s">
        <v>1337</v>
      </c>
    </row>
    <row r="2823" spans="1:42" customFormat="1">
      <c r="A2823">
        <v>268060</v>
      </c>
      <c r="B2823">
        <v>216528</v>
      </c>
      <c r="C2823" t="s">
        <v>1340</v>
      </c>
      <c r="D2823" s="22">
        <v>74</v>
      </c>
      <c r="E2823" s="17">
        <v>42129</v>
      </c>
      <c r="F2823" s="18">
        <v>0.59393518518518518</v>
      </c>
      <c r="G2823" s="22">
        <v>0</v>
      </c>
      <c r="H2823">
        <v>0</v>
      </c>
      <c r="I2823" s="19" t="e">
        <f>I2822 + (D2823-G2823)</f>
        <v>#VALUE!</v>
      </c>
      <c r="L2823">
        <v>216528</v>
      </c>
      <c r="N2823">
        <v>7</v>
      </c>
      <c r="O2823" t="s">
        <v>44</v>
      </c>
      <c r="P2823">
        <v>1</v>
      </c>
      <c r="R2823">
        <v>1385</v>
      </c>
      <c r="S2823" s="17">
        <v>42130</v>
      </c>
      <c r="T2823" s="17">
        <v>42130</v>
      </c>
      <c r="W2823">
        <v>2015</v>
      </c>
      <c r="X2823">
        <v>7</v>
      </c>
      <c r="AC2823" t="s">
        <v>1339</v>
      </c>
      <c r="AD2823" t="s">
        <v>302</v>
      </c>
      <c r="AE2823" t="s">
        <v>46</v>
      </c>
      <c r="AG2823">
        <v>27</v>
      </c>
      <c r="AH2823">
        <v>9</v>
      </c>
      <c r="AI2823" t="s">
        <v>54</v>
      </c>
      <c r="AK2823">
        <v>0</v>
      </c>
      <c r="AM2823">
        <v>0</v>
      </c>
      <c r="AP2823" t="s">
        <v>1337</v>
      </c>
    </row>
    <row r="2824" spans="1:42" customFormat="1">
      <c r="A2824">
        <v>268061</v>
      </c>
      <c r="B2824">
        <v>216544</v>
      </c>
      <c r="C2824" t="s">
        <v>1341</v>
      </c>
      <c r="D2824" s="22">
        <v>73</v>
      </c>
      <c r="E2824" s="17">
        <v>42129</v>
      </c>
      <c r="F2824" s="18">
        <v>0.59452546296296294</v>
      </c>
      <c r="G2824" s="22">
        <v>0</v>
      </c>
      <c r="H2824">
        <v>0</v>
      </c>
      <c r="I2824" s="19" t="e">
        <f>I2823 + (D2824-G2824)</f>
        <v>#VALUE!</v>
      </c>
      <c r="L2824">
        <v>216544</v>
      </c>
      <c r="N2824">
        <v>7</v>
      </c>
      <c r="O2824" t="s">
        <v>44</v>
      </c>
      <c r="P2824">
        <v>1</v>
      </c>
      <c r="R2824">
        <v>1385</v>
      </c>
      <c r="S2824" s="17">
        <v>42130</v>
      </c>
      <c r="T2824" s="17">
        <v>42130</v>
      </c>
      <c r="W2824">
        <v>2015</v>
      </c>
      <c r="X2824">
        <v>7</v>
      </c>
      <c r="AC2824" t="s">
        <v>1339</v>
      </c>
      <c r="AD2824" t="s">
        <v>302</v>
      </c>
      <c r="AE2824" t="s">
        <v>46</v>
      </c>
      <c r="AG2824">
        <v>27</v>
      </c>
      <c r="AH2824">
        <v>9</v>
      </c>
      <c r="AI2824" t="s">
        <v>54</v>
      </c>
      <c r="AK2824">
        <v>0</v>
      </c>
      <c r="AM2824">
        <v>0</v>
      </c>
      <c r="AP2824" t="s">
        <v>1337</v>
      </c>
    </row>
    <row r="2825" spans="1:42" customFormat="1">
      <c r="A2825">
        <v>268062</v>
      </c>
      <c r="B2825">
        <v>216545</v>
      </c>
      <c r="C2825" t="s">
        <v>1341</v>
      </c>
      <c r="D2825" s="22">
        <v>73</v>
      </c>
      <c r="E2825" s="17">
        <v>42129</v>
      </c>
      <c r="F2825" s="18">
        <v>0.59453703703703698</v>
      </c>
      <c r="G2825" s="22">
        <v>0</v>
      </c>
      <c r="H2825">
        <v>0</v>
      </c>
      <c r="I2825" s="19" t="e">
        <f>I2824 + (D2825-G2825)</f>
        <v>#VALUE!</v>
      </c>
      <c r="L2825">
        <v>216545</v>
      </c>
      <c r="N2825">
        <v>7</v>
      </c>
      <c r="O2825" t="s">
        <v>44</v>
      </c>
      <c r="P2825">
        <v>1</v>
      </c>
      <c r="R2825">
        <v>1385</v>
      </c>
      <c r="S2825" s="17">
        <v>42130</v>
      </c>
      <c r="T2825" s="17">
        <v>42130</v>
      </c>
      <c r="W2825">
        <v>2015</v>
      </c>
      <c r="X2825">
        <v>7</v>
      </c>
      <c r="AC2825" t="s">
        <v>1339</v>
      </c>
      <c r="AD2825" t="s">
        <v>302</v>
      </c>
      <c r="AE2825" t="s">
        <v>46</v>
      </c>
      <c r="AG2825">
        <v>27</v>
      </c>
      <c r="AH2825">
        <v>9</v>
      </c>
      <c r="AI2825" t="s">
        <v>54</v>
      </c>
      <c r="AK2825">
        <v>0</v>
      </c>
      <c r="AM2825">
        <v>0</v>
      </c>
      <c r="AP2825" t="s">
        <v>1337</v>
      </c>
    </row>
    <row r="2826" spans="1:42" customFormat="1">
      <c r="A2826">
        <v>268063</v>
      </c>
      <c r="B2826">
        <v>216546</v>
      </c>
      <c r="C2826" t="s">
        <v>1341</v>
      </c>
      <c r="D2826" s="22">
        <v>73</v>
      </c>
      <c r="E2826" s="17">
        <v>42129</v>
      </c>
      <c r="F2826" s="18">
        <v>0.59453703703703698</v>
      </c>
      <c r="G2826" s="22">
        <v>0</v>
      </c>
      <c r="H2826">
        <v>0</v>
      </c>
      <c r="I2826" s="19" t="e">
        <f>I2825 + (D2826-G2826)</f>
        <v>#VALUE!</v>
      </c>
      <c r="L2826">
        <v>216546</v>
      </c>
      <c r="N2826">
        <v>7</v>
      </c>
      <c r="O2826" t="s">
        <v>44</v>
      </c>
      <c r="P2826">
        <v>1</v>
      </c>
      <c r="R2826">
        <v>1385</v>
      </c>
      <c r="S2826" s="17">
        <v>42130</v>
      </c>
      <c r="T2826" s="17">
        <v>42130</v>
      </c>
      <c r="W2826">
        <v>2015</v>
      </c>
      <c r="X2826">
        <v>7</v>
      </c>
      <c r="AC2826" t="s">
        <v>1339</v>
      </c>
      <c r="AD2826" t="s">
        <v>302</v>
      </c>
      <c r="AE2826" t="s">
        <v>46</v>
      </c>
      <c r="AG2826">
        <v>27</v>
      </c>
      <c r="AH2826">
        <v>9</v>
      </c>
      <c r="AI2826" t="s">
        <v>54</v>
      </c>
      <c r="AK2826">
        <v>0</v>
      </c>
      <c r="AM2826">
        <v>0</v>
      </c>
      <c r="AP2826" t="s">
        <v>1337</v>
      </c>
    </row>
    <row r="2827" spans="1:42" customFormat="1">
      <c r="A2827">
        <v>268064</v>
      </c>
      <c r="B2827">
        <v>216541</v>
      </c>
      <c r="C2827" t="s">
        <v>1342</v>
      </c>
      <c r="D2827" s="22">
        <v>73</v>
      </c>
      <c r="E2827" s="17">
        <v>42129</v>
      </c>
      <c r="F2827" s="18">
        <v>0.59616898148148145</v>
      </c>
      <c r="G2827" s="22">
        <v>0</v>
      </c>
      <c r="H2827">
        <v>0</v>
      </c>
      <c r="I2827" s="19" t="e">
        <f>I2826 + (D2827-G2827)</f>
        <v>#VALUE!</v>
      </c>
      <c r="L2827">
        <v>216541</v>
      </c>
      <c r="N2827">
        <v>7</v>
      </c>
      <c r="O2827" t="s">
        <v>44</v>
      </c>
      <c r="P2827">
        <v>1</v>
      </c>
      <c r="R2827">
        <v>1385</v>
      </c>
      <c r="S2827" s="17">
        <v>42130</v>
      </c>
      <c r="T2827" s="17">
        <v>42130</v>
      </c>
      <c r="W2827">
        <v>2015</v>
      </c>
      <c r="X2827">
        <v>7</v>
      </c>
      <c r="AC2827" t="s">
        <v>1339</v>
      </c>
      <c r="AD2827" t="s">
        <v>302</v>
      </c>
      <c r="AE2827" t="s">
        <v>46</v>
      </c>
      <c r="AG2827">
        <v>27</v>
      </c>
      <c r="AH2827">
        <v>9</v>
      </c>
      <c r="AI2827" t="s">
        <v>54</v>
      </c>
      <c r="AK2827">
        <v>0</v>
      </c>
      <c r="AM2827">
        <v>0</v>
      </c>
      <c r="AP2827" t="s">
        <v>1337</v>
      </c>
    </row>
    <row r="2828" spans="1:42" customFormat="1">
      <c r="A2828">
        <v>268065</v>
      </c>
      <c r="B2828">
        <v>216542</v>
      </c>
      <c r="C2828" t="s">
        <v>1342</v>
      </c>
      <c r="D2828" s="22">
        <v>73</v>
      </c>
      <c r="E2828" s="17">
        <v>42129</v>
      </c>
      <c r="F2828" s="18">
        <v>0.59616898148148145</v>
      </c>
      <c r="G2828" s="22">
        <v>0</v>
      </c>
      <c r="H2828">
        <v>0</v>
      </c>
      <c r="I2828" s="19" t="e">
        <f>I2827 + (D2828-G2828)</f>
        <v>#VALUE!</v>
      </c>
      <c r="L2828">
        <v>216542</v>
      </c>
      <c r="N2828">
        <v>7</v>
      </c>
      <c r="O2828" t="s">
        <v>44</v>
      </c>
      <c r="P2828">
        <v>1</v>
      </c>
      <c r="R2828">
        <v>1385</v>
      </c>
      <c r="S2828" s="17">
        <v>42130</v>
      </c>
      <c r="T2828" s="17">
        <v>42130</v>
      </c>
      <c r="W2828">
        <v>2015</v>
      </c>
      <c r="X2828">
        <v>7</v>
      </c>
      <c r="AC2828" t="s">
        <v>1339</v>
      </c>
      <c r="AD2828" t="s">
        <v>302</v>
      </c>
      <c r="AE2828" t="s">
        <v>46</v>
      </c>
      <c r="AG2828">
        <v>27</v>
      </c>
      <c r="AH2828">
        <v>9</v>
      </c>
      <c r="AI2828" t="s">
        <v>54</v>
      </c>
      <c r="AK2828">
        <v>0</v>
      </c>
      <c r="AM2828">
        <v>0</v>
      </c>
      <c r="AP2828" t="s">
        <v>1337</v>
      </c>
    </row>
    <row r="2829" spans="1:42" customFormat="1">
      <c r="A2829">
        <v>268066</v>
      </c>
      <c r="B2829">
        <v>216543</v>
      </c>
      <c r="C2829" t="s">
        <v>1342</v>
      </c>
      <c r="D2829" s="22">
        <v>73</v>
      </c>
      <c r="E2829" s="17">
        <v>42129</v>
      </c>
      <c r="F2829" s="18">
        <v>0.5961805555555556</v>
      </c>
      <c r="G2829" s="22">
        <v>0</v>
      </c>
      <c r="H2829">
        <v>0</v>
      </c>
      <c r="I2829" s="19" t="e">
        <f>I2828 + (D2829-G2829)</f>
        <v>#VALUE!</v>
      </c>
      <c r="L2829">
        <v>216543</v>
      </c>
      <c r="N2829">
        <v>7</v>
      </c>
      <c r="O2829" t="s">
        <v>44</v>
      </c>
      <c r="P2829">
        <v>1</v>
      </c>
      <c r="R2829">
        <v>1385</v>
      </c>
      <c r="S2829" s="17">
        <v>42130</v>
      </c>
      <c r="T2829" s="17">
        <v>42130</v>
      </c>
      <c r="W2829">
        <v>2015</v>
      </c>
      <c r="X2829">
        <v>7</v>
      </c>
      <c r="AC2829" t="s">
        <v>1339</v>
      </c>
      <c r="AD2829" t="s">
        <v>302</v>
      </c>
      <c r="AE2829" t="s">
        <v>46</v>
      </c>
      <c r="AG2829">
        <v>27</v>
      </c>
      <c r="AH2829">
        <v>9</v>
      </c>
      <c r="AI2829" t="s">
        <v>54</v>
      </c>
      <c r="AK2829">
        <v>0</v>
      </c>
      <c r="AM2829">
        <v>0</v>
      </c>
      <c r="AP2829" t="s">
        <v>1337</v>
      </c>
    </row>
    <row r="2830" spans="1:42" customFormat="1">
      <c r="A2830">
        <v>268067</v>
      </c>
      <c r="B2830">
        <v>216538</v>
      </c>
      <c r="C2830" t="s">
        <v>1343</v>
      </c>
      <c r="D2830" s="22">
        <v>73</v>
      </c>
      <c r="E2830" s="17">
        <v>42129</v>
      </c>
      <c r="F2830" s="18">
        <v>0.5985300925925926</v>
      </c>
      <c r="G2830" s="22">
        <v>0</v>
      </c>
      <c r="H2830">
        <v>0</v>
      </c>
      <c r="I2830" s="19" t="e">
        <f>I2829 + (D2830-G2830)</f>
        <v>#VALUE!</v>
      </c>
      <c r="L2830">
        <v>216538</v>
      </c>
      <c r="N2830">
        <v>7</v>
      </c>
      <c r="O2830" t="s">
        <v>44</v>
      </c>
      <c r="P2830">
        <v>1</v>
      </c>
      <c r="R2830">
        <v>1385</v>
      </c>
      <c r="S2830" s="17">
        <v>42130</v>
      </c>
      <c r="T2830" s="17">
        <v>42130</v>
      </c>
      <c r="W2830">
        <v>2015</v>
      </c>
      <c r="X2830">
        <v>7</v>
      </c>
      <c r="AC2830" t="s">
        <v>1339</v>
      </c>
      <c r="AD2830" t="s">
        <v>302</v>
      </c>
      <c r="AE2830" t="s">
        <v>46</v>
      </c>
      <c r="AG2830">
        <v>27</v>
      </c>
      <c r="AH2830">
        <v>9</v>
      </c>
      <c r="AI2830" t="s">
        <v>54</v>
      </c>
      <c r="AK2830">
        <v>0</v>
      </c>
      <c r="AM2830">
        <v>0</v>
      </c>
      <c r="AP2830" t="s">
        <v>1337</v>
      </c>
    </row>
    <row r="2831" spans="1:42" customFormat="1">
      <c r="A2831">
        <v>268068</v>
      </c>
      <c r="B2831">
        <v>216539</v>
      </c>
      <c r="C2831" t="s">
        <v>1343</v>
      </c>
      <c r="D2831" s="22">
        <v>73</v>
      </c>
      <c r="E2831" s="17">
        <v>42129</v>
      </c>
      <c r="F2831" s="18">
        <v>0.5985300925925926</v>
      </c>
      <c r="G2831" s="22">
        <v>0</v>
      </c>
      <c r="H2831">
        <v>0</v>
      </c>
      <c r="I2831" s="19" t="e">
        <f>I2830 + (D2831-G2831)</f>
        <v>#VALUE!</v>
      </c>
      <c r="L2831">
        <v>216539</v>
      </c>
      <c r="N2831">
        <v>7</v>
      </c>
      <c r="O2831" t="s">
        <v>44</v>
      </c>
      <c r="P2831">
        <v>1</v>
      </c>
      <c r="R2831">
        <v>1385</v>
      </c>
      <c r="S2831" s="17">
        <v>42130</v>
      </c>
      <c r="T2831" s="17">
        <v>42130</v>
      </c>
      <c r="W2831">
        <v>2015</v>
      </c>
      <c r="X2831">
        <v>7</v>
      </c>
      <c r="AC2831" t="s">
        <v>1339</v>
      </c>
      <c r="AD2831" t="s">
        <v>302</v>
      </c>
      <c r="AE2831" t="s">
        <v>46</v>
      </c>
      <c r="AG2831">
        <v>27</v>
      </c>
      <c r="AH2831">
        <v>9</v>
      </c>
      <c r="AI2831" t="s">
        <v>54</v>
      </c>
      <c r="AK2831">
        <v>0</v>
      </c>
      <c r="AM2831">
        <v>0</v>
      </c>
      <c r="AP2831" t="s">
        <v>1337</v>
      </c>
    </row>
    <row r="2832" spans="1:42" customFormat="1">
      <c r="A2832">
        <v>268069</v>
      </c>
      <c r="B2832">
        <v>216540</v>
      </c>
      <c r="C2832" t="s">
        <v>1343</v>
      </c>
      <c r="D2832" s="22">
        <v>73</v>
      </c>
      <c r="E2832" s="17">
        <v>42129</v>
      </c>
      <c r="F2832" s="18">
        <v>0.59854166666666664</v>
      </c>
      <c r="G2832" s="22">
        <v>0</v>
      </c>
      <c r="H2832">
        <v>0</v>
      </c>
      <c r="I2832" s="19" t="e">
        <f>I2831 + (D2832-G2832)</f>
        <v>#VALUE!</v>
      </c>
      <c r="L2832">
        <v>216540</v>
      </c>
      <c r="N2832">
        <v>7</v>
      </c>
      <c r="O2832" t="s">
        <v>44</v>
      </c>
      <c r="P2832">
        <v>1</v>
      </c>
      <c r="R2832">
        <v>1385</v>
      </c>
      <c r="S2832" s="17">
        <v>42130</v>
      </c>
      <c r="T2832" s="17">
        <v>42130</v>
      </c>
      <c r="W2832">
        <v>2015</v>
      </c>
      <c r="X2832">
        <v>7</v>
      </c>
      <c r="AC2832" t="s">
        <v>1339</v>
      </c>
      <c r="AD2832" t="s">
        <v>302</v>
      </c>
      <c r="AE2832" t="s">
        <v>46</v>
      </c>
      <c r="AG2832">
        <v>27</v>
      </c>
      <c r="AH2832">
        <v>9</v>
      </c>
      <c r="AI2832" t="s">
        <v>54</v>
      </c>
      <c r="AK2832">
        <v>0</v>
      </c>
      <c r="AM2832">
        <v>0</v>
      </c>
      <c r="AP2832" t="s">
        <v>1337</v>
      </c>
    </row>
    <row r="2833" spans="1:42" customFormat="1">
      <c r="A2833">
        <v>268070</v>
      </c>
      <c r="B2833">
        <v>216535</v>
      </c>
      <c r="C2833" t="s">
        <v>1344</v>
      </c>
      <c r="D2833" s="22">
        <v>73</v>
      </c>
      <c r="E2833" s="17">
        <v>42129</v>
      </c>
      <c r="F2833" s="18">
        <v>0.60025462962962961</v>
      </c>
      <c r="G2833" s="22">
        <v>0</v>
      </c>
      <c r="H2833">
        <v>0</v>
      </c>
      <c r="I2833" s="19" t="e">
        <f>I2832 + (D2833-G2833)</f>
        <v>#VALUE!</v>
      </c>
      <c r="L2833">
        <v>216535</v>
      </c>
      <c r="N2833">
        <v>7</v>
      </c>
      <c r="O2833" t="s">
        <v>44</v>
      </c>
      <c r="P2833">
        <v>1</v>
      </c>
      <c r="R2833">
        <v>1385</v>
      </c>
      <c r="S2833" s="17">
        <v>42130</v>
      </c>
      <c r="T2833" s="17">
        <v>42130</v>
      </c>
      <c r="W2833">
        <v>2015</v>
      </c>
      <c r="X2833">
        <v>7</v>
      </c>
      <c r="AC2833" t="s">
        <v>1339</v>
      </c>
      <c r="AD2833" t="s">
        <v>302</v>
      </c>
      <c r="AE2833" t="s">
        <v>46</v>
      </c>
      <c r="AG2833">
        <v>27</v>
      </c>
      <c r="AH2833">
        <v>9</v>
      </c>
      <c r="AI2833" t="s">
        <v>54</v>
      </c>
      <c r="AK2833">
        <v>0</v>
      </c>
      <c r="AM2833">
        <v>0</v>
      </c>
      <c r="AP2833" t="s">
        <v>1337</v>
      </c>
    </row>
    <row r="2834" spans="1:42" customFormat="1">
      <c r="A2834">
        <v>268071</v>
      </c>
      <c r="B2834">
        <v>216536</v>
      </c>
      <c r="C2834" t="s">
        <v>1344</v>
      </c>
      <c r="D2834" s="22">
        <v>73</v>
      </c>
      <c r="E2834" s="17">
        <v>42129</v>
      </c>
      <c r="F2834" s="18">
        <v>0.60025462962962961</v>
      </c>
      <c r="G2834" s="22">
        <v>0</v>
      </c>
      <c r="H2834">
        <v>0</v>
      </c>
      <c r="I2834" s="19" t="e">
        <f>I2833 + (D2834-G2834)</f>
        <v>#VALUE!</v>
      </c>
      <c r="L2834">
        <v>216536</v>
      </c>
      <c r="N2834">
        <v>7</v>
      </c>
      <c r="O2834" t="s">
        <v>44</v>
      </c>
      <c r="P2834">
        <v>1</v>
      </c>
      <c r="R2834">
        <v>1385</v>
      </c>
      <c r="S2834" s="17">
        <v>42130</v>
      </c>
      <c r="T2834" s="17">
        <v>42130</v>
      </c>
      <c r="W2834">
        <v>2015</v>
      </c>
      <c r="X2834">
        <v>7</v>
      </c>
      <c r="AC2834" t="s">
        <v>1339</v>
      </c>
      <c r="AD2834" t="s">
        <v>302</v>
      </c>
      <c r="AE2834" t="s">
        <v>46</v>
      </c>
      <c r="AG2834">
        <v>27</v>
      </c>
      <c r="AH2834">
        <v>9</v>
      </c>
      <c r="AI2834" t="s">
        <v>54</v>
      </c>
      <c r="AK2834">
        <v>0</v>
      </c>
      <c r="AM2834">
        <v>0</v>
      </c>
      <c r="AP2834" t="s">
        <v>1337</v>
      </c>
    </row>
    <row r="2835" spans="1:42" customFormat="1">
      <c r="A2835">
        <v>268072</v>
      </c>
      <c r="B2835">
        <v>216537</v>
      </c>
      <c r="C2835" t="s">
        <v>1344</v>
      </c>
      <c r="D2835" s="22">
        <v>73</v>
      </c>
      <c r="E2835" s="17">
        <v>42129</v>
      </c>
      <c r="F2835" s="18">
        <v>0.60026620370370376</v>
      </c>
      <c r="G2835" s="22">
        <v>0</v>
      </c>
      <c r="H2835">
        <v>0</v>
      </c>
      <c r="I2835" s="19" t="e">
        <f>I2834 + (D2835-G2835)</f>
        <v>#VALUE!</v>
      </c>
      <c r="L2835">
        <v>216537</v>
      </c>
      <c r="N2835">
        <v>7</v>
      </c>
      <c r="O2835" t="s">
        <v>44</v>
      </c>
      <c r="P2835">
        <v>1</v>
      </c>
      <c r="R2835">
        <v>1385</v>
      </c>
      <c r="S2835" s="17">
        <v>42130</v>
      </c>
      <c r="T2835" s="17">
        <v>42130</v>
      </c>
      <c r="W2835">
        <v>2015</v>
      </c>
      <c r="X2835">
        <v>7</v>
      </c>
      <c r="AC2835" t="s">
        <v>1339</v>
      </c>
      <c r="AD2835" t="s">
        <v>302</v>
      </c>
      <c r="AE2835" t="s">
        <v>46</v>
      </c>
      <c r="AG2835">
        <v>27</v>
      </c>
      <c r="AH2835">
        <v>9</v>
      </c>
      <c r="AI2835" t="s">
        <v>54</v>
      </c>
      <c r="AK2835">
        <v>0</v>
      </c>
      <c r="AM2835">
        <v>0</v>
      </c>
      <c r="AP2835" t="s">
        <v>1337</v>
      </c>
    </row>
    <row r="2836" spans="1:42" customFormat="1">
      <c r="A2836">
        <v>268074</v>
      </c>
      <c r="B2836">
        <v>216530</v>
      </c>
      <c r="C2836" t="s">
        <v>1345</v>
      </c>
      <c r="D2836" s="22">
        <v>73</v>
      </c>
      <c r="E2836" s="17">
        <v>42129</v>
      </c>
      <c r="F2836" s="18">
        <v>0.60193287037037035</v>
      </c>
      <c r="G2836" s="22">
        <v>0</v>
      </c>
      <c r="H2836">
        <v>0</v>
      </c>
      <c r="I2836" s="19" t="e">
        <f>I2835 + (D2836-G2836)</f>
        <v>#VALUE!</v>
      </c>
      <c r="L2836">
        <v>216530</v>
      </c>
      <c r="N2836">
        <v>7</v>
      </c>
      <c r="O2836" t="s">
        <v>44</v>
      </c>
      <c r="P2836">
        <v>1</v>
      </c>
      <c r="R2836">
        <v>1385</v>
      </c>
      <c r="S2836" s="17">
        <v>42130</v>
      </c>
      <c r="T2836" s="17">
        <v>42130</v>
      </c>
      <c r="W2836">
        <v>2015</v>
      </c>
      <c r="X2836">
        <v>7</v>
      </c>
      <c r="AC2836" t="s">
        <v>1339</v>
      </c>
      <c r="AD2836" t="s">
        <v>302</v>
      </c>
      <c r="AE2836" t="s">
        <v>46</v>
      </c>
      <c r="AG2836">
        <v>27</v>
      </c>
      <c r="AH2836">
        <v>9</v>
      </c>
      <c r="AI2836" t="s">
        <v>54</v>
      </c>
      <c r="AK2836">
        <v>0</v>
      </c>
      <c r="AM2836">
        <v>0</v>
      </c>
      <c r="AP2836" t="s">
        <v>1337</v>
      </c>
    </row>
    <row r="2837" spans="1:42" customFormat="1">
      <c r="A2837">
        <v>268075</v>
      </c>
      <c r="B2837">
        <v>216531</v>
      </c>
      <c r="C2837" t="s">
        <v>1345</v>
      </c>
      <c r="D2837" s="22">
        <v>73</v>
      </c>
      <c r="E2837" s="17">
        <v>42129</v>
      </c>
      <c r="F2837" s="18">
        <v>0.60193287037037035</v>
      </c>
      <c r="G2837" s="22">
        <v>0</v>
      </c>
      <c r="H2837">
        <v>0</v>
      </c>
      <c r="I2837" s="19" t="e">
        <f>I2836 + (D2837-G2837)</f>
        <v>#VALUE!</v>
      </c>
      <c r="L2837">
        <v>216531</v>
      </c>
      <c r="N2837">
        <v>7</v>
      </c>
      <c r="O2837" t="s">
        <v>44</v>
      </c>
      <c r="P2837">
        <v>1</v>
      </c>
      <c r="R2837">
        <v>1385</v>
      </c>
      <c r="S2837" s="17">
        <v>42130</v>
      </c>
      <c r="T2837" s="17">
        <v>42130</v>
      </c>
      <c r="W2837">
        <v>2015</v>
      </c>
      <c r="X2837">
        <v>7</v>
      </c>
      <c r="AC2837" t="s">
        <v>1339</v>
      </c>
      <c r="AD2837" t="s">
        <v>302</v>
      </c>
      <c r="AE2837" t="s">
        <v>46</v>
      </c>
      <c r="AG2837">
        <v>27</v>
      </c>
      <c r="AH2837">
        <v>9</v>
      </c>
      <c r="AI2837" t="s">
        <v>54</v>
      </c>
      <c r="AK2837">
        <v>0</v>
      </c>
      <c r="AM2837">
        <v>0</v>
      </c>
      <c r="AP2837" t="s">
        <v>1337</v>
      </c>
    </row>
    <row r="2838" spans="1:42" customFormat="1">
      <c r="A2838">
        <v>268073</v>
      </c>
      <c r="B2838">
        <v>216529</v>
      </c>
      <c r="C2838" t="s">
        <v>1345</v>
      </c>
      <c r="D2838" s="22">
        <v>73</v>
      </c>
      <c r="E2838" s="17">
        <v>42129</v>
      </c>
      <c r="F2838" s="18">
        <v>0.60193287037037035</v>
      </c>
      <c r="G2838" s="22">
        <v>0</v>
      </c>
      <c r="H2838">
        <v>0</v>
      </c>
      <c r="I2838" s="19" t="e">
        <f>I2837 + (D2838-G2838)</f>
        <v>#VALUE!</v>
      </c>
      <c r="L2838">
        <v>216529</v>
      </c>
      <c r="N2838">
        <v>7</v>
      </c>
      <c r="O2838" t="s">
        <v>44</v>
      </c>
      <c r="P2838">
        <v>1</v>
      </c>
      <c r="R2838">
        <v>1385</v>
      </c>
      <c r="S2838" s="17">
        <v>42130</v>
      </c>
      <c r="T2838" s="17">
        <v>42130</v>
      </c>
      <c r="W2838">
        <v>2015</v>
      </c>
      <c r="X2838">
        <v>7</v>
      </c>
      <c r="AC2838" t="s">
        <v>1339</v>
      </c>
      <c r="AD2838" t="s">
        <v>302</v>
      </c>
      <c r="AE2838" t="s">
        <v>46</v>
      </c>
      <c r="AG2838">
        <v>27</v>
      </c>
      <c r="AH2838">
        <v>9</v>
      </c>
      <c r="AI2838" t="s">
        <v>54</v>
      </c>
      <c r="AK2838">
        <v>0</v>
      </c>
      <c r="AM2838">
        <v>0</v>
      </c>
      <c r="AP2838" t="s">
        <v>1337</v>
      </c>
    </row>
    <row r="2839" spans="1:42" customFormat="1">
      <c r="A2839">
        <v>270447</v>
      </c>
      <c r="B2839">
        <v>216816</v>
      </c>
      <c r="C2839" t="s">
        <v>3461</v>
      </c>
      <c r="D2839" s="22">
        <v>73</v>
      </c>
      <c r="E2839" s="17">
        <v>42139</v>
      </c>
      <c r="F2839" s="18">
        <v>0.57025462962962969</v>
      </c>
      <c r="G2839" s="22">
        <v>0</v>
      </c>
      <c r="H2839">
        <v>0</v>
      </c>
      <c r="I2839" s="19" t="e">
        <f>I2838 + (D2839-G2839)</f>
        <v>#VALUE!</v>
      </c>
      <c r="L2839">
        <v>216816</v>
      </c>
      <c r="N2839">
        <v>24</v>
      </c>
      <c r="O2839" t="s">
        <v>68</v>
      </c>
      <c r="P2839">
        <v>1</v>
      </c>
      <c r="R2839">
        <v>1385</v>
      </c>
      <c r="S2839" s="17">
        <v>42144</v>
      </c>
      <c r="T2839" s="17">
        <v>42144</v>
      </c>
      <c r="W2839">
        <v>2015</v>
      </c>
      <c r="X2839">
        <v>24</v>
      </c>
      <c r="AC2839" t="s">
        <v>1339</v>
      </c>
      <c r="AD2839" t="s">
        <v>302</v>
      </c>
      <c r="AE2839" t="s">
        <v>46</v>
      </c>
      <c r="AG2839">
        <v>56</v>
      </c>
      <c r="AH2839">
        <v>1</v>
      </c>
      <c r="AI2839" t="s">
        <v>58</v>
      </c>
      <c r="AK2839">
        <v>0</v>
      </c>
      <c r="AM2839">
        <v>0</v>
      </c>
      <c r="AP2839" t="s">
        <v>59</v>
      </c>
    </row>
    <row r="2840" spans="1:42" customFormat="1">
      <c r="A2840">
        <v>270446</v>
      </c>
      <c r="B2840">
        <v>216817</v>
      </c>
      <c r="C2840" t="s">
        <v>3461</v>
      </c>
      <c r="D2840" s="22">
        <v>73</v>
      </c>
      <c r="E2840" s="17">
        <v>42139</v>
      </c>
      <c r="F2840" s="18">
        <v>0.57025462962962969</v>
      </c>
      <c r="G2840" s="22">
        <v>0</v>
      </c>
      <c r="H2840">
        <v>0</v>
      </c>
      <c r="I2840" s="19" t="e">
        <f>I2839 + (D2840-G2840)</f>
        <v>#VALUE!</v>
      </c>
      <c r="L2840">
        <v>216817</v>
      </c>
      <c r="N2840">
        <v>24</v>
      </c>
      <c r="O2840" t="s">
        <v>68</v>
      </c>
      <c r="P2840">
        <v>1</v>
      </c>
      <c r="R2840">
        <v>1385</v>
      </c>
      <c r="S2840" s="17">
        <v>42144</v>
      </c>
      <c r="T2840" s="17">
        <v>42144</v>
      </c>
      <c r="W2840">
        <v>2015</v>
      </c>
      <c r="X2840">
        <v>24</v>
      </c>
      <c r="AC2840" t="s">
        <v>1339</v>
      </c>
      <c r="AD2840" t="s">
        <v>302</v>
      </c>
      <c r="AE2840" t="s">
        <v>46</v>
      </c>
      <c r="AG2840">
        <v>56</v>
      </c>
      <c r="AH2840">
        <v>1</v>
      </c>
      <c r="AI2840" t="s">
        <v>58</v>
      </c>
      <c r="AK2840">
        <v>0</v>
      </c>
      <c r="AM2840">
        <v>0</v>
      </c>
      <c r="AP2840" t="s">
        <v>59</v>
      </c>
    </row>
    <row r="2841" spans="1:42" customFormat="1">
      <c r="A2841">
        <v>270448</v>
      </c>
      <c r="B2841">
        <v>216818</v>
      </c>
      <c r="C2841" t="s">
        <v>3461</v>
      </c>
      <c r="D2841" s="22">
        <v>73</v>
      </c>
      <c r="E2841" s="17">
        <v>42139</v>
      </c>
      <c r="F2841" s="18">
        <v>0.57025462962962969</v>
      </c>
      <c r="G2841" s="22">
        <v>0</v>
      </c>
      <c r="H2841">
        <v>0</v>
      </c>
      <c r="I2841" s="19" t="e">
        <f>I2840 + (D2841-G2841)</f>
        <v>#VALUE!</v>
      </c>
      <c r="L2841">
        <v>216818</v>
      </c>
      <c r="N2841">
        <v>24</v>
      </c>
      <c r="O2841" t="s">
        <v>68</v>
      </c>
      <c r="P2841">
        <v>1</v>
      </c>
      <c r="R2841">
        <v>1385</v>
      </c>
      <c r="S2841" s="17">
        <v>42144</v>
      </c>
      <c r="T2841" s="17">
        <v>42144</v>
      </c>
      <c r="W2841">
        <v>2015</v>
      </c>
      <c r="X2841">
        <v>24</v>
      </c>
      <c r="AC2841" t="s">
        <v>1339</v>
      </c>
      <c r="AD2841" t="s">
        <v>302</v>
      </c>
      <c r="AE2841" t="s">
        <v>46</v>
      </c>
      <c r="AG2841">
        <v>56</v>
      </c>
      <c r="AH2841">
        <v>1</v>
      </c>
      <c r="AI2841" t="s">
        <v>58</v>
      </c>
      <c r="AK2841">
        <v>0</v>
      </c>
      <c r="AM2841">
        <v>0</v>
      </c>
      <c r="AP2841" t="s">
        <v>59</v>
      </c>
    </row>
    <row r="2842" spans="1:42" customFormat="1">
      <c r="A2842">
        <v>270721</v>
      </c>
      <c r="B2842">
        <v>216810</v>
      </c>
      <c r="C2842" t="s">
        <v>3530</v>
      </c>
      <c r="D2842" s="22">
        <v>73</v>
      </c>
      <c r="E2842" s="17">
        <v>42142</v>
      </c>
      <c r="F2842" s="18">
        <v>0.41863425925925929</v>
      </c>
      <c r="G2842" s="22">
        <v>0</v>
      </c>
      <c r="H2842">
        <v>0</v>
      </c>
      <c r="I2842" s="19" t="e">
        <f>I2841 + (D2842-G2842)</f>
        <v>#VALUE!</v>
      </c>
      <c r="L2842">
        <v>216810</v>
      </c>
      <c r="N2842">
        <v>7</v>
      </c>
      <c r="O2842" t="s">
        <v>44</v>
      </c>
      <c r="P2842">
        <v>1</v>
      </c>
      <c r="R2842">
        <v>1385</v>
      </c>
      <c r="S2842" s="17">
        <v>42146</v>
      </c>
      <c r="T2842" s="17">
        <v>42146</v>
      </c>
      <c r="W2842">
        <v>2015</v>
      </c>
      <c r="X2842">
        <v>7</v>
      </c>
      <c r="AC2842" t="s">
        <v>1339</v>
      </c>
      <c r="AD2842" t="s">
        <v>302</v>
      </c>
      <c r="AE2842" t="s">
        <v>46</v>
      </c>
      <c r="AG2842">
        <v>27</v>
      </c>
      <c r="AH2842">
        <v>2</v>
      </c>
      <c r="AI2842" t="s">
        <v>50</v>
      </c>
      <c r="AK2842">
        <v>0</v>
      </c>
      <c r="AM2842">
        <v>0</v>
      </c>
      <c r="AP2842" t="s">
        <v>1337</v>
      </c>
    </row>
    <row r="2843" spans="1:42" customFormat="1">
      <c r="A2843">
        <v>270722</v>
      </c>
      <c r="B2843">
        <v>216811</v>
      </c>
      <c r="C2843" t="s">
        <v>3530</v>
      </c>
      <c r="D2843" s="22">
        <v>73</v>
      </c>
      <c r="E2843" s="17">
        <v>42142</v>
      </c>
      <c r="F2843" s="18">
        <v>0.41864583333333333</v>
      </c>
      <c r="G2843" s="22">
        <v>0</v>
      </c>
      <c r="H2843">
        <v>0</v>
      </c>
      <c r="I2843" s="19" t="e">
        <f>I2842 + (D2843-G2843)</f>
        <v>#VALUE!</v>
      </c>
      <c r="L2843">
        <v>216811</v>
      </c>
      <c r="N2843">
        <v>7</v>
      </c>
      <c r="O2843" t="s">
        <v>44</v>
      </c>
      <c r="P2843">
        <v>1</v>
      </c>
      <c r="R2843">
        <v>1385</v>
      </c>
      <c r="S2843" s="17">
        <v>42146</v>
      </c>
      <c r="T2843" s="17">
        <v>42146</v>
      </c>
      <c r="W2843">
        <v>2015</v>
      </c>
      <c r="X2843">
        <v>7</v>
      </c>
      <c r="AC2843" t="s">
        <v>1339</v>
      </c>
      <c r="AD2843" t="s">
        <v>302</v>
      </c>
      <c r="AE2843" t="s">
        <v>46</v>
      </c>
      <c r="AG2843">
        <v>27</v>
      </c>
      <c r="AH2843">
        <v>2</v>
      </c>
      <c r="AI2843" t="s">
        <v>50</v>
      </c>
      <c r="AK2843">
        <v>0</v>
      </c>
      <c r="AM2843">
        <v>0</v>
      </c>
      <c r="AP2843" t="s">
        <v>1337</v>
      </c>
    </row>
    <row r="2844" spans="1:42" customFormat="1">
      <c r="A2844">
        <v>270723</v>
      </c>
      <c r="B2844">
        <v>216812</v>
      </c>
      <c r="C2844" t="s">
        <v>3530</v>
      </c>
      <c r="D2844" s="22">
        <v>73</v>
      </c>
      <c r="E2844" s="17">
        <v>42142</v>
      </c>
      <c r="F2844" s="18">
        <v>0.41864583333333333</v>
      </c>
      <c r="G2844" s="22">
        <v>0</v>
      </c>
      <c r="H2844">
        <v>0</v>
      </c>
      <c r="I2844" s="19" t="e">
        <f>I2843 + (D2844-G2844)</f>
        <v>#VALUE!</v>
      </c>
      <c r="L2844">
        <v>216812</v>
      </c>
      <c r="N2844">
        <v>7</v>
      </c>
      <c r="O2844" t="s">
        <v>44</v>
      </c>
      <c r="P2844">
        <v>1</v>
      </c>
      <c r="R2844">
        <v>1385</v>
      </c>
      <c r="S2844" s="17">
        <v>42146</v>
      </c>
      <c r="T2844" s="17">
        <v>42146</v>
      </c>
      <c r="W2844">
        <v>2015</v>
      </c>
      <c r="X2844">
        <v>7</v>
      </c>
      <c r="AC2844" t="s">
        <v>1339</v>
      </c>
      <c r="AD2844" t="s">
        <v>302</v>
      </c>
      <c r="AE2844" t="s">
        <v>46</v>
      </c>
      <c r="AG2844">
        <v>27</v>
      </c>
      <c r="AH2844">
        <v>2</v>
      </c>
      <c r="AI2844" t="s">
        <v>50</v>
      </c>
      <c r="AK2844">
        <v>0</v>
      </c>
      <c r="AM2844">
        <v>0</v>
      </c>
      <c r="AP2844" t="s">
        <v>1337</v>
      </c>
    </row>
    <row r="2845" spans="1:42" customFormat="1">
      <c r="A2845">
        <v>270724</v>
      </c>
      <c r="B2845">
        <v>216807</v>
      </c>
      <c r="C2845" t="s">
        <v>1338</v>
      </c>
      <c r="D2845" s="22">
        <v>73</v>
      </c>
      <c r="E2845" s="17">
        <v>42142</v>
      </c>
      <c r="F2845" s="18">
        <v>0.41950231481481487</v>
      </c>
      <c r="G2845" s="22">
        <v>0</v>
      </c>
      <c r="H2845">
        <v>0</v>
      </c>
      <c r="I2845" s="19" t="e">
        <f>I2844 + (D2845-G2845)</f>
        <v>#VALUE!</v>
      </c>
      <c r="L2845">
        <v>216807</v>
      </c>
      <c r="N2845">
        <v>7</v>
      </c>
      <c r="O2845" t="s">
        <v>44</v>
      </c>
      <c r="P2845">
        <v>1</v>
      </c>
      <c r="R2845">
        <v>1385</v>
      </c>
      <c r="S2845" s="17">
        <v>42146</v>
      </c>
      <c r="T2845" s="17">
        <v>42146</v>
      </c>
      <c r="W2845">
        <v>2015</v>
      </c>
      <c r="X2845">
        <v>7</v>
      </c>
      <c r="AC2845" t="s">
        <v>1339</v>
      </c>
      <c r="AD2845" t="s">
        <v>302</v>
      </c>
      <c r="AE2845" t="s">
        <v>46</v>
      </c>
      <c r="AG2845">
        <v>27</v>
      </c>
      <c r="AH2845">
        <v>2</v>
      </c>
      <c r="AI2845" t="s">
        <v>50</v>
      </c>
      <c r="AK2845">
        <v>0</v>
      </c>
      <c r="AM2845">
        <v>0</v>
      </c>
      <c r="AP2845" t="s">
        <v>1337</v>
      </c>
    </row>
    <row r="2846" spans="1:42" customFormat="1">
      <c r="A2846">
        <v>270725</v>
      </c>
      <c r="B2846">
        <v>216808</v>
      </c>
      <c r="C2846" t="s">
        <v>1338</v>
      </c>
      <c r="D2846" s="22">
        <v>73</v>
      </c>
      <c r="E2846" s="17">
        <v>42142</v>
      </c>
      <c r="F2846" s="18">
        <v>0.41951388888888891</v>
      </c>
      <c r="G2846" s="22">
        <v>0</v>
      </c>
      <c r="H2846">
        <v>0</v>
      </c>
      <c r="I2846" s="19" t="e">
        <f>I2845 + (D2846-G2846)</f>
        <v>#VALUE!</v>
      </c>
      <c r="L2846">
        <v>216808</v>
      </c>
      <c r="N2846">
        <v>7</v>
      </c>
      <c r="O2846" t="s">
        <v>44</v>
      </c>
      <c r="P2846">
        <v>1</v>
      </c>
      <c r="R2846">
        <v>1385</v>
      </c>
      <c r="S2846" s="17">
        <v>42146</v>
      </c>
      <c r="T2846" s="17">
        <v>42146</v>
      </c>
      <c r="W2846">
        <v>2015</v>
      </c>
      <c r="X2846">
        <v>7</v>
      </c>
      <c r="AC2846" t="s">
        <v>1339</v>
      </c>
      <c r="AD2846" t="s">
        <v>302</v>
      </c>
      <c r="AE2846" t="s">
        <v>46</v>
      </c>
      <c r="AG2846">
        <v>27</v>
      </c>
      <c r="AH2846">
        <v>2</v>
      </c>
      <c r="AI2846" t="s">
        <v>50</v>
      </c>
      <c r="AK2846">
        <v>0</v>
      </c>
      <c r="AM2846">
        <v>0</v>
      </c>
      <c r="AP2846" t="s">
        <v>1337</v>
      </c>
    </row>
    <row r="2847" spans="1:42" customFormat="1">
      <c r="A2847">
        <v>270726</v>
      </c>
      <c r="B2847">
        <v>216809</v>
      </c>
      <c r="C2847" t="s">
        <v>1338</v>
      </c>
      <c r="D2847" s="22">
        <v>73</v>
      </c>
      <c r="E2847" s="17">
        <v>42142</v>
      </c>
      <c r="F2847" s="18">
        <v>0.41951388888888891</v>
      </c>
      <c r="G2847" s="22">
        <v>0</v>
      </c>
      <c r="H2847">
        <v>0</v>
      </c>
      <c r="I2847" s="19" t="e">
        <f>I2846 + (D2847-G2847)</f>
        <v>#VALUE!</v>
      </c>
      <c r="L2847">
        <v>216809</v>
      </c>
      <c r="N2847">
        <v>7</v>
      </c>
      <c r="O2847" t="s">
        <v>44</v>
      </c>
      <c r="P2847">
        <v>1</v>
      </c>
      <c r="R2847">
        <v>1385</v>
      </c>
      <c r="S2847" s="17">
        <v>42146</v>
      </c>
      <c r="T2847" s="17">
        <v>42146</v>
      </c>
      <c r="W2847">
        <v>2015</v>
      </c>
      <c r="X2847">
        <v>7</v>
      </c>
      <c r="AC2847" t="s">
        <v>1339</v>
      </c>
      <c r="AD2847" t="s">
        <v>302</v>
      </c>
      <c r="AE2847" t="s">
        <v>46</v>
      </c>
      <c r="AG2847">
        <v>27</v>
      </c>
      <c r="AH2847">
        <v>2</v>
      </c>
      <c r="AI2847" t="s">
        <v>50</v>
      </c>
      <c r="AK2847">
        <v>0</v>
      </c>
      <c r="AM2847">
        <v>0</v>
      </c>
      <c r="AP2847" t="s">
        <v>1337</v>
      </c>
    </row>
    <row r="2848" spans="1:42" customFormat="1">
      <c r="A2848">
        <v>270727</v>
      </c>
      <c r="B2848">
        <v>216813</v>
      </c>
      <c r="C2848" t="s">
        <v>3531</v>
      </c>
      <c r="D2848" s="22">
        <v>73</v>
      </c>
      <c r="E2848" s="17">
        <v>42142</v>
      </c>
      <c r="F2848" s="18">
        <v>0.42059027777777774</v>
      </c>
      <c r="G2848" s="22">
        <v>0</v>
      </c>
      <c r="H2848">
        <v>0</v>
      </c>
      <c r="I2848" s="19" t="e">
        <f>I2847 + (D2848-G2848)</f>
        <v>#VALUE!</v>
      </c>
      <c r="L2848">
        <v>216813</v>
      </c>
      <c r="N2848">
        <v>7</v>
      </c>
      <c r="O2848" t="s">
        <v>44</v>
      </c>
      <c r="P2848">
        <v>1</v>
      </c>
      <c r="R2848">
        <v>1385</v>
      </c>
      <c r="S2848" s="17">
        <v>42146</v>
      </c>
      <c r="T2848" s="17">
        <v>42146</v>
      </c>
      <c r="W2848">
        <v>2015</v>
      </c>
      <c r="X2848">
        <v>7</v>
      </c>
      <c r="AC2848" t="s">
        <v>1339</v>
      </c>
      <c r="AD2848" t="s">
        <v>302</v>
      </c>
      <c r="AE2848" t="s">
        <v>46</v>
      </c>
      <c r="AG2848">
        <v>27</v>
      </c>
      <c r="AH2848">
        <v>2</v>
      </c>
      <c r="AI2848" t="s">
        <v>50</v>
      </c>
      <c r="AK2848">
        <v>0</v>
      </c>
      <c r="AM2848">
        <v>0</v>
      </c>
      <c r="AP2848" t="s">
        <v>1337</v>
      </c>
    </row>
    <row r="2849" spans="1:42" customFormat="1">
      <c r="A2849">
        <v>270728</v>
      </c>
      <c r="B2849">
        <v>216814</v>
      </c>
      <c r="C2849" t="s">
        <v>3531</v>
      </c>
      <c r="D2849" s="22">
        <v>73</v>
      </c>
      <c r="E2849" s="17">
        <v>42142</v>
      </c>
      <c r="F2849" s="18">
        <v>0.42059027777777774</v>
      </c>
      <c r="G2849" s="22">
        <v>0</v>
      </c>
      <c r="H2849">
        <v>0</v>
      </c>
      <c r="I2849" s="19" t="e">
        <f>I2848 + (D2849-G2849)</f>
        <v>#VALUE!</v>
      </c>
      <c r="L2849">
        <v>216814</v>
      </c>
      <c r="N2849">
        <v>7</v>
      </c>
      <c r="O2849" t="s">
        <v>44</v>
      </c>
      <c r="P2849">
        <v>1</v>
      </c>
      <c r="R2849">
        <v>1385</v>
      </c>
      <c r="S2849" s="17">
        <v>42146</v>
      </c>
      <c r="T2849" s="17">
        <v>42146</v>
      </c>
      <c r="W2849">
        <v>2015</v>
      </c>
      <c r="X2849">
        <v>7</v>
      </c>
      <c r="AC2849" t="s">
        <v>1339</v>
      </c>
      <c r="AD2849" t="s">
        <v>302</v>
      </c>
      <c r="AE2849" t="s">
        <v>46</v>
      </c>
      <c r="AG2849">
        <v>27</v>
      </c>
      <c r="AH2849">
        <v>2</v>
      </c>
      <c r="AI2849" t="s">
        <v>50</v>
      </c>
      <c r="AK2849">
        <v>0</v>
      </c>
      <c r="AM2849">
        <v>0</v>
      </c>
      <c r="AP2849" t="s">
        <v>1337</v>
      </c>
    </row>
    <row r="2850" spans="1:42" customFormat="1">
      <c r="A2850">
        <v>270729</v>
      </c>
      <c r="B2850">
        <v>216815</v>
      </c>
      <c r="C2850" t="s">
        <v>3531</v>
      </c>
      <c r="D2850" s="22">
        <v>73</v>
      </c>
      <c r="E2850" s="17">
        <v>42142</v>
      </c>
      <c r="F2850" s="18">
        <v>0.42059027777777774</v>
      </c>
      <c r="G2850" s="22">
        <v>0</v>
      </c>
      <c r="H2850">
        <v>0</v>
      </c>
      <c r="I2850" s="19" t="e">
        <f>I2849 + (D2850-G2850)</f>
        <v>#VALUE!</v>
      </c>
      <c r="L2850">
        <v>216815</v>
      </c>
      <c r="N2850">
        <v>7</v>
      </c>
      <c r="O2850" t="s">
        <v>44</v>
      </c>
      <c r="P2850">
        <v>1</v>
      </c>
      <c r="R2850">
        <v>1385</v>
      </c>
      <c r="S2850" s="17">
        <v>42146</v>
      </c>
      <c r="T2850" s="17">
        <v>42146</v>
      </c>
      <c r="W2850">
        <v>2015</v>
      </c>
      <c r="X2850">
        <v>7</v>
      </c>
      <c r="AC2850" t="s">
        <v>1339</v>
      </c>
      <c r="AD2850" t="s">
        <v>302</v>
      </c>
      <c r="AE2850" t="s">
        <v>46</v>
      </c>
      <c r="AG2850">
        <v>27</v>
      </c>
      <c r="AH2850">
        <v>2</v>
      </c>
      <c r="AI2850" t="s">
        <v>50</v>
      </c>
      <c r="AK2850">
        <v>0</v>
      </c>
      <c r="AM2850">
        <v>0</v>
      </c>
      <c r="AP2850" t="s">
        <v>1337</v>
      </c>
    </row>
    <row r="2851" spans="1:42" customFormat="1">
      <c r="A2851">
        <v>270730</v>
      </c>
      <c r="B2851">
        <v>216804</v>
      </c>
      <c r="C2851" t="s">
        <v>3532</v>
      </c>
      <c r="D2851" s="22">
        <v>73</v>
      </c>
      <c r="E2851" s="17">
        <v>42142</v>
      </c>
      <c r="F2851" s="18">
        <v>0.42155092592592597</v>
      </c>
      <c r="G2851" s="22">
        <v>0</v>
      </c>
      <c r="H2851">
        <v>0</v>
      </c>
      <c r="I2851" s="19" t="e">
        <f>I2850 + (D2851-G2851)</f>
        <v>#VALUE!</v>
      </c>
      <c r="L2851">
        <v>216804</v>
      </c>
      <c r="N2851">
        <v>7</v>
      </c>
      <c r="O2851" t="s">
        <v>44</v>
      </c>
      <c r="P2851">
        <v>1</v>
      </c>
      <c r="R2851">
        <v>1385</v>
      </c>
      <c r="S2851" s="17">
        <v>42146</v>
      </c>
      <c r="T2851" s="17">
        <v>42146</v>
      </c>
      <c r="W2851">
        <v>2015</v>
      </c>
      <c r="X2851">
        <v>7</v>
      </c>
      <c r="AC2851" t="s">
        <v>1339</v>
      </c>
      <c r="AD2851" t="s">
        <v>302</v>
      </c>
      <c r="AE2851" t="s">
        <v>46</v>
      </c>
      <c r="AG2851">
        <v>27</v>
      </c>
      <c r="AH2851">
        <v>2</v>
      </c>
      <c r="AI2851" t="s">
        <v>50</v>
      </c>
      <c r="AK2851">
        <v>0</v>
      </c>
      <c r="AM2851">
        <v>0</v>
      </c>
      <c r="AP2851" t="s">
        <v>1337</v>
      </c>
    </row>
    <row r="2852" spans="1:42" customFormat="1">
      <c r="A2852">
        <v>270731</v>
      </c>
      <c r="B2852">
        <v>216805</v>
      </c>
      <c r="C2852" t="s">
        <v>3532</v>
      </c>
      <c r="D2852" s="22">
        <v>73</v>
      </c>
      <c r="E2852" s="17">
        <v>42142</v>
      </c>
      <c r="F2852" s="18">
        <v>0.42155092592592597</v>
      </c>
      <c r="G2852" s="22">
        <v>0</v>
      </c>
      <c r="H2852">
        <v>0</v>
      </c>
      <c r="I2852" s="19" t="e">
        <f>I2851 + (D2852-G2852)</f>
        <v>#VALUE!</v>
      </c>
      <c r="L2852">
        <v>216805</v>
      </c>
      <c r="N2852">
        <v>7</v>
      </c>
      <c r="O2852" t="s">
        <v>44</v>
      </c>
      <c r="P2852">
        <v>1</v>
      </c>
      <c r="R2852">
        <v>1385</v>
      </c>
      <c r="S2852" s="17">
        <v>42146</v>
      </c>
      <c r="T2852" s="17">
        <v>42146</v>
      </c>
      <c r="W2852">
        <v>2015</v>
      </c>
      <c r="X2852">
        <v>7</v>
      </c>
      <c r="AC2852" t="s">
        <v>1339</v>
      </c>
      <c r="AD2852" t="s">
        <v>302</v>
      </c>
      <c r="AE2852" t="s">
        <v>46</v>
      </c>
      <c r="AG2852">
        <v>27</v>
      </c>
      <c r="AH2852">
        <v>2</v>
      </c>
      <c r="AI2852" t="s">
        <v>50</v>
      </c>
      <c r="AK2852">
        <v>0</v>
      </c>
      <c r="AM2852">
        <v>0</v>
      </c>
      <c r="AP2852" t="s">
        <v>1337</v>
      </c>
    </row>
    <row r="2853" spans="1:42" customFormat="1">
      <c r="A2853">
        <v>270732</v>
      </c>
      <c r="B2853">
        <v>216806</v>
      </c>
      <c r="C2853" t="s">
        <v>3532</v>
      </c>
      <c r="D2853" s="22">
        <v>73</v>
      </c>
      <c r="E2853" s="17">
        <v>42142</v>
      </c>
      <c r="F2853" s="18">
        <v>0.42155092592592597</v>
      </c>
      <c r="G2853" s="22">
        <v>0</v>
      </c>
      <c r="H2853">
        <v>0</v>
      </c>
      <c r="I2853" s="19" t="e">
        <f>I2852 + (D2853-G2853)</f>
        <v>#VALUE!</v>
      </c>
      <c r="L2853">
        <v>216806</v>
      </c>
      <c r="N2853">
        <v>7</v>
      </c>
      <c r="O2853" t="s">
        <v>44</v>
      </c>
      <c r="P2853">
        <v>1</v>
      </c>
      <c r="R2853">
        <v>1385</v>
      </c>
      <c r="S2853" s="17">
        <v>42146</v>
      </c>
      <c r="T2853" s="17">
        <v>42146</v>
      </c>
      <c r="W2853">
        <v>2015</v>
      </c>
      <c r="X2853">
        <v>7</v>
      </c>
      <c r="AC2853" t="s">
        <v>1339</v>
      </c>
      <c r="AD2853" t="s">
        <v>302</v>
      </c>
      <c r="AE2853" t="s">
        <v>46</v>
      </c>
      <c r="AG2853">
        <v>27</v>
      </c>
      <c r="AH2853">
        <v>2</v>
      </c>
      <c r="AI2853" t="s">
        <v>50</v>
      </c>
      <c r="AK2853">
        <v>0</v>
      </c>
      <c r="AM2853">
        <v>0</v>
      </c>
      <c r="AP2853" t="s">
        <v>1337</v>
      </c>
    </row>
    <row r="2854" spans="1:42" customFormat="1">
      <c r="A2854">
        <v>270986</v>
      </c>
      <c r="B2854">
        <v>216876</v>
      </c>
      <c r="C2854" t="s">
        <v>4116</v>
      </c>
      <c r="D2854" s="22">
        <v>73</v>
      </c>
      <c r="E2854" s="17">
        <v>42146</v>
      </c>
      <c r="F2854" s="18">
        <v>0.41339120370370369</v>
      </c>
      <c r="G2854" s="22">
        <v>0</v>
      </c>
      <c r="H2854">
        <v>0</v>
      </c>
      <c r="I2854" s="19" t="e">
        <f>I2853 + (D2854-G2854)</f>
        <v>#VALUE!</v>
      </c>
      <c r="L2854">
        <v>216876</v>
      </c>
      <c r="N2854">
        <v>24</v>
      </c>
      <c r="O2854" t="s">
        <v>68</v>
      </c>
      <c r="P2854">
        <v>1</v>
      </c>
      <c r="R2854">
        <v>1385</v>
      </c>
      <c r="S2854" s="17">
        <v>42150</v>
      </c>
      <c r="T2854" s="17">
        <v>42150</v>
      </c>
      <c r="W2854">
        <v>2015</v>
      </c>
      <c r="X2854">
        <v>24</v>
      </c>
      <c r="AC2854" t="s">
        <v>1339</v>
      </c>
      <c r="AD2854" t="s">
        <v>302</v>
      </c>
      <c r="AE2854" t="s">
        <v>46</v>
      </c>
      <c r="AG2854">
        <v>56</v>
      </c>
      <c r="AH2854">
        <v>1</v>
      </c>
      <c r="AI2854" t="s">
        <v>58</v>
      </c>
      <c r="AK2854">
        <v>0</v>
      </c>
      <c r="AM2854">
        <v>0</v>
      </c>
      <c r="AP2854" t="s">
        <v>59</v>
      </c>
    </row>
    <row r="2855" spans="1:42" customFormat="1">
      <c r="A2855">
        <v>270987</v>
      </c>
      <c r="B2855">
        <v>216877</v>
      </c>
      <c r="C2855" t="s">
        <v>4116</v>
      </c>
      <c r="D2855" s="22">
        <v>73</v>
      </c>
      <c r="E2855" s="17">
        <v>42146</v>
      </c>
      <c r="F2855" s="18">
        <v>0.41339120370370369</v>
      </c>
      <c r="G2855" s="22">
        <v>0</v>
      </c>
      <c r="H2855">
        <v>0</v>
      </c>
      <c r="I2855" s="19" t="e">
        <f>I2854 + (D2855-G2855)</f>
        <v>#VALUE!</v>
      </c>
      <c r="L2855">
        <v>216877</v>
      </c>
      <c r="N2855">
        <v>24</v>
      </c>
      <c r="O2855" t="s">
        <v>68</v>
      </c>
      <c r="P2855">
        <v>1</v>
      </c>
      <c r="R2855">
        <v>1385</v>
      </c>
      <c r="S2855" s="17">
        <v>42150</v>
      </c>
      <c r="T2855" s="17">
        <v>42150</v>
      </c>
      <c r="W2855">
        <v>2015</v>
      </c>
      <c r="X2855">
        <v>24</v>
      </c>
      <c r="AC2855" t="s">
        <v>1339</v>
      </c>
      <c r="AD2855" t="s">
        <v>302</v>
      </c>
      <c r="AE2855" t="s">
        <v>46</v>
      </c>
      <c r="AG2855">
        <v>56</v>
      </c>
      <c r="AH2855">
        <v>1</v>
      </c>
      <c r="AI2855" t="s">
        <v>58</v>
      </c>
      <c r="AK2855">
        <v>0</v>
      </c>
      <c r="AM2855">
        <v>0</v>
      </c>
      <c r="AP2855" t="s">
        <v>59</v>
      </c>
    </row>
    <row r="2856" spans="1:42" customFormat="1">
      <c r="A2856">
        <v>270985</v>
      </c>
      <c r="B2856">
        <v>216878</v>
      </c>
      <c r="C2856" t="s">
        <v>4116</v>
      </c>
      <c r="D2856" s="22">
        <v>73</v>
      </c>
      <c r="E2856" s="17">
        <v>42146</v>
      </c>
      <c r="F2856" s="18">
        <v>0.41339120370370369</v>
      </c>
      <c r="G2856" s="22">
        <v>0</v>
      </c>
      <c r="H2856">
        <v>0</v>
      </c>
      <c r="I2856" s="19" t="e">
        <f>I2855 + (D2856-G2856)</f>
        <v>#VALUE!</v>
      </c>
      <c r="L2856">
        <v>216878</v>
      </c>
      <c r="N2856">
        <v>24</v>
      </c>
      <c r="O2856" t="s">
        <v>68</v>
      </c>
      <c r="P2856">
        <v>1</v>
      </c>
      <c r="R2856">
        <v>1385</v>
      </c>
      <c r="S2856" s="17">
        <v>42150</v>
      </c>
      <c r="T2856" s="17">
        <v>42150</v>
      </c>
      <c r="W2856">
        <v>2015</v>
      </c>
      <c r="X2856">
        <v>24</v>
      </c>
      <c r="AC2856" t="s">
        <v>1339</v>
      </c>
      <c r="AD2856" t="s">
        <v>302</v>
      </c>
      <c r="AE2856" t="s">
        <v>46</v>
      </c>
      <c r="AG2856">
        <v>56</v>
      </c>
      <c r="AH2856">
        <v>1</v>
      </c>
      <c r="AI2856" t="s">
        <v>58</v>
      </c>
      <c r="AK2856">
        <v>0</v>
      </c>
      <c r="AM2856">
        <v>0</v>
      </c>
      <c r="AP2856" t="s">
        <v>59</v>
      </c>
    </row>
    <row r="2857" spans="1:42" customFormat="1">
      <c r="A2857">
        <v>270991</v>
      </c>
      <c r="B2857">
        <v>216880</v>
      </c>
      <c r="C2857" t="s">
        <v>4117</v>
      </c>
      <c r="D2857" s="22">
        <v>73</v>
      </c>
      <c r="E2857" s="17">
        <v>42146</v>
      </c>
      <c r="F2857" s="18">
        <v>0.41388888888888892</v>
      </c>
      <c r="G2857" s="22">
        <v>0</v>
      </c>
      <c r="H2857">
        <v>0</v>
      </c>
      <c r="I2857" s="19" t="e">
        <f>I2856 + (D2857-G2857)</f>
        <v>#VALUE!</v>
      </c>
      <c r="L2857">
        <v>216880</v>
      </c>
      <c r="N2857">
        <v>24</v>
      </c>
      <c r="O2857" t="s">
        <v>68</v>
      </c>
      <c r="P2857">
        <v>1</v>
      </c>
      <c r="R2857">
        <v>1385</v>
      </c>
      <c r="S2857" s="17">
        <v>42150</v>
      </c>
      <c r="T2857" s="17">
        <v>42150</v>
      </c>
      <c r="W2857">
        <v>2015</v>
      </c>
      <c r="X2857">
        <v>24</v>
      </c>
      <c r="AC2857" t="s">
        <v>1339</v>
      </c>
      <c r="AD2857" t="s">
        <v>302</v>
      </c>
      <c r="AE2857" t="s">
        <v>46</v>
      </c>
      <c r="AG2857">
        <v>56</v>
      </c>
      <c r="AH2857">
        <v>1</v>
      </c>
      <c r="AI2857" t="s">
        <v>58</v>
      </c>
      <c r="AK2857">
        <v>0</v>
      </c>
      <c r="AM2857">
        <v>0</v>
      </c>
      <c r="AP2857" t="s">
        <v>59</v>
      </c>
    </row>
    <row r="2858" spans="1:42" customFormat="1">
      <c r="A2858">
        <v>270989</v>
      </c>
      <c r="B2858">
        <v>216881</v>
      </c>
      <c r="C2858" t="s">
        <v>4117</v>
      </c>
      <c r="D2858" s="22">
        <v>73</v>
      </c>
      <c r="E2858" s="17">
        <v>42146</v>
      </c>
      <c r="F2858" s="18">
        <v>0.41388888888888892</v>
      </c>
      <c r="G2858" s="22">
        <v>0</v>
      </c>
      <c r="H2858">
        <v>0</v>
      </c>
      <c r="I2858" s="19" t="e">
        <f>I2857 + (D2858-G2858)</f>
        <v>#VALUE!</v>
      </c>
      <c r="L2858">
        <v>216881</v>
      </c>
      <c r="N2858">
        <v>24</v>
      </c>
      <c r="O2858" t="s">
        <v>68</v>
      </c>
      <c r="P2858">
        <v>1</v>
      </c>
      <c r="R2858">
        <v>1385</v>
      </c>
      <c r="S2858" s="17">
        <v>42150</v>
      </c>
      <c r="T2858" s="17">
        <v>42150</v>
      </c>
      <c r="W2858">
        <v>2015</v>
      </c>
      <c r="X2858">
        <v>24</v>
      </c>
      <c r="AC2858" t="s">
        <v>1339</v>
      </c>
      <c r="AD2858" t="s">
        <v>302</v>
      </c>
      <c r="AE2858" t="s">
        <v>46</v>
      </c>
      <c r="AG2858">
        <v>56</v>
      </c>
      <c r="AH2858">
        <v>1</v>
      </c>
      <c r="AI2858" t="s">
        <v>58</v>
      </c>
      <c r="AK2858">
        <v>0</v>
      </c>
      <c r="AM2858">
        <v>0</v>
      </c>
      <c r="AP2858" t="s">
        <v>59</v>
      </c>
    </row>
    <row r="2859" spans="1:42" customFormat="1">
      <c r="A2859">
        <v>270990</v>
      </c>
      <c r="B2859">
        <v>216879</v>
      </c>
      <c r="C2859" t="s">
        <v>4117</v>
      </c>
      <c r="D2859" s="22">
        <v>73</v>
      </c>
      <c r="E2859" s="17">
        <v>42146</v>
      </c>
      <c r="F2859" s="18">
        <v>0.41388888888888892</v>
      </c>
      <c r="G2859" s="22">
        <v>0</v>
      </c>
      <c r="H2859">
        <v>0</v>
      </c>
      <c r="I2859" s="19" t="e">
        <f>I2858 + (D2859-G2859)</f>
        <v>#VALUE!</v>
      </c>
      <c r="L2859">
        <v>216879</v>
      </c>
      <c r="N2859">
        <v>24</v>
      </c>
      <c r="O2859" t="s">
        <v>68</v>
      </c>
      <c r="P2859">
        <v>1</v>
      </c>
      <c r="R2859">
        <v>1385</v>
      </c>
      <c r="S2859" s="17">
        <v>42150</v>
      </c>
      <c r="T2859" s="17">
        <v>42150</v>
      </c>
      <c r="W2859">
        <v>2015</v>
      </c>
      <c r="X2859">
        <v>24</v>
      </c>
      <c r="AC2859" t="s">
        <v>1339</v>
      </c>
      <c r="AD2859" t="s">
        <v>302</v>
      </c>
      <c r="AE2859" t="s">
        <v>46</v>
      </c>
      <c r="AG2859">
        <v>56</v>
      </c>
      <c r="AH2859">
        <v>1</v>
      </c>
      <c r="AI2859" t="s">
        <v>58</v>
      </c>
      <c r="AK2859">
        <v>0</v>
      </c>
      <c r="AM2859">
        <v>0</v>
      </c>
      <c r="AP2859" t="s">
        <v>59</v>
      </c>
    </row>
    <row r="2860" spans="1:42" customFormat="1">
      <c r="A2860">
        <v>270995</v>
      </c>
      <c r="B2860">
        <v>216882</v>
      </c>
      <c r="C2860" t="s">
        <v>4118</v>
      </c>
      <c r="D2860" s="22">
        <v>73</v>
      </c>
      <c r="E2860" s="17">
        <v>42146</v>
      </c>
      <c r="F2860" s="18">
        <v>0.41431712962962958</v>
      </c>
      <c r="G2860" s="22">
        <v>0</v>
      </c>
      <c r="H2860">
        <v>0</v>
      </c>
      <c r="I2860" s="19" t="e">
        <f>I2859 + (D2860-G2860)</f>
        <v>#VALUE!</v>
      </c>
      <c r="L2860">
        <v>216882</v>
      </c>
      <c r="N2860">
        <v>24</v>
      </c>
      <c r="O2860" t="s">
        <v>68</v>
      </c>
      <c r="P2860">
        <v>1</v>
      </c>
      <c r="R2860">
        <v>1385</v>
      </c>
      <c r="S2860" s="17">
        <v>42150</v>
      </c>
      <c r="T2860" s="17">
        <v>42150</v>
      </c>
      <c r="W2860">
        <v>2015</v>
      </c>
      <c r="X2860">
        <v>24</v>
      </c>
      <c r="AC2860" t="s">
        <v>1339</v>
      </c>
      <c r="AD2860" t="s">
        <v>302</v>
      </c>
      <c r="AE2860" t="s">
        <v>46</v>
      </c>
      <c r="AG2860">
        <v>56</v>
      </c>
      <c r="AH2860">
        <v>1</v>
      </c>
      <c r="AI2860" t="s">
        <v>58</v>
      </c>
      <c r="AK2860">
        <v>0</v>
      </c>
      <c r="AM2860">
        <v>0</v>
      </c>
      <c r="AP2860" t="s">
        <v>59</v>
      </c>
    </row>
    <row r="2861" spans="1:42" customFormat="1">
      <c r="A2861">
        <v>270993</v>
      </c>
      <c r="B2861">
        <v>216883</v>
      </c>
      <c r="C2861" t="s">
        <v>4118</v>
      </c>
      <c r="D2861" s="22">
        <v>73</v>
      </c>
      <c r="E2861" s="17">
        <v>42146</v>
      </c>
      <c r="F2861" s="18">
        <v>0.41431712962962958</v>
      </c>
      <c r="G2861" s="22">
        <v>0</v>
      </c>
      <c r="H2861">
        <v>0</v>
      </c>
      <c r="I2861" s="19" t="e">
        <f>I2860 + (D2861-G2861)</f>
        <v>#VALUE!</v>
      </c>
      <c r="L2861">
        <v>216883</v>
      </c>
      <c r="N2861">
        <v>24</v>
      </c>
      <c r="O2861" t="s">
        <v>68</v>
      </c>
      <c r="P2861">
        <v>1</v>
      </c>
      <c r="R2861">
        <v>1385</v>
      </c>
      <c r="S2861" s="17">
        <v>42150</v>
      </c>
      <c r="T2861" s="17">
        <v>42150</v>
      </c>
      <c r="W2861">
        <v>2015</v>
      </c>
      <c r="X2861">
        <v>24</v>
      </c>
      <c r="AC2861" t="s">
        <v>1339</v>
      </c>
      <c r="AD2861" t="s">
        <v>302</v>
      </c>
      <c r="AE2861" t="s">
        <v>46</v>
      </c>
      <c r="AG2861">
        <v>56</v>
      </c>
      <c r="AH2861">
        <v>1</v>
      </c>
      <c r="AI2861" t="s">
        <v>58</v>
      </c>
      <c r="AK2861">
        <v>0</v>
      </c>
      <c r="AM2861">
        <v>0</v>
      </c>
      <c r="AP2861" t="s">
        <v>59</v>
      </c>
    </row>
    <row r="2862" spans="1:42" customFormat="1">
      <c r="A2862">
        <v>270994</v>
      </c>
      <c r="B2862">
        <v>216884</v>
      </c>
      <c r="C2862" t="s">
        <v>4118</v>
      </c>
      <c r="D2862" s="22">
        <v>73</v>
      </c>
      <c r="E2862" s="17">
        <v>42146</v>
      </c>
      <c r="F2862" s="18">
        <v>0.41431712962962958</v>
      </c>
      <c r="G2862" s="22">
        <v>0</v>
      </c>
      <c r="H2862">
        <v>0</v>
      </c>
      <c r="I2862" s="19" t="e">
        <f>I2861 + (D2862-G2862)</f>
        <v>#VALUE!</v>
      </c>
      <c r="L2862">
        <v>216884</v>
      </c>
      <c r="N2862">
        <v>24</v>
      </c>
      <c r="O2862" t="s">
        <v>68</v>
      </c>
      <c r="P2862">
        <v>1</v>
      </c>
      <c r="R2862">
        <v>1385</v>
      </c>
      <c r="S2862" s="17">
        <v>42150</v>
      </c>
      <c r="T2862" s="17">
        <v>42150</v>
      </c>
      <c r="W2862">
        <v>2015</v>
      </c>
      <c r="X2862">
        <v>24</v>
      </c>
      <c r="AC2862" t="s">
        <v>1339</v>
      </c>
      <c r="AD2862" t="s">
        <v>302</v>
      </c>
      <c r="AE2862" t="s">
        <v>46</v>
      </c>
      <c r="AG2862">
        <v>56</v>
      </c>
      <c r="AH2862">
        <v>1</v>
      </c>
      <c r="AI2862" t="s">
        <v>58</v>
      </c>
      <c r="AK2862">
        <v>0</v>
      </c>
      <c r="AM2862">
        <v>0</v>
      </c>
      <c r="AP2862" t="s">
        <v>59</v>
      </c>
    </row>
    <row r="2863" spans="1:42" customFormat="1">
      <c r="A2863">
        <v>270997</v>
      </c>
      <c r="B2863">
        <v>216887</v>
      </c>
      <c r="C2863" t="s">
        <v>4119</v>
      </c>
      <c r="D2863" s="22">
        <v>73</v>
      </c>
      <c r="E2863" s="17">
        <v>42146</v>
      </c>
      <c r="F2863" s="18">
        <v>0.41469907407407408</v>
      </c>
      <c r="G2863" s="22">
        <v>0</v>
      </c>
      <c r="H2863">
        <v>0</v>
      </c>
      <c r="I2863" s="19" t="e">
        <f>I2862 + (D2863-G2863)</f>
        <v>#VALUE!</v>
      </c>
      <c r="L2863">
        <v>216887</v>
      </c>
      <c r="N2863">
        <v>24</v>
      </c>
      <c r="O2863" t="s">
        <v>68</v>
      </c>
      <c r="P2863">
        <v>1</v>
      </c>
      <c r="R2863">
        <v>1385</v>
      </c>
      <c r="S2863" s="17">
        <v>42150</v>
      </c>
      <c r="T2863" s="17">
        <v>42150</v>
      </c>
      <c r="W2863">
        <v>2015</v>
      </c>
      <c r="X2863">
        <v>24</v>
      </c>
      <c r="AC2863" t="s">
        <v>1339</v>
      </c>
      <c r="AD2863" t="s">
        <v>302</v>
      </c>
      <c r="AE2863" t="s">
        <v>46</v>
      </c>
      <c r="AG2863">
        <v>56</v>
      </c>
      <c r="AH2863">
        <v>1</v>
      </c>
      <c r="AI2863" t="s">
        <v>58</v>
      </c>
      <c r="AK2863">
        <v>0</v>
      </c>
      <c r="AM2863">
        <v>0</v>
      </c>
      <c r="AP2863" t="s">
        <v>59</v>
      </c>
    </row>
    <row r="2864" spans="1:42" customFormat="1">
      <c r="A2864">
        <v>270998</v>
      </c>
      <c r="B2864">
        <v>216885</v>
      </c>
      <c r="C2864" t="s">
        <v>4119</v>
      </c>
      <c r="D2864" s="22">
        <v>73</v>
      </c>
      <c r="E2864" s="17">
        <v>42146</v>
      </c>
      <c r="F2864" s="18">
        <v>0.41471064814814818</v>
      </c>
      <c r="G2864" s="22">
        <v>0</v>
      </c>
      <c r="H2864">
        <v>0</v>
      </c>
      <c r="I2864" s="19" t="e">
        <f>I2863 + (D2864-G2864)</f>
        <v>#VALUE!</v>
      </c>
      <c r="L2864">
        <v>216885</v>
      </c>
      <c r="N2864">
        <v>24</v>
      </c>
      <c r="O2864" t="s">
        <v>68</v>
      </c>
      <c r="P2864">
        <v>1</v>
      </c>
      <c r="R2864">
        <v>1385</v>
      </c>
      <c r="S2864" s="17">
        <v>42150</v>
      </c>
      <c r="T2864" s="17">
        <v>42150</v>
      </c>
      <c r="W2864">
        <v>2015</v>
      </c>
      <c r="X2864">
        <v>24</v>
      </c>
      <c r="AC2864" t="s">
        <v>1339</v>
      </c>
      <c r="AD2864" t="s">
        <v>302</v>
      </c>
      <c r="AE2864" t="s">
        <v>46</v>
      </c>
      <c r="AG2864">
        <v>56</v>
      </c>
      <c r="AH2864">
        <v>1</v>
      </c>
      <c r="AI2864" t="s">
        <v>58</v>
      </c>
      <c r="AK2864">
        <v>0</v>
      </c>
      <c r="AM2864">
        <v>0</v>
      </c>
      <c r="AP2864" t="s">
        <v>59</v>
      </c>
    </row>
    <row r="2865" spans="1:42" customFormat="1">
      <c r="A2865">
        <v>270999</v>
      </c>
      <c r="B2865">
        <v>216886</v>
      </c>
      <c r="C2865" t="s">
        <v>4119</v>
      </c>
      <c r="D2865" s="22">
        <v>73</v>
      </c>
      <c r="E2865" s="17">
        <v>42146</v>
      </c>
      <c r="F2865" s="18">
        <v>0.41471064814814818</v>
      </c>
      <c r="G2865" s="22">
        <v>0</v>
      </c>
      <c r="H2865">
        <v>0</v>
      </c>
      <c r="I2865" s="19" t="e">
        <f>I2864 + (D2865-G2865)</f>
        <v>#VALUE!</v>
      </c>
      <c r="L2865">
        <v>216886</v>
      </c>
      <c r="N2865">
        <v>24</v>
      </c>
      <c r="O2865" t="s">
        <v>68</v>
      </c>
      <c r="P2865">
        <v>1</v>
      </c>
      <c r="R2865">
        <v>1385</v>
      </c>
      <c r="S2865" s="17">
        <v>42150</v>
      </c>
      <c r="T2865" s="17">
        <v>42150</v>
      </c>
      <c r="W2865">
        <v>2015</v>
      </c>
      <c r="X2865">
        <v>24</v>
      </c>
      <c r="AC2865" t="s">
        <v>1339</v>
      </c>
      <c r="AD2865" t="s">
        <v>302</v>
      </c>
      <c r="AE2865" t="s">
        <v>46</v>
      </c>
      <c r="AG2865">
        <v>56</v>
      </c>
      <c r="AH2865">
        <v>1</v>
      </c>
      <c r="AI2865" t="s">
        <v>58</v>
      </c>
      <c r="AK2865">
        <v>0</v>
      </c>
      <c r="AM2865">
        <v>0</v>
      </c>
      <c r="AP2865" t="s">
        <v>59</v>
      </c>
    </row>
    <row r="2866" spans="1:42" customFormat="1">
      <c r="A2866">
        <v>271001</v>
      </c>
      <c r="B2866">
        <v>216890</v>
      </c>
      <c r="C2866" t="s">
        <v>4120</v>
      </c>
      <c r="D2866" s="22">
        <v>73</v>
      </c>
      <c r="E2866" s="17">
        <v>42146</v>
      </c>
      <c r="F2866" s="18">
        <v>0.41517361111111112</v>
      </c>
      <c r="G2866" s="22">
        <v>0</v>
      </c>
      <c r="H2866">
        <v>0</v>
      </c>
      <c r="I2866" s="19" t="e">
        <f>I2865 + (D2866-G2866)</f>
        <v>#VALUE!</v>
      </c>
      <c r="L2866">
        <v>216890</v>
      </c>
      <c r="N2866">
        <v>24</v>
      </c>
      <c r="O2866" t="s">
        <v>68</v>
      </c>
      <c r="P2866">
        <v>1</v>
      </c>
      <c r="R2866">
        <v>1385</v>
      </c>
      <c r="S2866" s="17">
        <v>42150</v>
      </c>
      <c r="T2866" s="17">
        <v>42150</v>
      </c>
      <c r="W2866">
        <v>2015</v>
      </c>
      <c r="X2866">
        <v>24</v>
      </c>
      <c r="AC2866" t="s">
        <v>1339</v>
      </c>
      <c r="AD2866" t="s">
        <v>302</v>
      </c>
      <c r="AE2866" t="s">
        <v>46</v>
      </c>
      <c r="AG2866">
        <v>56</v>
      </c>
      <c r="AH2866">
        <v>1</v>
      </c>
      <c r="AI2866" t="s">
        <v>58</v>
      </c>
      <c r="AK2866">
        <v>0</v>
      </c>
      <c r="AM2866">
        <v>0</v>
      </c>
      <c r="AP2866" t="s">
        <v>59</v>
      </c>
    </row>
    <row r="2867" spans="1:42" customFormat="1">
      <c r="A2867">
        <v>271002</v>
      </c>
      <c r="B2867">
        <v>216888</v>
      </c>
      <c r="C2867" t="s">
        <v>4120</v>
      </c>
      <c r="D2867" s="22">
        <v>73</v>
      </c>
      <c r="E2867" s="17">
        <v>42146</v>
      </c>
      <c r="F2867" s="18">
        <v>0.41517361111111112</v>
      </c>
      <c r="G2867" s="22">
        <v>0</v>
      </c>
      <c r="H2867">
        <v>0</v>
      </c>
      <c r="I2867" s="19" t="e">
        <f>I2866 + (D2867-G2867)</f>
        <v>#VALUE!</v>
      </c>
      <c r="L2867">
        <v>216888</v>
      </c>
      <c r="N2867">
        <v>24</v>
      </c>
      <c r="O2867" t="s">
        <v>68</v>
      </c>
      <c r="P2867">
        <v>1</v>
      </c>
      <c r="R2867">
        <v>1385</v>
      </c>
      <c r="S2867" s="17">
        <v>42150</v>
      </c>
      <c r="T2867" s="17">
        <v>42150</v>
      </c>
      <c r="W2867">
        <v>2015</v>
      </c>
      <c r="X2867">
        <v>24</v>
      </c>
      <c r="AC2867" t="s">
        <v>1339</v>
      </c>
      <c r="AD2867" t="s">
        <v>302</v>
      </c>
      <c r="AE2867" t="s">
        <v>46</v>
      </c>
      <c r="AG2867">
        <v>56</v>
      </c>
      <c r="AH2867">
        <v>1</v>
      </c>
      <c r="AI2867" t="s">
        <v>58</v>
      </c>
      <c r="AK2867">
        <v>0</v>
      </c>
      <c r="AM2867">
        <v>0</v>
      </c>
      <c r="AP2867" t="s">
        <v>59</v>
      </c>
    </row>
    <row r="2868" spans="1:42" customFormat="1">
      <c r="A2868">
        <v>271003</v>
      </c>
      <c r="B2868">
        <v>216889</v>
      </c>
      <c r="C2868" t="s">
        <v>4120</v>
      </c>
      <c r="D2868" s="22">
        <v>73</v>
      </c>
      <c r="E2868" s="17">
        <v>42146</v>
      </c>
      <c r="F2868" s="18">
        <v>0.41518518518518516</v>
      </c>
      <c r="G2868" s="22">
        <v>0</v>
      </c>
      <c r="H2868">
        <v>0</v>
      </c>
      <c r="I2868" s="19" t="e">
        <f>I2867 + (D2868-G2868)</f>
        <v>#VALUE!</v>
      </c>
      <c r="L2868">
        <v>216889</v>
      </c>
      <c r="N2868">
        <v>24</v>
      </c>
      <c r="O2868" t="s">
        <v>68</v>
      </c>
      <c r="P2868">
        <v>1</v>
      </c>
      <c r="R2868">
        <v>1385</v>
      </c>
      <c r="S2868" s="17">
        <v>42150</v>
      </c>
      <c r="T2868" s="17">
        <v>42150</v>
      </c>
      <c r="W2868">
        <v>2015</v>
      </c>
      <c r="X2868">
        <v>24</v>
      </c>
      <c r="AC2868" t="s">
        <v>1339</v>
      </c>
      <c r="AD2868" t="s">
        <v>302</v>
      </c>
      <c r="AE2868" t="s">
        <v>46</v>
      </c>
      <c r="AG2868">
        <v>56</v>
      </c>
      <c r="AH2868">
        <v>1</v>
      </c>
      <c r="AI2868" t="s">
        <v>58</v>
      </c>
      <c r="AK2868">
        <v>0</v>
      </c>
      <c r="AM2868">
        <v>0</v>
      </c>
      <c r="AP2868" t="s">
        <v>59</v>
      </c>
    </row>
    <row r="2869" spans="1:42" customFormat="1">
      <c r="A2869">
        <v>271005</v>
      </c>
      <c r="B2869">
        <v>216891</v>
      </c>
      <c r="C2869" t="s">
        <v>4121</v>
      </c>
      <c r="D2869" s="22">
        <v>73</v>
      </c>
      <c r="E2869" s="17">
        <v>42146</v>
      </c>
      <c r="F2869" s="18">
        <v>0.41553240740740738</v>
      </c>
      <c r="G2869" s="22">
        <v>0</v>
      </c>
      <c r="H2869">
        <v>0</v>
      </c>
      <c r="I2869" s="19" t="e">
        <f>I2868 + (D2869-G2869)</f>
        <v>#VALUE!</v>
      </c>
      <c r="L2869">
        <v>216891</v>
      </c>
      <c r="N2869">
        <v>24</v>
      </c>
      <c r="O2869" t="s">
        <v>68</v>
      </c>
      <c r="P2869">
        <v>1</v>
      </c>
      <c r="R2869">
        <v>1385</v>
      </c>
      <c r="S2869" s="17">
        <v>42150</v>
      </c>
      <c r="T2869" s="17">
        <v>42150</v>
      </c>
      <c r="W2869">
        <v>2015</v>
      </c>
      <c r="X2869">
        <v>24</v>
      </c>
      <c r="AC2869" t="s">
        <v>1339</v>
      </c>
      <c r="AD2869" t="s">
        <v>302</v>
      </c>
      <c r="AE2869" t="s">
        <v>46</v>
      </c>
      <c r="AG2869">
        <v>56</v>
      </c>
      <c r="AH2869">
        <v>1</v>
      </c>
      <c r="AI2869" t="s">
        <v>58</v>
      </c>
      <c r="AK2869">
        <v>0</v>
      </c>
      <c r="AM2869">
        <v>0</v>
      </c>
      <c r="AP2869" t="s">
        <v>59</v>
      </c>
    </row>
    <row r="2870" spans="1:42" customFormat="1">
      <c r="A2870">
        <v>271006</v>
      </c>
      <c r="B2870">
        <v>216892</v>
      </c>
      <c r="C2870" t="s">
        <v>4121</v>
      </c>
      <c r="D2870" s="22">
        <v>73</v>
      </c>
      <c r="E2870" s="17">
        <v>42146</v>
      </c>
      <c r="F2870" s="18">
        <v>0.41553240740740738</v>
      </c>
      <c r="G2870" s="22">
        <v>0</v>
      </c>
      <c r="H2870">
        <v>0</v>
      </c>
      <c r="I2870" s="19" t="e">
        <f>I2869 + (D2870-G2870)</f>
        <v>#VALUE!</v>
      </c>
      <c r="L2870">
        <v>216892</v>
      </c>
      <c r="N2870">
        <v>24</v>
      </c>
      <c r="O2870" t="s">
        <v>68</v>
      </c>
      <c r="P2870">
        <v>1</v>
      </c>
      <c r="R2870">
        <v>1385</v>
      </c>
      <c r="S2870" s="17">
        <v>42150</v>
      </c>
      <c r="T2870" s="17">
        <v>42150</v>
      </c>
      <c r="W2870">
        <v>2015</v>
      </c>
      <c r="X2870">
        <v>24</v>
      </c>
      <c r="AC2870" t="s">
        <v>1339</v>
      </c>
      <c r="AD2870" t="s">
        <v>302</v>
      </c>
      <c r="AE2870" t="s">
        <v>46</v>
      </c>
      <c r="AG2870">
        <v>56</v>
      </c>
      <c r="AH2870">
        <v>1</v>
      </c>
      <c r="AI2870" t="s">
        <v>58</v>
      </c>
      <c r="AK2870">
        <v>0</v>
      </c>
      <c r="AM2870">
        <v>0</v>
      </c>
      <c r="AP2870" t="s">
        <v>59</v>
      </c>
    </row>
    <row r="2871" spans="1:42" customFormat="1">
      <c r="A2871">
        <v>271004</v>
      </c>
      <c r="B2871">
        <v>216893</v>
      </c>
      <c r="C2871" t="s">
        <v>4121</v>
      </c>
      <c r="D2871" s="22">
        <v>73</v>
      </c>
      <c r="E2871" s="17">
        <v>42146</v>
      </c>
      <c r="F2871" s="18">
        <v>0.41553240740740738</v>
      </c>
      <c r="G2871" s="22">
        <v>0</v>
      </c>
      <c r="H2871">
        <v>0</v>
      </c>
      <c r="I2871" s="19" t="e">
        <f>I2870 + (D2871-G2871)</f>
        <v>#VALUE!</v>
      </c>
      <c r="L2871">
        <v>216893</v>
      </c>
      <c r="N2871">
        <v>24</v>
      </c>
      <c r="O2871" t="s">
        <v>68</v>
      </c>
      <c r="P2871">
        <v>1</v>
      </c>
      <c r="R2871">
        <v>1385</v>
      </c>
      <c r="S2871" s="17">
        <v>42150</v>
      </c>
      <c r="T2871" s="17">
        <v>42150</v>
      </c>
      <c r="W2871">
        <v>2015</v>
      </c>
      <c r="X2871">
        <v>24</v>
      </c>
      <c r="AC2871" t="s">
        <v>1339</v>
      </c>
      <c r="AD2871" t="s">
        <v>302</v>
      </c>
      <c r="AE2871" t="s">
        <v>46</v>
      </c>
      <c r="AG2871">
        <v>56</v>
      </c>
      <c r="AH2871">
        <v>1</v>
      </c>
      <c r="AI2871" t="s">
        <v>58</v>
      </c>
      <c r="AK2871">
        <v>0</v>
      </c>
      <c r="AM2871">
        <v>0</v>
      </c>
      <c r="AP2871" t="s">
        <v>59</v>
      </c>
    </row>
    <row r="2872" spans="1:42" customFormat="1">
      <c r="A2872">
        <v>271007</v>
      </c>
      <c r="B2872">
        <v>216894</v>
      </c>
      <c r="C2872" t="s">
        <v>4122</v>
      </c>
      <c r="D2872" s="22">
        <v>73</v>
      </c>
      <c r="E2872" s="17">
        <v>42146</v>
      </c>
      <c r="F2872" s="18">
        <v>0.41592592592592598</v>
      </c>
      <c r="G2872" s="22">
        <v>0</v>
      </c>
      <c r="H2872">
        <v>0</v>
      </c>
      <c r="I2872" s="19" t="e">
        <f>I2871 + (D2872-G2872)</f>
        <v>#VALUE!</v>
      </c>
      <c r="L2872">
        <v>216894</v>
      </c>
      <c r="N2872">
        <v>24</v>
      </c>
      <c r="O2872" t="s">
        <v>68</v>
      </c>
      <c r="P2872">
        <v>1</v>
      </c>
      <c r="R2872">
        <v>1385</v>
      </c>
      <c r="S2872" s="17">
        <v>42150</v>
      </c>
      <c r="T2872" s="17">
        <v>42150</v>
      </c>
      <c r="W2872">
        <v>2015</v>
      </c>
      <c r="X2872">
        <v>24</v>
      </c>
      <c r="AC2872" t="s">
        <v>1339</v>
      </c>
      <c r="AD2872" t="s">
        <v>302</v>
      </c>
      <c r="AE2872" t="s">
        <v>46</v>
      </c>
      <c r="AG2872">
        <v>56</v>
      </c>
      <c r="AH2872">
        <v>1</v>
      </c>
      <c r="AI2872" t="s">
        <v>58</v>
      </c>
      <c r="AK2872">
        <v>0</v>
      </c>
      <c r="AM2872">
        <v>0</v>
      </c>
      <c r="AP2872" t="s">
        <v>59</v>
      </c>
    </row>
    <row r="2873" spans="1:42" customFormat="1">
      <c r="A2873">
        <v>271008</v>
      </c>
      <c r="B2873">
        <v>216895</v>
      </c>
      <c r="C2873" t="s">
        <v>4122</v>
      </c>
      <c r="D2873" s="22">
        <v>73</v>
      </c>
      <c r="E2873" s="17">
        <v>42146</v>
      </c>
      <c r="F2873" s="18">
        <v>0.41592592592592598</v>
      </c>
      <c r="G2873" s="22">
        <v>0</v>
      </c>
      <c r="H2873">
        <v>0</v>
      </c>
      <c r="I2873" s="19" t="e">
        <f>I2872 + (D2873-G2873)</f>
        <v>#VALUE!</v>
      </c>
      <c r="L2873">
        <v>216895</v>
      </c>
      <c r="N2873">
        <v>24</v>
      </c>
      <c r="O2873" t="s">
        <v>68</v>
      </c>
      <c r="P2873">
        <v>1</v>
      </c>
      <c r="R2873">
        <v>1385</v>
      </c>
      <c r="S2873" s="17">
        <v>42150</v>
      </c>
      <c r="T2873" s="17">
        <v>42150</v>
      </c>
      <c r="W2873">
        <v>2015</v>
      </c>
      <c r="X2873">
        <v>24</v>
      </c>
      <c r="AC2873" t="s">
        <v>1339</v>
      </c>
      <c r="AD2873" t="s">
        <v>302</v>
      </c>
      <c r="AE2873" t="s">
        <v>46</v>
      </c>
      <c r="AG2873">
        <v>56</v>
      </c>
      <c r="AH2873">
        <v>1</v>
      </c>
      <c r="AI2873" t="s">
        <v>58</v>
      </c>
      <c r="AK2873">
        <v>0</v>
      </c>
      <c r="AM2873">
        <v>0</v>
      </c>
      <c r="AP2873" t="s">
        <v>59</v>
      </c>
    </row>
    <row r="2874" spans="1:42" customFormat="1">
      <c r="A2874">
        <v>271009</v>
      </c>
      <c r="B2874">
        <v>216896</v>
      </c>
      <c r="C2874" t="s">
        <v>4122</v>
      </c>
      <c r="D2874" s="22">
        <v>73</v>
      </c>
      <c r="E2874" s="17">
        <v>42146</v>
      </c>
      <c r="F2874" s="18">
        <v>0.41592592592592598</v>
      </c>
      <c r="G2874" s="22">
        <v>0</v>
      </c>
      <c r="H2874">
        <v>0</v>
      </c>
      <c r="I2874" s="19" t="e">
        <f>I2873 + (D2874-G2874)</f>
        <v>#VALUE!</v>
      </c>
      <c r="L2874">
        <v>216896</v>
      </c>
      <c r="N2874">
        <v>24</v>
      </c>
      <c r="O2874" t="s">
        <v>68</v>
      </c>
      <c r="P2874">
        <v>1</v>
      </c>
      <c r="R2874">
        <v>1385</v>
      </c>
      <c r="S2874" s="17">
        <v>42150</v>
      </c>
      <c r="T2874" s="17">
        <v>42150</v>
      </c>
      <c r="W2874">
        <v>2015</v>
      </c>
      <c r="X2874">
        <v>24</v>
      </c>
      <c r="AC2874" t="s">
        <v>1339</v>
      </c>
      <c r="AD2874" t="s">
        <v>302</v>
      </c>
      <c r="AE2874" t="s">
        <v>46</v>
      </c>
      <c r="AG2874">
        <v>56</v>
      </c>
      <c r="AH2874">
        <v>1</v>
      </c>
      <c r="AI2874" t="s">
        <v>58</v>
      </c>
      <c r="AK2874">
        <v>0</v>
      </c>
      <c r="AM2874">
        <v>0</v>
      </c>
      <c r="AP2874" t="s">
        <v>59</v>
      </c>
    </row>
    <row r="2875" spans="1:42" customFormat="1">
      <c r="A2875">
        <v>271010</v>
      </c>
      <c r="B2875">
        <v>216899</v>
      </c>
      <c r="C2875" t="s">
        <v>4123</v>
      </c>
      <c r="D2875" s="22">
        <v>73</v>
      </c>
      <c r="E2875" s="17">
        <v>42146</v>
      </c>
      <c r="F2875" s="18">
        <v>0.41644675925925928</v>
      </c>
      <c r="G2875" s="22">
        <v>0</v>
      </c>
      <c r="H2875">
        <v>0</v>
      </c>
      <c r="I2875" s="19" t="e">
        <f>I2874 + (D2875-G2875)</f>
        <v>#VALUE!</v>
      </c>
      <c r="L2875">
        <v>216899</v>
      </c>
      <c r="N2875">
        <v>24</v>
      </c>
      <c r="O2875" t="s">
        <v>68</v>
      </c>
      <c r="P2875">
        <v>1</v>
      </c>
      <c r="R2875">
        <v>1385</v>
      </c>
      <c r="S2875" s="17">
        <v>42150</v>
      </c>
      <c r="T2875" s="17">
        <v>42150</v>
      </c>
      <c r="W2875">
        <v>2015</v>
      </c>
      <c r="X2875">
        <v>24</v>
      </c>
      <c r="AC2875" t="s">
        <v>1339</v>
      </c>
      <c r="AD2875" t="s">
        <v>302</v>
      </c>
      <c r="AE2875" t="s">
        <v>46</v>
      </c>
      <c r="AG2875">
        <v>56</v>
      </c>
      <c r="AH2875">
        <v>1</v>
      </c>
      <c r="AI2875" t="s">
        <v>58</v>
      </c>
      <c r="AK2875">
        <v>0</v>
      </c>
      <c r="AM2875">
        <v>0</v>
      </c>
      <c r="AP2875" t="s">
        <v>59</v>
      </c>
    </row>
    <row r="2876" spans="1:42" customFormat="1">
      <c r="A2876">
        <v>271011</v>
      </c>
      <c r="B2876">
        <v>216897</v>
      </c>
      <c r="C2876" t="s">
        <v>4123</v>
      </c>
      <c r="D2876" s="22">
        <v>73</v>
      </c>
      <c r="E2876" s="17">
        <v>42146</v>
      </c>
      <c r="F2876" s="18">
        <v>0.41645833333333332</v>
      </c>
      <c r="G2876" s="22">
        <v>0</v>
      </c>
      <c r="H2876">
        <v>0</v>
      </c>
      <c r="I2876" s="19" t="e">
        <f>I2875 + (D2876-G2876)</f>
        <v>#VALUE!</v>
      </c>
      <c r="L2876">
        <v>216897</v>
      </c>
      <c r="N2876">
        <v>24</v>
      </c>
      <c r="O2876" t="s">
        <v>68</v>
      </c>
      <c r="P2876">
        <v>1</v>
      </c>
      <c r="R2876">
        <v>1385</v>
      </c>
      <c r="S2876" s="17">
        <v>42150</v>
      </c>
      <c r="T2876" s="17">
        <v>42150</v>
      </c>
      <c r="W2876">
        <v>2015</v>
      </c>
      <c r="X2876">
        <v>24</v>
      </c>
      <c r="AC2876" t="s">
        <v>1339</v>
      </c>
      <c r="AD2876" t="s">
        <v>302</v>
      </c>
      <c r="AE2876" t="s">
        <v>46</v>
      </c>
      <c r="AG2876">
        <v>56</v>
      </c>
      <c r="AH2876">
        <v>1</v>
      </c>
      <c r="AI2876" t="s">
        <v>58</v>
      </c>
      <c r="AK2876">
        <v>0</v>
      </c>
      <c r="AM2876">
        <v>0</v>
      </c>
      <c r="AP2876" t="s">
        <v>59</v>
      </c>
    </row>
    <row r="2877" spans="1:42" customFormat="1">
      <c r="A2877">
        <v>271012</v>
      </c>
      <c r="B2877">
        <v>216898</v>
      </c>
      <c r="C2877" t="s">
        <v>4123</v>
      </c>
      <c r="D2877" s="22">
        <v>73</v>
      </c>
      <c r="E2877" s="17">
        <v>42146</v>
      </c>
      <c r="F2877" s="18">
        <v>0.41645833333333332</v>
      </c>
      <c r="G2877" s="22">
        <v>0</v>
      </c>
      <c r="H2877">
        <v>0</v>
      </c>
      <c r="I2877" s="19" t="e">
        <f>I2876 + (D2877-G2877)</f>
        <v>#VALUE!</v>
      </c>
      <c r="L2877">
        <v>216898</v>
      </c>
      <c r="N2877">
        <v>24</v>
      </c>
      <c r="O2877" t="s">
        <v>68</v>
      </c>
      <c r="P2877">
        <v>1</v>
      </c>
      <c r="R2877">
        <v>1385</v>
      </c>
      <c r="S2877" s="17">
        <v>42150</v>
      </c>
      <c r="T2877" s="17">
        <v>42150</v>
      </c>
      <c r="W2877">
        <v>2015</v>
      </c>
      <c r="X2877">
        <v>24</v>
      </c>
      <c r="AC2877" t="s">
        <v>1339</v>
      </c>
      <c r="AD2877" t="s">
        <v>302</v>
      </c>
      <c r="AE2877" t="s">
        <v>46</v>
      </c>
      <c r="AG2877">
        <v>56</v>
      </c>
      <c r="AH2877">
        <v>1</v>
      </c>
      <c r="AI2877" t="s">
        <v>58</v>
      </c>
      <c r="AK2877">
        <v>0</v>
      </c>
      <c r="AM2877">
        <v>0</v>
      </c>
      <c r="AP2877" t="s">
        <v>59</v>
      </c>
    </row>
    <row r="2878" spans="1:42" customFormat="1">
      <c r="A2878">
        <v>271376</v>
      </c>
      <c r="B2878">
        <v>216868</v>
      </c>
      <c r="C2878" t="s">
        <v>4627</v>
      </c>
      <c r="D2878" s="22">
        <v>73</v>
      </c>
      <c r="E2878" s="17">
        <v>42149</v>
      </c>
      <c r="F2878" s="18">
        <v>0.69006944444444451</v>
      </c>
      <c r="G2878" s="22">
        <v>0</v>
      </c>
      <c r="H2878">
        <v>0</v>
      </c>
      <c r="I2878" s="19" t="e">
        <f>I2877 + (D2878-G2878)</f>
        <v>#VALUE!</v>
      </c>
      <c r="L2878">
        <v>216868</v>
      </c>
      <c r="N2878">
        <v>7</v>
      </c>
      <c r="O2878" t="s">
        <v>44</v>
      </c>
      <c r="P2878">
        <v>1</v>
      </c>
      <c r="R2878">
        <v>1385</v>
      </c>
      <c r="S2878" s="17">
        <v>42151</v>
      </c>
      <c r="T2878" s="17">
        <v>42151</v>
      </c>
      <c r="W2878">
        <v>2015</v>
      </c>
      <c r="X2878">
        <v>7</v>
      </c>
      <c r="AC2878" t="s">
        <v>1339</v>
      </c>
      <c r="AD2878" t="s">
        <v>302</v>
      </c>
      <c r="AE2878" t="s">
        <v>46</v>
      </c>
      <c r="AG2878">
        <v>52</v>
      </c>
      <c r="AH2878">
        <v>2</v>
      </c>
      <c r="AI2878" t="s">
        <v>50</v>
      </c>
      <c r="AK2878">
        <v>0</v>
      </c>
      <c r="AM2878">
        <v>0</v>
      </c>
      <c r="AP2878" t="s">
        <v>325</v>
      </c>
    </row>
    <row r="2879" spans="1:42" customFormat="1">
      <c r="A2879">
        <v>271377</v>
      </c>
      <c r="B2879">
        <v>216869</v>
      </c>
      <c r="C2879" t="s">
        <v>4627</v>
      </c>
      <c r="D2879" s="22">
        <v>73</v>
      </c>
      <c r="E2879" s="17">
        <v>42149</v>
      </c>
      <c r="F2879" s="18">
        <v>0.69006944444444451</v>
      </c>
      <c r="G2879" s="22">
        <v>0</v>
      </c>
      <c r="H2879">
        <v>0</v>
      </c>
      <c r="I2879" s="19" t="e">
        <f>I2878 + (D2879-G2879)</f>
        <v>#VALUE!</v>
      </c>
      <c r="L2879">
        <v>216869</v>
      </c>
      <c r="N2879">
        <v>7</v>
      </c>
      <c r="O2879" t="s">
        <v>44</v>
      </c>
      <c r="P2879">
        <v>1</v>
      </c>
      <c r="R2879">
        <v>1385</v>
      </c>
      <c r="S2879" s="17">
        <v>42151</v>
      </c>
      <c r="T2879" s="17">
        <v>42151</v>
      </c>
      <c r="W2879">
        <v>2015</v>
      </c>
      <c r="X2879">
        <v>7</v>
      </c>
      <c r="AC2879" t="s">
        <v>1339</v>
      </c>
      <c r="AD2879" t="s">
        <v>302</v>
      </c>
      <c r="AE2879" t="s">
        <v>46</v>
      </c>
      <c r="AG2879">
        <v>52</v>
      </c>
      <c r="AH2879">
        <v>2</v>
      </c>
      <c r="AI2879" t="s">
        <v>50</v>
      </c>
      <c r="AK2879">
        <v>0</v>
      </c>
      <c r="AM2879">
        <v>0</v>
      </c>
      <c r="AP2879" t="s">
        <v>325</v>
      </c>
    </row>
    <row r="2880" spans="1:42" customFormat="1">
      <c r="A2880">
        <v>271378</v>
      </c>
      <c r="B2880">
        <v>216870</v>
      </c>
      <c r="C2880" t="s">
        <v>4627</v>
      </c>
      <c r="D2880" s="22">
        <v>73</v>
      </c>
      <c r="E2880" s="17">
        <v>42149</v>
      </c>
      <c r="F2880" s="18">
        <v>0.69008101851851855</v>
      </c>
      <c r="G2880" s="22">
        <v>0</v>
      </c>
      <c r="H2880">
        <v>0</v>
      </c>
      <c r="I2880" s="19" t="e">
        <f>I2879 + (D2880-G2880)</f>
        <v>#VALUE!</v>
      </c>
      <c r="L2880">
        <v>216870</v>
      </c>
      <c r="N2880">
        <v>7</v>
      </c>
      <c r="O2880" t="s">
        <v>44</v>
      </c>
      <c r="P2880">
        <v>1</v>
      </c>
      <c r="R2880">
        <v>1385</v>
      </c>
      <c r="S2880" s="17">
        <v>42151</v>
      </c>
      <c r="T2880" s="17">
        <v>42151</v>
      </c>
      <c r="W2880">
        <v>2015</v>
      </c>
      <c r="X2880">
        <v>7</v>
      </c>
      <c r="AC2880" t="s">
        <v>1339</v>
      </c>
      <c r="AD2880" t="s">
        <v>302</v>
      </c>
      <c r="AE2880" t="s">
        <v>46</v>
      </c>
      <c r="AG2880">
        <v>52</v>
      </c>
      <c r="AH2880">
        <v>2</v>
      </c>
      <c r="AI2880" t="s">
        <v>50</v>
      </c>
      <c r="AK2880">
        <v>0</v>
      </c>
      <c r="AM2880">
        <v>0</v>
      </c>
      <c r="AP2880" t="s">
        <v>325</v>
      </c>
    </row>
    <row r="2881" spans="1:42" customFormat="1">
      <c r="A2881">
        <v>271381</v>
      </c>
      <c r="B2881">
        <v>216871</v>
      </c>
      <c r="C2881" t="s">
        <v>4631</v>
      </c>
      <c r="D2881" s="22">
        <v>73</v>
      </c>
      <c r="E2881" s="17">
        <v>42149</v>
      </c>
      <c r="F2881" s="18">
        <v>0.69196759259259266</v>
      </c>
      <c r="G2881" s="22">
        <v>0</v>
      </c>
      <c r="H2881">
        <v>0</v>
      </c>
      <c r="I2881" s="19" t="e">
        <f>I2880 + (D2881-G2881)</f>
        <v>#VALUE!</v>
      </c>
      <c r="L2881">
        <v>216871</v>
      </c>
      <c r="N2881">
        <v>7</v>
      </c>
      <c r="O2881" t="s">
        <v>44</v>
      </c>
      <c r="P2881">
        <v>1</v>
      </c>
      <c r="R2881">
        <v>1385</v>
      </c>
      <c r="S2881" s="17">
        <v>42151</v>
      </c>
      <c r="T2881" s="17">
        <v>42151</v>
      </c>
      <c r="W2881">
        <v>2015</v>
      </c>
      <c r="X2881">
        <v>7</v>
      </c>
      <c r="AC2881" t="s">
        <v>1339</v>
      </c>
      <c r="AD2881" t="s">
        <v>302</v>
      </c>
      <c r="AE2881" t="s">
        <v>46</v>
      </c>
      <c r="AG2881">
        <v>52</v>
      </c>
      <c r="AH2881">
        <v>2</v>
      </c>
      <c r="AI2881" t="s">
        <v>50</v>
      </c>
      <c r="AK2881">
        <v>0</v>
      </c>
      <c r="AM2881">
        <v>0</v>
      </c>
      <c r="AP2881" t="s">
        <v>325</v>
      </c>
    </row>
    <row r="2882" spans="1:42" customFormat="1">
      <c r="A2882">
        <v>271382</v>
      </c>
      <c r="B2882">
        <v>216872</v>
      </c>
      <c r="C2882" t="s">
        <v>4631</v>
      </c>
      <c r="D2882" s="22">
        <v>73</v>
      </c>
      <c r="E2882" s="17">
        <v>42149</v>
      </c>
      <c r="F2882" s="18">
        <v>0.69196759259259266</v>
      </c>
      <c r="G2882" s="22">
        <v>0</v>
      </c>
      <c r="H2882">
        <v>0</v>
      </c>
      <c r="I2882" s="19" t="e">
        <f>I2881 + (D2882-G2882)</f>
        <v>#VALUE!</v>
      </c>
      <c r="L2882">
        <v>216872</v>
      </c>
      <c r="N2882">
        <v>7</v>
      </c>
      <c r="O2882" t="s">
        <v>44</v>
      </c>
      <c r="P2882">
        <v>1</v>
      </c>
      <c r="R2882">
        <v>1385</v>
      </c>
      <c r="S2882" s="17">
        <v>42151</v>
      </c>
      <c r="T2882" s="17">
        <v>42151</v>
      </c>
      <c r="W2882">
        <v>2015</v>
      </c>
      <c r="X2882">
        <v>7</v>
      </c>
      <c r="AC2882" t="s">
        <v>1339</v>
      </c>
      <c r="AD2882" t="s">
        <v>302</v>
      </c>
      <c r="AE2882" t="s">
        <v>46</v>
      </c>
      <c r="AG2882">
        <v>52</v>
      </c>
      <c r="AH2882">
        <v>2</v>
      </c>
      <c r="AI2882" t="s">
        <v>50</v>
      </c>
      <c r="AK2882">
        <v>0</v>
      </c>
      <c r="AM2882">
        <v>0</v>
      </c>
      <c r="AP2882" t="s">
        <v>325</v>
      </c>
    </row>
    <row r="2883" spans="1:42" customFormat="1">
      <c r="A2883">
        <v>271380</v>
      </c>
      <c r="B2883">
        <v>216873</v>
      </c>
      <c r="C2883" t="s">
        <v>4631</v>
      </c>
      <c r="D2883" s="22">
        <v>73</v>
      </c>
      <c r="E2883" s="17">
        <v>42149</v>
      </c>
      <c r="F2883" s="18">
        <v>0.69196759259259266</v>
      </c>
      <c r="G2883" s="22">
        <v>0</v>
      </c>
      <c r="H2883">
        <v>0</v>
      </c>
      <c r="I2883" s="19" t="e">
        <f>I2882 + (D2883-G2883)</f>
        <v>#VALUE!</v>
      </c>
      <c r="L2883">
        <v>216873</v>
      </c>
      <c r="N2883">
        <v>7</v>
      </c>
      <c r="O2883" t="s">
        <v>44</v>
      </c>
      <c r="P2883">
        <v>1</v>
      </c>
      <c r="R2883">
        <v>1385</v>
      </c>
      <c r="S2883" s="17">
        <v>42151</v>
      </c>
      <c r="T2883" s="17">
        <v>42151</v>
      </c>
      <c r="W2883">
        <v>2015</v>
      </c>
      <c r="X2883">
        <v>7</v>
      </c>
      <c r="AC2883" t="s">
        <v>1339</v>
      </c>
      <c r="AD2883" t="s">
        <v>302</v>
      </c>
      <c r="AE2883" t="s">
        <v>46</v>
      </c>
      <c r="AG2883">
        <v>52</v>
      </c>
      <c r="AH2883">
        <v>2</v>
      </c>
      <c r="AI2883" t="s">
        <v>50</v>
      </c>
      <c r="AK2883">
        <v>0</v>
      </c>
      <c r="AM2883">
        <v>0</v>
      </c>
      <c r="AP2883" t="s">
        <v>325</v>
      </c>
    </row>
    <row r="2884" spans="1:42" customFormat="1">
      <c r="A2884">
        <v>271385</v>
      </c>
      <c r="B2884">
        <v>216866</v>
      </c>
      <c r="C2884" t="s">
        <v>4633</v>
      </c>
      <c r="D2884" s="22">
        <v>73</v>
      </c>
      <c r="E2884" s="17">
        <v>42149</v>
      </c>
      <c r="F2884" s="18">
        <v>0.69359953703703703</v>
      </c>
      <c r="G2884" s="22">
        <v>0</v>
      </c>
      <c r="H2884">
        <v>0</v>
      </c>
      <c r="I2884" s="19" t="e">
        <f>I2883 + (D2884-G2884)</f>
        <v>#VALUE!</v>
      </c>
      <c r="L2884">
        <v>216866</v>
      </c>
      <c r="N2884">
        <v>7</v>
      </c>
      <c r="O2884" t="s">
        <v>44</v>
      </c>
      <c r="P2884">
        <v>1</v>
      </c>
      <c r="R2884">
        <v>1385</v>
      </c>
      <c r="S2884" s="17">
        <v>42151</v>
      </c>
      <c r="T2884" s="17">
        <v>42151</v>
      </c>
      <c r="W2884">
        <v>2015</v>
      </c>
      <c r="X2884">
        <v>7</v>
      </c>
      <c r="AC2884" t="s">
        <v>1339</v>
      </c>
      <c r="AD2884" t="s">
        <v>302</v>
      </c>
      <c r="AE2884" t="s">
        <v>46</v>
      </c>
      <c r="AG2884">
        <v>52</v>
      </c>
      <c r="AH2884">
        <v>2</v>
      </c>
      <c r="AI2884" t="s">
        <v>50</v>
      </c>
      <c r="AK2884">
        <v>0</v>
      </c>
      <c r="AM2884">
        <v>0</v>
      </c>
      <c r="AP2884" t="s">
        <v>325</v>
      </c>
    </row>
    <row r="2885" spans="1:42" customFormat="1">
      <c r="A2885">
        <v>271386</v>
      </c>
      <c r="B2885">
        <v>216865</v>
      </c>
      <c r="C2885" t="s">
        <v>4633</v>
      </c>
      <c r="D2885" s="22">
        <v>73</v>
      </c>
      <c r="E2885" s="17">
        <v>42149</v>
      </c>
      <c r="F2885" s="18">
        <v>0.69361111111111118</v>
      </c>
      <c r="G2885" s="22">
        <v>0</v>
      </c>
      <c r="H2885">
        <v>0</v>
      </c>
      <c r="I2885" s="19" t="e">
        <f>I2884 + (D2885-G2885)</f>
        <v>#VALUE!</v>
      </c>
      <c r="L2885">
        <v>216865</v>
      </c>
      <c r="N2885">
        <v>7</v>
      </c>
      <c r="O2885" t="s">
        <v>44</v>
      </c>
      <c r="P2885">
        <v>1</v>
      </c>
      <c r="R2885">
        <v>1385</v>
      </c>
      <c r="S2885" s="17">
        <v>42151</v>
      </c>
      <c r="T2885" s="17">
        <v>42151</v>
      </c>
      <c r="W2885">
        <v>2015</v>
      </c>
      <c r="X2885">
        <v>7</v>
      </c>
      <c r="AC2885" t="s">
        <v>1339</v>
      </c>
      <c r="AD2885" t="s">
        <v>302</v>
      </c>
      <c r="AE2885" t="s">
        <v>46</v>
      </c>
      <c r="AG2885">
        <v>52</v>
      </c>
      <c r="AH2885">
        <v>2</v>
      </c>
      <c r="AI2885" t="s">
        <v>50</v>
      </c>
      <c r="AK2885">
        <v>0</v>
      </c>
      <c r="AM2885">
        <v>0</v>
      </c>
      <c r="AP2885" t="s">
        <v>325</v>
      </c>
    </row>
    <row r="2886" spans="1:42" customFormat="1">
      <c r="A2886">
        <v>271387</v>
      </c>
      <c r="B2886">
        <v>216867</v>
      </c>
      <c r="C2886" t="s">
        <v>4633</v>
      </c>
      <c r="D2886" s="22">
        <v>73</v>
      </c>
      <c r="E2886" s="17">
        <v>42149</v>
      </c>
      <c r="F2886" s="18">
        <v>0.69361111111111118</v>
      </c>
      <c r="G2886" s="22">
        <v>0</v>
      </c>
      <c r="H2886">
        <v>0</v>
      </c>
      <c r="I2886" s="19" t="e">
        <f>I2885 + (D2886-G2886)</f>
        <v>#VALUE!</v>
      </c>
      <c r="L2886">
        <v>216867</v>
      </c>
      <c r="N2886">
        <v>7</v>
      </c>
      <c r="O2886" t="s">
        <v>44</v>
      </c>
      <c r="P2886">
        <v>1</v>
      </c>
      <c r="R2886">
        <v>1385</v>
      </c>
      <c r="S2886" s="17">
        <v>42151</v>
      </c>
      <c r="T2886" s="17">
        <v>42151</v>
      </c>
      <c r="W2886">
        <v>2015</v>
      </c>
      <c r="X2886">
        <v>7</v>
      </c>
      <c r="AC2886" t="s">
        <v>1339</v>
      </c>
      <c r="AD2886" t="s">
        <v>302</v>
      </c>
      <c r="AE2886" t="s">
        <v>46</v>
      </c>
      <c r="AG2886">
        <v>52</v>
      </c>
      <c r="AH2886">
        <v>2</v>
      </c>
      <c r="AI2886" t="s">
        <v>50</v>
      </c>
      <c r="AK2886">
        <v>0</v>
      </c>
      <c r="AM2886">
        <v>0</v>
      </c>
      <c r="AP2886" t="s">
        <v>325</v>
      </c>
    </row>
    <row r="2887" spans="1:42" customFormat="1">
      <c r="A2887">
        <v>271646</v>
      </c>
      <c r="B2887">
        <v>217228</v>
      </c>
      <c r="C2887" t="s">
        <v>5539</v>
      </c>
      <c r="D2887" s="22">
        <v>73</v>
      </c>
      <c r="E2887" s="17">
        <v>42153</v>
      </c>
      <c r="F2887" s="18">
        <v>0.6665740740740741</v>
      </c>
      <c r="G2887" s="22">
        <v>0</v>
      </c>
      <c r="H2887">
        <v>0</v>
      </c>
      <c r="I2887" s="19" t="e">
        <f>I2886 + (D2887-G2887)</f>
        <v>#VALUE!</v>
      </c>
      <c r="L2887">
        <v>217228</v>
      </c>
      <c r="N2887">
        <v>24</v>
      </c>
      <c r="O2887" t="s">
        <v>68</v>
      </c>
      <c r="P2887">
        <v>1</v>
      </c>
      <c r="R2887">
        <v>1385</v>
      </c>
      <c r="S2887" s="17">
        <v>42157</v>
      </c>
      <c r="T2887" s="17">
        <v>42157</v>
      </c>
      <c r="W2887">
        <v>2015</v>
      </c>
      <c r="X2887">
        <v>24</v>
      </c>
      <c r="AC2887" t="s">
        <v>1339</v>
      </c>
      <c r="AD2887" t="s">
        <v>302</v>
      </c>
      <c r="AE2887" t="s">
        <v>46</v>
      </c>
      <c r="AG2887">
        <v>56</v>
      </c>
      <c r="AH2887">
        <v>1</v>
      </c>
      <c r="AI2887" t="s">
        <v>58</v>
      </c>
      <c r="AK2887">
        <v>0</v>
      </c>
      <c r="AM2887">
        <v>0</v>
      </c>
      <c r="AP2887" t="s">
        <v>59</v>
      </c>
    </row>
    <row r="2888" spans="1:42" customFormat="1">
      <c r="A2888">
        <v>271647</v>
      </c>
      <c r="B2888">
        <v>217229</v>
      </c>
      <c r="C2888" t="s">
        <v>5539</v>
      </c>
      <c r="D2888" s="22">
        <v>73</v>
      </c>
      <c r="E2888" s="17">
        <v>42153</v>
      </c>
      <c r="F2888" s="18">
        <v>0.66658564814814814</v>
      </c>
      <c r="G2888" s="22">
        <v>0</v>
      </c>
      <c r="H2888">
        <v>0</v>
      </c>
      <c r="I2888" s="19" t="e">
        <f>I2887 + (D2888-G2888)</f>
        <v>#VALUE!</v>
      </c>
      <c r="L2888">
        <v>217229</v>
      </c>
      <c r="N2888">
        <v>24</v>
      </c>
      <c r="O2888" t="s">
        <v>68</v>
      </c>
      <c r="P2888">
        <v>1</v>
      </c>
      <c r="R2888">
        <v>1385</v>
      </c>
      <c r="S2888" s="17">
        <v>42157</v>
      </c>
      <c r="T2888" s="17">
        <v>42157</v>
      </c>
      <c r="W2888">
        <v>2015</v>
      </c>
      <c r="X2888">
        <v>24</v>
      </c>
      <c r="AC2888" t="s">
        <v>1339</v>
      </c>
      <c r="AD2888" t="s">
        <v>302</v>
      </c>
      <c r="AE2888" t="s">
        <v>46</v>
      </c>
      <c r="AG2888">
        <v>56</v>
      </c>
      <c r="AH2888">
        <v>1</v>
      </c>
      <c r="AI2888" t="s">
        <v>58</v>
      </c>
      <c r="AK2888">
        <v>0</v>
      </c>
      <c r="AM2888">
        <v>0</v>
      </c>
      <c r="AP2888" t="s">
        <v>59</v>
      </c>
    </row>
    <row r="2889" spans="1:42" customFormat="1">
      <c r="A2889">
        <v>271648</v>
      </c>
      <c r="B2889">
        <v>217230</v>
      </c>
      <c r="C2889" t="s">
        <v>5540</v>
      </c>
      <c r="D2889" s="22">
        <v>73</v>
      </c>
      <c r="E2889" s="17">
        <v>42153</v>
      </c>
      <c r="F2889" s="18">
        <v>0.66690972222222211</v>
      </c>
      <c r="G2889" s="22">
        <v>0</v>
      </c>
      <c r="H2889">
        <v>0</v>
      </c>
      <c r="I2889" s="19" t="e">
        <f>I2888 + (D2889-G2889)</f>
        <v>#VALUE!</v>
      </c>
      <c r="L2889">
        <v>217230</v>
      </c>
      <c r="N2889">
        <v>24</v>
      </c>
      <c r="O2889" t="s">
        <v>68</v>
      </c>
      <c r="P2889">
        <v>1</v>
      </c>
      <c r="R2889">
        <v>1385</v>
      </c>
      <c r="S2889" s="17">
        <v>42157</v>
      </c>
      <c r="T2889" s="17">
        <v>42157</v>
      </c>
      <c r="W2889">
        <v>2015</v>
      </c>
      <c r="X2889">
        <v>24</v>
      </c>
      <c r="AC2889" t="s">
        <v>1339</v>
      </c>
      <c r="AD2889" t="s">
        <v>302</v>
      </c>
      <c r="AE2889" t="s">
        <v>46</v>
      </c>
      <c r="AG2889">
        <v>56</v>
      </c>
      <c r="AH2889">
        <v>1</v>
      </c>
      <c r="AI2889" t="s">
        <v>58</v>
      </c>
      <c r="AK2889">
        <v>0</v>
      </c>
      <c r="AM2889">
        <v>0</v>
      </c>
      <c r="AP2889" t="s">
        <v>59</v>
      </c>
    </row>
    <row r="2890" spans="1:42" customFormat="1">
      <c r="A2890">
        <v>271649</v>
      </c>
      <c r="B2890">
        <v>217231</v>
      </c>
      <c r="C2890" t="s">
        <v>5540</v>
      </c>
      <c r="D2890" s="22">
        <v>73</v>
      </c>
      <c r="E2890" s="17">
        <v>42153</v>
      </c>
      <c r="F2890" s="18">
        <v>0.66690972222222211</v>
      </c>
      <c r="G2890" s="22">
        <v>0</v>
      </c>
      <c r="H2890">
        <v>0</v>
      </c>
      <c r="I2890" s="19" t="e">
        <f>I2889 + (D2890-G2890)</f>
        <v>#VALUE!</v>
      </c>
      <c r="L2890">
        <v>217231</v>
      </c>
      <c r="N2890">
        <v>24</v>
      </c>
      <c r="O2890" t="s">
        <v>68</v>
      </c>
      <c r="P2890">
        <v>1</v>
      </c>
      <c r="R2890">
        <v>1385</v>
      </c>
      <c r="S2890" s="17">
        <v>42157</v>
      </c>
      <c r="T2890" s="17">
        <v>42157</v>
      </c>
      <c r="W2890">
        <v>2015</v>
      </c>
      <c r="X2890">
        <v>24</v>
      </c>
      <c r="AC2890" t="s">
        <v>1339</v>
      </c>
      <c r="AD2890" t="s">
        <v>302</v>
      </c>
      <c r="AE2890" t="s">
        <v>46</v>
      </c>
      <c r="AG2890">
        <v>56</v>
      </c>
      <c r="AH2890">
        <v>1</v>
      </c>
      <c r="AI2890" t="s">
        <v>58</v>
      </c>
      <c r="AK2890">
        <v>0</v>
      </c>
      <c r="AM2890">
        <v>0</v>
      </c>
      <c r="AP2890" t="s">
        <v>59</v>
      </c>
    </row>
    <row r="2891" spans="1:42" customFormat="1">
      <c r="A2891">
        <v>271650</v>
      </c>
      <c r="B2891">
        <v>217232</v>
      </c>
      <c r="C2891" t="s">
        <v>5541</v>
      </c>
      <c r="D2891" s="22">
        <v>73</v>
      </c>
      <c r="E2891" s="17">
        <v>42153</v>
      </c>
      <c r="F2891" s="18">
        <v>0.6672569444444445</v>
      </c>
      <c r="G2891" s="22">
        <v>0</v>
      </c>
      <c r="H2891">
        <v>0</v>
      </c>
      <c r="I2891" s="19" t="e">
        <f>I2890 + (D2891-G2891)</f>
        <v>#VALUE!</v>
      </c>
      <c r="L2891">
        <v>217232</v>
      </c>
      <c r="N2891">
        <v>24</v>
      </c>
      <c r="O2891" t="s">
        <v>68</v>
      </c>
      <c r="P2891">
        <v>1</v>
      </c>
      <c r="R2891">
        <v>1385</v>
      </c>
      <c r="S2891" s="17">
        <v>42157</v>
      </c>
      <c r="T2891" s="17">
        <v>42157</v>
      </c>
      <c r="W2891">
        <v>2015</v>
      </c>
      <c r="X2891">
        <v>24</v>
      </c>
      <c r="AC2891" t="s">
        <v>1339</v>
      </c>
      <c r="AD2891" t="s">
        <v>302</v>
      </c>
      <c r="AE2891" t="s">
        <v>46</v>
      </c>
      <c r="AG2891">
        <v>56</v>
      </c>
      <c r="AH2891">
        <v>1</v>
      </c>
      <c r="AI2891" t="s">
        <v>58</v>
      </c>
      <c r="AK2891">
        <v>0</v>
      </c>
      <c r="AM2891">
        <v>0</v>
      </c>
      <c r="AP2891" t="s">
        <v>59</v>
      </c>
    </row>
    <row r="2892" spans="1:42" customFormat="1">
      <c r="A2892">
        <v>271651</v>
      </c>
      <c r="B2892">
        <v>217233</v>
      </c>
      <c r="C2892" t="s">
        <v>5541</v>
      </c>
      <c r="D2892" s="22">
        <v>73</v>
      </c>
      <c r="E2892" s="17">
        <v>42153</v>
      </c>
      <c r="F2892" s="18">
        <v>0.6672569444444445</v>
      </c>
      <c r="G2892" s="22">
        <v>0</v>
      </c>
      <c r="H2892">
        <v>0</v>
      </c>
      <c r="I2892" s="19" t="e">
        <f>I2891 + (D2892-G2892)</f>
        <v>#VALUE!</v>
      </c>
      <c r="L2892">
        <v>217233</v>
      </c>
      <c r="N2892">
        <v>24</v>
      </c>
      <c r="O2892" t="s">
        <v>68</v>
      </c>
      <c r="P2892">
        <v>1</v>
      </c>
      <c r="R2892">
        <v>1385</v>
      </c>
      <c r="S2892" s="17">
        <v>42157</v>
      </c>
      <c r="T2892" s="17">
        <v>42157</v>
      </c>
      <c r="W2892">
        <v>2015</v>
      </c>
      <c r="X2892">
        <v>24</v>
      </c>
      <c r="AC2892" t="s">
        <v>1339</v>
      </c>
      <c r="AD2892" t="s">
        <v>302</v>
      </c>
      <c r="AE2892" t="s">
        <v>46</v>
      </c>
      <c r="AG2892">
        <v>56</v>
      </c>
      <c r="AH2892">
        <v>1</v>
      </c>
      <c r="AI2892" t="s">
        <v>58</v>
      </c>
      <c r="AK2892">
        <v>0</v>
      </c>
      <c r="AM2892">
        <v>0</v>
      </c>
      <c r="AP2892" t="s">
        <v>59</v>
      </c>
    </row>
    <row r="2893" spans="1:42" customFormat="1">
      <c r="A2893">
        <v>271652</v>
      </c>
      <c r="B2893">
        <v>217234</v>
      </c>
      <c r="C2893" t="s">
        <v>5542</v>
      </c>
      <c r="D2893" s="22">
        <v>86</v>
      </c>
      <c r="E2893" s="17">
        <v>42153</v>
      </c>
      <c r="F2893" s="18">
        <v>0.66767361111111112</v>
      </c>
      <c r="G2893" s="22">
        <v>0</v>
      </c>
      <c r="H2893">
        <v>0</v>
      </c>
      <c r="I2893" s="19" t="e">
        <f>I2892 + (D2893-G2893)</f>
        <v>#VALUE!</v>
      </c>
      <c r="L2893">
        <v>217234</v>
      </c>
      <c r="N2893">
        <v>24</v>
      </c>
      <c r="O2893" t="s">
        <v>68</v>
      </c>
      <c r="P2893">
        <v>1</v>
      </c>
      <c r="R2893">
        <v>1385</v>
      </c>
      <c r="S2893" s="17">
        <v>42157</v>
      </c>
      <c r="T2893" s="17">
        <v>42157</v>
      </c>
      <c r="W2893">
        <v>2015</v>
      </c>
      <c r="X2893">
        <v>24</v>
      </c>
      <c r="AC2893" t="s">
        <v>1339</v>
      </c>
      <c r="AD2893" t="s">
        <v>302</v>
      </c>
      <c r="AE2893" t="s">
        <v>46</v>
      </c>
      <c r="AG2893">
        <v>56</v>
      </c>
      <c r="AH2893">
        <v>1</v>
      </c>
      <c r="AI2893" t="s">
        <v>58</v>
      </c>
      <c r="AK2893">
        <v>0</v>
      </c>
      <c r="AM2893">
        <v>0</v>
      </c>
      <c r="AP2893" t="s">
        <v>59</v>
      </c>
    </row>
    <row r="2894" spans="1:42" customFormat="1">
      <c r="A2894">
        <v>271653</v>
      </c>
      <c r="B2894">
        <v>217235</v>
      </c>
      <c r="C2894" t="s">
        <v>5543</v>
      </c>
      <c r="D2894" s="22">
        <v>86</v>
      </c>
      <c r="E2894" s="17">
        <v>42153</v>
      </c>
      <c r="F2894" s="18">
        <v>0.66768518518518516</v>
      </c>
      <c r="G2894" s="22">
        <v>0</v>
      </c>
      <c r="H2894">
        <v>0</v>
      </c>
      <c r="I2894" s="19" t="e">
        <f>I2893 + (D2894-G2894)</f>
        <v>#VALUE!</v>
      </c>
      <c r="L2894">
        <v>217235</v>
      </c>
      <c r="N2894">
        <v>24</v>
      </c>
      <c r="O2894" t="s">
        <v>68</v>
      </c>
      <c r="P2894">
        <v>1</v>
      </c>
      <c r="R2894">
        <v>1385</v>
      </c>
      <c r="S2894" s="17">
        <v>42157</v>
      </c>
      <c r="T2894" s="17">
        <v>42157</v>
      </c>
      <c r="W2894">
        <v>2015</v>
      </c>
      <c r="X2894">
        <v>24</v>
      </c>
      <c r="AC2894" t="s">
        <v>1339</v>
      </c>
      <c r="AD2894" t="s">
        <v>302</v>
      </c>
      <c r="AE2894" t="s">
        <v>46</v>
      </c>
      <c r="AG2894">
        <v>56</v>
      </c>
      <c r="AH2894">
        <v>1</v>
      </c>
      <c r="AI2894" t="s">
        <v>58</v>
      </c>
      <c r="AK2894">
        <v>0</v>
      </c>
      <c r="AM2894">
        <v>0</v>
      </c>
      <c r="AP2894" t="s">
        <v>59</v>
      </c>
    </row>
    <row r="2895" spans="1:42" customFormat="1">
      <c r="A2895">
        <v>271654</v>
      </c>
      <c r="B2895">
        <v>217236</v>
      </c>
      <c r="C2895" t="s">
        <v>5544</v>
      </c>
      <c r="D2895" s="22">
        <v>86</v>
      </c>
      <c r="E2895" s="17">
        <v>42153</v>
      </c>
      <c r="F2895" s="18">
        <v>0.66768518518518516</v>
      </c>
      <c r="G2895" s="22">
        <v>0</v>
      </c>
      <c r="H2895">
        <v>0</v>
      </c>
      <c r="I2895" s="19" t="e">
        <f>I2894 + (D2895-G2895)</f>
        <v>#VALUE!</v>
      </c>
      <c r="L2895">
        <v>217236</v>
      </c>
      <c r="N2895">
        <v>24</v>
      </c>
      <c r="O2895" t="s">
        <v>68</v>
      </c>
      <c r="P2895">
        <v>1</v>
      </c>
      <c r="R2895">
        <v>1385</v>
      </c>
      <c r="S2895" s="17">
        <v>42157</v>
      </c>
      <c r="T2895" s="17">
        <v>42157</v>
      </c>
      <c r="W2895">
        <v>2015</v>
      </c>
      <c r="X2895">
        <v>24</v>
      </c>
      <c r="AC2895" t="s">
        <v>1339</v>
      </c>
      <c r="AD2895" t="s">
        <v>302</v>
      </c>
      <c r="AE2895" t="s">
        <v>46</v>
      </c>
      <c r="AG2895">
        <v>56</v>
      </c>
      <c r="AH2895">
        <v>1</v>
      </c>
      <c r="AI2895" t="s">
        <v>58</v>
      </c>
      <c r="AK2895">
        <v>0</v>
      </c>
      <c r="AM2895">
        <v>0</v>
      </c>
      <c r="AP2895" t="s">
        <v>59</v>
      </c>
    </row>
    <row r="2896" spans="1:42" customFormat="1">
      <c r="A2896">
        <v>271655</v>
      </c>
      <c r="B2896">
        <v>217237</v>
      </c>
      <c r="C2896" t="s">
        <v>4118</v>
      </c>
      <c r="D2896" s="22">
        <v>73</v>
      </c>
      <c r="E2896" s="17">
        <v>42153</v>
      </c>
      <c r="F2896" s="18">
        <v>0.66798611111111106</v>
      </c>
      <c r="G2896" s="22">
        <v>0</v>
      </c>
      <c r="H2896">
        <v>0</v>
      </c>
      <c r="I2896" s="19" t="e">
        <f>I2895 + (D2896-G2896)</f>
        <v>#VALUE!</v>
      </c>
      <c r="L2896">
        <v>217237</v>
      </c>
      <c r="N2896">
        <v>24</v>
      </c>
      <c r="O2896" t="s">
        <v>68</v>
      </c>
      <c r="P2896">
        <v>1</v>
      </c>
      <c r="R2896">
        <v>1385</v>
      </c>
      <c r="S2896" s="17">
        <v>42157</v>
      </c>
      <c r="T2896" s="17">
        <v>42157</v>
      </c>
      <c r="W2896">
        <v>2015</v>
      </c>
      <c r="X2896">
        <v>24</v>
      </c>
      <c r="AC2896" t="s">
        <v>1339</v>
      </c>
      <c r="AD2896" t="s">
        <v>302</v>
      </c>
      <c r="AE2896" t="s">
        <v>46</v>
      </c>
      <c r="AG2896">
        <v>56</v>
      </c>
      <c r="AH2896">
        <v>1</v>
      </c>
      <c r="AI2896" t="s">
        <v>58</v>
      </c>
      <c r="AK2896">
        <v>0</v>
      </c>
      <c r="AM2896">
        <v>0</v>
      </c>
      <c r="AP2896" t="s">
        <v>59</v>
      </c>
    </row>
    <row r="2897" spans="1:42" customFormat="1">
      <c r="A2897">
        <v>271656</v>
      </c>
      <c r="B2897">
        <v>217238</v>
      </c>
      <c r="C2897" t="s">
        <v>4118</v>
      </c>
      <c r="D2897" s="22">
        <v>73</v>
      </c>
      <c r="E2897" s="17">
        <v>42153</v>
      </c>
      <c r="F2897" s="18">
        <v>0.66799768518518521</v>
      </c>
      <c r="G2897" s="22">
        <v>0</v>
      </c>
      <c r="H2897">
        <v>0</v>
      </c>
      <c r="I2897" s="19" t="e">
        <f>I2896 + (D2897-G2897)</f>
        <v>#VALUE!</v>
      </c>
      <c r="L2897">
        <v>217238</v>
      </c>
      <c r="N2897">
        <v>24</v>
      </c>
      <c r="O2897" t="s">
        <v>68</v>
      </c>
      <c r="P2897">
        <v>1</v>
      </c>
      <c r="R2897">
        <v>1385</v>
      </c>
      <c r="S2897" s="17">
        <v>42157</v>
      </c>
      <c r="T2897" s="17">
        <v>42157</v>
      </c>
      <c r="W2897">
        <v>2015</v>
      </c>
      <c r="X2897">
        <v>24</v>
      </c>
      <c r="AC2897" t="s">
        <v>1339</v>
      </c>
      <c r="AD2897" t="s">
        <v>302</v>
      </c>
      <c r="AE2897" t="s">
        <v>46</v>
      </c>
      <c r="AG2897">
        <v>56</v>
      </c>
      <c r="AH2897">
        <v>1</v>
      </c>
      <c r="AI2897" t="s">
        <v>58</v>
      </c>
      <c r="AK2897">
        <v>0</v>
      </c>
      <c r="AM2897">
        <v>0</v>
      </c>
      <c r="AP2897" t="s">
        <v>59</v>
      </c>
    </row>
    <row r="2898" spans="1:42" customFormat="1">
      <c r="A2898">
        <v>271658</v>
      </c>
      <c r="B2898">
        <v>217240</v>
      </c>
      <c r="C2898" t="s">
        <v>5545</v>
      </c>
      <c r="D2898" s="22">
        <v>86</v>
      </c>
      <c r="E2898" s="17">
        <v>42153</v>
      </c>
      <c r="F2898" s="18">
        <v>0.66833333333333333</v>
      </c>
      <c r="G2898" s="22">
        <v>0</v>
      </c>
      <c r="H2898">
        <v>0</v>
      </c>
      <c r="I2898" s="19" t="e">
        <f>I2897 + (D2898-G2898)</f>
        <v>#VALUE!</v>
      </c>
      <c r="L2898">
        <v>217240</v>
      </c>
      <c r="N2898">
        <v>24</v>
      </c>
      <c r="O2898" t="s">
        <v>68</v>
      </c>
      <c r="P2898">
        <v>1</v>
      </c>
      <c r="R2898">
        <v>1385</v>
      </c>
      <c r="S2898" s="17">
        <v>42157</v>
      </c>
      <c r="T2898" s="17">
        <v>42157</v>
      </c>
      <c r="W2898">
        <v>2015</v>
      </c>
      <c r="X2898">
        <v>24</v>
      </c>
      <c r="AC2898" t="s">
        <v>1339</v>
      </c>
      <c r="AD2898" t="s">
        <v>302</v>
      </c>
      <c r="AE2898" t="s">
        <v>46</v>
      </c>
      <c r="AG2898">
        <v>56</v>
      </c>
      <c r="AH2898">
        <v>1</v>
      </c>
      <c r="AI2898" t="s">
        <v>58</v>
      </c>
      <c r="AK2898">
        <v>0</v>
      </c>
      <c r="AM2898">
        <v>0</v>
      </c>
      <c r="AP2898" t="s">
        <v>59</v>
      </c>
    </row>
    <row r="2899" spans="1:42" customFormat="1">
      <c r="A2899">
        <v>271659</v>
      </c>
      <c r="B2899">
        <v>217241</v>
      </c>
      <c r="C2899" t="s">
        <v>5546</v>
      </c>
      <c r="D2899" s="22">
        <v>86</v>
      </c>
      <c r="E2899" s="17">
        <v>42153</v>
      </c>
      <c r="F2899" s="18">
        <v>0.66833333333333333</v>
      </c>
      <c r="G2899" s="22">
        <v>0</v>
      </c>
      <c r="H2899">
        <v>0</v>
      </c>
      <c r="I2899" s="19" t="e">
        <f>I2898 + (D2899-G2899)</f>
        <v>#VALUE!</v>
      </c>
      <c r="L2899">
        <v>217241</v>
      </c>
      <c r="N2899">
        <v>24</v>
      </c>
      <c r="O2899" t="s">
        <v>68</v>
      </c>
      <c r="P2899">
        <v>1</v>
      </c>
      <c r="R2899">
        <v>1385</v>
      </c>
      <c r="S2899" s="17">
        <v>42157</v>
      </c>
      <c r="T2899" s="17">
        <v>42157</v>
      </c>
      <c r="W2899">
        <v>2015</v>
      </c>
      <c r="X2899">
        <v>24</v>
      </c>
      <c r="AC2899" t="s">
        <v>1339</v>
      </c>
      <c r="AD2899" t="s">
        <v>302</v>
      </c>
      <c r="AE2899" t="s">
        <v>46</v>
      </c>
      <c r="AG2899">
        <v>56</v>
      </c>
      <c r="AH2899">
        <v>1</v>
      </c>
      <c r="AI2899" t="s">
        <v>58</v>
      </c>
      <c r="AK2899">
        <v>0</v>
      </c>
      <c r="AM2899">
        <v>0</v>
      </c>
      <c r="AP2899" t="s">
        <v>59</v>
      </c>
    </row>
    <row r="2900" spans="1:42" customFormat="1">
      <c r="A2900">
        <v>271657</v>
      </c>
      <c r="B2900">
        <v>217239</v>
      </c>
      <c r="C2900" t="s">
        <v>5547</v>
      </c>
      <c r="D2900" s="22">
        <v>86</v>
      </c>
      <c r="E2900" s="17">
        <v>42153</v>
      </c>
      <c r="F2900" s="18">
        <v>0.66833333333333333</v>
      </c>
      <c r="G2900" s="22">
        <v>0</v>
      </c>
      <c r="H2900">
        <v>0</v>
      </c>
      <c r="I2900" s="19" t="e">
        <f>I2899 + (D2900-G2900)</f>
        <v>#VALUE!</v>
      </c>
      <c r="L2900">
        <v>217239</v>
      </c>
      <c r="N2900">
        <v>24</v>
      </c>
      <c r="O2900" t="s">
        <v>68</v>
      </c>
      <c r="P2900">
        <v>1</v>
      </c>
      <c r="R2900">
        <v>1385</v>
      </c>
      <c r="S2900" s="17">
        <v>42157</v>
      </c>
      <c r="T2900" s="17">
        <v>42157</v>
      </c>
      <c r="W2900">
        <v>2015</v>
      </c>
      <c r="X2900">
        <v>24</v>
      </c>
      <c r="AC2900" t="s">
        <v>1339</v>
      </c>
      <c r="AD2900" t="s">
        <v>302</v>
      </c>
      <c r="AE2900" t="s">
        <v>46</v>
      </c>
      <c r="AG2900">
        <v>56</v>
      </c>
      <c r="AH2900">
        <v>1</v>
      </c>
      <c r="AI2900" t="s">
        <v>58</v>
      </c>
      <c r="AK2900">
        <v>0</v>
      </c>
      <c r="AM2900">
        <v>0</v>
      </c>
      <c r="AP2900" t="s">
        <v>59</v>
      </c>
    </row>
    <row r="2901" spans="1:42" customFormat="1">
      <c r="A2901">
        <v>271660</v>
      </c>
      <c r="B2901">
        <v>217242</v>
      </c>
      <c r="C2901" t="s">
        <v>5548</v>
      </c>
      <c r="D2901" s="22">
        <v>73</v>
      </c>
      <c r="E2901" s="17">
        <v>42153</v>
      </c>
      <c r="F2901" s="18">
        <v>0.66862268518518519</v>
      </c>
      <c r="G2901" s="22">
        <v>0</v>
      </c>
      <c r="H2901">
        <v>0</v>
      </c>
      <c r="I2901" s="19" t="e">
        <f>I2900 + (D2901-G2901)</f>
        <v>#VALUE!</v>
      </c>
      <c r="L2901">
        <v>217242</v>
      </c>
      <c r="N2901">
        <v>24</v>
      </c>
      <c r="O2901" t="s">
        <v>68</v>
      </c>
      <c r="P2901">
        <v>1</v>
      </c>
      <c r="R2901">
        <v>1385</v>
      </c>
      <c r="S2901" s="17">
        <v>42157</v>
      </c>
      <c r="T2901" s="17">
        <v>42157</v>
      </c>
      <c r="W2901">
        <v>2015</v>
      </c>
      <c r="X2901">
        <v>24</v>
      </c>
      <c r="AC2901" t="s">
        <v>1339</v>
      </c>
      <c r="AD2901" t="s">
        <v>302</v>
      </c>
      <c r="AE2901" t="s">
        <v>46</v>
      </c>
      <c r="AG2901">
        <v>56</v>
      </c>
      <c r="AH2901">
        <v>1</v>
      </c>
      <c r="AI2901" t="s">
        <v>58</v>
      </c>
      <c r="AK2901">
        <v>0</v>
      </c>
      <c r="AM2901">
        <v>0</v>
      </c>
      <c r="AP2901" t="s">
        <v>59</v>
      </c>
    </row>
    <row r="2902" spans="1:42" customFormat="1">
      <c r="A2902">
        <v>271661</v>
      </c>
      <c r="B2902">
        <v>217243</v>
      </c>
      <c r="C2902" t="s">
        <v>5548</v>
      </c>
      <c r="D2902" s="22">
        <v>73</v>
      </c>
      <c r="E2902" s="17">
        <v>42153</v>
      </c>
      <c r="F2902" s="18">
        <v>0.66863425925925923</v>
      </c>
      <c r="G2902" s="22">
        <v>0</v>
      </c>
      <c r="H2902">
        <v>0</v>
      </c>
      <c r="I2902" s="19" t="e">
        <f>I2901 + (D2902-G2902)</f>
        <v>#VALUE!</v>
      </c>
      <c r="L2902">
        <v>217243</v>
      </c>
      <c r="N2902">
        <v>24</v>
      </c>
      <c r="O2902" t="s">
        <v>68</v>
      </c>
      <c r="P2902">
        <v>1</v>
      </c>
      <c r="R2902">
        <v>1385</v>
      </c>
      <c r="S2902" s="17">
        <v>42157</v>
      </c>
      <c r="T2902" s="17">
        <v>42157</v>
      </c>
      <c r="W2902">
        <v>2015</v>
      </c>
      <c r="X2902">
        <v>24</v>
      </c>
      <c r="AC2902" t="s">
        <v>1339</v>
      </c>
      <c r="AD2902" t="s">
        <v>302</v>
      </c>
      <c r="AE2902" t="s">
        <v>46</v>
      </c>
      <c r="AG2902">
        <v>56</v>
      </c>
      <c r="AH2902">
        <v>1</v>
      </c>
      <c r="AI2902" t="s">
        <v>58</v>
      </c>
      <c r="AK2902">
        <v>0</v>
      </c>
      <c r="AM2902">
        <v>0</v>
      </c>
      <c r="AP2902" t="s">
        <v>59</v>
      </c>
    </row>
    <row r="2903" spans="1:42" customFormat="1">
      <c r="A2903">
        <v>271663</v>
      </c>
      <c r="B2903">
        <v>217245</v>
      </c>
      <c r="C2903" t="s">
        <v>5549</v>
      </c>
      <c r="D2903" s="22">
        <v>86</v>
      </c>
      <c r="E2903" s="17">
        <v>42153</v>
      </c>
      <c r="F2903" s="18">
        <v>0.67075231481481479</v>
      </c>
      <c r="G2903" s="22">
        <v>0</v>
      </c>
      <c r="H2903">
        <v>0</v>
      </c>
      <c r="I2903" s="19" t="e">
        <f>I2902 + (D2903-G2903)</f>
        <v>#VALUE!</v>
      </c>
      <c r="L2903">
        <v>217245</v>
      </c>
      <c r="N2903">
        <v>24</v>
      </c>
      <c r="O2903" t="s">
        <v>68</v>
      </c>
      <c r="P2903">
        <v>1</v>
      </c>
      <c r="R2903">
        <v>1385</v>
      </c>
      <c r="S2903" s="17">
        <v>42157</v>
      </c>
      <c r="T2903" s="17">
        <v>42157</v>
      </c>
      <c r="W2903">
        <v>2015</v>
      </c>
      <c r="X2903">
        <v>24</v>
      </c>
      <c r="AC2903" t="s">
        <v>1339</v>
      </c>
      <c r="AD2903" t="s">
        <v>302</v>
      </c>
      <c r="AE2903" t="s">
        <v>46</v>
      </c>
      <c r="AG2903">
        <v>56</v>
      </c>
      <c r="AH2903">
        <v>1</v>
      </c>
      <c r="AI2903" t="s">
        <v>58</v>
      </c>
      <c r="AK2903">
        <v>0</v>
      </c>
      <c r="AM2903">
        <v>0</v>
      </c>
      <c r="AP2903" t="s">
        <v>59</v>
      </c>
    </row>
    <row r="2904" spans="1:42" customFormat="1">
      <c r="A2904">
        <v>271664</v>
      </c>
      <c r="B2904">
        <v>217246</v>
      </c>
      <c r="C2904" t="s">
        <v>5550</v>
      </c>
      <c r="D2904" s="22">
        <v>86</v>
      </c>
      <c r="E2904" s="17">
        <v>42153</v>
      </c>
      <c r="F2904" s="18">
        <v>0.67075231481481479</v>
      </c>
      <c r="G2904" s="22">
        <v>0</v>
      </c>
      <c r="H2904">
        <v>0</v>
      </c>
      <c r="I2904" s="19" t="e">
        <f>I2903 + (D2904-G2904)</f>
        <v>#VALUE!</v>
      </c>
      <c r="L2904">
        <v>217246</v>
      </c>
      <c r="N2904">
        <v>24</v>
      </c>
      <c r="O2904" t="s">
        <v>68</v>
      </c>
      <c r="P2904">
        <v>1</v>
      </c>
      <c r="R2904">
        <v>1385</v>
      </c>
      <c r="S2904" s="17">
        <v>42157</v>
      </c>
      <c r="T2904" s="17">
        <v>42157</v>
      </c>
      <c r="W2904">
        <v>2015</v>
      </c>
      <c r="X2904">
        <v>24</v>
      </c>
      <c r="AC2904" t="s">
        <v>1339</v>
      </c>
      <c r="AD2904" t="s">
        <v>302</v>
      </c>
      <c r="AE2904" t="s">
        <v>46</v>
      </c>
      <c r="AG2904">
        <v>56</v>
      </c>
      <c r="AH2904">
        <v>1</v>
      </c>
      <c r="AI2904" t="s">
        <v>58</v>
      </c>
      <c r="AK2904">
        <v>0</v>
      </c>
      <c r="AM2904">
        <v>0</v>
      </c>
      <c r="AP2904" t="s">
        <v>59</v>
      </c>
    </row>
    <row r="2905" spans="1:42" customFormat="1">
      <c r="A2905">
        <v>271662</v>
      </c>
      <c r="B2905">
        <v>217244</v>
      </c>
      <c r="C2905" t="s">
        <v>5551</v>
      </c>
      <c r="D2905" s="22">
        <v>86</v>
      </c>
      <c r="E2905" s="17">
        <v>42153</v>
      </c>
      <c r="F2905" s="18">
        <v>0.67075231481481479</v>
      </c>
      <c r="G2905" s="22">
        <v>0</v>
      </c>
      <c r="H2905">
        <v>0</v>
      </c>
      <c r="I2905" s="19" t="e">
        <f>I2904 + (D2905-G2905)</f>
        <v>#VALUE!</v>
      </c>
      <c r="L2905">
        <v>217244</v>
      </c>
      <c r="N2905">
        <v>24</v>
      </c>
      <c r="O2905" t="s">
        <v>68</v>
      </c>
      <c r="P2905">
        <v>1</v>
      </c>
      <c r="R2905">
        <v>1385</v>
      </c>
      <c r="S2905" s="17">
        <v>42157</v>
      </c>
      <c r="T2905" s="17">
        <v>42157</v>
      </c>
      <c r="W2905">
        <v>2015</v>
      </c>
      <c r="X2905">
        <v>24</v>
      </c>
      <c r="AC2905" t="s">
        <v>1339</v>
      </c>
      <c r="AD2905" t="s">
        <v>302</v>
      </c>
      <c r="AE2905" t="s">
        <v>46</v>
      </c>
      <c r="AG2905">
        <v>56</v>
      </c>
      <c r="AH2905">
        <v>1</v>
      </c>
      <c r="AI2905" t="s">
        <v>58</v>
      </c>
      <c r="AK2905">
        <v>0</v>
      </c>
      <c r="AM2905">
        <v>0</v>
      </c>
      <c r="AP2905" t="s">
        <v>59</v>
      </c>
    </row>
    <row r="2906" spans="1:42" customFormat="1">
      <c r="A2906">
        <v>271665</v>
      </c>
      <c r="B2906">
        <v>217247</v>
      </c>
      <c r="C2906" t="s">
        <v>5552</v>
      </c>
      <c r="D2906" s="22">
        <v>73</v>
      </c>
      <c r="E2906" s="17">
        <v>42153</v>
      </c>
      <c r="F2906" s="18">
        <v>0.67118055555555556</v>
      </c>
      <c r="G2906" s="22">
        <v>0</v>
      </c>
      <c r="H2906">
        <v>0</v>
      </c>
      <c r="I2906" s="19" t="e">
        <f>I2905 + (D2906-G2906)</f>
        <v>#VALUE!</v>
      </c>
      <c r="L2906">
        <v>217247</v>
      </c>
      <c r="N2906">
        <v>24</v>
      </c>
      <c r="O2906" t="s">
        <v>68</v>
      </c>
      <c r="P2906">
        <v>1</v>
      </c>
      <c r="R2906">
        <v>1385</v>
      </c>
      <c r="S2906" s="17">
        <v>42157</v>
      </c>
      <c r="T2906" s="17">
        <v>42157</v>
      </c>
      <c r="W2906">
        <v>2015</v>
      </c>
      <c r="X2906">
        <v>24</v>
      </c>
      <c r="AC2906" t="s">
        <v>1339</v>
      </c>
      <c r="AD2906" t="s">
        <v>302</v>
      </c>
      <c r="AE2906" t="s">
        <v>46</v>
      </c>
      <c r="AG2906">
        <v>56</v>
      </c>
      <c r="AH2906">
        <v>1</v>
      </c>
      <c r="AI2906" t="s">
        <v>58</v>
      </c>
      <c r="AK2906">
        <v>0</v>
      </c>
      <c r="AM2906">
        <v>0</v>
      </c>
      <c r="AP2906" t="s">
        <v>59</v>
      </c>
    </row>
    <row r="2907" spans="1:42" customFormat="1">
      <c r="A2907">
        <v>271666</v>
      </c>
      <c r="B2907">
        <v>217248</v>
      </c>
      <c r="C2907" t="s">
        <v>5552</v>
      </c>
      <c r="D2907" s="22">
        <v>73</v>
      </c>
      <c r="E2907" s="17">
        <v>42153</v>
      </c>
      <c r="F2907" s="18">
        <v>0.6711921296296296</v>
      </c>
      <c r="G2907" s="22">
        <v>0</v>
      </c>
      <c r="H2907">
        <v>0</v>
      </c>
      <c r="I2907" s="19" t="e">
        <f>I2906 + (D2907-G2907)</f>
        <v>#VALUE!</v>
      </c>
      <c r="L2907">
        <v>217248</v>
      </c>
      <c r="N2907">
        <v>24</v>
      </c>
      <c r="O2907" t="s">
        <v>68</v>
      </c>
      <c r="P2907">
        <v>1</v>
      </c>
      <c r="R2907">
        <v>1385</v>
      </c>
      <c r="S2907" s="17">
        <v>42157</v>
      </c>
      <c r="T2907" s="17">
        <v>42157</v>
      </c>
      <c r="W2907">
        <v>2015</v>
      </c>
      <c r="X2907">
        <v>24</v>
      </c>
      <c r="AC2907" t="s">
        <v>1339</v>
      </c>
      <c r="AD2907" t="s">
        <v>302</v>
      </c>
      <c r="AE2907" t="s">
        <v>46</v>
      </c>
      <c r="AG2907">
        <v>56</v>
      </c>
      <c r="AH2907">
        <v>1</v>
      </c>
      <c r="AI2907" t="s">
        <v>58</v>
      </c>
      <c r="AK2907">
        <v>0</v>
      </c>
      <c r="AM2907">
        <v>0</v>
      </c>
      <c r="AP2907" t="s">
        <v>59</v>
      </c>
    </row>
    <row r="2908" spans="1:42" customFormat="1">
      <c r="A2908">
        <v>271668</v>
      </c>
      <c r="B2908">
        <v>217250</v>
      </c>
      <c r="C2908" t="s">
        <v>5553</v>
      </c>
      <c r="D2908" s="22">
        <v>73</v>
      </c>
      <c r="E2908" s="17">
        <v>42153</v>
      </c>
      <c r="F2908" s="18">
        <v>0.67151620370370368</v>
      </c>
      <c r="G2908" s="22">
        <v>0</v>
      </c>
      <c r="H2908">
        <v>0</v>
      </c>
      <c r="I2908" s="19" t="e">
        <f>I2907 + (D2908-G2908)</f>
        <v>#VALUE!</v>
      </c>
      <c r="L2908">
        <v>217250</v>
      </c>
      <c r="N2908">
        <v>24</v>
      </c>
      <c r="O2908" t="s">
        <v>68</v>
      </c>
      <c r="P2908">
        <v>1</v>
      </c>
      <c r="R2908">
        <v>1385</v>
      </c>
      <c r="S2908" s="17">
        <v>42157</v>
      </c>
      <c r="T2908" s="17">
        <v>42157</v>
      </c>
      <c r="W2908">
        <v>2015</v>
      </c>
      <c r="X2908">
        <v>24</v>
      </c>
      <c r="AC2908" t="s">
        <v>1339</v>
      </c>
      <c r="AD2908" t="s">
        <v>302</v>
      </c>
      <c r="AE2908" t="s">
        <v>46</v>
      </c>
      <c r="AG2908">
        <v>56</v>
      </c>
      <c r="AH2908">
        <v>1</v>
      </c>
      <c r="AI2908" t="s">
        <v>58</v>
      </c>
      <c r="AK2908">
        <v>0</v>
      </c>
      <c r="AM2908">
        <v>0</v>
      </c>
      <c r="AP2908" t="s">
        <v>59</v>
      </c>
    </row>
    <row r="2909" spans="1:42" customFormat="1">
      <c r="A2909">
        <v>271667</v>
      </c>
      <c r="B2909">
        <v>217249</v>
      </c>
      <c r="C2909" t="s">
        <v>5553</v>
      </c>
      <c r="D2909" s="22">
        <v>73</v>
      </c>
      <c r="E2909" s="17">
        <v>42153</v>
      </c>
      <c r="F2909" s="18">
        <v>0.67151620370370368</v>
      </c>
      <c r="G2909" s="22">
        <v>0</v>
      </c>
      <c r="H2909">
        <v>0</v>
      </c>
      <c r="I2909" s="19" t="e">
        <f>I2908 + (D2909-G2909)</f>
        <v>#VALUE!</v>
      </c>
      <c r="L2909">
        <v>217249</v>
      </c>
      <c r="N2909">
        <v>24</v>
      </c>
      <c r="O2909" t="s">
        <v>68</v>
      </c>
      <c r="P2909">
        <v>1</v>
      </c>
      <c r="R2909">
        <v>1385</v>
      </c>
      <c r="S2909" s="17">
        <v>42157</v>
      </c>
      <c r="T2909" s="17">
        <v>42157</v>
      </c>
      <c r="W2909">
        <v>2015</v>
      </c>
      <c r="X2909">
        <v>24</v>
      </c>
      <c r="AC2909" t="s">
        <v>1339</v>
      </c>
      <c r="AD2909" t="s">
        <v>302</v>
      </c>
      <c r="AE2909" t="s">
        <v>46</v>
      </c>
      <c r="AG2909">
        <v>56</v>
      </c>
      <c r="AH2909">
        <v>1</v>
      </c>
      <c r="AI2909" t="s">
        <v>58</v>
      </c>
      <c r="AK2909">
        <v>0</v>
      </c>
      <c r="AM2909">
        <v>0</v>
      </c>
      <c r="AP2909" t="s">
        <v>59</v>
      </c>
    </row>
    <row r="2910" spans="1:42" customFormat="1">
      <c r="A2910">
        <v>271669</v>
      </c>
      <c r="B2910">
        <v>217251</v>
      </c>
      <c r="C2910" t="s">
        <v>4123</v>
      </c>
      <c r="D2910" s="22">
        <v>73</v>
      </c>
      <c r="E2910" s="17">
        <v>42153</v>
      </c>
      <c r="F2910" s="18">
        <v>0.67179398148148151</v>
      </c>
      <c r="G2910" s="22">
        <v>0</v>
      </c>
      <c r="H2910">
        <v>0</v>
      </c>
      <c r="I2910" s="19" t="e">
        <f>I2909 + (D2910-G2910)</f>
        <v>#VALUE!</v>
      </c>
      <c r="L2910">
        <v>217251</v>
      </c>
      <c r="N2910">
        <v>24</v>
      </c>
      <c r="O2910" t="s">
        <v>68</v>
      </c>
      <c r="P2910">
        <v>1</v>
      </c>
      <c r="R2910">
        <v>1385</v>
      </c>
      <c r="S2910" s="17">
        <v>42157</v>
      </c>
      <c r="T2910" s="17">
        <v>42157</v>
      </c>
      <c r="W2910">
        <v>2015</v>
      </c>
      <c r="X2910">
        <v>24</v>
      </c>
      <c r="AC2910" t="s">
        <v>1339</v>
      </c>
      <c r="AD2910" t="s">
        <v>302</v>
      </c>
      <c r="AE2910" t="s">
        <v>46</v>
      </c>
      <c r="AG2910">
        <v>56</v>
      </c>
      <c r="AH2910">
        <v>1</v>
      </c>
      <c r="AI2910" t="s">
        <v>58</v>
      </c>
      <c r="AK2910">
        <v>0</v>
      </c>
      <c r="AM2910">
        <v>0</v>
      </c>
      <c r="AP2910" t="s">
        <v>59</v>
      </c>
    </row>
    <row r="2911" spans="1:42" customFormat="1">
      <c r="A2911">
        <v>271670</v>
      </c>
      <c r="B2911">
        <v>217252</v>
      </c>
      <c r="C2911" t="s">
        <v>4123</v>
      </c>
      <c r="D2911" s="22">
        <v>73</v>
      </c>
      <c r="E2911" s="17">
        <v>42153</v>
      </c>
      <c r="F2911" s="18">
        <v>0.67179398148148151</v>
      </c>
      <c r="G2911" s="22">
        <v>0</v>
      </c>
      <c r="H2911">
        <v>0</v>
      </c>
      <c r="I2911" s="19" t="e">
        <f>I2910 + (D2911-G2911)</f>
        <v>#VALUE!</v>
      </c>
      <c r="L2911">
        <v>217252</v>
      </c>
      <c r="N2911">
        <v>24</v>
      </c>
      <c r="O2911" t="s">
        <v>68</v>
      </c>
      <c r="P2911">
        <v>1</v>
      </c>
      <c r="R2911">
        <v>1385</v>
      </c>
      <c r="S2911" s="17">
        <v>42157</v>
      </c>
      <c r="T2911" s="17">
        <v>42157</v>
      </c>
      <c r="W2911">
        <v>2015</v>
      </c>
      <c r="X2911">
        <v>24</v>
      </c>
      <c r="AC2911" t="s">
        <v>1339</v>
      </c>
      <c r="AD2911" t="s">
        <v>302</v>
      </c>
      <c r="AE2911" t="s">
        <v>46</v>
      </c>
      <c r="AG2911">
        <v>56</v>
      </c>
      <c r="AH2911">
        <v>1</v>
      </c>
      <c r="AI2911" t="s">
        <v>58</v>
      </c>
      <c r="AK2911">
        <v>0</v>
      </c>
      <c r="AM2911">
        <v>0</v>
      </c>
      <c r="AP2911" t="s">
        <v>59</v>
      </c>
    </row>
    <row r="2912" spans="1:42" customFormat="1">
      <c r="A2912">
        <v>271671</v>
      </c>
      <c r="B2912">
        <v>217253</v>
      </c>
      <c r="C2912" t="s">
        <v>5554</v>
      </c>
      <c r="D2912" s="22">
        <v>73</v>
      </c>
      <c r="E2912" s="17">
        <v>42153</v>
      </c>
      <c r="F2912" s="18">
        <v>0.67207175925925933</v>
      </c>
      <c r="G2912" s="22">
        <v>0</v>
      </c>
      <c r="H2912">
        <v>0</v>
      </c>
      <c r="I2912" s="19" t="e">
        <f>I2911 + (D2912-G2912)</f>
        <v>#VALUE!</v>
      </c>
      <c r="L2912">
        <v>217253</v>
      </c>
      <c r="N2912">
        <v>24</v>
      </c>
      <c r="O2912" t="s">
        <v>68</v>
      </c>
      <c r="P2912">
        <v>1</v>
      </c>
      <c r="R2912">
        <v>1385</v>
      </c>
      <c r="S2912" s="17">
        <v>42157</v>
      </c>
      <c r="T2912" s="17">
        <v>42157</v>
      </c>
      <c r="W2912">
        <v>2015</v>
      </c>
      <c r="X2912">
        <v>24</v>
      </c>
      <c r="AC2912" t="s">
        <v>1339</v>
      </c>
      <c r="AD2912" t="s">
        <v>302</v>
      </c>
      <c r="AE2912" t="s">
        <v>46</v>
      </c>
      <c r="AG2912">
        <v>56</v>
      </c>
      <c r="AH2912">
        <v>1</v>
      </c>
      <c r="AI2912" t="s">
        <v>58</v>
      </c>
      <c r="AK2912">
        <v>0</v>
      </c>
      <c r="AM2912">
        <v>0</v>
      </c>
      <c r="AP2912" t="s">
        <v>59</v>
      </c>
    </row>
    <row r="2913" spans="1:42" customFormat="1">
      <c r="A2913">
        <v>271672</v>
      </c>
      <c r="B2913">
        <v>217254</v>
      </c>
      <c r="C2913" t="s">
        <v>5554</v>
      </c>
      <c r="D2913" s="22">
        <v>73</v>
      </c>
      <c r="E2913" s="17">
        <v>42153</v>
      </c>
      <c r="F2913" s="18">
        <v>0.67207175925925933</v>
      </c>
      <c r="G2913" s="22">
        <v>0</v>
      </c>
      <c r="H2913">
        <v>0</v>
      </c>
      <c r="I2913" s="19" t="e">
        <f>I2912 + (D2913-G2913)</f>
        <v>#VALUE!</v>
      </c>
      <c r="L2913">
        <v>217254</v>
      </c>
      <c r="N2913">
        <v>24</v>
      </c>
      <c r="O2913" t="s">
        <v>68</v>
      </c>
      <c r="P2913">
        <v>1</v>
      </c>
      <c r="R2913">
        <v>1385</v>
      </c>
      <c r="S2913" s="17">
        <v>42157</v>
      </c>
      <c r="T2913" s="17">
        <v>42157</v>
      </c>
      <c r="W2913">
        <v>2015</v>
      </c>
      <c r="X2913">
        <v>24</v>
      </c>
      <c r="AC2913" t="s">
        <v>1339</v>
      </c>
      <c r="AD2913" t="s">
        <v>302</v>
      </c>
      <c r="AE2913" t="s">
        <v>46</v>
      </c>
      <c r="AG2913">
        <v>56</v>
      </c>
      <c r="AH2913">
        <v>1</v>
      </c>
      <c r="AI2913" t="s">
        <v>58</v>
      </c>
      <c r="AK2913">
        <v>0</v>
      </c>
      <c r="AM2913">
        <v>0</v>
      </c>
      <c r="AP2913" t="s">
        <v>59</v>
      </c>
    </row>
    <row r="2914" spans="1:42" customFormat="1">
      <c r="A2914">
        <v>271673</v>
      </c>
      <c r="B2914">
        <v>217255</v>
      </c>
      <c r="C2914" t="s">
        <v>5555</v>
      </c>
      <c r="D2914" s="22">
        <v>73</v>
      </c>
      <c r="E2914" s="17">
        <v>42153</v>
      </c>
      <c r="F2914" s="18">
        <v>0.67241898148148149</v>
      </c>
      <c r="G2914" s="22">
        <v>0</v>
      </c>
      <c r="H2914">
        <v>0</v>
      </c>
      <c r="I2914" s="19" t="e">
        <f>I2913 + (D2914-G2914)</f>
        <v>#VALUE!</v>
      </c>
      <c r="L2914">
        <v>217255</v>
      </c>
      <c r="N2914">
        <v>24</v>
      </c>
      <c r="O2914" t="s">
        <v>68</v>
      </c>
      <c r="P2914">
        <v>1</v>
      </c>
      <c r="R2914">
        <v>1385</v>
      </c>
      <c r="S2914" s="17">
        <v>42157</v>
      </c>
      <c r="T2914" s="17">
        <v>42157</v>
      </c>
      <c r="W2914">
        <v>2015</v>
      </c>
      <c r="X2914">
        <v>24</v>
      </c>
      <c r="AC2914" t="s">
        <v>1339</v>
      </c>
      <c r="AD2914" t="s">
        <v>302</v>
      </c>
      <c r="AE2914" t="s">
        <v>46</v>
      </c>
      <c r="AG2914">
        <v>56</v>
      </c>
      <c r="AH2914">
        <v>1</v>
      </c>
      <c r="AI2914" t="s">
        <v>58</v>
      </c>
      <c r="AK2914">
        <v>0</v>
      </c>
      <c r="AM2914">
        <v>0</v>
      </c>
      <c r="AP2914" t="s">
        <v>59</v>
      </c>
    </row>
    <row r="2915" spans="1:42" customFormat="1">
      <c r="A2915">
        <v>271674</v>
      </c>
      <c r="B2915">
        <v>217256</v>
      </c>
      <c r="C2915" t="s">
        <v>5555</v>
      </c>
      <c r="D2915" s="22">
        <v>73</v>
      </c>
      <c r="E2915" s="17">
        <v>42153</v>
      </c>
      <c r="F2915" s="18">
        <v>0.67241898148148149</v>
      </c>
      <c r="G2915" s="22">
        <v>0</v>
      </c>
      <c r="H2915">
        <v>0</v>
      </c>
      <c r="I2915" s="19" t="e">
        <f>I2914 + (D2915-G2915)</f>
        <v>#VALUE!</v>
      </c>
      <c r="L2915">
        <v>217256</v>
      </c>
      <c r="N2915">
        <v>24</v>
      </c>
      <c r="O2915" t="s">
        <v>68</v>
      </c>
      <c r="P2915">
        <v>1</v>
      </c>
      <c r="R2915">
        <v>1385</v>
      </c>
      <c r="S2915" s="17">
        <v>42157</v>
      </c>
      <c r="T2915" s="17">
        <v>42157</v>
      </c>
      <c r="W2915">
        <v>2015</v>
      </c>
      <c r="X2915">
        <v>24</v>
      </c>
      <c r="AC2915" t="s">
        <v>1339</v>
      </c>
      <c r="AD2915" t="s">
        <v>302</v>
      </c>
      <c r="AE2915" t="s">
        <v>46</v>
      </c>
      <c r="AG2915">
        <v>56</v>
      </c>
      <c r="AH2915">
        <v>1</v>
      </c>
      <c r="AI2915" t="s">
        <v>58</v>
      </c>
      <c r="AK2915">
        <v>0</v>
      </c>
      <c r="AM2915">
        <v>0</v>
      </c>
      <c r="AP2915" t="s">
        <v>59</v>
      </c>
    </row>
    <row r="2916" spans="1:42" customFormat="1">
      <c r="A2916">
        <v>270947</v>
      </c>
      <c r="B2916" t="s">
        <v>3832</v>
      </c>
      <c r="C2916" t="s">
        <v>3833</v>
      </c>
      <c r="D2916" s="22">
        <v>0</v>
      </c>
      <c r="E2916" s="17">
        <v>42144</v>
      </c>
      <c r="F2916" s="18">
        <v>0.41745370370370366</v>
      </c>
      <c r="G2916" s="22">
        <v>200</v>
      </c>
      <c r="H2916">
        <v>0</v>
      </c>
      <c r="I2916" s="19" t="e">
        <f>I2915 + (D2916-G2916)</f>
        <v>#VALUE!</v>
      </c>
      <c r="M2916">
        <v>123991</v>
      </c>
      <c r="N2916">
        <v>7</v>
      </c>
      <c r="O2916" t="s">
        <v>44</v>
      </c>
      <c r="P2916">
        <v>2</v>
      </c>
      <c r="R2916">
        <v>1514</v>
      </c>
      <c r="S2916" s="17">
        <v>42149</v>
      </c>
      <c r="T2916" s="17">
        <v>42149</v>
      </c>
      <c r="W2916">
        <v>2015</v>
      </c>
      <c r="X2916">
        <v>7</v>
      </c>
      <c r="AC2916" t="s">
        <v>204</v>
      </c>
      <c r="AD2916" t="s">
        <v>302</v>
      </c>
      <c r="AE2916" t="s">
        <v>46</v>
      </c>
      <c r="AG2916">
        <v>5</v>
      </c>
      <c r="AH2916">
        <v>9</v>
      </c>
      <c r="AI2916" t="s">
        <v>54</v>
      </c>
      <c r="AK2916">
        <v>0</v>
      </c>
      <c r="AM2916">
        <v>0</v>
      </c>
      <c r="AP2916" t="s">
        <v>312</v>
      </c>
    </row>
    <row r="2917" spans="1:42" customFormat="1">
      <c r="A2917">
        <v>273988</v>
      </c>
      <c r="B2917" t="s">
        <v>4634</v>
      </c>
      <c r="C2917" t="s">
        <v>4635</v>
      </c>
      <c r="D2917" s="22">
        <v>0</v>
      </c>
      <c r="E2917" s="17">
        <v>42149</v>
      </c>
      <c r="F2917" s="18">
        <v>0.69388888888888889</v>
      </c>
      <c r="G2917" s="22">
        <v>200</v>
      </c>
      <c r="H2917">
        <v>0</v>
      </c>
      <c r="I2917" s="19" t="e">
        <f>I2916 + (D2917-G2917)</f>
        <v>#VALUE!</v>
      </c>
      <c r="M2917">
        <v>126802</v>
      </c>
      <c r="N2917">
        <v>24</v>
      </c>
      <c r="O2917" t="s">
        <v>68</v>
      </c>
      <c r="P2917">
        <v>1</v>
      </c>
      <c r="R2917">
        <v>1514</v>
      </c>
      <c r="S2917" s="17">
        <v>42179</v>
      </c>
      <c r="T2917" s="17">
        <v>42179</v>
      </c>
      <c r="W2917">
        <v>2015</v>
      </c>
      <c r="X2917">
        <v>24</v>
      </c>
      <c r="AC2917" t="s">
        <v>204</v>
      </c>
      <c r="AD2917" t="s">
        <v>302</v>
      </c>
      <c r="AE2917" t="s">
        <v>46</v>
      </c>
      <c r="AG2917">
        <v>5</v>
      </c>
      <c r="AH2917">
        <v>9</v>
      </c>
      <c r="AI2917" t="s">
        <v>54</v>
      </c>
      <c r="AK2917">
        <v>0</v>
      </c>
      <c r="AM2917">
        <v>0</v>
      </c>
      <c r="AP2917" t="s">
        <v>312</v>
      </c>
    </row>
    <row r="2918" spans="1:42" customFormat="1">
      <c r="A2918">
        <v>273987</v>
      </c>
      <c r="B2918" t="s">
        <v>4636</v>
      </c>
      <c r="C2918" t="s">
        <v>4637</v>
      </c>
      <c r="D2918" s="22">
        <v>0</v>
      </c>
      <c r="E2918" s="17">
        <v>42149</v>
      </c>
      <c r="F2918" s="18">
        <v>0.69388888888888889</v>
      </c>
      <c r="G2918" s="22">
        <v>200</v>
      </c>
      <c r="H2918">
        <v>0</v>
      </c>
      <c r="I2918" s="19" t="e">
        <f>I2917 + (D2918-G2918)</f>
        <v>#VALUE!</v>
      </c>
      <c r="M2918">
        <v>126718</v>
      </c>
      <c r="N2918">
        <v>24</v>
      </c>
      <c r="O2918" t="s">
        <v>68</v>
      </c>
      <c r="P2918">
        <v>1</v>
      </c>
      <c r="R2918">
        <v>1514</v>
      </c>
      <c r="S2918" s="17">
        <v>42179</v>
      </c>
      <c r="T2918" s="17">
        <v>42179</v>
      </c>
      <c r="W2918">
        <v>2015</v>
      </c>
      <c r="X2918">
        <v>24</v>
      </c>
      <c r="AC2918" t="s">
        <v>204</v>
      </c>
      <c r="AD2918" t="s">
        <v>302</v>
      </c>
      <c r="AE2918" t="s">
        <v>46</v>
      </c>
      <c r="AG2918">
        <v>5</v>
      </c>
      <c r="AH2918">
        <v>9</v>
      </c>
      <c r="AI2918" t="s">
        <v>54</v>
      </c>
      <c r="AK2918">
        <v>0</v>
      </c>
      <c r="AM2918">
        <v>0</v>
      </c>
      <c r="AP2918" t="s">
        <v>312</v>
      </c>
    </row>
    <row r="2919" spans="1:42" customFormat="1">
      <c r="A2919">
        <v>273989</v>
      </c>
      <c r="B2919" t="s">
        <v>4638</v>
      </c>
      <c r="C2919" t="s">
        <v>4639</v>
      </c>
      <c r="D2919" s="22">
        <v>0</v>
      </c>
      <c r="E2919" s="17">
        <v>42149</v>
      </c>
      <c r="F2919" s="18">
        <v>0.69388888888888889</v>
      </c>
      <c r="G2919" s="22">
        <v>200</v>
      </c>
      <c r="H2919">
        <v>0</v>
      </c>
      <c r="I2919" s="19" t="e">
        <f>I2918 + (D2919-G2919)</f>
        <v>#VALUE!</v>
      </c>
      <c r="M2919">
        <v>126634</v>
      </c>
      <c r="N2919">
        <v>24</v>
      </c>
      <c r="O2919" t="s">
        <v>68</v>
      </c>
      <c r="P2919">
        <v>1</v>
      </c>
      <c r="R2919">
        <v>1514</v>
      </c>
      <c r="S2919" s="17">
        <v>42179</v>
      </c>
      <c r="T2919" s="17">
        <v>42179</v>
      </c>
      <c r="W2919">
        <v>2015</v>
      </c>
      <c r="X2919">
        <v>24</v>
      </c>
      <c r="AC2919" t="s">
        <v>204</v>
      </c>
      <c r="AD2919" t="s">
        <v>302</v>
      </c>
      <c r="AE2919" t="s">
        <v>46</v>
      </c>
      <c r="AG2919">
        <v>5</v>
      </c>
      <c r="AH2919">
        <v>9</v>
      </c>
      <c r="AI2919" t="s">
        <v>54</v>
      </c>
      <c r="AK2919">
        <v>0</v>
      </c>
      <c r="AM2919">
        <v>0</v>
      </c>
      <c r="AP2919" t="s">
        <v>312</v>
      </c>
    </row>
    <row r="2920" spans="1:42" customFormat="1">
      <c r="A2920">
        <v>273986</v>
      </c>
      <c r="B2920" t="s">
        <v>4640</v>
      </c>
      <c r="C2920" t="s">
        <v>4641</v>
      </c>
      <c r="D2920" s="22">
        <v>0</v>
      </c>
      <c r="E2920" s="17">
        <v>42149</v>
      </c>
      <c r="F2920" s="18">
        <v>0.69388888888888889</v>
      </c>
      <c r="G2920" s="22">
        <v>200</v>
      </c>
      <c r="H2920">
        <v>0</v>
      </c>
      <c r="I2920" s="19" t="e">
        <f>I2919 + (D2920-G2920)</f>
        <v>#VALUE!</v>
      </c>
      <c r="M2920">
        <v>125542</v>
      </c>
      <c r="N2920">
        <v>24</v>
      </c>
      <c r="O2920" t="s">
        <v>68</v>
      </c>
      <c r="P2920">
        <v>1</v>
      </c>
      <c r="R2920">
        <v>1514</v>
      </c>
      <c r="S2920" s="17">
        <v>42179</v>
      </c>
      <c r="T2920" s="17">
        <v>42179</v>
      </c>
      <c r="W2920">
        <v>2015</v>
      </c>
      <c r="X2920">
        <v>24</v>
      </c>
      <c r="AC2920" t="s">
        <v>204</v>
      </c>
      <c r="AD2920" t="s">
        <v>302</v>
      </c>
      <c r="AE2920" t="s">
        <v>46</v>
      </c>
      <c r="AG2920">
        <v>5</v>
      </c>
      <c r="AH2920">
        <v>9</v>
      </c>
      <c r="AI2920" t="s">
        <v>54</v>
      </c>
      <c r="AK2920">
        <v>0</v>
      </c>
      <c r="AM2920">
        <v>0</v>
      </c>
      <c r="AP2920" t="s">
        <v>312</v>
      </c>
    </row>
    <row r="2921" spans="1:42" customFormat="1">
      <c r="A2921">
        <v>273985</v>
      </c>
      <c r="B2921" t="s">
        <v>4642</v>
      </c>
      <c r="C2921" t="s">
        <v>4643</v>
      </c>
      <c r="D2921" s="22">
        <v>0</v>
      </c>
      <c r="E2921" s="17">
        <v>42149</v>
      </c>
      <c r="F2921" s="18">
        <v>0.69388888888888889</v>
      </c>
      <c r="G2921" s="22">
        <v>200</v>
      </c>
      <c r="H2921">
        <v>0</v>
      </c>
      <c r="I2921" s="19" t="e">
        <f>I2920 + (D2921-G2921)</f>
        <v>#VALUE!</v>
      </c>
      <c r="M2921">
        <v>126382</v>
      </c>
      <c r="N2921">
        <v>24</v>
      </c>
      <c r="O2921" t="s">
        <v>68</v>
      </c>
      <c r="P2921">
        <v>1</v>
      </c>
      <c r="R2921">
        <v>1514</v>
      </c>
      <c r="S2921" s="17">
        <v>42179</v>
      </c>
      <c r="T2921" s="17">
        <v>42179</v>
      </c>
      <c r="W2921">
        <v>2015</v>
      </c>
      <c r="X2921">
        <v>24</v>
      </c>
      <c r="AC2921" t="s">
        <v>204</v>
      </c>
      <c r="AD2921" t="s">
        <v>302</v>
      </c>
      <c r="AE2921" t="s">
        <v>46</v>
      </c>
      <c r="AG2921">
        <v>5</v>
      </c>
      <c r="AH2921">
        <v>9</v>
      </c>
      <c r="AI2921" t="s">
        <v>54</v>
      </c>
      <c r="AK2921">
        <v>0</v>
      </c>
      <c r="AM2921">
        <v>0</v>
      </c>
      <c r="AP2921" t="s">
        <v>312</v>
      </c>
    </row>
    <row r="2922" spans="1:42" customFormat="1">
      <c r="A2922">
        <v>273990</v>
      </c>
      <c r="B2922" t="s">
        <v>4644</v>
      </c>
      <c r="C2922" t="s">
        <v>4645</v>
      </c>
      <c r="D2922" s="22">
        <v>0</v>
      </c>
      <c r="E2922" s="17">
        <v>42149</v>
      </c>
      <c r="F2922" s="18">
        <v>0.69388888888888889</v>
      </c>
      <c r="G2922" s="22">
        <v>200</v>
      </c>
      <c r="H2922">
        <v>0</v>
      </c>
      <c r="I2922" s="19" t="e">
        <f>I2921 + (D2922-G2922)</f>
        <v>#VALUE!</v>
      </c>
      <c r="M2922">
        <v>125290</v>
      </c>
      <c r="N2922">
        <v>24</v>
      </c>
      <c r="O2922" t="s">
        <v>68</v>
      </c>
      <c r="P2922">
        <v>1</v>
      </c>
      <c r="R2922">
        <v>1514</v>
      </c>
      <c r="S2922" s="17">
        <v>42179</v>
      </c>
      <c r="T2922" s="17">
        <v>42179</v>
      </c>
      <c r="W2922">
        <v>2015</v>
      </c>
      <c r="X2922">
        <v>24</v>
      </c>
      <c r="AC2922" t="s">
        <v>204</v>
      </c>
      <c r="AD2922" t="s">
        <v>302</v>
      </c>
      <c r="AE2922" t="s">
        <v>46</v>
      </c>
      <c r="AG2922">
        <v>5</v>
      </c>
      <c r="AH2922">
        <v>9</v>
      </c>
      <c r="AI2922" t="s">
        <v>54</v>
      </c>
      <c r="AK2922">
        <v>0</v>
      </c>
      <c r="AM2922">
        <v>0</v>
      </c>
      <c r="AP2922" t="s">
        <v>312</v>
      </c>
    </row>
    <row r="2923" spans="1:42" customFormat="1">
      <c r="A2923">
        <v>274001</v>
      </c>
      <c r="B2923" t="s">
        <v>4646</v>
      </c>
      <c r="C2923" t="s">
        <v>4647</v>
      </c>
      <c r="D2923" s="22">
        <v>0</v>
      </c>
      <c r="E2923" s="17">
        <v>42149</v>
      </c>
      <c r="F2923" s="18">
        <v>0.69390046296296293</v>
      </c>
      <c r="G2923" s="22">
        <v>200</v>
      </c>
      <c r="H2923">
        <v>0</v>
      </c>
      <c r="I2923" s="19" t="e">
        <f>I2922 + (D2923-G2923)</f>
        <v>#VALUE!</v>
      </c>
      <c r="M2923">
        <v>126214</v>
      </c>
      <c r="N2923">
        <v>24</v>
      </c>
      <c r="O2923" t="s">
        <v>68</v>
      </c>
      <c r="P2923">
        <v>1</v>
      </c>
      <c r="R2923">
        <v>1514</v>
      </c>
      <c r="S2923" s="17">
        <v>42179</v>
      </c>
      <c r="T2923" s="17">
        <v>42179</v>
      </c>
      <c r="W2923">
        <v>2015</v>
      </c>
      <c r="X2923">
        <v>24</v>
      </c>
      <c r="AC2923" t="s">
        <v>204</v>
      </c>
      <c r="AD2923" t="s">
        <v>302</v>
      </c>
      <c r="AE2923" t="s">
        <v>46</v>
      </c>
      <c r="AG2923">
        <v>5</v>
      </c>
      <c r="AH2923">
        <v>9</v>
      </c>
      <c r="AI2923" t="s">
        <v>54</v>
      </c>
      <c r="AK2923">
        <v>0</v>
      </c>
      <c r="AM2923">
        <v>0</v>
      </c>
      <c r="AP2923" t="s">
        <v>312</v>
      </c>
    </row>
    <row r="2924" spans="1:42" customFormat="1">
      <c r="A2924">
        <v>273996</v>
      </c>
      <c r="B2924" t="s">
        <v>4648</v>
      </c>
      <c r="C2924" t="s">
        <v>4649</v>
      </c>
      <c r="D2924" s="22">
        <v>0</v>
      </c>
      <c r="E2924" s="17">
        <v>42149</v>
      </c>
      <c r="F2924" s="18">
        <v>0.69390046296296293</v>
      </c>
      <c r="G2924" s="22">
        <v>200</v>
      </c>
      <c r="H2924">
        <v>0</v>
      </c>
      <c r="I2924" s="19" t="e">
        <f>I2923 + (D2924-G2924)</f>
        <v>#VALUE!</v>
      </c>
      <c r="M2924">
        <v>125710</v>
      </c>
      <c r="N2924">
        <v>24</v>
      </c>
      <c r="O2924" t="s">
        <v>68</v>
      </c>
      <c r="P2924">
        <v>1</v>
      </c>
      <c r="R2924">
        <v>1514</v>
      </c>
      <c r="S2924" s="17">
        <v>42179</v>
      </c>
      <c r="T2924" s="17">
        <v>42179</v>
      </c>
      <c r="W2924">
        <v>2015</v>
      </c>
      <c r="X2924">
        <v>24</v>
      </c>
      <c r="AC2924" t="s">
        <v>204</v>
      </c>
      <c r="AD2924" t="s">
        <v>302</v>
      </c>
      <c r="AE2924" t="s">
        <v>46</v>
      </c>
      <c r="AG2924">
        <v>5</v>
      </c>
      <c r="AH2924">
        <v>9</v>
      </c>
      <c r="AI2924" t="s">
        <v>54</v>
      </c>
      <c r="AK2924">
        <v>0</v>
      </c>
      <c r="AM2924">
        <v>0</v>
      </c>
      <c r="AP2924" t="s">
        <v>312</v>
      </c>
    </row>
    <row r="2925" spans="1:42" customFormat="1">
      <c r="A2925">
        <v>274000</v>
      </c>
      <c r="B2925" t="s">
        <v>4650</v>
      </c>
      <c r="C2925" t="s">
        <v>4651</v>
      </c>
      <c r="D2925" s="22">
        <v>0</v>
      </c>
      <c r="E2925" s="17">
        <v>42149</v>
      </c>
      <c r="F2925" s="18">
        <v>0.69390046296296293</v>
      </c>
      <c r="G2925" s="22">
        <v>200</v>
      </c>
      <c r="H2925">
        <v>0</v>
      </c>
      <c r="I2925" s="19" t="e">
        <f>I2924 + (D2925-G2925)</f>
        <v>#VALUE!</v>
      </c>
      <c r="M2925">
        <v>125626</v>
      </c>
      <c r="N2925">
        <v>24</v>
      </c>
      <c r="O2925" t="s">
        <v>68</v>
      </c>
      <c r="P2925">
        <v>1</v>
      </c>
      <c r="R2925">
        <v>1514</v>
      </c>
      <c r="S2925" s="17">
        <v>42179</v>
      </c>
      <c r="T2925" s="17">
        <v>42179</v>
      </c>
      <c r="W2925">
        <v>2015</v>
      </c>
      <c r="X2925">
        <v>24</v>
      </c>
      <c r="AC2925" t="s">
        <v>204</v>
      </c>
      <c r="AD2925" t="s">
        <v>302</v>
      </c>
      <c r="AE2925" t="s">
        <v>46</v>
      </c>
      <c r="AG2925">
        <v>5</v>
      </c>
      <c r="AH2925">
        <v>9</v>
      </c>
      <c r="AI2925" t="s">
        <v>54</v>
      </c>
      <c r="AK2925">
        <v>0</v>
      </c>
      <c r="AM2925">
        <v>0</v>
      </c>
      <c r="AP2925" t="s">
        <v>312</v>
      </c>
    </row>
    <row r="2926" spans="1:42" customFormat="1">
      <c r="A2926">
        <v>274003</v>
      </c>
      <c r="B2926" t="s">
        <v>4652</v>
      </c>
      <c r="C2926" t="s">
        <v>4653</v>
      </c>
      <c r="D2926" s="22">
        <v>0</v>
      </c>
      <c r="E2926" s="17">
        <v>42149</v>
      </c>
      <c r="F2926" s="18">
        <v>0.69390046296296293</v>
      </c>
      <c r="G2926" s="22">
        <v>200</v>
      </c>
      <c r="H2926">
        <v>0</v>
      </c>
      <c r="I2926" s="19" t="e">
        <f>I2925 + (D2926-G2926)</f>
        <v>#VALUE!</v>
      </c>
      <c r="M2926">
        <v>126130</v>
      </c>
      <c r="N2926">
        <v>24</v>
      </c>
      <c r="O2926" t="s">
        <v>68</v>
      </c>
      <c r="P2926">
        <v>1</v>
      </c>
      <c r="R2926">
        <v>1514</v>
      </c>
      <c r="S2926" s="17">
        <v>42179</v>
      </c>
      <c r="T2926" s="17">
        <v>42179</v>
      </c>
      <c r="W2926">
        <v>2015</v>
      </c>
      <c r="X2926">
        <v>24</v>
      </c>
      <c r="AC2926" t="s">
        <v>204</v>
      </c>
      <c r="AD2926" t="s">
        <v>302</v>
      </c>
      <c r="AE2926" t="s">
        <v>46</v>
      </c>
      <c r="AG2926">
        <v>5</v>
      </c>
      <c r="AH2926">
        <v>9</v>
      </c>
      <c r="AI2926" t="s">
        <v>54</v>
      </c>
      <c r="AK2926">
        <v>0</v>
      </c>
      <c r="AM2926">
        <v>0</v>
      </c>
      <c r="AP2926" t="s">
        <v>312</v>
      </c>
    </row>
    <row r="2927" spans="1:42" customFormat="1">
      <c r="A2927">
        <v>273997</v>
      </c>
      <c r="B2927" t="s">
        <v>4654</v>
      </c>
      <c r="C2927" t="s">
        <v>4655</v>
      </c>
      <c r="D2927" s="22">
        <v>0</v>
      </c>
      <c r="E2927" s="17">
        <v>42149</v>
      </c>
      <c r="F2927" s="18">
        <v>0.69390046296296293</v>
      </c>
      <c r="G2927" s="22">
        <v>200</v>
      </c>
      <c r="H2927">
        <v>0</v>
      </c>
      <c r="I2927" s="19" t="e">
        <f>I2926 + (D2927-G2927)</f>
        <v>#VALUE!</v>
      </c>
      <c r="M2927">
        <v>126046</v>
      </c>
      <c r="N2927">
        <v>24</v>
      </c>
      <c r="O2927" t="s">
        <v>68</v>
      </c>
      <c r="P2927">
        <v>1</v>
      </c>
      <c r="R2927">
        <v>1514</v>
      </c>
      <c r="S2927" s="17">
        <v>42179</v>
      </c>
      <c r="T2927" s="17">
        <v>42179</v>
      </c>
      <c r="W2927">
        <v>2015</v>
      </c>
      <c r="X2927">
        <v>24</v>
      </c>
      <c r="AC2927" t="s">
        <v>204</v>
      </c>
      <c r="AD2927" t="s">
        <v>302</v>
      </c>
      <c r="AE2927" t="s">
        <v>46</v>
      </c>
      <c r="AG2927">
        <v>5</v>
      </c>
      <c r="AH2927">
        <v>9</v>
      </c>
      <c r="AI2927" t="s">
        <v>54</v>
      </c>
      <c r="AK2927">
        <v>0</v>
      </c>
      <c r="AM2927">
        <v>0</v>
      </c>
      <c r="AP2927" t="s">
        <v>312</v>
      </c>
    </row>
    <row r="2928" spans="1:42" customFormat="1">
      <c r="A2928">
        <v>273998</v>
      </c>
      <c r="B2928" t="s">
        <v>4656</v>
      </c>
      <c r="C2928" t="s">
        <v>4657</v>
      </c>
      <c r="D2928" s="22">
        <v>0</v>
      </c>
      <c r="E2928" s="17">
        <v>42149</v>
      </c>
      <c r="F2928" s="18">
        <v>0.69390046296296293</v>
      </c>
      <c r="G2928" s="22">
        <v>200</v>
      </c>
      <c r="H2928">
        <v>0</v>
      </c>
      <c r="I2928" s="19" t="e">
        <f>I2927 + (D2928-G2928)</f>
        <v>#VALUE!</v>
      </c>
      <c r="M2928">
        <v>125458</v>
      </c>
      <c r="N2928">
        <v>24</v>
      </c>
      <c r="O2928" t="s">
        <v>68</v>
      </c>
      <c r="P2928">
        <v>1</v>
      </c>
      <c r="R2928">
        <v>1514</v>
      </c>
      <c r="S2928" s="17">
        <v>42179</v>
      </c>
      <c r="T2928" s="17">
        <v>42179</v>
      </c>
      <c r="W2928">
        <v>2015</v>
      </c>
      <c r="X2928">
        <v>24</v>
      </c>
      <c r="AC2928" t="s">
        <v>204</v>
      </c>
      <c r="AD2928" t="s">
        <v>302</v>
      </c>
      <c r="AE2928" t="s">
        <v>46</v>
      </c>
      <c r="AG2928">
        <v>5</v>
      </c>
      <c r="AH2928">
        <v>9</v>
      </c>
      <c r="AI2928" t="s">
        <v>54</v>
      </c>
      <c r="AK2928">
        <v>0</v>
      </c>
      <c r="AM2928">
        <v>0</v>
      </c>
      <c r="AP2928" t="s">
        <v>312</v>
      </c>
    </row>
    <row r="2929" spans="1:42" customFormat="1">
      <c r="A2929">
        <v>273991</v>
      </c>
      <c r="B2929" t="s">
        <v>4658</v>
      </c>
      <c r="C2929" t="s">
        <v>4659</v>
      </c>
      <c r="D2929" s="22">
        <v>0</v>
      </c>
      <c r="E2929" s="17">
        <v>42149</v>
      </c>
      <c r="F2929" s="18">
        <v>0.69390046296296293</v>
      </c>
      <c r="G2929" s="22">
        <v>200</v>
      </c>
      <c r="H2929">
        <v>0</v>
      </c>
      <c r="I2929" s="19" t="e">
        <f>I2928 + (D2929-G2929)</f>
        <v>#VALUE!</v>
      </c>
      <c r="M2929">
        <v>126550</v>
      </c>
      <c r="N2929">
        <v>24</v>
      </c>
      <c r="O2929" t="s">
        <v>68</v>
      </c>
      <c r="P2929">
        <v>1</v>
      </c>
      <c r="R2929">
        <v>1514</v>
      </c>
      <c r="S2929" s="17">
        <v>42179</v>
      </c>
      <c r="T2929" s="17">
        <v>42179</v>
      </c>
      <c r="W2929">
        <v>2015</v>
      </c>
      <c r="X2929">
        <v>24</v>
      </c>
      <c r="AC2929" t="s">
        <v>204</v>
      </c>
      <c r="AD2929" t="s">
        <v>302</v>
      </c>
      <c r="AE2929" t="s">
        <v>46</v>
      </c>
      <c r="AG2929">
        <v>5</v>
      </c>
      <c r="AH2929">
        <v>9</v>
      </c>
      <c r="AI2929" t="s">
        <v>54</v>
      </c>
      <c r="AK2929">
        <v>0</v>
      </c>
      <c r="AM2929">
        <v>0</v>
      </c>
      <c r="AP2929" t="s">
        <v>312</v>
      </c>
    </row>
    <row r="2930" spans="1:42" customFormat="1">
      <c r="A2930">
        <v>273993</v>
      </c>
      <c r="B2930" t="s">
        <v>4660</v>
      </c>
      <c r="C2930" t="s">
        <v>4661</v>
      </c>
      <c r="D2930" s="22">
        <v>0</v>
      </c>
      <c r="E2930" s="17">
        <v>42149</v>
      </c>
      <c r="F2930" s="18">
        <v>0.69390046296296293</v>
      </c>
      <c r="G2930" s="22">
        <v>200</v>
      </c>
      <c r="H2930">
        <v>0</v>
      </c>
      <c r="I2930" s="19" t="e">
        <f>I2929 + (D2930-G2930)</f>
        <v>#VALUE!</v>
      </c>
      <c r="M2930">
        <v>126466</v>
      </c>
      <c r="N2930">
        <v>24</v>
      </c>
      <c r="O2930" t="s">
        <v>68</v>
      </c>
      <c r="P2930">
        <v>1</v>
      </c>
      <c r="R2930">
        <v>1514</v>
      </c>
      <c r="S2930" s="17">
        <v>42179</v>
      </c>
      <c r="T2930" s="17">
        <v>42179</v>
      </c>
      <c r="W2930">
        <v>2015</v>
      </c>
      <c r="X2930">
        <v>24</v>
      </c>
      <c r="AC2930" t="s">
        <v>204</v>
      </c>
      <c r="AD2930" t="s">
        <v>302</v>
      </c>
      <c r="AE2930" t="s">
        <v>46</v>
      </c>
      <c r="AG2930">
        <v>5</v>
      </c>
      <c r="AH2930">
        <v>9</v>
      </c>
      <c r="AI2930" t="s">
        <v>54</v>
      </c>
      <c r="AK2930">
        <v>0</v>
      </c>
      <c r="AM2930">
        <v>0</v>
      </c>
      <c r="AP2930" t="s">
        <v>312</v>
      </c>
    </row>
    <row r="2931" spans="1:42" customFormat="1">
      <c r="A2931">
        <v>273995</v>
      </c>
      <c r="B2931" t="s">
        <v>4662</v>
      </c>
      <c r="C2931" t="s">
        <v>4663</v>
      </c>
      <c r="D2931" s="22">
        <v>0</v>
      </c>
      <c r="E2931" s="17">
        <v>42149</v>
      </c>
      <c r="F2931" s="18">
        <v>0.69390046296296293</v>
      </c>
      <c r="G2931" s="22">
        <v>200</v>
      </c>
      <c r="H2931">
        <v>0</v>
      </c>
      <c r="I2931" s="19" t="e">
        <f>I2930 + (D2931-G2931)</f>
        <v>#VALUE!</v>
      </c>
      <c r="M2931">
        <v>125962</v>
      </c>
      <c r="N2931">
        <v>24</v>
      </c>
      <c r="O2931" t="s">
        <v>68</v>
      </c>
      <c r="P2931">
        <v>1</v>
      </c>
      <c r="R2931">
        <v>1514</v>
      </c>
      <c r="S2931" s="17">
        <v>42179</v>
      </c>
      <c r="T2931" s="17">
        <v>42179</v>
      </c>
      <c r="W2931">
        <v>2015</v>
      </c>
      <c r="X2931">
        <v>24</v>
      </c>
      <c r="AC2931" t="s">
        <v>204</v>
      </c>
      <c r="AD2931" t="s">
        <v>302</v>
      </c>
      <c r="AE2931" t="s">
        <v>46</v>
      </c>
      <c r="AG2931">
        <v>5</v>
      </c>
      <c r="AH2931">
        <v>9</v>
      </c>
      <c r="AI2931" t="s">
        <v>54</v>
      </c>
      <c r="AK2931">
        <v>0</v>
      </c>
      <c r="AM2931">
        <v>0</v>
      </c>
      <c r="AP2931" t="s">
        <v>312</v>
      </c>
    </row>
    <row r="2932" spans="1:42" customFormat="1">
      <c r="A2932">
        <v>274002</v>
      </c>
      <c r="B2932" t="s">
        <v>4664</v>
      </c>
      <c r="C2932" t="s">
        <v>4665</v>
      </c>
      <c r="D2932" s="22">
        <v>0</v>
      </c>
      <c r="E2932" s="17">
        <v>42149</v>
      </c>
      <c r="F2932" s="18">
        <v>0.69390046296296293</v>
      </c>
      <c r="G2932" s="22">
        <v>200</v>
      </c>
      <c r="H2932">
        <v>0</v>
      </c>
      <c r="I2932" s="19" t="e">
        <f>I2931 + (D2932-G2932)</f>
        <v>#VALUE!</v>
      </c>
      <c r="M2932">
        <v>125374</v>
      </c>
      <c r="N2932">
        <v>24</v>
      </c>
      <c r="O2932" t="s">
        <v>68</v>
      </c>
      <c r="P2932">
        <v>1</v>
      </c>
      <c r="R2932">
        <v>1514</v>
      </c>
      <c r="S2932" s="17">
        <v>42179</v>
      </c>
      <c r="T2932" s="17">
        <v>42179</v>
      </c>
      <c r="W2932">
        <v>2015</v>
      </c>
      <c r="X2932">
        <v>24</v>
      </c>
      <c r="AC2932" t="s">
        <v>204</v>
      </c>
      <c r="AD2932" t="s">
        <v>302</v>
      </c>
      <c r="AE2932" t="s">
        <v>46</v>
      </c>
      <c r="AG2932">
        <v>5</v>
      </c>
      <c r="AH2932">
        <v>9</v>
      </c>
      <c r="AI2932" t="s">
        <v>54</v>
      </c>
      <c r="AK2932">
        <v>0</v>
      </c>
      <c r="AM2932">
        <v>0</v>
      </c>
      <c r="AP2932" t="s">
        <v>312</v>
      </c>
    </row>
    <row r="2933" spans="1:42" customFormat="1">
      <c r="A2933">
        <v>273992</v>
      </c>
      <c r="B2933" t="s">
        <v>4666</v>
      </c>
      <c r="C2933" t="s">
        <v>4667</v>
      </c>
      <c r="D2933" s="22">
        <v>0</v>
      </c>
      <c r="E2933" s="17">
        <v>42149</v>
      </c>
      <c r="F2933" s="18">
        <v>0.69390046296296293</v>
      </c>
      <c r="G2933" s="22">
        <v>200</v>
      </c>
      <c r="H2933">
        <v>0</v>
      </c>
      <c r="I2933" s="19" t="e">
        <f>I2932 + (D2933-G2933)</f>
        <v>#VALUE!</v>
      </c>
      <c r="M2933">
        <v>125878</v>
      </c>
      <c r="N2933">
        <v>24</v>
      </c>
      <c r="O2933" t="s">
        <v>68</v>
      </c>
      <c r="P2933">
        <v>1</v>
      </c>
      <c r="R2933">
        <v>1514</v>
      </c>
      <c r="S2933" s="17">
        <v>42179</v>
      </c>
      <c r="T2933" s="17">
        <v>42179</v>
      </c>
      <c r="W2933">
        <v>2015</v>
      </c>
      <c r="X2933">
        <v>24</v>
      </c>
      <c r="AC2933" t="s">
        <v>204</v>
      </c>
      <c r="AD2933" t="s">
        <v>302</v>
      </c>
      <c r="AE2933" t="s">
        <v>46</v>
      </c>
      <c r="AG2933">
        <v>5</v>
      </c>
      <c r="AH2933">
        <v>9</v>
      </c>
      <c r="AI2933" t="s">
        <v>54</v>
      </c>
      <c r="AK2933">
        <v>0</v>
      </c>
      <c r="AM2933">
        <v>0</v>
      </c>
      <c r="AP2933" t="s">
        <v>312</v>
      </c>
    </row>
    <row r="2934" spans="1:42" customFormat="1">
      <c r="A2934">
        <v>273999</v>
      </c>
      <c r="B2934" t="s">
        <v>4668</v>
      </c>
      <c r="C2934" t="s">
        <v>4669</v>
      </c>
      <c r="D2934" s="22">
        <v>0</v>
      </c>
      <c r="E2934" s="17">
        <v>42149</v>
      </c>
      <c r="F2934" s="18">
        <v>0.69390046296296293</v>
      </c>
      <c r="G2934" s="22">
        <v>200</v>
      </c>
      <c r="H2934">
        <v>0</v>
      </c>
      <c r="I2934" s="19" t="e">
        <f>I2933 + (D2934-G2934)</f>
        <v>#VALUE!</v>
      </c>
      <c r="M2934">
        <v>126298</v>
      </c>
      <c r="N2934">
        <v>24</v>
      </c>
      <c r="O2934" t="s">
        <v>68</v>
      </c>
      <c r="P2934">
        <v>1</v>
      </c>
      <c r="R2934">
        <v>1514</v>
      </c>
      <c r="S2934" s="17">
        <v>42179</v>
      </c>
      <c r="T2934" s="17">
        <v>42179</v>
      </c>
      <c r="W2934">
        <v>2015</v>
      </c>
      <c r="X2934">
        <v>24</v>
      </c>
      <c r="AC2934" t="s">
        <v>204</v>
      </c>
      <c r="AD2934" t="s">
        <v>302</v>
      </c>
      <c r="AE2934" t="s">
        <v>46</v>
      </c>
      <c r="AG2934">
        <v>5</v>
      </c>
      <c r="AH2934">
        <v>9</v>
      </c>
      <c r="AI2934" t="s">
        <v>54</v>
      </c>
      <c r="AK2934">
        <v>0</v>
      </c>
      <c r="AM2934">
        <v>0</v>
      </c>
      <c r="AP2934" t="s">
        <v>312</v>
      </c>
    </row>
    <row r="2935" spans="1:42" customFormat="1">
      <c r="A2935">
        <v>273994</v>
      </c>
      <c r="B2935" t="s">
        <v>4670</v>
      </c>
      <c r="C2935" t="s">
        <v>4671</v>
      </c>
      <c r="D2935" s="22">
        <v>0</v>
      </c>
      <c r="E2935" s="17">
        <v>42149</v>
      </c>
      <c r="F2935" s="18">
        <v>0.69390046296296293</v>
      </c>
      <c r="G2935" s="22">
        <v>200</v>
      </c>
      <c r="H2935">
        <v>0</v>
      </c>
      <c r="I2935" s="19" t="e">
        <f>I2934 + (D2935-G2935)</f>
        <v>#VALUE!</v>
      </c>
      <c r="M2935">
        <v>125794</v>
      </c>
      <c r="N2935">
        <v>24</v>
      </c>
      <c r="O2935" t="s">
        <v>68</v>
      </c>
      <c r="P2935">
        <v>1</v>
      </c>
      <c r="R2935">
        <v>1514</v>
      </c>
      <c r="S2935" s="17">
        <v>42179</v>
      </c>
      <c r="T2935" s="17">
        <v>42179</v>
      </c>
      <c r="W2935">
        <v>2015</v>
      </c>
      <c r="X2935">
        <v>24</v>
      </c>
      <c r="AC2935" t="s">
        <v>204</v>
      </c>
      <c r="AD2935" t="s">
        <v>302</v>
      </c>
      <c r="AE2935" t="s">
        <v>46</v>
      </c>
      <c r="AG2935">
        <v>5</v>
      </c>
      <c r="AH2935">
        <v>9</v>
      </c>
      <c r="AI2935" t="s">
        <v>54</v>
      </c>
      <c r="AK2935">
        <v>0</v>
      </c>
      <c r="AM2935">
        <v>0</v>
      </c>
      <c r="AP2935" t="s">
        <v>312</v>
      </c>
    </row>
    <row r="2936" spans="1:42" customFormat="1">
      <c r="A2936">
        <v>274004</v>
      </c>
      <c r="B2936" t="s">
        <v>4672</v>
      </c>
      <c r="C2936" t="s">
        <v>4673</v>
      </c>
      <c r="D2936" s="22">
        <v>0</v>
      </c>
      <c r="E2936" s="17">
        <v>42149</v>
      </c>
      <c r="F2936" s="18">
        <v>0.69391203703703708</v>
      </c>
      <c r="G2936" s="22">
        <v>200</v>
      </c>
      <c r="H2936">
        <v>0</v>
      </c>
      <c r="I2936" s="19" t="e">
        <f>I2935 + (D2936-G2936)</f>
        <v>#VALUE!</v>
      </c>
      <c r="M2936">
        <v>125206</v>
      </c>
      <c r="N2936">
        <v>24</v>
      </c>
      <c r="O2936" t="s">
        <v>68</v>
      </c>
      <c r="P2936">
        <v>1</v>
      </c>
      <c r="R2936">
        <v>1514</v>
      </c>
      <c r="S2936" s="17">
        <v>42179</v>
      </c>
      <c r="T2936" s="17">
        <v>42179</v>
      </c>
      <c r="W2936">
        <v>2015</v>
      </c>
      <c r="X2936">
        <v>24</v>
      </c>
      <c r="AC2936" t="s">
        <v>204</v>
      </c>
      <c r="AD2936" t="s">
        <v>302</v>
      </c>
      <c r="AE2936" t="s">
        <v>46</v>
      </c>
      <c r="AG2936">
        <v>5</v>
      </c>
      <c r="AH2936">
        <v>9</v>
      </c>
      <c r="AI2936" t="s">
        <v>54</v>
      </c>
      <c r="AK2936">
        <v>0</v>
      </c>
      <c r="AM2936">
        <v>0</v>
      </c>
      <c r="AP2936" t="s">
        <v>312</v>
      </c>
    </row>
    <row r="2937" spans="1:42" customFormat="1">
      <c r="A2937">
        <v>268619</v>
      </c>
      <c r="B2937" t="s">
        <v>109</v>
      </c>
      <c r="C2937" t="s">
        <v>109</v>
      </c>
      <c r="D2937" s="22">
        <v>0</v>
      </c>
      <c r="E2937" s="17">
        <v>42128</v>
      </c>
      <c r="F2937" s="18">
        <v>0.36207175925925927</v>
      </c>
      <c r="G2937" s="22">
        <v>7228.3</v>
      </c>
      <c r="H2937">
        <v>0</v>
      </c>
      <c r="I2937" s="19" t="e">
        <f>I2936 + (D2937-G2937)</f>
        <v>#VALUE!</v>
      </c>
      <c r="N2937">
        <v>7</v>
      </c>
      <c r="O2937" t="s">
        <v>44</v>
      </c>
      <c r="P2937">
        <v>1</v>
      </c>
      <c r="R2937">
        <v>1449</v>
      </c>
      <c r="S2937" s="17">
        <v>42131</v>
      </c>
      <c r="T2937" s="17">
        <v>42131</v>
      </c>
      <c r="W2937">
        <v>2015</v>
      </c>
      <c r="X2937">
        <v>7</v>
      </c>
      <c r="AC2937" t="s">
        <v>51</v>
      </c>
      <c r="AD2937" t="s">
        <v>302</v>
      </c>
      <c r="AE2937" t="s">
        <v>46</v>
      </c>
      <c r="AG2937">
        <v>75</v>
      </c>
      <c r="AH2937">
        <v>9</v>
      </c>
      <c r="AI2937" t="s">
        <v>54</v>
      </c>
      <c r="AM2937">
        <v>0</v>
      </c>
      <c r="AO2937">
        <v>5</v>
      </c>
      <c r="AP2937" t="s">
        <v>321</v>
      </c>
    </row>
    <row r="2938" spans="1:42" customFormat="1">
      <c r="A2938">
        <v>268620</v>
      </c>
      <c r="B2938" t="s">
        <v>109</v>
      </c>
      <c r="C2938" t="s">
        <v>322</v>
      </c>
      <c r="D2938" s="22">
        <v>7228.3</v>
      </c>
      <c r="E2938" s="17">
        <v>42128</v>
      </c>
      <c r="F2938" s="18">
        <v>0.36207175925925927</v>
      </c>
      <c r="G2938" s="22">
        <v>0</v>
      </c>
      <c r="H2938">
        <v>0</v>
      </c>
      <c r="I2938" s="19" t="e">
        <f>I2937 + (D2938-G2938)</f>
        <v>#VALUE!</v>
      </c>
      <c r="N2938">
        <v>7</v>
      </c>
      <c r="O2938" t="s">
        <v>44</v>
      </c>
      <c r="P2938">
        <v>1</v>
      </c>
      <c r="R2938">
        <v>1449</v>
      </c>
      <c r="S2938" s="17">
        <v>42131</v>
      </c>
      <c r="T2938" s="17">
        <v>42131</v>
      </c>
      <c r="W2938">
        <v>2015</v>
      </c>
      <c r="X2938">
        <v>7</v>
      </c>
      <c r="AA2938">
        <v>268619</v>
      </c>
      <c r="AC2938" t="s">
        <v>51</v>
      </c>
      <c r="AD2938" t="s">
        <v>302</v>
      </c>
      <c r="AE2938" t="s">
        <v>46</v>
      </c>
      <c r="AG2938">
        <v>5</v>
      </c>
      <c r="AH2938">
        <v>9</v>
      </c>
      <c r="AI2938" t="s">
        <v>54</v>
      </c>
      <c r="AM2938">
        <v>0</v>
      </c>
      <c r="AP2938" t="s">
        <v>312</v>
      </c>
    </row>
    <row r="2939" spans="1:42" customFormat="1">
      <c r="A2939">
        <v>268621</v>
      </c>
      <c r="B2939" t="s">
        <v>109</v>
      </c>
      <c r="C2939" t="s">
        <v>109</v>
      </c>
      <c r="D2939" s="22">
        <v>0</v>
      </c>
      <c r="E2939" s="17">
        <v>42128</v>
      </c>
      <c r="F2939" s="18">
        <v>0.3629398148148148</v>
      </c>
      <c r="G2939" s="22">
        <v>8361.4</v>
      </c>
      <c r="H2939">
        <v>0</v>
      </c>
      <c r="I2939" s="19" t="e">
        <f>I2938 + (D2939-G2939)</f>
        <v>#VALUE!</v>
      </c>
      <c r="N2939">
        <v>7</v>
      </c>
      <c r="O2939" t="s">
        <v>44</v>
      </c>
      <c r="P2939">
        <v>1</v>
      </c>
      <c r="R2939">
        <v>1449</v>
      </c>
      <c r="S2939" s="17">
        <v>42131</v>
      </c>
      <c r="T2939" s="17">
        <v>42131</v>
      </c>
      <c r="W2939">
        <v>2015</v>
      </c>
      <c r="X2939">
        <v>7</v>
      </c>
      <c r="AC2939" t="s">
        <v>51</v>
      </c>
      <c r="AD2939" t="s">
        <v>302</v>
      </c>
      <c r="AE2939" t="s">
        <v>46</v>
      </c>
      <c r="AG2939">
        <v>75</v>
      </c>
      <c r="AH2939">
        <v>9</v>
      </c>
      <c r="AI2939" t="s">
        <v>54</v>
      </c>
      <c r="AM2939">
        <v>0</v>
      </c>
      <c r="AO2939">
        <v>5</v>
      </c>
      <c r="AP2939" t="s">
        <v>321</v>
      </c>
    </row>
    <row r="2940" spans="1:42" customFormat="1">
      <c r="A2940">
        <v>268622</v>
      </c>
      <c r="B2940" t="s">
        <v>109</v>
      </c>
      <c r="C2940" t="s">
        <v>323</v>
      </c>
      <c r="D2940" s="22">
        <v>8361.4</v>
      </c>
      <c r="E2940" s="17">
        <v>42128</v>
      </c>
      <c r="F2940" s="18">
        <v>0.3629398148148148</v>
      </c>
      <c r="G2940" s="22">
        <v>0</v>
      </c>
      <c r="H2940">
        <v>0</v>
      </c>
      <c r="I2940" s="19" t="e">
        <f>I2939 + (D2940-G2940)</f>
        <v>#VALUE!</v>
      </c>
      <c r="N2940">
        <v>7</v>
      </c>
      <c r="O2940" t="s">
        <v>44</v>
      </c>
      <c r="P2940">
        <v>1</v>
      </c>
      <c r="R2940">
        <v>1449</v>
      </c>
      <c r="S2940" s="17">
        <v>42131</v>
      </c>
      <c r="T2940" s="17">
        <v>42131</v>
      </c>
      <c r="W2940">
        <v>2015</v>
      </c>
      <c r="X2940">
        <v>7</v>
      </c>
      <c r="AA2940">
        <v>268621</v>
      </c>
      <c r="AC2940" t="s">
        <v>51</v>
      </c>
      <c r="AD2940" t="s">
        <v>302</v>
      </c>
      <c r="AE2940" t="s">
        <v>46</v>
      </c>
      <c r="AG2940">
        <v>5</v>
      </c>
      <c r="AH2940">
        <v>9</v>
      </c>
      <c r="AI2940" t="s">
        <v>54</v>
      </c>
      <c r="AM2940">
        <v>0</v>
      </c>
      <c r="AP2940" t="s">
        <v>312</v>
      </c>
    </row>
    <row r="2941" spans="1:42" customFormat="1">
      <c r="A2941">
        <v>268637</v>
      </c>
      <c r="B2941" t="s">
        <v>109</v>
      </c>
      <c r="C2941" t="s">
        <v>109</v>
      </c>
      <c r="D2941" s="22">
        <v>0</v>
      </c>
      <c r="E2941" s="17">
        <v>42128</v>
      </c>
      <c r="F2941" s="18">
        <v>0.3755208333333333</v>
      </c>
      <c r="G2941" s="22">
        <v>55000</v>
      </c>
      <c r="H2941">
        <v>0</v>
      </c>
      <c r="I2941" s="19" t="e">
        <f>I2940 + (D2941-G2941)</f>
        <v>#VALUE!</v>
      </c>
      <c r="N2941">
        <v>7</v>
      </c>
      <c r="O2941" t="s">
        <v>44</v>
      </c>
      <c r="P2941">
        <v>1</v>
      </c>
      <c r="R2941">
        <v>1449</v>
      </c>
      <c r="S2941" s="17">
        <v>42131</v>
      </c>
      <c r="T2941" s="17">
        <v>42131</v>
      </c>
      <c r="W2941">
        <v>2015</v>
      </c>
      <c r="X2941">
        <v>7</v>
      </c>
      <c r="AC2941" t="s">
        <v>51</v>
      </c>
      <c r="AD2941" t="s">
        <v>302</v>
      </c>
      <c r="AE2941" t="s">
        <v>46</v>
      </c>
      <c r="AG2941">
        <v>69</v>
      </c>
      <c r="AH2941">
        <v>8</v>
      </c>
      <c r="AI2941" t="s">
        <v>52</v>
      </c>
      <c r="AM2941">
        <v>0</v>
      </c>
      <c r="AO2941">
        <v>59</v>
      </c>
      <c r="AP2941" t="s">
        <v>339</v>
      </c>
    </row>
    <row r="2942" spans="1:42" customFormat="1">
      <c r="A2942">
        <v>268638</v>
      </c>
      <c r="B2942" t="s">
        <v>109</v>
      </c>
      <c r="C2942" t="s">
        <v>340</v>
      </c>
      <c r="D2942" s="22">
        <v>55000</v>
      </c>
      <c r="E2942" s="17">
        <v>42128</v>
      </c>
      <c r="F2942" s="18">
        <v>0.3755208333333333</v>
      </c>
      <c r="G2942" s="22">
        <v>0</v>
      </c>
      <c r="H2942">
        <v>0</v>
      </c>
      <c r="I2942" s="19" t="e">
        <f>I2941 + (D2942-G2942)</f>
        <v>#VALUE!</v>
      </c>
      <c r="N2942">
        <v>7</v>
      </c>
      <c r="O2942" t="s">
        <v>44</v>
      </c>
      <c r="P2942">
        <v>1</v>
      </c>
      <c r="R2942">
        <v>1449</v>
      </c>
      <c r="S2942" s="17">
        <v>42131</v>
      </c>
      <c r="T2942" s="17">
        <v>42131</v>
      </c>
      <c r="W2942">
        <v>2015</v>
      </c>
      <c r="X2942">
        <v>7</v>
      </c>
      <c r="AA2942">
        <v>268637</v>
      </c>
      <c r="AC2942" t="s">
        <v>51</v>
      </c>
      <c r="AD2942" t="s">
        <v>302</v>
      </c>
      <c r="AE2942" t="s">
        <v>46</v>
      </c>
      <c r="AG2942">
        <v>59</v>
      </c>
      <c r="AH2942">
        <v>8</v>
      </c>
      <c r="AI2942" t="s">
        <v>52</v>
      </c>
      <c r="AM2942">
        <v>0</v>
      </c>
      <c r="AP2942" t="s">
        <v>341</v>
      </c>
    </row>
    <row r="2943" spans="1:42" customFormat="1">
      <c r="A2943">
        <v>268639</v>
      </c>
      <c r="B2943" t="s">
        <v>109</v>
      </c>
      <c r="C2943" t="s">
        <v>109</v>
      </c>
      <c r="D2943" s="22">
        <v>0</v>
      </c>
      <c r="E2943" s="17">
        <v>42128</v>
      </c>
      <c r="F2943" s="18">
        <v>0.3765162037037037</v>
      </c>
      <c r="G2943" s="22">
        <v>9572.11</v>
      </c>
      <c r="H2943">
        <v>0</v>
      </c>
      <c r="I2943" s="19" t="e">
        <f>I2942 + (D2943-G2943)</f>
        <v>#VALUE!</v>
      </c>
      <c r="N2943">
        <v>7</v>
      </c>
      <c r="O2943" t="s">
        <v>44</v>
      </c>
      <c r="P2943">
        <v>1</v>
      </c>
      <c r="R2943">
        <v>1449</v>
      </c>
      <c r="S2943" s="17">
        <v>42131</v>
      </c>
      <c r="T2943" s="17">
        <v>42131</v>
      </c>
      <c r="W2943">
        <v>2015</v>
      </c>
      <c r="X2943">
        <v>7</v>
      </c>
      <c r="AC2943" t="s">
        <v>51</v>
      </c>
      <c r="AD2943" t="s">
        <v>302</v>
      </c>
      <c r="AE2943" t="s">
        <v>46</v>
      </c>
      <c r="AG2943">
        <v>69</v>
      </c>
      <c r="AH2943">
        <v>8</v>
      </c>
      <c r="AI2943" t="s">
        <v>52</v>
      </c>
      <c r="AM2943">
        <v>0</v>
      </c>
      <c r="AO2943">
        <v>61</v>
      </c>
      <c r="AP2943" t="s">
        <v>339</v>
      </c>
    </row>
    <row r="2944" spans="1:42" customFormat="1">
      <c r="A2944">
        <v>268642</v>
      </c>
      <c r="B2944" t="s">
        <v>109</v>
      </c>
      <c r="C2944" t="s">
        <v>342</v>
      </c>
      <c r="D2944" s="22">
        <v>9572.11</v>
      </c>
      <c r="E2944" s="17">
        <v>42128</v>
      </c>
      <c r="F2944" s="18">
        <v>0.3765162037037037</v>
      </c>
      <c r="G2944" s="22">
        <v>0</v>
      </c>
      <c r="H2944">
        <v>0</v>
      </c>
      <c r="I2944" s="19" t="e">
        <f>I2943 + (D2944-G2944)</f>
        <v>#VALUE!</v>
      </c>
      <c r="N2944">
        <v>7</v>
      </c>
      <c r="O2944" t="s">
        <v>44</v>
      </c>
      <c r="P2944">
        <v>1</v>
      </c>
      <c r="R2944">
        <v>1449</v>
      </c>
      <c r="S2944" s="17">
        <v>42131</v>
      </c>
      <c r="T2944" s="17">
        <v>42131</v>
      </c>
      <c r="W2944">
        <v>2015</v>
      </c>
      <c r="X2944">
        <v>7</v>
      </c>
      <c r="AA2944">
        <v>268639</v>
      </c>
      <c r="AC2944" t="s">
        <v>51</v>
      </c>
      <c r="AD2944" t="s">
        <v>302</v>
      </c>
      <c r="AE2944" t="s">
        <v>46</v>
      </c>
      <c r="AG2944">
        <v>61</v>
      </c>
      <c r="AH2944">
        <v>8</v>
      </c>
      <c r="AI2944" t="s">
        <v>52</v>
      </c>
      <c r="AM2944">
        <v>0</v>
      </c>
      <c r="AP2944" t="s">
        <v>343</v>
      </c>
    </row>
    <row r="2945" spans="1:42" customFormat="1">
      <c r="A2945">
        <v>268891</v>
      </c>
      <c r="B2945" t="s">
        <v>219</v>
      </c>
      <c r="C2945" t="s">
        <v>401</v>
      </c>
      <c r="D2945" s="22">
        <v>25000</v>
      </c>
      <c r="E2945" s="17">
        <v>42128</v>
      </c>
      <c r="F2945" s="18">
        <v>0.42831018518518515</v>
      </c>
      <c r="G2945" s="22">
        <v>0</v>
      </c>
      <c r="H2945">
        <v>0</v>
      </c>
      <c r="I2945" s="19" t="e">
        <f>I2944 + (D2945-G2945)</f>
        <v>#VALUE!</v>
      </c>
      <c r="N2945">
        <v>24</v>
      </c>
      <c r="O2945" t="s">
        <v>68</v>
      </c>
      <c r="P2945">
        <v>1</v>
      </c>
      <c r="R2945">
        <v>1449</v>
      </c>
      <c r="S2945" s="17">
        <v>42135</v>
      </c>
      <c r="T2945" s="17">
        <v>42135</v>
      </c>
      <c r="W2945">
        <v>2015</v>
      </c>
      <c r="X2945">
        <v>24</v>
      </c>
      <c r="AA2945">
        <v>263041</v>
      </c>
      <c r="AC2945" t="s">
        <v>51</v>
      </c>
      <c r="AD2945" t="s">
        <v>302</v>
      </c>
      <c r="AE2945" t="s">
        <v>46</v>
      </c>
      <c r="AG2945">
        <v>57</v>
      </c>
      <c r="AH2945">
        <v>2</v>
      </c>
      <c r="AI2945" t="s">
        <v>50</v>
      </c>
      <c r="AM2945">
        <v>0</v>
      </c>
      <c r="AP2945" t="s">
        <v>48</v>
      </c>
    </row>
    <row r="2946" spans="1:42" customFormat="1">
      <c r="A2946">
        <v>263041</v>
      </c>
      <c r="B2946" t="s">
        <v>219</v>
      </c>
      <c r="C2946" t="s">
        <v>402</v>
      </c>
      <c r="D2946" s="22">
        <v>0</v>
      </c>
      <c r="E2946" s="17">
        <v>42128</v>
      </c>
      <c r="F2946" s="18">
        <v>0.42831018518518515</v>
      </c>
      <c r="G2946" s="22">
        <v>25000</v>
      </c>
      <c r="H2946">
        <v>0</v>
      </c>
      <c r="I2946" s="19" t="e">
        <f>I2945 + (D2946-G2946)</f>
        <v>#VALUE!</v>
      </c>
      <c r="N2946">
        <v>24</v>
      </c>
      <c r="O2946" t="s">
        <v>68</v>
      </c>
      <c r="P2946">
        <v>1</v>
      </c>
      <c r="R2946">
        <v>1449</v>
      </c>
      <c r="S2946" s="17">
        <v>42117</v>
      </c>
      <c r="T2946" s="17">
        <v>42135</v>
      </c>
      <c r="W2946">
        <v>2015</v>
      </c>
      <c r="X2946">
        <v>24</v>
      </c>
      <c r="AC2946" t="s">
        <v>51</v>
      </c>
      <c r="AD2946" t="s">
        <v>302</v>
      </c>
      <c r="AE2946" t="s">
        <v>46</v>
      </c>
      <c r="AG2946">
        <v>12</v>
      </c>
      <c r="AH2946">
        <v>2</v>
      </c>
      <c r="AI2946" t="s">
        <v>50</v>
      </c>
      <c r="AM2946">
        <v>0</v>
      </c>
      <c r="AO2946">
        <v>57</v>
      </c>
      <c r="AP2946" t="s">
        <v>392</v>
      </c>
    </row>
    <row r="2947" spans="1:42" customFormat="1">
      <c r="A2947">
        <v>276034</v>
      </c>
      <c r="B2947" t="s">
        <v>494</v>
      </c>
      <c r="C2947" t="s">
        <v>494</v>
      </c>
      <c r="D2947" s="22">
        <v>14976.83</v>
      </c>
      <c r="E2947" s="17">
        <v>42128</v>
      </c>
      <c r="F2947" s="18">
        <v>0.5298842592592593</v>
      </c>
      <c r="G2947" s="22">
        <v>0</v>
      </c>
      <c r="H2947">
        <v>0</v>
      </c>
      <c r="I2947" s="19" t="e">
        <f>I2946 + (D2947-G2947)</f>
        <v>#VALUE!</v>
      </c>
      <c r="N2947">
        <v>7</v>
      </c>
      <c r="O2947" t="s">
        <v>44</v>
      </c>
      <c r="P2947">
        <v>2</v>
      </c>
      <c r="R2947">
        <v>1471</v>
      </c>
      <c r="S2947" s="17">
        <v>42188</v>
      </c>
      <c r="T2947" s="17">
        <v>42188</v>
      </c>
      <c r="W2947">
        <v>2015</v>
      </c>
      <c r="X2947">
        <v>7</v>
      </c>
      <c r="AC2947" t="s">
        <v>109</v>
      </c>
      <c r="AD2947" t="s">
        <v>302</v>
      </c>
      <c r="AE2947" t="s">
        <v>46</v>
      </c>
      <c r="AG2947">
        <v>116</v>
      </c>
      <c r="AH2947">
        <v>8</v>
      </c>
      <c r="AI2947" t="s">
        <v>52</v>
      </c>
      <c r="AM2947">
        <v>0</v>
      </c>
      <c r="AP2947" t="s">
        <v>405</v>
      </c>
    </row>
    <row r="2948" spans="1:42" customFormat="1">
      <c r="A2948">
        <v>268089</v>
      </c>
      <c r="B2948" t="s">
        <v>513</v>
      </c>
      <c r="C2948" t="s">
        <v>513</v>
      </c>
      <c r="D2948" s="22">
        <v>0</v>
      </c>
      <c r="E2948" s="17">
        <v>42128</v>
      </c>
      <c r="F2948" s="18">
        <v>0.62891203703703702</v>
      </c>
      <c r="G2948" s="22">
        <v>2806.75</v>
      </c>
      <c r="H2948">
        <v>0</v>
      </c>
      <c r="I2948" s="19" t="e">
        <f>I2947 + (D2948-G2948)</f>
        <v>#VALUE!</v>
      </c>
      <c r="N2948">
        <v>7</v>
      </c>
      <c r="O2948" t="s">
        <v>44</v>
      </c>
      <c r="P2948">
        <v>1</v>
      </c>
      <c r="R2948">
        <v>1449</v>
      </c>
      <c r="S2948" s="17">
        <v>42130</v>
      </c>
      <c r="T2948" s="17">
        <v>42130</v>
      </c>
      <c r="W2948">
        <v>2015</v>
      </c>
      <c r="X2948">
        <v>7</v>
      </c>
      <c r="AC2948" t="s">
        <v>51</v>
      </c>
      <c r="AD2948" t="s">
        <v>302</v>
      </c>
      <c r="AE2948" t="s">
        <v>46</v>
      </c>
      <c r="AG2948">
        <v>77</v>
      </c>
      <c r="AH2948">
        <v>9</v>
      </c>
      <c r="AI2948" t="s">
        <v>54</v>
      </c>
      <c r="AM2948">
        <v>0</v>
      </c>
      <c r="AO2948">
        <v>12</v>
      </c>
      <c r="AP2948" t="s">
        <v>427</v>
      </c>
    </row>
    <row r="2949" spans="1:42" customFormat="1">
      <c r="A2949">
        <v>268090</v>
      </c>
      <c r="B2949" t="s">
        <v>513</v>
      </c>
      <c r="C2949" t="s">
        <v>514</v>
      </c>
      <c r="D2949" s="22">
        <v>2806.75</v>
      </c>
      <c r="E2949" s="17">
        <v>42128</v>
      </c>
      <c r="F2949" s="18">
        <v>0.62891203703703702</v>
      </c>
      <c r="G2949" s="22">
        <v>0</v>
      </c>
      <c r="H2949">
        <v>0</v>
      </c>
      <c r="I2949" s="19" t="e">
        <f>I2948 + (D2949-G2949)</f>
        <v>#VALUE!</v>
      </c>
      <c r="N2949">
        <v>7</v>
      </c>
      <c r="O2949" t="s">
        <v>44</v>
      </c>
      <c r="P2949">
        <v>1</v>
      </c>
      <c r="R2949">
        <v>1449</v>
      </c>
      <c r="S2949" s="17">
        <v>42130</v>
      </c>
      <c r="T2949" s="17">
        <v>42130</v>
      </c>
      <c r="W2949">
        <v>2015</v>
      </c>
      <c r="X2949">
        <v>7</v>
      </c>
      <c r="AA2949">
        <v>268089</v>
      </c>
      <c r="AC2949" t="s">
        <v>51</v>
      </c>
      <c r="AD2949" t="s">
        <v>302</v>
      </c>
      <c r="AE2949" t="s">
        <v>46</v>
      </c>
      <c r="AG2949">
        <v>12</v>
      </c>
      <c r="AH2949">
        <v>9</v>
      </c>
      <c r="AI2949" t="s">
        <v>54</v>
      </c>
      <c r="AM2949">
        <v>0</v>
      </c>
      <c r="AP2949" t="s">
        <v>392</v>
      </c>
    </row>
    <row r="2950" spans="1:42" customFormat="1">
      <c r="A2950">
        <v>276160</v>
      </c>
      <c r="B2950" t="s">
        <v>102</v>
      </c>
      <c r="C2950" t="s">
        <v>109</v>
      </c>
      <c r="D2950" s="22">
        <v>0</v>
      </c>
      <c r="E2950" s="17">
        <v>42128</v>
      </c>
      <c r="F2950" s="18">
        <v>0.68644675925925924</v>
      </c>
      <c r="G2950" s="22">
        <v>6600</v>
      </c>
      <c r="H2950">
        <v>0</v>
      </c>
      <c r="I2950" s="19" t="e">
        <f>I2949 + (D2950-G2950)</f>
        <v>#VALUE!</v>
      </c>
      <c r="N2950">
        <v>7</v>
      </c>
      <c r="O2950" t="s">
        <v>44</v>
      </c>
      <c r="P2950">
        <v>1</v>
      </c>
      <c r="R2950">
        <v>1449</v>
      </c>
      <c r="S2950" s="17">
        <v>42188</v>
      </c>
      <c r="T2950" s="17">
        <v>42191</v>
      </c>
      <c r="W2950">
        <v>2015</v>
      </c>
      <c r="X2950">
        <v>24</v>
      </c>
      <c r="AC2950" t="s">
        <v>51</v>
      </c>
      <c r="AD2950" t="s">
        <v>302</v>
      </c>
      <c r="AE2950" t="s">
        <v>46</v>
      </c>
      <c r="AG2950">
        <v>114</v>
      </c>
      <c r="AH2950">
        <v>9</v>
      </c>
      <c r="AI2950" t="s">
        <v>54</v>
      </c>
      <c r="AM2950">
        <v>0</v>
      </c>
      <c r="AP2950" t="s">
        <v>898</v>
      </c>
    </row>
    <row r="2951" spans="1:42" customFormat="1">
      <c r="A2951">
        <v>276190</v>
      </c>
      <c r="B2951" t="s">
        <v>102</v>
      </c>
      <c r="C2951" t="s">
        <v>219</v>
      </c>
      <c r="D2951" s="22">
        <v>0</v>
      </c>
      <c r="E2951" s="17">
        <v>42128</v>
      </c>
      <c r="F2951" s="18">
        <v>0.69913194444444438</v>
      </c>
      <c r="G2951" s="22">
        <v>296</v>
      </c>
      <c r="H2951">
        <v>0</v>
      </c>
      <c r="I2951" s="19" t="e">
        <f>I2950 + (D2951-G2951)</f>
        <v>#VALUE!</v>
      </c>
      <c r="N2951">
        <v>24</v>
      </c>
      <c r="O2951" t="s">
        <v>68</v>
      </c>
      <c r="P2951">
        <v>1</v>
      </c>
      <c r="R2951">
        <v>1449</v>
      </c>
      <c r="S2951" s="17">
        <v>42188</v>
      </c>
      <c r="T2951" s="17">
        <v>42188</v>
      </c>
      <c r="W2951">
        <v>2015</v>
      </c>
      <c r="X2951">
        <v>24</v>
      </c>
      <c r="AC2951" t="s">
        <v>51</v>
      </c>
      <c r="AD2951" t="s">
        <v>302</v>
      </c>
      <c r="AE2951" t="s">
        <v>46</v>
      </c>
      <c r="AG2951">
        <v>114</v>
      </c>
      <c r="AH2951">
        <v>8</v>
      </c>
      <c r="AI2951" t="s">
        <v>52</v>
      </c>
      <c r="AM2951">
        <v>0</v>
      </c>
      <c r="AO2951">
        <v>107</v>
      </c>
      <c r="AP2951" t="s">
        <v>898</v>
      </c>
    </row>
    <row r="2952" spans="1:42" customFormat="1">
      <c r="A2952">
        <v>276191</v>
      </c>
      <c r="B2952" t="s">
        <v>102</v>
      </c>
      <c r="C2952" t="s">
        <v>1184</v>
      </c>
      <c r="D2952" s="22">
        <v>296</v>
      </c>
      <c r="E2952" s="17">
        <v>42128</v>
      </c>
      <c r="F2952" s="18">
        <v>0.69913194444444438</v>
      </c>
      <c r="G2952" s="22">
        <v>0</v>
      </c>
      <c r="H2952">
        <v>0</v>
      </c>
      <c r="I2952" s="19" t="e">
        <f>I2951 + (D2952-G2952)</f>
        <v>#VALUE!</v>
      </c>
      <c r="N2952">
        <v>24</v>
      </c>
      <c r="O2952" t="s">
        <v>68</v>
      </c>
      <c r="P2952">
        <v>1</v>
      </c>
      <c r="R2952">
        <v>1449</v>
      </c>
      <c r="S2952" s="17">
        <v>42188</v>
      </c>
      <c r="T2952" s="17">
        <v>42188</v>
      </c>
      <c r="W2952">
        <v>2015</v>
      </c>
      <c r="X2952">
        <v>24</v>
      </c>
      <c r="AA2952">
        <v>276190</v>
      </c>
      <c r="AC2952" t="s">
        <v>51</v>
      </c>
      <c r="AD2952" t="s">
        <v>302</v>
      </c>
      <c r="AE2952" t="s">
        <v>46</v>
      </c>
      <c r="AG2952">
        <v>107</v>
      </c>
      <c r="AH2952">
        <v>8</v>
      </c>
      <c r="AI2952" t="s">
        <v>52</v>
      </c>
      <c r="AM2952">
        <v>0</v>
      </c>
      <c r="AP2952" t="s">
        <v>1121</v>
      </c>
    </row>
    <row r="2953" spans="1:42" customFormat="1">
      <c r="A2953">
        <v>268568</v>
      </c>
      <c r="B2953" t="s">
        <v>219</v>
      </c>
      <c r="C2953" t="s">
        <v>219</v>
      </c>
      <c r="D2953" s="22">
        <v>0</v>
      </c>
      <c r="E2953" s="17">
        <v>42128</v>
      </c>
      <c r="F2953" s="18">
        <v>0.69964120370370375</v>
      </c>
      <c r="G2953" s="22">
        <v>45000</v>
      </c>
      <c r="H2953">
        <v>0</v>
      </c>
      <c r="I2953" s="19" t="e">
        <f>I2952 + (D2953-G2953)</f>
        <v>#VALUE!</v>
      </c>
      <c r="N2953">
        <v>7</v>
      </c>
      <c r="O2953" t="s">
        <v>44</v>
      </c>
      <c r="P2953">
        <v>2</v>
      </c>
      <c r="R2953">
        <v>1449</v>
      </c>
      <c r="S2953" s="17">
        <v>42130</v>
      </c>
      <c r="T2953" s="17">
        <v>42130</v>
      </c>
      <c r="W2953">
        <v>2015</v>
      </c>
      <c r="X2953">
        <v>7</v>
      </c>
      <c r="AC2953" t="s">
        <v>51</v>
      </c>
      <c r="AD2953" t="s">
        <v>302</v>
      </c>
      <c r="AE2953" t="s">
        <v>46</v>
      </c>
      <c r="AG2953">
        <v>3</v>
      </c>
      <c r="AH2953">
        <v>8</v>
      </c>
      <c r="AI2953" t="s">
        <v>52</v>
      </c>
      <c r="AM2953">
        <v>0</v>
      </c>
      <c r="AO2953">
        <v>26</v>
      </c>
      <c r="AP2953" t="s">
        <v>80</v>
      </c>
    </row>
    <row r="2954" spans="1:42" customFormat="1">
      <c r="A2954">
        <v>268570</v>
      </c>
      <c r="B2954" t="s">
        <v>219</v>
      </c>
      <c r="C2954" t="s">
        <v>1187</v>
      </c>
      <c r="D2954" s="22">
        <v>45000</v>
      </c>
      <c r="E2954" s="17">
        <v>42128</v>
      </c>
      <c r="F2954" s="18">
        <v>0.69964120370370375</v>
      </c>
      <c r="G2954" s="22">
        <v>0</v>
      </c>
      <c r="H2954">
        <v>0</v>
      </c>
      <c r="I2954" s="19" t="e">
        <f>I2953 + (D2954-G2954)</f>
        <v>#VALUE!</v>
      </c>
      <c r="N2954">
        <v>7</v>
      </c>
      <c r="O2954" t="s">
        <v>44</v>
      </c>
      <c r="P2954">
        <v>2</v>
      </c>
      <c r="R2954">
        <v>1449</v>
      </c>
      <c r="S2954" s="17">
        <v>42130</v>
      </c>
      <c r="T2954" s="17">
        <v>42130</v>
      </c>
      <c r="W2954">
        <v>2015</v>
      </c>
      <c r="X2954">
        <v>7</v>
      </c>
      <c r="AA2954">
        <v>268568</v>
      </c>
      <c r="AC2954" t="s">
        <v>51</v>
      </c>
      <c r="AD2954" t="s">
        <v>302</v>
      </c>
      <c r="AE2954" t="s">
        <v>46</v>
      </c>
      <c r="AG2954">
        <v>26</v>
      </c>
      <c r="AH2954">
        <v>8</v>
      </c>
      <c r="AI2954" t="s">
        <v>52</v>
      </c>
      <c r="AM2954">
        <v>0</v>
      </c>
      <c r="AP2954" t="s">
        <v>501</v>
      </c>
    </row>
    <row r="2955" spans="1:42" customFormat="1">
      <c r="A2955">
        <v>268571</v>
      </c>
      <c r="B2955" t="s">
        <v>219</v>
      </c>
      <c r="C2955" t="s">
        <v>219</v>
      </c>
      <c r="D2955" s="22">
        <v>0</v>
      </c>
      <c r="E2955" s="17">
        <v>42128</v>
      </c>
      <c r="F2955" s="18">
        <v>0.70021990740740747</v>
      </c>
      <c r="G2955" s="22">
        <v>40000</v>
      </c>
      <c r="H2955">
        <v>0</v>
      </c>
      <c r="I2955" s="19" t="e">
        <f>I2954 + (D2955-G2955)</f>
        <v>#VALUE!</v>
      </c>
      <c r="N2955">
        <v>7</v>
      </c>
      <c r="O2955" t="s">
        <v>44</v>
      </c>
      <c r="P2955">
        <v>2</v>
      </c>
      <c r="R2955">
        <v>1449</v>
      </c>
      <c r="S2955" s="17">
        <v>42130</v>
      </c>
      <c r="T2955" s="17">
        <v>42130</v>
      </c>
      <c r="W2955">
        <v>2015</v>
      </c>
      <c r="X2955">
        <v>7</v>
      </c>
      <c r="AC2955" t="s">
        <v>51</v>
      </c>
      <c r="AD2955" t="s">
        <v>302</v>
      </c>
      <c r="AE2955" t="s">
        <v>46</v>
      </c>
      <c r="AG2955">
        <v>3</v>
      </c>
      <c r="AH2955">
        <v>8</v>
      </c>
      <c r="AI2955" t="s">
        <v>52</v>
      </c>
      <c r="AM2955">
        <v>0</v>
      </c>
      <c r="AO2955">
        <v>26</v>
      </c>
      <c r="AP2955" t="s">
        <v>80</v>
      </c>
    </row>
    <row r="2956" spans="1:42" customFormat="1">
      <c r="A2956">
        <v>268573</v>
      </c>
      <c r="B2956" t="s">
        <v>219</v>
      </c>
      <c r="C2956" t="s">
        <v>1190</v>
      </c>
      <c r="D2956" s="22">
        <v>40000</v>
      </c>
      <c r="E2956" s="17">
        <v>42128</v>
      </c>
      <c r="F2956" s="18">
        <v>0.70021990740740747</v>
      </c>
      <c r="G2956" s="22">
        <v>0</v>
      </c>
      <c r="H2956">
        <v>0</v>
      </c>
      <c r="I2956" s="19" t="e">
        <f>I2955 + (D2956-G2956)</f>
        <v>#VALUE!</v>
      </c>
      <c r="N2956">
        <v>7</v>
      </c>
      <c r="O2956" t="s">
        <v>44</v>
      </c>
      <c r="P2956">
        <v>2</v>
      </c>
      <c r="R2956">
        <v>1449</v>
      </c>
      <c r="S2956" s="17">
        <v>42130</v>
      </c>
      <c r="T2956" s="17">
        <v>42130</v>
      </c>
      <c r="W2956">
        <v>2015</v>
      </c>
      <c r="X2956">
        <v>7</v>
      </c>
      <c r="AA2956">
        <v>268571</v>
      </c>
      <c r="AC2956" t="s">
        <v>51</v>
      </c>
      <c r="AD2956" t="s">
        <v>302</v>
      </c>
      <c r="AE2956" t="s">
        <v>46</v>
      </c>
      <c r="AG2956">
        <v>26</v>
      </c>
      <c r="AH2956">
        <v>8</v>
      </c>
      <c r="AI2956" t="s">
        <v>52</v>
      </c>
      <c r="AM2956">
        <v>0</v>
      </c>
      <c r="AP2956" t="s">
        <v>501</v>
      </c>
    </row>
    <row r="2957" spans="1:42" customFormat="1">
      <c r="A2957">
        <v>268574</v>
      </c>
      <c r="B2957" t="s">
        <v>219</v>
      </c>
      <c r="C2957" t="s">
        <v>219</v>
      </c>
      <c r="D2957" s="22">
        <v>0</v>
      </c>
      <c r="E2957" s="17">
        <v>42128</v>
      </c>
      <c r="F2957" s="18">
        <v>0.70048611111111114</v>
      </c>
      <c r="G2957" s="22">
        <v>35000</v>
      </c>
      <c r="H2957">
        <v>0</v>
      </c>
      <c r="I2957" s="19" t="e">
        <f>I2956 + (D2957-G2957)</f>
        <v>#VALUE!</v>
      </c>
      <c r="N2957">
        <v>7</v>
      </c>
      <c r="O2957" t="s">
        <v>44</v>
      </c>
      <c r="P2957">
        <v>2</v>
      </c>
      <c r="R2957">
        <v>1449</v>
      </c>
      <c r="S2957" s="17">
        <v>42130</v>
      </c>
      <c r="T2957" s="17">
        <v>42130</v>
      </c>
      <c r="W2957">
        <v>2015</v>
      </c>
      <c r="X2957">
        <v>7</v>
      </c>
      <c r="AC2957" t="s">
        <v>51</v>
      </c>
      <c r="AD2957" t="s">
        <v>302</v>
      </c>
      <c r="AE2957" t="s">
        <v>46</v>
      </c>
      <c r="AG2957">
        <v>3</v>
      </c>
      <c r="AH2957">
        <v>8</v>
      </c>
      <c r="AI2957" t="s">
        <v>52</v>
      </c>
      <c r="AM2957">
        <v>0</v>
      </c>
      <c r="AO2957">
        <v>26</v>
      </c>
      <c r="AP2957" t="s">
        <v>80</v>
      </c>
    </row>
    <row r="2958" spans="1:42" customFormat="1">
      <c r="A2958">
        <v>268576</v>
      </c>
      <c r="B2958" t="s">
        <v>219</v>
      </c>
      <c r="C2958" t="s">
        <v>1193</v>
      </c>
      <c r="D2958" s="22">
        <v>35000</v>
      </c>
      <c r="E2958" s="17">
        <v>42128</v>
      </c>
      <c r="F2958" s="18">
        <v>0.70048611111111114</v>
      </c>
      <c r="G2958" s="22">
        <v>0</v>
      </c>
      <c r="H2958">
        <v>0</v>
      </c>
      <c r="I2958" s="19" t="e">
        <f>I2957 + (D2958-G2958)</f>
        <v>#VALUE!</v>
      </c>
      <c r="N2958">
        <v>7</v>
      </c>
      <c r="O2958" t="s">
        <v>44</v>
      </c>
      <c r="P2958">
        <v>2</v>
      </c>
      <c r="R2958">
        <v>1449</v>
      </c>
      <c r="S2958" s="17">
        <v>42130</v>
      </c>
      <c r="T2958" s="17">
        <v>42130</v>
      </c>
      <c r="W2958">
        <v>2015</v>
      </c>
      <c r="X2958">
        <v>7</v>
      </c>
      <c r="AA2958">
        <v>268574</v>
      </c>
      <c r="AC2958" t="s">
        <v>51</v>
      </c>
      <c r="AD2958" t="s">
        <v>302</v>
      </c>
      <c r="AE2958" t="s">
        <v>46</v>
      </c>
      <c r="AG2958">
        <v>26</v>
      </c>
      <c r="AH2958">
        <v>8</v>
      </c>
      <c r="AI2958" t="s">
        <v>52</v>
      </c>
      <c r="AM2958">
        <v>0</v>
      </c>
      <c r="AP2958" t="s">
        <v>501</v>
      </c>
    </row>
    <row r="2959" spans="1:42" customFormat="1">
      <c r="A2959">
        <v>268577</v>
      </c>
      <c r="B2959" t="s">
        <v>219</v>
      </c>
      <c r="C2959" t="s">
        <v>219</v>
      </c>
      <c r="D2959" s="22">
        <v>0</v>
      </c>
      <c r="E2959" s="17">
        <v>42128</v>
      </c>
      <c r="F2959" s="18">
        <v>0.7009143518518518</v>
      </c>
      <c r="G2959" s="22">
        <v>15000</v>
      </c>
      <c r="H2959">
        <v>0</v>
      </c>
      <c r="I2959" s="19" t="e">
        <f>I2958 + (D2959-G2959)</f>
        <v>#VALUE!</v>
      </c>
      <c r="N2959">
        <v>7</v>
      </c>
      <c r="O2959" t="s">
        <v>44</v>
      </c>
      <c r="P2959">
        <v>2</v>
      </c>
      <c r="R2959">
        <v>1449</v>
      </c>
      <c r="S2959" s="17">
        <v>42130</v>
      </c>
      <c r="T2959" s="17">
        <v>42130</v>
      </c>
      <c r="W2959">
        <v>2015</v>
      </c>
      <c r="X2959">
        <v>7</v>
      </c>
      <c r="AC2959" t="s">
        <v>51</v>
      </c>
      <c r="AD2959" t="s">
        <v>302</v>
      </c>
      <c r="AE2959" t="s">
        <v>46</v>
      </c>
      <c r="AG2959">
        <v>3</v>
      </c>
      <c r="AH2959">
        <v>8</v>
      </c>
      <c r="AI2959" t="s">
        <v>52</v>
      </c>
      <c r="AM2959">
        <v>0</v>
      </c>
      <c r="AO2959">
        <v>26</v>
      </c>
      <c r="AP2959" t="s">
        <v>80</v>
      </c>
    </row>
    <row r="2960" spans="1:42" customFormat="1">
      <c r="A2960">
        <v>268578</v>
      </c>
      <c r="B2960" t="s">
        <v>219</v>
      </c>
      <c r="C2960" t="s">
        <v>1194</v>
      </c>
      <c r="D2960" s="22">
        <v>15000</v>
      </c>
      <c r="E2960" s="17">
        <v>42128</v>
      </c>
      <c r="F2960" s="18">
        <v>0.7009143518518518</v>
      </c>
      <c r="G2960" s="22">
        <v>0</v>
      </c>
      <c r="H2960">
        <v>0</v>
      </c>
      <c r="I2960" s="19" t="e">
        <f>I2959 + (D2960-G2960)</f>
        <v>#VALUE!</v>
      </c>
      <c r="N2960">
        <v>7</v>
      </c>
      <c r="O2960" t="s">
        <v>44</v>
      </c>
      <c r="P2960">
        <v>2</v>
      </c>
      <c r="R2960">
        <v>1449</v>
      </c>
      <c r="S2960" s="17">
        <v>42130</v>
      </c>
      <c r="T2960" s="17">
        <v>42130</v>
      </c>
      <c r="W2960">
        <v>2015</v>
      </c>
      <c r="X2960">
        <v>7</v>
      </c>
      <c r="AA2960">
        <v>268577</v>
      </c>
      <c r="AC2960" t="s">
        <v>51</v>
      </c>
      <c r="AD2960" t="s">
        <v>302</v>
      </c>
      <c r="AE2960" t="s">
        <v>46</v>
      </c>
      <c r="AG2960">
        <v>26</v>
      </c>
      <c r="AH2960">
        <v>8</v>
      </c>
      <c r="AI2960" t="s">
        <v>52</v>
      </c>
      <c r="AM2960">
        <v>0</v>
      </c>
      <c r="AP2960" t="s">
        <v>501</v>
      </c>
    </row>
    <row r="2961" spans="1:42" customFormat="1">
      <c r="A2961">
        <v>270919</v>
      </c>
      <c r="B2961" t="s">
        <v>219</v>
      </c>
      <c r="C2961" t="s">
        <v>219</v>
      </c>
      <c r="D2961" s="22">
        <v>0</v>
      </c>
      <c r="E2961" s="17">
        <v>42129</v>
      </c>
      <c r="F2961" s="18">
        <v>0.37818287037037041</v>
      </c>
      <c r="G2961" s="22">
        <v>50</v>
      </c>
      <c r="H2961">
        <v>0</v>
      </c>
      <c r="I2961" s="19" t="e">
        <f>I2960 + (D2961-G2961)</f>
        <v>#VALUE!</v>
      </c>
      <c r="N2961">
        <v>7</v>
      </c>
      <c r="O2961" t="s">
        <v>44</v>
      </c>
      <c r="P2961">
        <v>1</v>
      </c>
      <c r="R2961">
        <v>1449</v>
      </c>
      <c r="S2961" s="17">
        <v>42149</v>
      </c>
      <c r="T2961" s="17">
        <v>42149</v>
      </c>
      <c r="W2961">
        <v>2015</v>
      </c>
      <c r="X2961">
        <v>7</v>
      </c>
      <c r="AC2961" t="s">
        <v>51</v>
      </c>
      <c r="AD2961" t="s">
        <v>302</v>
      </c>
      <c r="AE2961" t="s">
        <v>46</v>
      </c>
      <c r="AG2961">
        <v>97</v>
      </c>
      <c r="AH2961">
        <v>8</v>
      </c>
      <c r="AI2961" t="s">
        <v>52</v>
      </c>
      <c r="AM2961">
        <v>0</v>
      </c>
      <c r="AO2961">
        <v>29</v>
      </c>
      <c r="AP2961" t="s">
        <v>1277</v>
      </c>
    </row>
    <row r="2962" spans="1:42" customFormat="1">
      <c r="A2962">
        <v>270920</v>
      </c>
      <c r="B2962" t="s">
        <v>219</v>
      </c>
      <c r="C2962" t="s">
        <v>1278</v>
      </c>
      <c r="D2962" s="22">
        <v>50</v>
      </c>
      <c r="E2962" s="17">
        <v>42129</v>
      </c>
      <c r="F2962" s="18">
        <v>0.37818287037037041</v>
      </c>
      <c r="G2962" s="22">
        <v>0</v>
      </c>
      <c r="H2962">
        <v>0</v>
      </c>
      <c r="I2962" s="19" t="e">
        <f>I2961 + (D2962-G2962)</f>
        <v>#VALUE!</v>
      </c>
      <c r="N2962">
        <v>7</v>
      </c>
      <c r="O2962" t="s">
        <v>44</v>
      </c>
      <c r="P2962">
        <v>1</v>
      </c>
      <c r="R2962">
        <v>1449</v>
      </c>
      <c r="S2962" s="17">
        <v>42149</v>
      </c>
      <c r="T2962" s="17">
        <v>42149</v>
      </c>
      <c r="W2962">
        <v>2015</v>
      </c>
      <c r="X2962">
        <v>7</v>
      </c>
      <c r="AA2962">
        <v>270919</v>
      </c>
      <c r="AC2962" t="s">
        <v>51</v>
      </c>
      <c r="AD2962" t="s">
        <v>302</v>
      </c>
      <c r="AE2962" t="s">
        <v>46</v>
      </c>
      <c r="AG2962">
        <v>29</v>
      </c>
      <c r="AH2962">
        <v>8</v>
      </c>
      <c r="AI2962" t="s">
        <v>52</v>
      </c>
      <c r="AM2962">
        <v>0</v>
      </c>
      <c r="AP2962" t="s">
        <v>497</v>
      </c>
    </row>
    <row r="2963" spans="1:42" customFormat="1">
      <c r="A2963">
        <v>276285</v>
      </c>
      <c r="B2963" t="s">
        <v>109</v>
      </c>
      <c r="C2963" t="s">
        <v>109</v>
      </c>
      <c r="D2963" s="22">
        <v>0</v>
      </c>
      <c r="E2963" s="17">
        <v>42129</v>
      </c>
      <c r="F2963" s="18">
        <v>0.40449074074074076</v>
      </c>
      <c r="G2963" s="22">
        <v>28205.4</v>
      </c>
      <c r="H2963">
        <v>0</v>
      </c>
      <c r="I2963" s="19" t="e">
        <f>I2962 + (D2963-G2963)</f>
        <v>#VALUE!</v>
      </c>
      <c r="N2963">
        <v>7</v>
      </c>
      <c r="O2963" t="s">
        <v>44</v>
      </c>
      <c r="P2963">
        <v>1</v>
      </c>
      <c r="R2963">
        <v>1449</v>
      </c>
      <c r="S2963" s="17">
        <v>42191</v>
      </c>
      <c r="T2963" s="17">
        <v>42191</v>
      </c>
      <c r="W2963">
        <v>2015</v>
      </c>
      <c r="X2963">
        <v>7</v>
      </c>
      <c r="AC2963" t="s">
        <v>51</v>
      </c>
      <c r="AD2963" t="s">
        <v>302</v>
      </c>
      <c r="AE2963" t="s">
        <v>46</v>
      </c>
      <c r="AG2963">
        <v>114</v>
      </c>
      <c r="AH2963">
        <v>9</v>
      </c>
      <c r="AI2963" t="s">
        <v>54</v>
      </c>
      <c r="AM2963">
        <v>0</v>
      </c>
      <c r="AP2963" t="s">
        <v>898</v>
      </c>
    </row>
    <row r="2964" spans="1:42" customFormat="1">
      <c r="A2964">
        <v>268046</v>
      </c>
      <c r="B2964" t="s">
        <v>102</v>
      </c>
      <c r="C2964" t="s">
        <v>1336</v>
      </c>
      <c r="D2964" s="22">
        <v>3000</v>
      </c>
      <c r="E2964" s="17">
        <v>42129</v>
      </c>
      <c r="F2964" s="18">
        <v>0.58325231481481488</v>
      </c>
      <c r="G2964" s="22">
        <v>0</v>
      </c>
      <c r="H2964">
        <v>0</v>
      </c>
      <c r="I2964" s="19" t="e">
        <f>I2963 + (D2964-G2964)</f>
        <v>#VALUE!</v>
      </c>
      <c r="N2964">
        <v>7</v>
      </c>
      <c r="O2964" t="s">
        <v>44</v>
      </c>
      <c r="P2964">
        <v>1</v>
      </c>
      <c r="R2964">
        <v>1471</v>
      </c>
      <c r="S2964" s="17">
        <v>42130</v>
      </c>
      <c r="T2964" s="17">
        <v>42130</v>
      </c>
      <c r="W2964">
        <v>2015</v>
      </c>
      <c r="X2964">
        <v>7</v>
      </c>
      <c r="AC2964" t="s">
        <v>109</v>
      </c>
      <c r="AD2964" t="s">
        <v>302</v>
      </c>
      <c r="AE2964" t="s">
        <v>46</v>
      </c>
      <c r="AG2964">
        <v>27</v>
      </c>
      <c r="AH2964">
        <v>8</v>
      </c>
      <c r="AI2964" t="s">
        <v>52</v>
      </c>
      <c r="AM2964">
        <v>0</v>
      </c>
      <c r="AP2964" t="s">
        <v>1337</v>
      </c>
    </row>
    <row r="2965" spans="1:42" customFormat="1">
      <c r="A2965">
        <v>276165</v>
      </c>
      <c r="B2965" t="s">
        <v>102</v>
      </c>
      <c r="C2965" t="s">
        <v>219</v>
      </c>
      <c r="D2965" s="22">
        <v>0</v>
      </c>
      <c r="E2965" s="17">
        <v>42129</v>
      </c>
      <c r="F2965" s="18">
        <v>0.68684027777777779</v>
      </c>
      <c r="G2965" s="22">
        <v>4550.6000000000004</v>
      </c>
      <c r="H2965">
        <v>0</v>
      </c>
      <c r="I2965" s="19" t="e">
        <f>I2964 + (D2965-G2965)</f>
        <v>#VALUE!</v>
      </c>
      <c r="N2965">
        <v>24</v>
      </c>
      <c r="O2965" t="s">
        <v>68</v>
      </c>
      <c r="P2965">
        <v>1</v>
      </c>
      <c r="R2965">
        <v>1449</v>
      </c>
      <c r="S2965" s="17">
        <v>42188</v>
      </c>
      <c r="T2965" s="17">
        <v>42188</v>
      </c>
      <c r="W2965">
        <v>2015</v>
      </c>
      <c r="X2965">
        <v>24</v>
      </c>
      <c r="AC2965" t="s">
        <v>51</v>
      </c>
      <c r="AD2965" t="s">
        <v>302</v>
      </c>
      <c r="AE2965" t="s">
        <v>46</v>
      </c>
      <c r="AG2965">
        <v>114</v>
      </c>
      <c r="AH2965">
        <v>8</v>
      </c>
      <c r="AI2965" t="s">
        <v>52</v>
      </c>
      <c r="AM2965">
        <v>0</v>
      </c>
      <c r="AO2965">
        <v>107</v>
      </c>
      <c r="AP2965" t="s">
        <v>898</v>
      </c>
    </row>
    <row r="2966" spans="1:42" customFormat="1">
      <c r="A2966">
        <v>276189</v>
      </c>
      <c r="B2966" t="s">
        <v>102</v>
      </c>
      <c r="C2966" t="s">
        <v>1566</v>
      </c>
      <c r="D2966" s="22">
        <v>4550.6000000000004</v>
      </c>
      <c r="E2966" s="17">
        <v>42129</v>
      </c>
      <c r="F2966" s="18">
        <v>0.68684027777777779</v>
      </c>
      <c r="G2966" s="22">
        <v>0</v>
      </c>
      <c r="H2966">
        <v>0</v>
      </c>
      <c r="I2966" s="19" t="e">
        <f>I2965 + (D2966-G2966)</f>
        <v>#VALUE!</v>
      </c>
      <c r="N2966">
        <v>24</v>
      </c>
      <c r="O2966" t="s">
        <v>68</v>
      </c>
      <c r="P2966">
        <v>1</v>
      </c>
      <c r="R2966">
        <v>1449</v>
      </c>
      <c r="S2966" s="17">
        <v>42188</v>
      </c>
      <c r="T2966" s="17">
        <v>42188</v>
      </c>
      <c r="W2966">
        <v>2015</v>
      </c>
      <c r="X2966">
        <v>24</v>
      </c>
      <c r="AA2966">
        <v>276165</v>
      </c>
      <c r="AC2966" t="s">
        <v>51</v>
      </c>
      <c r="AD2966" t="s">
        <v>302</v>
      </c>
      <c r="AE2966" t="s">
        <v>46</v>
      </c>
      <c r="AG2966">
        <v>107</v>
      </c>
      <c r="AH2966">
        <v>8</v>
      </c>
      <c r="AI2966" t="s">
        <v>52</v>
      </c>
      <c r="AM2966">
        <v>0</v>
      </c>
      <c r="AP2966" t="s">
        <v>1121</v>
      </c>
    </row>
    <row r="2967" spans="1:42" customFormat="1">
      <c r="A2967">
        <v>267661</v>
      </c>
      <c r="B2967" t="s">
        <v>219</v>
      </c>
      <c r="C2967" t="s">
        <v>219</v>
      </c>
      <c r="D2967" s="22">
        <v>0</v>
      </c>
      <c r="E2967" s="17">
        <v>42129</v>
      </c>
      <c r="F2967" s="18">
        <v>0.73410879629629633</v>
      </c>
      <c r="G2967" s="22">
        <v>5000</v>
      </c>
      <c r="H2967">
        <v>0</v>
      </c>
      <c r="I2967" s="19" t="e">
        <f>I2966 + (D2967-G2967)</f>
        <v>#VALUE!</v>
      </c>
      <c r="N2967">
        <v>24</v>
      </c>
      <c r="O2967" t="s">
        <v>68</v>
      </c>
      <c r="P2967">
        <v>2</v>
      </c>
      <c r="R2967">
        <v>1449</v>
      </c>
      <c r="S2967" s="17">
        <v>42129</v>
      </c>
      <c r="T2967" s="17">
        <v>42129</v>
      </c>
      <c r="W2967">
        <v>2015</v>
      </c>
      <c r="X2967">
        <v>24</v>
      </c>
      <c r="AC2967" t="s">
        <v>51</v>
      </c>
      <c r="AD2967" t="s">
        <v>302</v>
      </c>
      <c r="AE2967" t="s">
        <v>46</v>
      </c>
      <c r="AG2967">
        <v>26</v>
      </c>
      <c r="AH2967">
        <v>8</v>
      </c>
      <c r="AI2967" t="s">
        <v>52</v>
      </c>
      <c r="AM2967">
        <v>0</v>
      </c>
      <c r="AO2967">
        <v>42</v>
      </c>
      <c r="AP2967" t="s">
        <v>501</v>
      </c>
    </row>
    <row r="2968" spans="1:42" customFormat="1">
      <c r="A2968">
        <v>267662</v>
      </c>
      <c r="B2968" t="s">
        <v>219</v>
      </c>
      <c r="C2968" t="s">
        <v>1601</v>
      </c>
      <c r="D2968" s="22">
        <v>5000</v>
      </c>
      <c r="E2968" s="17">
        <v>42129</v>
      </c>
      <c r="F2968" s="18">
        <v>0.73410879629629633</v>
      </c>
      <c r="G2968" s="22">
        <v>0</v>
      </c>
      <c r="H2968">
        <v>0</v>
      </c>
      <c r="I2968" s="19" t="e">
        <f>I2967 + (D2968-G2968)</f>
        <v>#VALUE!</v>
      </c>
      <c r="N2968">
        <v>24</v>
      </c>
      <c r="O2968" t="s">
        <v>68</v>
      </c>
      <c r="P2968">
        <v>2</v>
      </c>
      <c r="R2968">
        <v>1449</v>
      </c>
      <c r="S2968" s="17">
        <v>42129</v>
      </c>
      <c r="T2968" s="17">
        <v>42129</v>
      </c>
      <c r="W2968">
        <v>2015</v>
      </c>
      <c r="X2968">
        <v>24</v>
      </c>
      <c r="AA2968">
        <v>267661</v>
      </c>
      <c r="AC2968" t="s">
        <v>51</v>
      </c>
      <c r="AD2968" t="s">
        <v>302</v>
      </c>
      <c r="AE2968" t="s">
        <v>46</v>
      </c>
      <c r="AG2968">
        <v>42</v>
      </c>
      <c r="AH2968">
        <v>8</v>
      </c>
      <c r="AI2968" t="s">
        <v>52</v>
      </c>
      <c r="AM2968">
        <v>0</v>
      </c>
      <c r="AP2968" t="s">
        <v>1602</v>
      </c>
    </row>
    <row r="2969" spans="1:42" customFormat="1">
      <c r="A2969">
        <v>269878</v>
      </c>
      <c r="B2969" t="s">
        <v>219</v>
      </c>
      <c r="C2969" t="s">
        <v>219</v>
      </c>
      <c r="D2969" s="22">
        <v>12800</v>
      </c>
      <c r="E2969" s="17">
        <v>42130</v>
      </c>
      <c r="F2969" s="18">
        <v>0.36005787037037035</v>
      </c>
      <c r="G2969" s="22">
        <v>0</v>
      </c>
      <c r="H2969">
        <v>0</v>
      </c>
      <c r="I2969" s="19" t="e">
        <f>I2968 + (D2969-G2969)</f>
        <v>#VALUE!</v>
      </c>
      <c r="N2969">
        <v>7</v>
      </c>
      <c r="O2969" t="s">
        <v>44</v>
      </c>
      <c r="P2969">
        <v>1</v>
      </c>
      <c r="R2969">
        <v>1449</v>
      </c>
      <c r="S2969" s="17">
        <v>42138</v>
      </c>
      <c r="T2969" s="17">
        <v>42138</v>
      </c>
      <c r="W2969">
        <v>2015</v>
      </c>
      <c r="X2969">
        <v>7</v>
      </c>
      <c r="AC2969" t="s">
        <v>51</v>
      </c>
      <c r="AD2969" t="s">
        <v>302</v>
      </c>
      <c r="AE2969" t="s">
        <v>46</v>
      </c>
      <c r="AG2969">
        <v>52</v>
      </c>
      <c r="AH2969">
        <v>8</v>
      </c>
      <c r="AI2969" t="s">
        <v>52</v>
      </c>
      <c r="AM2969">
        <v>0</v>
      </c>
      <c r="AP2969" t="s">
        <v>325</v>
      </c>
    </row>
    <row r="2970" spans="1:42" customFormat="1">
      <c r="A2970">
        <v>276286</v>
      </c>
      <c r="B2970" t="s">
        <v>109</v>
      </c>
      <c r="C2970" t="s">
        <v>109</v>
      </c>
      <c r="D2970" s="22">
        <v>34478.480000000003</v>
      </c>
      <c r="E2970" s="17">
        <v>42130</v>
      </c>
      <c r="F2970" s="18">
        <v>0.40469907407407407</v>
      </c>
      <c r="G2970" s="22">
        <v>0</v>
      </c>
      <c r="H2970">
        <v>0</v>
      </c>
      <c r="I2970" s="19" t="e">
        <f>I2969 + (D2970-G2970)</f>
        <v>#VALUE!</v>
      </c>
      <c r="N2970">
        <v>7</v>
      </c>
      <c r="O2970" t="s">
        <v>44</v>
      </c>
      <c r="P2970">
        <v>1</v>
      </c>
      <c r="R2970">
        <v>1471</v>
      </c>
      <c r="S2970" s="17">
        <v>42191</v>
      </c>
      <c r="T2970" s="17">
        <v>42191</v>
      </c>
      <c r="W2970">
        <v>2015</v>
      </c>
      <c r="X2970">
        <v>7</v>
      </c>
      <c r="AC2970" t="s">
        <v>109</v>
      </c>
      <c r="AD2970" t="s">
        <v>302</v>
      </c>
      <c r="AE2970" t="s">
        <v>46</v>
      </c>
      <c r="AG2970">
        <v>114</v>
      </c>
      <c r="AH2970">
        <v>9</v>
      </c>
      <c r="AI2970" t="s">
        <v>54</v>
      </c>
      <c r="AM2970">
        <v>0</v>
      </c>
      <c r="AP2970" t="s">
        <v>898</v>
      </c>
    </row>
    <row r="2971" spans="1:42" customFormat="1">
      <c r="A2971">
        <v>271026</v>
      </c>
      <c r="B2971" t="s">
        <v>281</v>
      </c>
      <c r="C2971" t="s">
        <v>281</v>
      </c>
      <c r="D2971" s="22">
        <v>9000</v>
      </c>
      <c r="E2971" s="17">
        <v>42130</v>
      </c>
      <c r="F2971" s="18">
        <v>0.42640046296296297</v>
      </c>
      <c r="G2971" s="22">
        <v>0</v>
      </c>
      <c r="H2971">
        <v>0</v>
      </c>
      <c r="I2971" s="19" t="e">
        <f>I2970 + (D2971-G2971)</f>
        <v>#VALUE!</v>
      </c>
      <c r="N2971">
        <v>7</v>
      </c>
      <c r="O2971" t="s">
        <v>44</v>
      </c>
      <c r="P2971">
        <v>1</v>
      </c>
      <c r="R2971">
        <v>1449</v>
      </c>
      <c r="S2971" s="17">
        <v>42150</v>
      </c>
      <c r="T2971" s="17">
        <v>42150</v>
      </c>
      <c r="W2971">
        <v>2015</v>
      </c>
      <c r="X2971">
        <v>7</v>
      </c>
      <c r="AC2971" t="s">
        <v>51</v>
      </c>
      <c r="AD2971" t="s">
        <v>302</v>
      </c>
      <c r="AE2971" t="s">
        <v>46</v>
      </c>
      <c r="AG2971">
        <v>118</v>
      </c>
      <c r="AH2971">
        <v>9</v>
      </c>
      <c r="AI2971" t="s">
        <v>54</v>
      </c>
      <c r="AM2971">
        <v>0</v>
      </c>
      <c r="AP2971" t="s">
        <v>418</v>
      </c>
    </row>
    <row r="2972" spans="1:42" customFormat="1">
      <c r="A2972">
        <v>269928</v>
      </c>
      <c r="B2972" t="s">
        <v>219</v>
      </c>
      <c r="C2972" t="s">
        <v>219</v>
      </c>
      <c r="D2972" s="22">
        <v>0</v>
      </c>
      <c r="E2972" s="17">
        <v>42130</v>
      </c>
      <c r="F2972" s="18">
        <v>0.46935185185185185</v>
      </c>
      <c r="G2972" s="22">
        <v>22000</v>
      </c>
      <c r="H2972">
        <v>0</v>
      </c>
      <c r="I2972" s="19" t="e">
        <f>I2971 + (D2972-G2972)</f>
        <v>#VALUE!</v>
      </c>
      <c r="N2972">
        <v>24</v>
      </c>
      <c r="O2972" t="s">
        <v>68</v>
      </c>
      <c r="P2972">
        <v>1</v>
      </c>
      <c r="R2972">
        <v>1449</v>
      </c>
      <c r="S2972" s="17">
        <v>42138</v>
      </c>
      <c r="T2972" s="17">
        <v>42138</v>
      </c>
      <c r="W2972">
        <v>2015</v>
      </c>
      <c r="X2972">
        <v>24</v>
      </c>
      <c r="AC2972" t="s">
        <v>51</v>
      </c>
      <c r="AD2972" t="s">
        <v>302</v>
      </c>
      <c r="AE2972" t="s">
        <v>46</v>
      </c>
      <c r="AG2972">
        <v>69</v>
      </c>
      <c r="AH2972">
        <v>8</v>
      </c>
      <c r="AI2972" t="s">
        <v>52</v>
      </c>
      <c r="AM2972">
        <v>0</v>
      </c>
      <c r="AO2972">
        <v>59</v>
      </c>
      <c r="AP2972" t="s">
        <v>339</v>
      </c>
    </row>
    <row r="2973" spans="1:42" customFormat="1">
      <c r="A2973">
        <v>269929</v>
      </c>
      <c r="B2973" t="s">
        <v>219</v>
      </c>
      <c r="C2973" t="s">
        <v>1678</v>
      </c>
      <c r="D2973" s="22">
        <v>22000</v>
      </c>
      <c r="E2973" s="17">
        <v>42130</v>
      </c>
      <c r="F2973" s="18">
        <v>0.46935185185185185</v>
      </c>
      <c r="G2973" s="22">
        <v>0</v>
      </c>
      <c r="H2973">
        <v>0</v>
      </c>
      <c r="I2973" s="19" t="e">
        <f>I2972 + (D2973-G2973)</f>
        <v>#VALUE!</v>
      </c>
      <c r="N2973">
        <v>24</v>
      </c>
      <c r="O2973" t="s">
        <v>68</v>
      </c>
      <c r="P2973">
        <v>1</v>
      </c>
      <c r="R2973">
        <v>1449</v>
      </c>
      <c r="S2973" s="17">
        <v>42138</v>
      </c>
      <c r="T2973" s="17">
        <v>42138</v>
      </c>
      <c r="W2973">
        <v>2015</v>
      </c>
      <c r="X2973">
        <v>24</v>
      </c>
      <c r="AA2973">
        <v>269928</v>
      </c>
      <c r="AC2973" t="s">
        <v>51</v>
      </c>
      <c r="AD2973" t="s">
        <v>302</v>
      </c>
      <c r="AE2973" t="s">
        <v>46</v>
      </c>
      <c r="AG2973">
        <v>59</v>
      </c>
      <c r="AH2973">
        <v>8</v>
      </c>
      <c r="AI2973" t="s">
        <v>52</v>
      </c>
      <c r="AM2973">
        <v>0</v>
      </c>
      <c r="AP2973" t="s">
        <v>341</v>
      </c>
    </row>
    <row r="2974" spans="1:42" customFormat="1">
      <c r="A2974">
        <v>269931</v>
      </c>
      <c r="B2974" t="s">
        <v>219</v>
      </c>
      <c r="C2974" t="s">
        <v>219</v>
      </c>
      <c r="D2974" s="22">
        <v>0</v>
      </c>
      <c r="E2974" s="17">
        <v>42130</v>
      </c>
      <c r="F2974" s="18">
        <v>0.47165509259259258</v>
      </c>
      <c r="G2974" s="22">
        <v>22000</v>
      </c>
      <c r="H2974">
        <v>0</v>
      </c>
      <c r="I2974" s="19" t="e">
        <f>I2973 + (D2974-G2974)</f>
        <v>#VALUE!</v>
      </c>
      <c r="N2974">
        <v>24</v>
      </c>
      <c r="O2974" t="s">
        <v>68</v>
      </c>
      <c r="P2974">
        <v>1</v>
      </c>
      <c r="R2974">
        <v>1449</v>
      </c>
      <c r="S2974" s="17">
        <v>42138</v>
      </c>
      <c r="T2974" s="17">
        <v>42138</v>
      </c>
      <c r="W2974">
        <v>2015</v>
      </c>
      <c r="X2974">
        <v>24</v>
      </c>
      <c r="AC2974" t="s">
        <v>51</v>
      </c>
      <c r="AD2974" t="s">
        <v>302</v>
      </c>
      <c r="AE2974" t="s">
        <v>46</v>
      </c>
      <c r="AG2974">
        <v>59</v>
      </c>
      <c r="AH2974">
        <v>8</v>
      </c>
      <c r="AI2974" t="s">
        <v>52</v>
      </c>
      <c r="AM2974">
        <v>0</v>
      </c>
      <c r="AO2974">
        <v>12</v>
      </c>
      <c r="AP2974" t="s">
        <v>341</v>
      </c>
    </row>
    <row r="2975" spans="1:42" customFormat="1">
      <c r="A2975">
        <v>269933</v>
      </c>
      <c r="B2975" t="s">
        <v>219</v>
      </c>
      <c r="C2975" t="s">
        <v>1685</v>
      </c>
      <c r="D2975" s="22">
        <v>22000</v>
      </c>
      <c r="E2975" s="17">
        <v>42130</v>
      </c>
      <c r="F2975" s="18">
        <v>0.47165509259259258</v>
      </c>
      <c r="G2975" s="22">
        <v>0</v>
      </c>
      <c r="H2975">
        <v>0</v>
      </c>
      <c r="I2975" s="19" t="e">
        <f>I2974 + (D2975-G2975)</f>
        <v>#VALUE!</v>
      </c>
      <c r="N2975">
        <v>24</v>
      </c>
      <c r="O2975" t="s">
        <v>68</v>
      </c>
      <c r="P2975">
        <v>1</v>
      </c>
      <c r="R2975">
        <v>1449</v>
      </c>
      <c r="S2975" s="17">
        <v>42138</v>
      </c>
      <c r="T2975" s="17">
        <v>42138</v>
      </c>
      <c r="W2975">
        <v>2015</v>
      </c>
      <c r="X2975">
        <v>24</v>
      </c>
      <c r="AA2975">
        <v>269931</v>
      </c>
      <c r="AC2975" t="s">
        <v>51</v>
      </c>
      <c r="AD2975" t="s">
        <v>302</v>
      </c>
      <c r="AE2975" t="s">
        <v>46</v>
      </c>
      <c r="AG2975">
        <v>12</v>
      </c>
      <c r="AH2975">
        <v>8</v>
      </c>
      <c r="AI2975" t="s">
        <v>52</v>
      </c>
      <c r="AM2975">
        <v>0</v>
      </c>
      <c r="AP2975" t="s">
        <v>392</v>
      </c>
    </row>
    <row r="2976" spans="1:42" customFormat="1">
      <c r="A2976">
        <v>269553</v>
      </c>
      <c r="B2976" t="s">
        <v>219</v>
      </c>
      <c r="C2976" t="s">
        <v>219</v>
      </c>
      <c r="D2976" s="22">
        <v>0</v>
      </c>
      <c r="E2976" s="17">
        <v>42130</v>
      </c>
      <c r="F2976" s="18">
        <v>0.47362268518518519</v>
      </c>
      <c r="G2976" s="22">
        <v>378</v>
      </c>
      <c r="H2976">
        <v>0</v>
      </c>
      <c r="I2976" s="19" t="e">
        <f>I2975 + (D2976-G2976)</f>
        <v>#VALUE!</v>
      </c>
      <c r="N2976">
        <v>24</v>
      </c>
      <c r="O2976" t="s">
        <v>68</v>
      </c>
      <c r="P2976">
        <v>1</v>
      </c>
      <c r="R2976">
        <v>1449</v>
      </c>
      <c r="S2976" s="17">
        <v>42136</v>
      </c>
      <c r="T2976" s="17">
        <v>42136</v>
      </c>
      <c r="W2976">
        <v>2015</v>
      </c>
      <c r="X2976">
        <v>24</v>
      </c>
      <c r="AC2976" t="s">
        <v>51</v>
      </c>
      <c r="AD2976" t="s">
        <v>302</v>
      </c>
      <c r="AE2976" t="s">
        <v>46</v>
      </c>
      <c r="AG2976">
        <v>72</v>
      </c>
      <c r="AH2976">
        <v>9</v>
      </c>
      <c r="AI2976" t="s">
        <v>54</v>
      </c>
      <c r="AM2976">
        <v>0</v>
      </c>
      <c r="AO2976">
        <v>26</v>
      </c>
      <c r="AP2976" t="s">
        <v>1694</v>
      </c>
    </row>
    <row r="2977" spans="1:42" customFormat="1">
      <c r="A2977">
        <v>269554</v>
      </c>
      <c r="B2977" t="s">
        <v>219</v>
      </c>
      <c r="C2977" t="s">
        <v>1695</v>
      </c>
      <c r="D2977" s="22">
        <v>378</v>
      </c>
      <c r="E2977" s="17">
        <v>42130</v>
      </c>
      <c r="F2977" s="18">
        <v>0.47362268518518519</v>
      </c>
      <c r="G2977" s="22">
        <v>0</v>
      </c>
      <c r="H2977">
        <v>0</v>
      </c>
      <c r="I2977" s="19" t="e">
        <f>I2976 + (D2977-G2977)</f>
        <v>#VALUE!</v>
      </c>
      <c r="N2977">
        <v>24</v>
      </c>
      <c r="O2977" t="s">
        <v>68</v>
      </c>
      <c r="P2977">
        <v>1</v>
      </c>
      <c r="R2977">
        <v>1449</v>
      </c>
      <c r="S2977" s="17">
        <v>42136</v>
      </c>
      <c r="T2977" s="17">
        <v>42136</v>
      </c>
      <c r="W2977">
        <v>2015</v>
      </c>
      <c r="X2977">
        <v>24</v>
      </c>
      <c r="AA2977">
        <v>269553</v>
      </c>
      <c r="AC2977" t="s">
        <v>51</v>
      </c>
      <c r="AD2977" t="s">
        <v>302</v>
      </c>
      <c r="AE2977" t="s">
        <v>46</v>
      </c>
      <c r="AG2977">
        <v>26</v>
      </c>
      <c r="AH2977">
        <v>9</v>
      </c>
      <c r="AI2977" t="s">
        <v>54</v>
      </c>
      <c r="AM2977">
        <v>0</v>
      </c>
      <c r="AP2977" t="s">
        <v>501</v>
      </c>
    </row>
    <row r="2978" spans="1:42" customFormat="1">
      <c r="A2978">
        <v>269804</v>
      </c>
      <c r="B2978" t="s">
        <v>219</v>
      </c>
      <c r="C2978" t="s">
        <v>219</v>
      </c>
      <c r="D2978" s="22">
        <v>0</v>
      </c>
      <c r="E2978" s="17">
        <v>42130</v>
      </c>
      <c r="F2978" s="18">
        <v>0.48410879629629627</v>
      </c>
      <c r="G2978" s="22">
        <v>38000</v>
      </c>
      <c r="H2978">
        <v>0</v>
      </c>
      <c r="I2978" s="19" t="e">
        <f>I2977 + (D2978-G2978)</f>
        <v>#VALUE!</v>
      </c>
      <c r="N2978">
        <v>24</v>
      </c>
      <c r="O2978" t="s">
        <v>68</v>
      </c>
      <c r="P2978">
        <v>1</v>
      </c>
      <c r="R2978">
        <v>1449</v>
      </c>
      <c r="S2978" s="17">
        <v>42137</v>
      </c>
      <c r="T2978" s="17">
        <v>42137</v>
      </c>
      <c r="W2978">
        <v>2015</v>
      </c>
      <c r="X2978">
        <v>24</v>
      </c>
      <c r="AC2978" t="s">
        <v>51</v>
      </c>
      <c r="AD2978" t="s">
        <v>302</v>
      </c>
      <c r="AE2978" t="s">
        <v>46</v>
      </c>
      <c r="AG2978">
        <v>107</v>
      </c>
      <c r="AH2978">
        <v>8</v>
      </c>
      <c r="AI2978" t="s">
        <v>52</v>
      </c>
      <c r="AM2978">
        <v>0</v>
      </c>
      <c r="AO2978">
        <v>12</v>
      </c>
      <c r="AP2978" t="s">
        <v>1121</v>
      </c>
    </row>
    <row r="2979" spans="1:42" customFormat="1">
      <c r="A2979">
        <v>269805</v>
      </c>
      <c r="B2979" t="s">
        <v>219</v>
      </c>
      <c r="C2979" t="s">
        <v>1702</v>
      </c>
      <c r="D2979" s="22">
        <v>38000</v>
      </c>
      <c r="E2979" s="17">
        <v>42130</v>
      </c>
      <c r="F2979" s="18">
        <v>0.48410879629629627</v>
      </c>
      <c r="G2979" s="22">
        <v>0</v>
      </c>
      <c r="H2979">
        <v>0</v>
      </c>
      <c r="I2979" s="19" t="e">
        <f>I2978 + (D2979-G2979)</f>
        <v>#VALUE!</v>
      </c>
      <c r="N2979">
        <v>24</v>
      </c>
      <c r="O2979" t="s">
        <v>68</v>
      </c>
      <c r="P2979">
        <v>1</v>
      </c>
      <c r="R2979">
        <v>1449</v>
      </c>
      <c r="S2979" s="17">
        <v>42137</v>
      </c>
      <c r="T2979" s="17">
        <v>42137</v>
      </c>
      <c r="W2979">
        <v>2015</v>
      </c>
      <c r="X2979">
        <v>24</v>
      </c>
      <c r="AA2979">
        <v>269804</v>
      </c>
      <c r="AC2979" t="s">
        <v>51</v>
      </c>
      <c r="AD2979" t="s">
        <v>302</v>
      </c>
      <c r="AE2979" t="s">
        <v>46</v>
      </c>
      <c r="AG2979">
        <v>12</v>
      </c>
      <c r="AH2979">
        <v>8</v>
      </c>
      <c r="AI2979" t="s">
        <v>52</v>
      </c>
      <c r="AM2979">
        <v>0</v>
      </c>
      <c r="AP2979" t="s">
        <v>392</v>
      </c>
    </row>
    <row r="2980" spans="1:42" customFormat="1">
      <c r="A2980">
        <v>269806</v>
      </c>
      <c r="B2980" t="s">
        <v>219</v>
      </c>
      <c r="C2980" t="s">
        <v>219</v>
      </c>
      <c r="D2980" s="22">
        <v>0</v>
      </c>
      <c r="E2980" s="17">
        <v>42130</v>
      </c>
      <c r="F2980" s="18">
        <v>0.48462962962962958</v>
      </c>
      <c r="G2980" s="22">
        <v>15000</v>
      </c>
      <c r="H2980">
        <v>0</v>
      </c>
      <c r="I2980" s="19" t="e">
        <f>I2979 + (D2980-G2980)</f>
        <v>#VALUE!</v>
      </c>
      <c r="N2980">
        <v>7</v>
      </c>
      <c r="O2980" t="s">
        <v>44</v>
      </c>
      <c r="P2980">
        <v>1</v>
      </c>
      <c r="R2980">
        <v>1449</v>
      </c>
      <c r="S2980" s="17">
        <v>42137</v>
      </c>
      <c r="T2980" s="17">
        <v>42138</v>
      </c>
      <c r="W2980">
        <v>2015</v>
      </c>
      <c r="X2980">
        <v>24</v>
      </c>
      <c r="AC2980" t="s">
        <v>51</v>
      </c>
      <c r="AD2980" t="s">
        <v>302</v>
      </c>
      <c r="AE2980" t="s">
        <v>46</v>
      </c>
      <c r="AG2980">
        <v>96</v>
      </c>
      <c r="AH2980">
        <v>8</v>
      </c>
      <c r="AI2980" t="s">
        <v>52</v>
      </c>
      <c r="AM2980">
        <v>0</v>
      </c>
      <c r="AO2980">
        <v>52</v>
      </c>
      <c r="AP2980" t="s">
        <v>1703</v>
      </c>
    </row>
    <row r="2981" spans="1:42" customFormat="1">
      <c r="A2981">
        <v>269860</v>
      </c>
      <c r="B2981" t="s">
        <v>219</v>
      </c>
      <c r="C2981" t="s">
        <v>1704</v>
      </c>
      <c r="D2981" s="22">
        <v>15000</v>
      </c>
      <c r="E2981" s="17">
        <v>42130</v>
      </c>
      <c r="F2981" s="18">
        <v>0.48462962962962958</v>
      </c>
      <c r="G2981" s="22">
        <v>0</v>
      </c>
      <c r="H2981">
        <v>0</v>
      </c>
      <c r="I2981" s="19" t="e">
        <f>I2980 + (D2981-G2981)</f>
        <v>#VALUE!</v>
      </c>
      <c r="N2981">
        <v>7</v>
      </c>
      <c r="O2981" t="s">
        <v>44</v>
      </c>
      <c r="P2981">
        <v>1</v>
      </c>
      <c r="R2981">
        <v>1449</v>
      </c>
      <c r="S2981" s="17">
        <v>42138</v>
      </c>
      <c r="T2981" s="17">
        <v>42138</v>
      </c>
      <c r="W2981">
        <v>2015</v>
      </c>
      <c r="X2981">
        <v>7</v>
      </c>
      <c r="AA2981">
        <v>269806</v>
      </c>
      <c r="AC2981" t="s">
        <v>51</v>
      </c>
      <c r="AD2981" t="s">
        <v>302</v>
      </c>
      <c r="AE2981" t="s">
        <v>46</v>
      </c>
      <c r="AG2981">
        <v>52</v>
      </c>
      <c r="AH2981">
        <v>8</v>
      </c>
      <c r="AI2981" t="s">
        <v>52</v>
      </c>
      <c r="AM2981">
        <v>0</v>
      </c>
      <c r="AP2981" t="s">
        <v>325</v>
      </c>
    </row>
    <row r="2982" spans="1:42" customFormat="1">
      <c r="A2982">
        <v>269808</v>
      </c>
      <c r="B2982" t="s">
        <v>219</v>
      </c>
      <c r="C2982" t="s">
        <v>219</v>
      </c>
      <c r="D2982" s="22">
        <v>0</v>
      </c>
      <c r="E2982" s="17">
        <v>42130</v>
      </c>
      <c r="F2982" s="18">
        <v>0.48532407407407407</v>
      </c>
      <c r="G2982" s="22">
        <v>38000</v>
      </c>
      <c r="H2982">
        <v>0</v>
      </c>
      <c r="I2982" s="19" t="e">
        <f>I2981 + (D2982-G2982)</f>
        <v>#VALUE!</v>
      </c>
      <c r="N2982">
        <v>24</v>
      </c>
      <c r="O2982" t="s">
        <v>68</v>
      </c>
      <c r="P2982">
        <v>1</v>
      </c>
      <c r="R2982">
        <v>1449</v>
      </c>
      <c r="S2982" s="17">
        <v>42137</v>
      </c>
      <c r="T2982" s="17">
        <v>42137</v>
      </c>
      <c r="W2982">
        <v>2015</v>
      </c>
      <c r="X2982">
        <v>24</v>
      </c>
      <c r="AC2982" t="s">
        <v>51</v>
      </c>
      <c r="AD2982" t="s">
        <v>302</v>
      </c>
      <c r="AE2982" t="s">
        <v>46</v>
      </c>
      <c r="AG2982">
        <v>12</v>
      </c>
      <c r="AH2982">
        <v>8</v>
      </c>
      <c r="AI2982" t="s">
        <v>52</v>
      </c>
      <c r="AM2982">
        <v>0</v>
      </c>
      <c r="AO2982">
        <v>52</v>
      </c>
      <c r="AP2982" t="s">
        <v>392</v>
      </c>
    </row>
    <row r="2983" spans="1:42" customFormat="1">
      <c r="A2983">
        <v>269809</v>
      </c>
      <c r="B2983" t="s">
        <v>219</v>
      </c>
      <c r="C2983" t="s">
        <v>1705</v>
      </c>
      <c r="D2983" s="22">
        <v>38000</v>
      </c>
      <c r="E2983" s="17">
        <v>42130</v>
      </c>
      <c r="F2983" s="18">
        <v>0.48532407407407407</v>
      </c>
      <c r="G2983" s="22">
        <v>0</v>
      </c>
      <c r="H2983">
        <v>0</v>
      </c>
      <c r="I2983" s="19" t="e">
        <f>I2982 + (D2983-G2983)</f>
        <v>#VALUE!</v>
      </c>
      <c r="N2983">
        <v>24</v>
      </c>
      <c r="O2983" t="s">
        <v>68</v>
      </c>
      <c r="P2983">
        <v>1</v>
      </c>
      <c r="R2983">
        <v>1449</v>
      </c>
      <c r="S2983" s="17">
        <v>42137</v>
      </c>
      <c r="T2983" s="17">
        <v>42137</v>
      </c>
      <c r="W2983">
        <v>2015</v>
      </c>
      <c r="X2983">
        <v>24</v>
      </c>
      <c r="AA2983">
        <v>269808</v>
      </c>
      <c r="AC2983" t="s">
        <v>51</v>
      </c>
      <c r="AD2983" t="s">
        <v>302</v>
      </c>
      <c r="AE2983" t="s">
        <v>46</v>
      </c>
      <c r="AG2983">
        <v>52</v>
      </c>
      <c r="AH2983">
        <v>8</v>
      </c>
      <c r="AI2983" t="s">
        <v>52</v>
      </c>
      <c r="AM2983">
        <v>0</v>
      </c>
      <c r="AP2983" t="s">
        <v>325</v>
      </c>
    </row>
    <row r="2984" spans="1:42" customFormat="1">
      <c r="A2984">
        <v>269810</v>
      </c>
      <c r="B2984" t="s">
        <v>219</v>
      </c>
      <c r="C2984" t="s">
        <v>219</v>
      </c>
      <c r="D2984" s="22">
        <v>0</v>
      </c>
      <c r="E2984" s="17">
        <v>42130</v>
      </c>
      <c r="F2984" s="18">
        <v>0.48641203703703706</v>
      </c>
      <c r="G2984" s="22">
        <v>23400</v>
      </c>
      <c r="H2984">
        <v>0</v>
      </c>
      <c r="I2984" s="19" t="e">
        <f>I2983 + (D2984-G2984)</f>
        <v>#VALUE!</v>
      </c>
      <c r="N2984">
        <v>24</v>
      </c>
      <c r="O2984" t="s">
        <v>68</v>
      </c>
      <c r="P2984">
        <v>1</v>
      </c>
      <c r="R2984">
        <v>1449</v>
      </c>
      <c r="S2984" s="17">
        <v>42137</v>
      </c>
      <c r="T2984" s="17">
        <v>42137</v>
      </c>
      <c r="W2984">
        <v>2015</v>
      </c>
      <c r="X2984">
        <v>24</v>
      </c>
      <c r="AC2984" t="s">
        <v>51</v>
      </c>
      <c r="AD2984" t="s">
        <v>302</v>
      </c>
      <c r="AE2984" t="s">
        <v>46</v>
      </c>
      <c r="AG2984">
        <v>12</v>
      </c>
      <c r="AH2984">
        <v>8</v>
      </c>
      <c r="AI2984" t="s">
        <v>52</v>
      </c>
      <c r="AM2984">
        <v>0</v>
      </c>
      <c r="AO2984">
        <v>52</v>
      </c>
      <c r="AP2984" t="s">
        <v>392</v>
      </c>
    </row>
    <row r="2985" spans="1:42" customFormat="1">
      <c r="A2985">
        <v>269811</v>
      </c>
      <c r="B2985" t="s">
        <v>219</v>
      </c>
      <c r="C2985" t="s">
        <v>1706</v>
      </c>
      <c r="D2985" s="22">
        <v>23400</v>
      </c>
      <c r="E2985" s="17">
        <v>42130</v>
      </c>
      <c r="F2985" s="18">
        <v>0.48641203703703706</v>
      </c>
      <c r="G2985" s="22">
        <v>0</v>
      </c>
      <c r="H2985">
        <v>0</v>
      </c>
      <c r="I2985" s="19" t="e">
        <f>I2984 + (D2985-G2985)</f>
        <v>#VALUE!</v>
      </c>
      <c r="N2985">
        <v>24</v>
      </c>
      <c r="O2985" t="s">
        <v>68</v>
      </c>
      <c r="P2985">
        <v>1</v>
      </c>
      <c r="R2985">
        <v>1449</v>
      </c>
      <c r="S2985" s="17">
        <v>42137</v>
      </c>
      <c r="T2985" s="17">
        <v>42137</v>
      </c>
      <c r="W2985">
        <v>2015</v>
      </c>
      <c r="X2985">
        <v>24</v>
      </c>
      <c r="AA2985">
        <v>269810</v>
      </c>
      <c r="AC2985" t="s">
        <v>51</v>
      </c>
      <c r="AD2985" t="s">
        <v>302</v>
      </c>
      <c r="AE2985" t="s">
        <v>46</v>
      </c>
      <c r="AG2985">
        <v>52</v>
      </c>
      <c r="AH2985">
        <v>8</v>
      </c>
      <c r="AI2985" t="s">
        <v>52</v>
      </c>
      <c r="AM2985">
        <v>0</v>
      </c>
      <c r="AP2985" t="s">
        <v>325</v>
      </c>
    </row>
    <row r="2986" spans="1:42" customFormat="1">
      <c r="A2986">
        <v>276166</v>
      </c>
      <c r="B2986" t="s">
        <v>102</v>
      </c>
      <c r="C2986" t="s">
        <v>219</v>
      </c>
      <c r="D2986" s="22">
        <v>0</v>
      </c>
      <c r="E2986" s="17">
        <v>42130</v>
      </c>
      <c r="F2986" s="18">
        <v>0.68730324074074067</v>
      </c>
      <c r="G2986" s="22">
        <v>38000</v>
      </c>
      <c r="H2986">
        <v>0</v>
      </c>
      <c r="I2986" s="19" t="e">
        <f>I2985 + (D2986-G2986)</f>
        <v>#VALUE!</v>
      </c>
      <c r="N2986">
        <v>24</v>
      </c>
      <c r="O2986" t="s">
        <v>68</v>
      </c>
      <c r="P2986">
        <v>1</v>
      </c>
      <c r="R2986">
        <v>1449</v>
      </c>
      <c r="S2986" s="17">
        <v>42188</v>
      </c>
      <c r="T2986" s="17">
        <v>42188</v>
      </c>
      <c r="W2986">
        <v>2015</v>
      </c>
      <c r="X2986">
        <v>24</v>
      </c>
      <c r="AC2986" t="s">
        <v>51</v>
      </c>
      <c r="AD2986" t="s">
        <v>302</v>
      </c>
      <c r="AE2986" t="s">
        <v>46</v>
      </c>
      <c r="AG2986">
        <v>114</v>
      </c>
      <c r="AH2986">
        <v>8</v>
      </c>
      <c r="AI2986" t="s">
        <v>52</v>
      </c>
      <c r="AM2986">
        <v>0</v>
      </c>
      <c r="AO2986">
        <v>107</v>
      </c>
      <c r="AP2986" t="s">
        <v>898</v>
      </c>
    </row>
    <row r="2987" spans="1:42" customFormat="1">
      <c r="A2987">
        <v>276188</v>
      </c>
      <c r="B2987" t="s">
        <v>102</v>
      </c>
      <c r="C2987" t="s">
        <v>1907</v>
      </c>
      <c r="D2987" s="22">
        <v>38000</v>
      </c>
      <c r="E2987" s="17">
        <v>42130</v>
      </c>
      <c r="F2987" s="18">
        <v>0.68730324074074067</v>
      </c>
      <c r="G2987" s="22">
        <v>0</v>
      </c>
      <c r="H2987">
        <v>0</v>
      </c>
      <c r="I2987" s="19" t="e">
        <f>I2986 + (D2987-G2987)</f>
        <v>#VALUE!</v>
      </c>
      <c r="N2987">
        <v>24</v>
      </c>
      <c r="O2987" t="s">
        <v>68</v>
      </c>
      <c r="P2987">
        <v>1</v>
      </c>
      <c r="R2987">
        <v>1449</v>
      </c>
      <c r="S2987" s="17">
        <v>42188</v>
      </c>
      <c r="T2987" s="17">
        <v>42188</v>
      </c>
      <c r="W2987">
        <v>2015</v>
      </c>
      <c r="X2987">
        <v>24</v>
      </c>
      <c r="AA2987">
        <v>276166</v>
      </c>
      <c r="AC2987" t="s">
        <v>51</v>
      </c>
      <c r="AD2987" t="s">
        <v>302</v>
      </c>
      <c r="AE2987" t="s">
        <v>46</v>
      </c>
      <c r="AG2987">
        <v>107</v>
      </c>
      <c r="AH2987">
        <v>8</v>
      </c>
      <c r="AI2987" t="s">
        <v>52</v>
      </c>
      <c r="AM2987">
        <v>0</v>
      </c>
      <c r="AP2987" t="s">
        <v>1121</v>
      </c>
    </row>
    <row r="2988" spans="1:42" customFormat="1">
      <c r="A2988">
        <v>269262</v>
      </c>
      <c r="B2988" t="s">
        <v>219</v>
      </c>
      <c r="C2988" t="s">
        <v>219</v>
      </c>
      <c r="D2988" s="22">
        <v>0</v>
      </c>
      <c r="E2988" s="17">
        <v>42130</v>
      </c>
      <c r="F2988" s="18">
        <v>0.69824074074074083</v>
      </c>
      <c r="G2988" s="22">
        <v>100</v>
      </c>
      <c r="H2988">
        <v>0</v>
      </c>
      <c r="I2988" s="19" t="e">
        <f>I2987 + (D2988-G2988)</f>
        <v>#VALUE!</v>
      </c>
      <c r="N2988">
        <v>24</v>
      </c>
      <c r="O2988" t="s">
        <v>68</v>
      </c>
      <c r="P2988">
        <v>1</v>
      </c>
      <c r="R2988">
        <v>1449</v>
      </c>
      <c r="S2988" s="17">
        <v>42135</v>
      </c>
      <c r="T2988" s="17">
        <v>42135</v>
      </c>
      <c r="W2988">
        <v>2015</v>
      </c>
      <c r="X2988">
        <v>24</v>
      </c>
      <c r="AC2988" t="s">
        <v>51</v>
      </c>
      <c r="AD2988" t="s">
        <v>302</v>
      </c>
      <c r="AE2988" t="s">
        <v>46</v>
      </c>
      <c r="AG2988">
        <v>97</v>
      </c>
      <c r="AH2988">
        <v>8</v>
      </c>
      <c r="AI2988" t="s">
        <v>52</v>
      </c>
      <c r="AM2988">
        <v>0</v>
      </c>
      <c r="AO2988">
        <v>29</v>
      </c>
      <c r="AP2988" t="s">
        <v>1277</v>
      </c>
    </row>
    <row r="2989" spans="1:42" customFormat="1">
      <c r="A2989">
        <v>269266</v>
      </c>
      <c r="B2989" t="s">
        <v>219</v>
      </c>
      <c r="C2989" t="s">
        <v>1914</v>
      </c>
      <c r="D2989" s="22">
        <v>100</v>
      </c>
      <c r="E2989" s="17">
        <v>42130</v>
      </c>
      <c r="F2989" s="18">
        <v>0.69824074074074083</v>
      </c>
      <c r="G2989" s="22">
        <v>0</v>
      </c>
      <c r="H2989">
        <v>0</v>
      </c>
      <c r="I2989" s="19" t="e">
        <f>I2988 + (D2989-G2989)</f>
        <v>#VALUE!</v>
      </c>
      <c r="N2989">
        <v>24</v>
      </c>
      <c r="O2989" t="s">
        <v>68</v>
      </c>
      <c r="P2989">
        <v>1</v>
      </c>
      <c r="R2989">
        <v>1449</v>
      </c>
      <c r="S2989" s="17">
        <v>42135</v>
      </c>
      <c r="T2989" s="17">
        <v>42135</v>
      </c>
      <c r="W2989">
        <v>2015</v>
      </c>
      <c r="X2989">
        <v>24</v>
      </c>
      <c r="AA2989">
        <v>269262</v>
      </c>
      <c r="AC2989" t="s">
        <v>51</v>
      </c>
      <c r="AD2989" t="s">
        <v>302</v>
      </c>
      <c r="AE2989" t="s">
        <v>46</v>
      </c>
      <c r="AG2989">
        <v>29</v>
      </c>
      <c r="AH2989">
        <v>8</v>
      </c>
      <c r="AI2989" t="s">
        <v>52</v>
      </c>
      <c r="AM2989">
        <v>0</v>
      </c>
      <c r="AP2989" t="s">
        <v>497</v>
      </c>
    </row>
    <row r="2990" spans="1:42" customFormat="1">
      <c r="A2990">
        <v>269775</v>
      </c>
      <c r="B2990" t="s">
        <v>219</v>
      </c>
      <c r="C2990" t="s">
        <v>219</v>
      </c>
      <c r="D2990" s="22">
        <v>0</v>
      </c>
      <c r="E2990" s="17">
        <v>42131</v>
      </c>
      <c r="F2990" s="18">
        <v>0.47474537037037035</v>
      </c>
      <c r="G2990" s="22">
        <v>133000</v>
      </c>
      <c r="H2990">
        <v>0</v>
      </c>
      <c r="I2990" s="19" t="e">
        <f>I2989 + (D2990-G2990)</f>
        <v>#VALUE!</v>
      </c>
      <c r="N2990">
        <v>24</v>
      </c>
      <c r="O2990" t="s">
        <v>68</v>
      </c>
      <c r="P2990">
        <v>1</v>
      </c>
      <c r="R2990">
        <v>1449</v>
      </c>
      <c r="S2990" s="17">
        <v>42137</v>
      </c>
      <c r="T2990" s="17">
        <v>42137</v>
      </c>
      <c r="W2990">
        <v>2015</v>
      </c>
      <c r="X2990">
        <v>24</v>
      </c>
      <c r="AC2990" t="s">
        <v>51</v>
      </c>
      <c r="AD2990" t="s">
        <v>302</v>
      </c>
      <c r="AE2990" t="s">
        <v>46</v>
      </c>
      <c r="AG2990">
        <v>4</v>
      </c>
      <c r="AH2990">
        <v>8</v>
      </c>
      <c r="AI2990" t="s">
        <v>52</v>
      </c>
      <c r="AM2990">
        <v>0</v>
      </c>
      <c r="AO2990">
        <v>12</v>
      </c>
      <c r="AP2990" t="s">
        <v>389</v>
      </c>
    </row>
    <row r="2991" spans="1:42" customFormat="1">
      <c r="A2991">
        <v>269776</v>
      </c>
      <c r="B2991" t="s">
        <v>219</v>
      </c>
      <c r="C2991" t="s">
        <v>1995</v>
      </c>
      <c r="D2991" s="22">
        <v>133000</v>
      </c>
      <c r="E2991" s="17">
        <v>42131</v>
      </c>
      <c r="F2991" s="18">
        <v>0.47474537037037035</v>
      </c>
      <c r="G2991" s="22">
        <v>0</v>
      </c>
      <c r="H2991">
        <v>0</v>
      </c>
      <c r="I2991" s="19" t="e">
        <f>I2990 + (D2991-G2991)</f>
        <v>#VALUE!</v>
      </c>
      <c r="N2991">
        <v>24</v>
      </c>
      <c r="O2991" t="s">
        <v>68</v>
      </c>
      <c r="P2991">
        <v>1</v>
      </c>
      <c r="R2991">
        <v>1449</v>
      </c>
      <c r="S2991" s="17">
        <v>42137</v>
      </c>
      <c r="T2991" s="17">
        <v>42137</v>
      </c>
      <c r="W2991">
        <v>2015</v>
      </c>
      <c r="X2991">
        <v>24</v>
      </c>
      <c r="AA2991">
        <v>269775</v>
      </c>
      <c r="AC2991" t="s">
        <v>51</v>
      </c>
      <c r="AD2991" t="s">
        <v>302</v>
      </c>
      <c r="AE2991" t="s">
        <v>46</v>
      </c>
      <c r="AG2991">
        <v>12</v>
      </c>
      <c r="AH2991">
        <v>8</v>
      </c>
      <c r="AI2991" t="s">
        <v>52</v>
      </c>
      <c r="AM2991">
        <v>0</v>
      </c>
      <c r="AP2991" t="s">
        <v>392</v>
      </c>
    </row>
    <row r="2992" spans="1:42" customFormat="1">
      <c r="A2992">
        <v>269802</v>
      </c>
      <c r="B2992" t="s">
        <v>219</v>
      </c>
      <c r="C2992" t="s">
        <v>219</v>
      </c>
      <c r="D2992" s="22">
        <v>0</v>
      </c>
      <c r="E2992" s="17">
        <v>42131</v>
      </c>
      <c r="F2992" s="18">
        <v>0.48374999999999996</v>
      </c>
      <c r="G2992" s="22">
        <v>133000</v>
      </c>
      <c r="H2992">
        <v>0</v>
      </c>
      <c r="I2992" s="19" t="e">
        <f>I2991 + (D2992-G2992)</f>
        <v>#VALUE!</v>
      </c>
      <c r="N2992">
        <v>24</v>
      </c>
      <c r="O2992" t="s">
        <v>68</v>
      </c>
      <c r="P2992">
        <v>1</v>
      </c>
      <c r="R2992">
        <v>1449</v>
      </c>
      <c r="S2992" s="17">
        <v>42137</v>
      </c>
      <c r="T2992" s="17">
        <v>42137</v>
      </c>
      <c r="W2992">
        <v>2015</v>
      </c>
      <c r="X2992">
        <v>24</v>
      </c>
      <c r="AC2992" t="s">
        <v>51</v>
      </c>
      <c r="AD2992" t="s">
        <v>302</v>
      </c>
      <c r="AE2992" t="s">
        <v>46</v>
      </c>
      <c r="AG2992">
        <v>12</v>
      </c>
      <c r="AH2992">
        <v>8</v>
      </c>
      <c r="AI2992" t="s">
        <v>52</v>
      </c>
      <c r="AM2992">
        <v>0</v>
      </c>
      <c r="AO2992">
        <v>52</v>
      </c>
      <c r="AP2992" t="s">
        <v>392</v>
      </c>
    </row>
    <row r="2993" spans="1:42" customFormat="1">
      <c r="A2993">
        <v>269803</v>
      </c>
      <c r="B2993" t="s">
        <v>219</v>
      </c>
      <c r="C2993" t="s">
        <v>1996</v>
      </c>
      <c r="D2993" s="22">
        <v>133000</v>
      </c>
      <c r="E2993" s="17">
        <v>42131</v>
      </c>
      <c r="F2993" s="18">
        <v>0.48374999999999996</v>
      </c>
      <c r="G2993" s="22">
        <v>0</v>
      </c>
      <c r="H2993">
        <v>0</v>
      </c>
      <c r="I2993" s="19" t="e">
        <f>I2992 + (D2993-G2993)</f>
        <v>#VALUE!</v>
      </c>
      <c r="N2993">
        <v>24</v>
      </c>
      <c r="O2993" t="s">
        <v>68</v>
      </c>
      <c r="P2993">
        <v>1</v>
      </c>
      <c r="R2993">
        <v>1449</v>
      </c>
      <c r="S2993" s="17">
        <v>42137</v>
      </c>
      <c r="T2993" s="17">
        <v>42137</v>
      </c>
      <c r="W2993">
        <v>2015</v>
      </c>
      <c r="X2993">
        <v>24</v>
      </c>
      <c r="AA2993">
        <v>269802</v>
      </c>
      <c r="AC2993" t="s">
        <v>51</v>
      </c>
      <c r="AD2993" t="s">
        <v>302</v>
      </c>
      <c r="AE2993" t="s">
        <v>46</v>
      </c>
      <c r="AG2993">
        <v>52</v>
      </c>
      <c r="AH2993">
        <v>8</v>
      </c>
      <c r="AI2993" t="s">
        <v>52</v>
      </c>
      <c r="AM2993">
        <v>0</v>
      </c>
      <c r="AP2993" t="s">
        <v>325</v>
      </c>
    </row>
    <row r="2994" spans="1:42" customFormat="1">
      <c r="A2994">
        <v>270450</v>
      </c>
      <c r="B2994" t="s">
        <v>219</v>
      </c>
      <c r="C2994" t="s">
        <v>219</v>
      </c>
      <c r="D2994" s="22">
        <v>20000</v>
      </c>
      <c r="E2994" s="17">
        <v>42132</v>
      </c>
      <c r="F2994" s="18">
        <v>0.36118055555555556</v>
      </c>
      <c r="G2994" s="22">
        <v>0</v>
      </c>
      <c r="H2994">
        <v>0</v>
      </c>
      <c r="I2994" s="19" t="e">
        <f>I2993 + (D2994-G2994)</f>
        <v>#VALUE!</v>
      </c>
      <c r="N2994">
        <v>24</v>
      </c>
      <c r="O2994" t="s">
        <v>68</v>
      </c>
      <c r="P2994">
        <v>1</v>
      </c>
      <c r="R2994">
        <v>1449</v>
      </c>
      <c r="S2994" s="17">
        <v>42145</v>
      </c>
      <c r="T2994" s="17">
        <v>42145</v>
      </c>
      <c r="W2994">
        <v>2015</v>
      </c>
      <c r="X2994">
        <v>24</v>
      </c>
      <c r="AC2994" t="s">
        <v>51</v>
      </c>
      <c r="AD2994" t="s">
        <v>302</v>
      </c>
      <c r="AE2994" t="s">
        <v>46</v>
      </c>
      <c r="AG2994">
        <v>42</v>
      </c>
      <c r="AH2994">
        <v>8</v>
      </c>
      <c r="AI2994" t="s">
        <v>52</v>
      </c>
      <c r="AM2994">
        <v>0</v>
      </c>
      <c r="AO2994">
        <v>8</v>
      </c>
      <c r="AP2994" t="s">
        <v>1602</v>
      </c>
    </row>
    <row r="2995" spans="1:42" customFormat="1">
      <c r="A2995">
        <v>270645</v>
      </c>
      <c r="B2995" t="s">
        <v>219</v>
      </c>
      <c r="C2995" t="s">
        <v>2079</v>
      </c>
      <c r="D2995" s="22">
        <v>0</v>
      </c>
      <c r="E2995" s="17">
        <v>42132</v>
      </c>
      <c r="F2995" s="18">
        <v>0.36118055555555556</v>
      </c>
      <c r="G2995" s="22">
        <v>20000</v>
      </c>
      <c r="H2995">
        <v>0</v>
      </c>
      <c r="I2995" s="19" t="e">
        <f>I2994 + (D2995-G2995)</f>
        <v>#VALUE!</v>
      </c>
      <c r="N2995">
        <v>24</v>
      </c>
      <c r="O2995" t="s">
        <v>68</v>
      </c>
      <c r="P2995">
        <v>1</v>
      </c>
      <c r="R2995">
        <v>1449</v>
      </c>
      <c r="S2995" s="17">
        <v>42145</v>
      </c>
      <c r="T2995" s="17">
        <v>42145</v>
      </c>
      <c r="W2995">
        <v>2015</v>
      </c>
      <c r="X2995">
        <v>24</v>
      </c>
      <c r="AA2995">
        <v>270450</v>
      </c>
      <c r="AC2995" t="s">
        <v>51</v>
      </c>
      <c r="AD2995" t="s">
        <v>302</v>
      </c>
      <c r="AE2995" t="s">
        <v>46</v>
      </c>
      <c r="AG2995">
        <v>8</v>
      </c>
      <c r="AH2995">
        <v>8</v>
      </c>
      <c r="AI2995" t="s">
        <v>52</v>
      </c>
      <c r="AM2995">
        <v>0</v>
      </c>
      <c r="AP2995" t="s">
        <v>1201</v>
      </c>
    </row>
    <row r="2996" spans="1:42" customFormat="1">
      <c r="A2996">
        <v>270921</v>
      </c>
      <c r="B2996" t="s">
        <v>219</v>
      </c>
      <c r="C2996" t="s">
        <v>219</v>
      </c>
      <c r="D2996" s="22">
        <v>0</v>
      </c>
      <c r="E2996" s="17">
        <v>42132</v>
      </c>
      <c r="F2996" s="18">
        <v>0.37873842592592594</v>
      </c>
      <c r="G2996" s="22">
        <v>15000</v>
      </c>
      <c r="H2996">
        <v>0</v>
      </c>
      <c r="I2996" s="19" t="e">
        <f>I2995 + (D2996-G2996)</f>
        <v>#VALUE!</v>
      </c>
      <c r="N2996">
        <v>7</v>
      </c>
      <c r="O2996" t="s">
        <v>44</v>
      </c>
      <c r="P2996">
        <v>1</v>
      </c>
      <c r="R2996">
        <v>1449</v>
      </c>
      <c r="S2996" s="17">
        <v>42149</v>
      </c>
      <c r="T2996" s="17">
        <v>42149</v>
      </c>
      <c r="W2996">
        <v>2015</v>
      </c>
      <c r="X2996">
        <v>7</v>
      </c>
      <c r="AC2996" t="s">
        <v>51</v>
      </c>
      <c r="AD2996" t="s">
        <v>302</v>
      </c>
      <c r="AE2996" t="s">
        <v>46</v>
      </c>
      <c r="AG2996">
        <v>97</v>
      </c>
      <c r="AH2996">
        <v>8</v>
      </c>
      <c r="AI2996" t="s">
        <v>52</v>
      </c>
      <c r="AM2996">
        <v>0</v>
      </c>
      <c r="AO2996">
        <v>29</v>
      </c>
      <c r="AP2996" t="s">
        <v>1277</v>
      </c>
    </row>
    <row r="2997" spans="1:42" customFormat="1">
      <c r="A2997">
        <v>270922</v>
      </c>
      <c r="B2997" t="s">
        <v>219</v>
      </c>
      <c r="C2997" t="s">
        <v>2082</v>
      </c>
      <c r="D2997" s="22">
        <v>15000</v>
      </c>
      <c r="E2997" s="17">
        <v>42132</v>
      </c>
      <c r="F2997" s="18">
        <v>0.37873842592592594</v>
      </c>
      <c r="G2997" s="22">
        <v>0</v>
      </c>
      <c r="H2997">
        <v>0</v>
      </c>
      <c r="I2997" s="19" t="e">
        <f>I2996 + (D2997-G2997)</f>
        <v>#VALUE!</v>
      </c>
      <c r="N2997">
        <v>7</v>
      </c>
      <c r="O2997" t="s">
        <v>44</v>
      </c>
      <c r="P2997">
        <v>1</v>
      </c>
      <c r="R2997">
        <v>1449</v>
      </c>
      <c r="S2997" s="17">
        <v>42149</v>
      </c>
      <c r="T2997" s="17">
        <v>42149</v>
      </c>
      <c r="W2997">
        <v>2015</v>
      </c>
      <c r="X2997">
        <v>7</v>
      </c>
      <c r="AA2997">
        <v>270921</v>
      </c>
      <c r="AC2997" t="s">
        <v>51</v>
      </c>
      <c r="AD2997" t="s">
        <v>302</v>
      </c>
      <c r="AE2997" t="s">
        <v>46</v>
      </c>
      <c r="AG2997">
        <v>29</v>
      </c>
      <c r="AH2997">
        <v>8</v>
      </c>
      <c r="AI2997" t="s">
        <v>52</v>
      </c>
      <c r="AM2997">
        <v>0</v>
      </c>
      <c r="AP2997" t="s">
        <v>497</v>
      </c>
    </row>
    <row r="2998" spans="1:42" customFormat="1">
      <c r="A2998">
        <v>269885</v>
      </c>
      <c r="B2998" t="s">
        <v>219</v>
      </c>
      <c r="C2998" t="s">
        <v>219</v>
      </c>
      <c r="D2998" s="22">
        <v>0</v>
      </c>
      <c r="E2998" s="17">
        <v>42132</v>
      </c>
      <c r="F2998" s="18">
        <v>0.4314351851851852</v>
      </c>
      <c r="G2998" s="22">
        <v>2144.46</v>
      </c>
      <c r="H2998">
        <v>0</v>
      </c>
      <c r="I2998" s="19" t="e">
        <f>I2997 + (D2998-G2998)</f>
        <v>#VALUE!</v>
      </c>
      <c r="N2998">
        <v>24</v>
      </c>
      <c r="O2998" t="s">
        <v>68</v>
      </c>
      <c r="P2998">
        <v>1</v>
      </c>
      <c r="R2998">
        <v>1449</v>
      </c>
      <c r="S2998" s="17">
        <v>42138</v>
      </c>
      <c r="T2998" s="17">
        <v>42138</v>
      </c>
      <c r="W2998">
        <v>2015</v>
      </c>
      <c r="X2998">
        <v>24</v>
      </c>
      <c r="AC2998" t="s">
        <v>51</v>
      </c>
      <c r="AD2998" t="s">
        <v>302</v>
      </c>
      <c r="AE2998" t="s">
        <v>46</v>
      </c>
      <c r="AG2998">
        <v>77</v>
      </c>
      <c r="AH2998">
        <v>8</v>
      </c>
      <c r="AI2998" t="s">
        <v>52</v>
      </c>
      <c r="AM2998">
        <v>0</v>
      </c>
      <c r="AO2998">
        <v>12</v>
      </c>
      <c r="AP2998" t="s">
        <v>427</v>
      </c>
    </row>
    <row r="2999" spans="1:42" customFormat="1">
      <c r="A2999">
        <v>269886</v>
      </c>
      <c r="B2999" t="s">
        <v>219</v>
      </c>
      <c r="C2999" t="s">
        <v>2106</v>
      </c>
      <c r="D2999" s="22">
        <v>2144.46</v>
      </c>
      <c r="E2999" s="17">
        <v>42132</v>
      </c>
      <c r="F2999" s="18">
        <v>0.4314351851851852</v>
      </c>
      <c r="G2999" s="22">
        <v>0</v>
      </c>
      <c r="H2999">
        <v>0</v>
      </c>
      <c r="I2999" s="19" t="e">
        <f>I2998 + (D2999-G2999)</f>
        <v>#VALUE!</v>
      </c>
      <c r="N2999">
        <v>24</v>
      </c>
      <c r="O2999" t="s">
        <v>68</v>
      </c>
      <c r="P2999">
        <v>1</v>
      </c>
      <c r="R2999">
        <v>1449</v>
      </c>
      <c r="S2999" s="17">
        <v>42138</v>
      </c>
      <c r="T2999" s="17">
        <v>42138</v>
      </c>
      <c r="W2999">
        <v>2015</v>
      </c>
      <c r="X2999">
        <v>24</v>
      </c>
      <c r="AA2999">
        <v>269885</v>
      </c>
      <c r="AC2999" t="s">
        <v>51</v>
      </c>
      <c r="AD2999" t="s">
        <v>302</v>
      </c>
      <c r="AE2999" t="s">
        <v>46</v>
      </c>
      <c r="AG2999">
        <v>12</v>
      </c>
      <c r="AH2999">
        <v>8</v>
      </c>
      <c r="AI2999" t="s">
        <v>52</v>
      </c>
      <c r="AM2999">
        <v>0</v>
      </c>
      <c r="AP2999" t="s">
        <v>392</v>
      </c>
    </row>
    <row r="3000" spans="1:42" customFormat="1">
      <c r="A3000">
        <v>269887</v>
      </c>
      <c r="B3000" t="s">
        <v>219</v>
      </c>
      <c r="C3000" t="s">
        <v>219</v>
      </c>
      <c r="D3000" s="22">
        <v>0</v>
      </c>
      <c r="E3000" s="17">
        <v>42132</v>
      </c>
      <c r="F3000" s="18">
        <v>0.43192129629629633</v>
      </c>
      <c r="G3000" s="22">
        <v>1108.8699999999999</v>
      </c>
      <c r="H3000">
        <v>0</v>
      </c>
      <c r="I3000" s="19" t="e">
        <f>I2999 + (D3000-G3000)</f>
        <v>#VALUE!</v>
      </c>
      <c r="N3000">
        <v>24</v>
      </c>
      <c r="O3000" t="s">
        <v>68</v>
      </c>
      <c r="P3000">
        <v>1</v>
      </c>
      <c r="R3000">
        <v>1449</v>
      </c>
      <c r="S3000" s="17">
        <v>42138</v>
      </c>
      <c r="T3000" s="17">
        <v>42138</v>
      </c>
      <c r="W3000">
        <v>2015</v>
      </c>
      <c r="X3000">
        <v>24</v>
      </c>
      <c r="AC3000" t="s">
        <v>51</v>
      </c>
      <c r="AD3000" t="s">
        <v>302</v>
      </c>
      <c r="AE3000" t="s">
        <v>46</v>
      </c>
      <c r="AG3000">
        <v>77</v>
      </c>
      <c r="AH3000">
        <v>8</v>
      </c>
      <c r="AI3000" t="s">
        <v>52</v>
      </c>
      <c r="AM3000">
        <v>0</v>
      </c>
      <c r="AO3000">
        <v>12</v>
      </c>
      <c r="AP3000" t="s">
        <v>427</v>
      </c>
    </row>
    <row r="3001" spans="1:42" customFormat="1">
      <c r="A3001">
        <v>269888</v>
      </c>
      <c r="B3001" t="s">
        <v>219</v>
      </c>
      <c r="C3001" t="s">
        <v>2107</v>
      </c>
      <c r="D3001" s="22">
        <v>1108.8699999999999</v>
      </c>
      <c r="E3001" s="17">
        <v>42132</v>
      </c>
      <c r="F3001" s="18">
        <v>0.43192129629629633</v>
      </c>
      <c r="G3001" s="22">
        <v>0</v>
      </c>
      <c r="H3001">
        <v>0</v>
      </c>
      <c r="I3001" s="19" t="e">
        <f>I3000 + (D3001-G3001)</f>
        <v>#VALUE!</v>
      </c>
      <c r="N3001">
        <v>24</v>
      </c>
      <c r="O3001" t="s">
        <v>68</v>
      </c>
      <c r="P3001">
        <v>1</v>
      </c>
      <c r="R3001">
        <v>1449</v>
      </c>
      <c r="S3001" s="17">
        <v>42138</v>
      </c>
      <c r="T3001" s="17">
        <v>42138</v>
      </c>
      <c r="W3001">
        <v>2015</v>
      </c>
      <c r="X3001">
        <v>24</v>
      </c>
      <c r="AA3001">
        <v>269887</v>
      </c>
      <c r="AC3001" t="s">
        <v>51</v>
      </c>
      <c r="AD3001" t="s">
        <v>302</v>
      </c>
      <c r="AE3001" t="s">
        <v>46</v>
      </c>
      <c r="AG3001">
        <v>12</v>
      </c>
      <c r="AH3001">
        <v>8</v>
      </c>
      <c r="AI3001" t="s">
        <v>52</v>
      </c>
      <c r="AM3001">
        <v>0</v>
      </c>
      <c r="AP3001" t="s">
        <v>392</v>
      </c>
    </row>
    <row r="3002" spans="1:42" customFormat="1">
      <c r="A3002">
        <v>270751</v>
      </c>
      <c r="B3002" t="s">
        <v>281</v>
      </c>
      <c r="C3002" t="s">
        <v>281</v>
      </c>
      <c r="D3002" s="22">
        <v>0</v>
      </c>
      <c r="E3002" s="17">
        <v>42132</v>
      </c>
      <c r="F3002" s="18">
        <v>0.44862268518518517</v>
      </c>
      <c r="G3002" s="22">
        <v>83000</v>
      </c>
      <c r="H3002">
        <v>0</v>
      </c>
      <c r="I3002" s="19" t="e">
        <f>I3001 + (D3002-G3002)</f>
        <v>#VALUE!</v>
      </c>
      <c r="N3002">
        <v>7</v>
      </c>
      <c r="O3002" t="s">
        <v>44</v>
      </c>
      <c r="P3002">
        <v>1</v>
      </c>
      <c r="R3002">
        <v>1449</v>
      </c>
      <c r="S3002" s="17">
        <v>42146</v>
      </c>
      <c r="T3002" s="17">
        <v>42146</v>
      </c>
      <c r="W3002">
        <v>2015</v>
      </c>
      <c r="X3002">
        <v>7</v>
      </c>
      <c r="AC3002" t="s">
        <v>51</v>
      </c>
      <c r="AD3002" t="s">
        <v>302</v>
      </c>
      <c r="AE3002" t="s">
        <v>46</v>
      </c>
      <c r="AG3002">
        <v>103</v>
      </c>
      <c r="AH3002">
        <v>9</v>
      </c>
      <c r="AI3002" t="s">
        <v>54</v>
      </c>
      <c r="AM3002">
        <v>0</v>
      </c>
      <c r="AO3002">
        <v>7</v>
      </c>
      <c r="AP3002" t="s">
        <v>2183</v>
      </c>
    </row>
    <row r="3003" spans="1:42" customFormat="1">
      <c r="A3003">
        <v>270753</v>
      </c>
      <c r="B3003" t="s">
        <v>281</v>
      </c>
      <c r="C3003" t="s">
        <v>2184</v>
      </c>
      <c r="D3003" s="22">
        <v>83000</v>
      </c>
      <c r="E3003" s="17">
        <v>42132</v>
      </c>
      <c r="F3003" s="18">
        <v>0.44862268518518517</v>
      </c>
      <c r="G3003" s="22">
        <v>0</v>
      </c>
      <c r="H3003">
        <v>0</v>
      </c>
      <c r="I3003" s="19" t="e">
        <f>I3002 + (D3003-G3003)</f>
        <v>#VALUE!</v>
      </c>
      <c r="N3003">
        <v>7</v>
      </c>
      <c r="O3003" t="s">
        <v>44</v>
      </c>
      <c r="P3003">
        <v>1</v>
      </c>
      <c r="R3003">
        <v>1449</v>
      </c>
      <c r="S3003" s="17">
        <v>42146</v>
      </c>
      <c r="T3003" s="17">
        <v>42146</v>
      </c>
      <c r="W3003">
        <v>2015</v>
      </c>
      <c r="X3003">
        <v>7</v>
      </c>
      <c r="AA3003">
        <v>270751</v>
      </c>
      <c r="AC3003" t="s">
        <v>51</v>
      </c>
      <c r="AD3003" t="s">
        <v>302</v>
      </c>
      <c r="AE3003" t="s">
        <v>46</v>
      </c>
      <c r="AG3003">
        <v>7</v>
      </c>
      <c r="AH3003">
        <v>9</v>
      </c>
      <c r="AI3003" t="s">
        <v>54</v>
      </c>
      <c r="AM3003">
        <v>0</v>
      </c>
      <c r="AP3003" t="s">
        <v>220</v>
      </c>
    </row>
    <row r="3004" spans="1:42" customFormat="1">
      <c r="A3004">
        <v>270663</v>
      </c>
      <c r="B3004" t="s">
        <v>2204</v>
      </c>
      <c r="C3004" t="s">
        <v>109</v>
      </c>
      <c r="D3004" s="22">
        <v>2000</v>
      </c>
      <c r="E3004" s="17">
        <v>42132</v>
      </c>
      <c r="F3004" s="18">
        <v>0.47016203703703702</v>
      </c>
      <c r="G3004" s="22">
        <v>0</v>
      </c>
      <c r="H3004">
        <v>0</v>
      </c>
      <c r="I3004" s="19" t="e">
        <f>I3003 + (D3004-G3004)</f>
        <v>#VALUE!</v>
      </c>
      <c r="N3004">
        <v>7</v>
      </c>
      <c r="O3004" t="s">
        <v>44</v>
      </c>
      <c r="P3004">
        <v>1</v>
      </c>
      <c r="R3004">
        <v>1449</v>
      </c>
      <c r="S3004" s="17">
        <v>42145</v>
      </c>
      <c r="T3004" s="17">
        <v>42145</v>
      </c>
      <c r="W3004">
        <v>2015</v>
      </c>
      <c r="X3004">
        <v>7</v>
      </c>
      <c r="AC3004" t="s">
        <v>51</v>
      </c>
      <c r="AD3004" t="s">
        <v>302</v>
      </c>
      <c r="AE3004" t="s">
        <v>46</v>
      </c>
      <c r="AG3004">
        <v>122</v>
      </c>
      <c r="AH3004">
        <v>9</v>
      </c>
      <c r="AI3004" t="s">
        <v>54</v>
      </c>
      <c r="AM3004">
        <v>0</v>
      </c>
      <c r="AP3004" t="s">
        <v>444</v>
      </c>
    </row>
    <row r="3005" spans="1:42" customFormat="1">
      <c r="A3005">
        <v>269790</v>
      </c>
      <c r="B3005" t="s">
        <v>219</v>
      </c>
      <c r="C3005" t="s">
        <v>219</v>
      </c>
      <c r="D3005" s="22">
        <v>0</v>
      </c>
      <c r="E3005" s="17">
        <v>42132</v>
      </c>
      <c r="F3005" s="18">
        <v>0.47862268518518519</v>
      </c>
      <c r="G3005" s="22">
        <v>3000</v>
      </c>
      <c r="H3005">
        <v>0</v>
      </c>
      <c r="I3005" s="19" t="e">
        <f>I3004 + (D3005-G3005)</f>
        <v>#VALUE!</v>
      </c>
      <c r="N3005">
        <v>24</v>
      </c>
      <c r="O3005" t="s">
        <v>68</v>
      </c>
      <c r="P3005">
        <v>1</v>
      </c>
      <c r="R3005">
        <v>1449</v>
      </c>
      <c r="S3005" s="17">
        <v>42137</v>
      </c>
      <c r="T3005" s="17">
        <v>42137</v>
      </c>
      <c r="W3005">
        <v>2015</v>
      </c>
      <c r="X3005">
        <v>24</v>
      </c>
      <c r="AC3005" t="s">
        <v>51</v>
      </c>
      <c r="AD3005" t="s">
        <v>302</v>
      </c>
      <c r="AE3005" t="s">
        <v>46</v>
      </c>
      <c r="AG3005">
        <v>4</v>
      </c>
      <c r="AH3005">
        <v>8</v>
      </c>
      <c r="AI3005" t="s">
        <v>52</v>
      </c>
      <c r="AM3005">
        <v>0</v>
      </c>
      <c r="AO3005">
        <v>8</v>
      </c>
      <c r="AP3005" t="s">
        <v>389</v>
      </c>
    </row>
    <row r="3006" spans="1:42" customFormat="1">
      <c r="A3006">
        <v>269791</v>
      </c>
      <c r="B3006" t="s">
        <v>219</v>
      </c>
      <c r="C3006" t="s">
        <v>2205</v>
      </c>
      <c r="D3006" s="22">
        <v>3000</v>
      </c>
      <c r="E3006" s="17">
        <v>42132</v>
      </c>
      <c r="F3006" s="18">
        <v>0.47862268518518519</v>
      </c>
      <c r="G3006" s="22">
        <v>0</v>
      </c>
      <c r="H3006">
        <v>0</v>
      </c>
      <c r="I3006" s="19" t="e">
        <f>I3005 + (D3006-G3006)</f>
        <v>#VALUE!</v>
      </c>
      <c r="N3006">
        <v>24</v>
      </c>
      <c r="O3006" t="s">
        <v>68</v>
      </c>
      <c r="P3006">
        <v>1</v>
      </c>
      <c r="R3006">
        <v>1449</v>
      </c>
      <c r="S3006" s="17">
        <v>42137</v>
      </c>
      <c r="T3006" s="17">
        <v>42137</v>
      </c>
      <c r="W3006">
        <v>2015</v>
      </c>
      <c r="X3006">
        <v>24</v>
      </c>
      <c r="AA3006">
        <v>269790</v>
      </c>
      <c r="AC3006" t="s">
        <v>51</v>
      </c>
      <c r="AD3006" t="s">
        <v>302</v>
      </c>
      <c r="AE3006" t="s">
        <v>46</v>
      </c>
      <c r="AG3006">
        <v>8</v>
      </c>
      <c r="AH3006">
        <v>8</v>
      </c>
      <c r="AI3006" t="s">
        <v>52</v>
      </c>
      <c r="AM3006">
        <v>0</v>
      </c>
      <c r="AP3006" t="s">
        <v>1201</v>
      </c>
    </row>
    <row r="3007" spans="1:42" customFormat="1">
      <c r="A3007">
        <v>269792</v>
      </c>
      <c r="B3007" t="s">
        <v>219</v>
      </c>
      <c r="C3007" t="s">
        <v>219</v>
      </c>
      <c r="D3007" s="22">
        <v>0</v>
      </c>
      <c r="E3007" s="17">
        <v>42132</v>
      </c>
      <c r="F3007" s="18">
        <v>0.47898148148148145</v>
      </c>
      <c r="G3007" s="22">
        <v>116540</v>
      </c>
      <c r="H3007">
        <v>0</v>
      </c>
      <c r="I3007" s="19" t="e">
        <f>I3006 + (D3007-G3007)</f>
        <v>#VALUE!</v>
      </c>
      <c r="N3007">
        <v>24</v>
      </c>
      <c r="O3007" t="s">
        <v>68</v>
      </c>
      <c r="P3007">
        <v>1</v>
      </c>
      <c r="R3007">
        <v>1449</v>
      </c>
      <c r="S3007" s="17">
        <v>42137</v>
      </c>
      <c r="T3007" s="17">
        <v>42137</v>
      </c>
      <c r="W3007">
        <v>2015</v>
      </c>
      <c r="X3007">
        <v>24</v>
      </c>
      <c r="AC3007" t="s">
        <v>51</v>
      </c>
      <c r="AD3007" t="s">
        <v>302</v>
      </c>
      <c r="AE3007" t="s">
        <v>46</v>
      </c>
      <c r="AG3007">
        <v>8</v>
      </c>
      <c r="AH3007">
        <v>8</v>
      </c>
      <c r="AI3007" t="s">
        <v>52</v>
      </c>
      <c r="AM3007">
        <v>0</v>
      </c>
      <c r="AO3007">
        <v>12</v>
      </c>
      <c r="AP3007" t="s">
        <v>1201</v>
      </c>
    </row>
    <row r="3008" spans="1:42" customFormat="1">
      <c r="A3008">
        <v>269793</v>
      </c>
      <c r="B3008" t="s">
        <v>219</v>
      </c>
      <c r="C3008" t="s">
        <v>2206</v>
      </c>
      <c r="D3008" s="22">
        <v>116540</v>
      </c>
      <c r="E3008" s="17">
        <v>42132</v>
      </c>
      <c r="F3008" s="18">
        <v>0.47898148148148145</v>
      </c>
      <c r="G3008" s="22">
        <v>0</v>
      </c>
      <c r="H3008">
        <v>0</v>
      </c>
      <c r="I3008" s="19" t="e">
        <f>I3007 + (D3008-G3008)</f>
        <v>#VALUE!</v>
      </c>
      <c r="N3008">
        <v>24</v>
      </c>
      <c r="O3008" t="s">
        <v>68</v>
      </c>
      <c r="P3008">
        <v>1</v>
      </c>
      <c r="R3008">
        <v>1449</v>
      </c>
      <c r="S3008" s="17">
        <v>42137</v>
      </c>
      <c r="T3008" s="17">
        <v>42137</v>
      </c>
      <c r="W3008">
        <v>2015</v>
      </c>
      <c r="X3008">
        <v>24</v>
      </c>
      <c r="AA3008">
        <v>269792</v>
      </c>
      <c r="AC3008" t="s">
        <v>51</v>
      </c>
      <c r="AD3008" t="s">
        <v>302</v>
      </c>
      <c r="AE3008" t="s">
        <v>46</v>
      </c>
      <c r="AG3008">
        <v>12</v>
      </c>
      <c r="AH3008">
        <v>8</v>
      </c>
      <c r="AI3008" t="s">
        <v>52</v>
      </c>
      <c r="AM3008">
        <v>0</v>
      </c>
      <c r="AP3008" t="s">
        <v>392</v>
      </c>
    </row>
    <row r="3009" spans="1:42" customFormat="1">
      <c r="A3009">
        <v>269794</v>
      </c>
      <c r="B3009" t="s">
        <v>219</v>
      </c>
      <c r="C3009" t="s">
        <v>219</v>
      </c>
      <c r="D3009" s="22">
        <v>0</v>
      </c>
      <c r="E3009" s="17">
        <v>42132</v>
      </c>
      <c r="F3009" s="18">
        <v>0.47928240740740741</v>
      </c>
      <c r="G3009" s="22">
        <v>49945</v>
      </c>
      <c r="H3009">
        <v>0</v>
      </c>
      <c r="I3009" s="19" t="e">
        <f>I3008 + (D3009-G3009)</f>
        <v>#VALUE!</v>
      </c>
      <c r="N3009">
        <v>24</v>
      </c>
      <c r="O3009" t="s">
        <v>68</v>
      </c>
      <c r="P3009">
        <v>1</v>
      </c>
      <c r="R3009">
        <v>1449</v>
      </c>
      <c r="S3009" s="17">
        <v>42137</v>
      </c>
      <c r="T3009" s="17">
        <v>42137</v>
      </c>
      <c r="W3009">
        <v>2015</v>
      </c>
      <c r="X3009">
        <v>24</v>
      </c>
      <c r="AC3009" t="s">
        <v>51</v>
      </c>
      <c r="AD3009" t="s">
        <v>302</v>
      </c>
      <c r="AE3009" t="s">
        <v>46</v>
      </c>
      <c r="AG3009">
        <v>8</v>
      </c>
      <c r="AH3009">
        <v>8</v>
      </c>
      <c r="AI3009" t="s">
        <v>52</v>
      </c>
      <c r="AM3009">
        <v>0</v>
      </c>
      <c r="AO3009">
        <v>52</v>
      </c>
      <c r="AP3009" t="s">
        <v>1201</v>
      </c>
    </row>
    <row r="3010" spans="1:42" customFormat="1">
      <c r="A3010">
        <v>269795</v>
      </c>
      <c r="B3010" t="s">
        <v>219</v>
      </c>
      <c r="C3010" t="s">
        <v>2207</v>
      </c>
      <c r="D3010" s="22">
        <v>49945</v>
      </c>
      <c r="E3010" s="17">
        <v>42132</v>
      </c>
      <c r="F3010" s="18">
        <v>0.47928240740740741</v>
      </c>
      <c r="G3010" s="22">
        <v>0</v>
      </c>
      <c r="H3010">
        <v>0</v>
      </c>
      <c r="I3010" s="19" t="e">
        <f>I3009 + (D3010-G3010)</f>
        <v>#VALUE!</v>
      </c>
      <c r="N3010">
        <v>24</v>
      </c>
      <c r="O3010" t="s">
        <v>68</v>
      </c>
      <c r="P3010">
        <v>1</v>
      </c>
      <c r="R3010">
        <v>1449</v>
      </c>
      <c r="S3010" s="17">
        <v>42137</v>
      </c>
      <c r="T3010" s="17">
        <v>42137</v>
      </c>
      <c r="W3010">
        <v>2015</v>
      </c>
      <c r="X3010">
        <v>24</v>
      </c>
      <c r="AA3010">
        <v>269794</v>
      </c>
      <c r="AC3010" t="s">
        <v>51</v>
      </c>
      <c r="AD3010" t="s">
        <v>302</v>
      </c>
      <c r="AE3010" t="s">
        <v>46</v>
      </c>
      <c r="AG3010">
        <v>52</v>
      </c>
      <c r="AH3010">
        <v>8</v>
      </c>
      <c r="AI3010" t="s">
        <v>52</v>
      </c>
      <c r="AM3010">
        <v>0</v>
      </c>
      <c r="AP3010" t="s">
        <v>325</v>
      </c>
    </row>
    <row r="3011" spans="1:42" customFormat="1">
      <c r="A3011">
        <v>269796</v>
      </c>
      <c r="B3011" t="s">
        <v>219</v>
      </c>
      <c r="C3011" t="s">
        <v>219</v>
      </c>
      <c r="D3011" s="22">
        <v>0</v>
      </c>
      <c r="E3011" s="17">
        <v>42132</v>
      </c>
      <c r="F3011" s="18">
        <v>0.47965277777777776</v>
      </c>
      <c r="G3011" s="22">
        <v>47000</v>
      </c>
      <c r="H3011">
        <v>0</v>
      </c>
      <c r="I3011" s="19" t="e">
        <f>I3010 + (D3011-G3011)</f>
        <v>#VALUE!</v>
      </c>
      <c r="N3011">
        <v>24</v>
      </c>
      <c r="O3011" t="s">
        <v>68</v>
      </c>
      <c r="P3011">
        <v>1</v>
      </c>
      <c r="R3011">
        <v>1449</v>
      </c>
      <c r="S3011" s="17">
        <v>42137</v>
      </c>
      <c r="T3011" s="17">
        <v>42137</v>
      </c>
      <c r="W3011">
        <v>2015</v>
      </c>
      <c r="X3011">
        <v>24</v>
      </c>
      <c r="AC3011" t="s">
        <v>51</v>
      </c>
      <c r="AD3011" t="s">
        <v>302</v>
      </c>
      <c r="AE3011" t="s">
        <v>46</v>
      </c>
      <c r="AG3011">
        <v>4</v>
      </c>
      <c r="AH3011">
        <v>8</v>
      </c>
      <c r="AI3011" t="s">
        <v>52</v>
      </c>
      <c r="AM3011">
        <v>0</v>
      </c>
      <c r="AO3011">
        <v>12</v>
      </c>
      <c r="AP3011" t="s">
        <v>389</v>
      </c>
    </row>
    <row r="3012" spans="1:42" customFormat="1">
      <c r="A3012">
        <v>269797</v>
      </c>
      <c r="B3012" t="s">
        <v>219</v>
      </c>
      <c r="C3012" t="s">
        <v>2208</v>
      </c>
      <c r="D3012" s="22">
        <v>47000</v>
      </c>
      <c r="E3012" s="17">
        <v>42132</v>
      </c>
      <c r="F3012" s="18">
        <v>0.47965277777777776</v>
      </c>
      <c r="G3012" s="22">
        <v>0</v>
      </c>
      <c r="H3012">
        <v>0</v>
      </c>
      <c r="I3012" s="19" t="e">
        <f>I3011 + (D3012-G3012)</f>
        <v>#VALUE!</v>
      </c>
      <c r="N3012">
        <v>24</v>
      </c>
      <c r="O3012" t="s">
        <v>68</v>
      </c>
      <c r="P3012">
        <v>1</v>
      </c>
      <c r="R3012">
        <v>1449</v>
      </c>
      <c r="S3012" s="17">
        <v>42137</v>
      </c>
      <c r="T3012" s="17">
        <v>42137</v>
      </c>
      <c r="W3012">
        <v>2015</v>
      </c>
      <c r="X3012">
        <v>24</v>
      </c>
      <c r="AA3012">
        <v>269796</v>
      </c>
      <c r="AC3012" t="s">
        <v>51</v>
      </c>
      <c r="AD3012" t="s">
        <v>302</v>
      </c>
      <c r="AE3012" t="s">
        <v>46</v>
      </c>
      <c r="AG3012">
        <v>12</v>
      </c>
      <c r="AH3012">
        <v>8</v>
      </c>
      <c r="AI3012" t="s">
        <v>52</v>
      </c>
      <c r="AM3012">
        <v>0</v>
      </c>
      <c r="AP3012" t="s">
        <v>392</v>
      </c>
    </row>
    <row r="3013" spans="1:42" customFormat="1">
      <c r="A3013">
        <v>269820</v>
      </c>
      <c r="B3013" t="s">
        <v>235</v>
      </c>
      <c r="C3013" t="s">
        <v>2220</v>
      </c>
      <c r="D3013" s="22">
        <v>0</v>
      </c>
      <c r="E3013" s="17">
        <v>42132</v>
      </c>
      <c r="F3013" s="18">
        <v>0.53447916666666673</v>
      </c>
      <c r="G3013" s="22">
        <v>895</v>
      </c>
      <c r="H3013">
        <v>0</v>
      </c>
      <c r="I3013" s="19" t="e">
        <f>I3012 + (D3013-G3013)</f>
        <v>#VALUE!</v>
      </c>
      <c r="N3013">
        <v>24</v>
      </c>
      <c r="O3013" t="s">
        <v>68</v>
      </c>
      <c r="P3013">
        <v>1</v>
      </c>
      <c r="R3013">
        <v>1471</v>
      </c>
      <c r="S3013" s="17">
        <v>42137</v>
      </c>
      <c r="T3013" s="17">
        <v>42137</v>
      </c>
      <c r="W3013">
        <v>2015</v>
      </c>
      <c r="X3013">
        <v>24</v>
      </c>
      <c r="AC3013" t="s">
        <v>109</v>
      </c>
      <c r="AD3013" t="s">
        <v>302</v>
      </c>
      <c r="AE3013" t="s">
        <v>46</v>
      </c>
      <c r="AG3013">
        <v>34</v>
      </c>
      <c r="AH3013">
        <v>8</v>
      </c>
      <c r="AI3013" t="s">
        <v>52</v>
      </c>
      <c r="AM3013">
        <v>0</v>
      </c>
      <c r="AO3013">
        <v>42</v>
      </c>
      <c r="AP3013" t="s">
        <v>2221</v>
      </c>
    </row>
    <row r="3014" spans="1:42" customFormat="1">
      <c r="A3014">
        <v>269821</v>
      </c>
      <c r="B3014" t="s">
        <v>235</v>
      </c>
      <c r="C3014" t="s">
        <v>2222</v>
      </c>
      <c r="D3014" s="22">
        <v>895</v>
      </c>
      <c r="E3014" s="17">
        <v>42132</v>
      </c>
      <c r="F3014" s="18">
        <v>0.53447916666666673</v>
      </c>
      <c r="G3014" s="22">
        <v>0</v>
      </c>
      <c r="H3014">
        <v>0</v>
      </c>
      <c r="I3014" s="19" t="e">
        <f>I3013 + (D3014-G3014)</f>
        <v>#VALUE!</v>
      </c>
      <c r="N3014">
        <v>24</v>
      </c>
      <c r="O3014" t="s">
        <v>68</v>
      </c>
      <c r="P3014">
        <v>1</v>
      </c>
      <c r="R3014">
        <v>1471</v>
      </c>
      <c r="S3014" s="17">
        <v>42137</v>
      </c>
      <c r="T3014" s="17">
        <v>42137</v>
      </c>
      <c r="W3014">
        <v>2015</v>
      </c>
      <c r="X3014">
        <v>24</v>
      </c>
      <c r="AA3014">
        <v>269820</v>
      </c>
      <c r="AC3014" t="s">
        <v>109</v>
      </c>
      <c r="AD3014" t="s">
        <v>302</v>
      </c>
      <c r="AE3014" t="s">
        <v>46</v>
      </c>
      <c r="AG3014">
        <v>42</v>
      </c>
      <c r="AH3014">
        <v>8</v>
      </c>
      <c r="AI3014" t="s">
        <v>52</v>
      </c>
      <c r="AM3014">
        <v>0</v>
      </c>
      <c r="AP3014" t="s">
        <v>1602</v>
      </c>
    </row>
    <row r="3015" spans="1:42" customFormat="1">
      <c r="A3015">
        <v>269267</v>
      </c>
      <c r="B3015" t="s">
        <v>219</v>
      </c>
      <c r="C3015" t="s">
        <v>219</v>
      </c>
      <c r="D3015" s="22">
        <v>0</v>
      </c>
      <c r="E3015" s="17">
        <v>42132</v>
      </c>
      <c r="F3015" s="18">
        <v>0.69938657407407412</v>
      </c>
      <c r="G3015" s="22">
        <v>15000</v>
      </c>
      <c r="H3015">
        <v>0</v>
      </c>
      <c r="I3015" s="19" t="e">
        <f>I3014 + (D3015-G3015)</f>
        <v>#VALUE!</v>
      </c>
      <c r="N3015">
        <v>24</v>
      </c>
      <c r="O3015" t="s">
        <v>68</v>
      </c>
      <c r="P3015">
        <v>1</v>
      </c>
      <c r="R3015">
        <v>1449</v>
      </c>
      <c r="S3015" s="17">
        <v>42135</v>
      </c>
      <c r="T3015" s="17">
        <v>42138</v>
      </c>
      <c r="W3015">
        <v>2015</v>
      </c>
      <c r="X3015">
        <v>24</v>
      </c>
      <c r="AC3015" t="s">
        <v>51</v>
      </c>
      <c r="AD3015" t="s">
        <v>302</v>
      </c>
      <c r="AE3015" t="s">
        <v>46</v>
      </c>
      <c r="AG3015">
        <v>97</v>
      </c>
      <c r="AH3015">
        <v>8</v>
      </c>
      <c r="AI3015" t="s">
        <v>52</v>
      </c>
      <c r="AM3015">
        <v>0</v>
      </c>
      <c r="AO3015">
        <v>123</v>
      </c>
      <c r="AP3015" t="s">
        <v>1277</v>
      </c>
    </row>
    <row r="3016" spans="1:42" customFormat="1">
      <c r="A3016">
        <v>269270</v>
      </c>
      <c r="B3016" t="s">
        <v>219</v>
      </c>
      <c r="C3016" t="s">
        <v>2333</v>
      </c>
      <c r="D3016" s="22">
        <v>15000</v>
      </c>
      <c r="E3016" s="17">
        <v>42132</v>
      </c>
      <c r="F3016" s="18">
        <v>0.69938657407407412</v>
      </c>
      <c r="G3016" s="22">
        <v>0</v>
      </c>
      <c r="H3016">
        <v>0</v>
      </c>
      <c r="I3016" s="19" t="e">
        <f>I3015 + (D3016-G3016)</f>
        <v>#VALUE!</v>
      </c>
      <c r="N3016">
        <v>24</v>
      </c>
      <c r="O3016" t="s">
        <v>68</v>
      </c>
      <c r="P3016">
        <v>1</v>
      </c>
      <c r="R3016">
        <v>1449</v>
      </c>
      <c r="S3016" s="17">
        <v>42135</v>
      </c>
      <c r="T3016" s="17">
        <v>42138</v>
      </c>
      <c r="W3016">
        <v>2015</v>
      </c>
      <c r="X3016">
        <v>24</v>
      </c>
      <c r="AA3016">
        <v>269267</v>
      </c>
      <c r="AC3016" t="s">
        <v>51</v>
      </c>
      <c r="AD3016" t="s">
        <v>302</v>
      </c>
      <c r="AE3016" t="s">
        <v>46</v>
      </c>
      <c r="AG3016">
        <v>123</v>
      </c>
      <c r="AH3016">
        <v>8</v>
      </c>
      <c r="AI3016" t="s">
        <v>52</v>
      </c>
      <c r="AM3016">
        <v>0</v>
      </c>
      <c r="AP3016" t="s">
        <v>331</v>
      </c>
    </row>
    <row r="3017" spans="1:42" customFormat="1">
      <c r="A3017">
        <v>269907</v>
      </c>
      <c r="B3017" t="s">
        <v>102</v>
      </c>
      <c r="C3017" t="s">
        <v>2531</v>
      </c>
      <c r="D3017" s="22">
        <v>0.01</v>
      </c>
      <c r="E3017" s="17">
        <v>42135</v>
      </c>
      <c r="F3017" s="18">
        <v>0.45222222222222225</v>
      </c>
      <c r="G3017" s="22">
        <v>0</v>
      </c>
      <c r="H3017">
        <v>0</v>
      </c>
      <c r="I3017" s="19" t="e">
        <f>I3016 + (D3017-G3017)</f>
        <v>#VALUE!</v>
      </c>
      <c r="N3017">
        <v>60</v>
      </c>
      <c r="O3017" t="s">
        <v>60</v>
      </c>
      <c r="P3017">
        <v>1</v>
      </c>
      <c r="R3017">
        <v>1471</v>
      </c>
      <c r="S3017" s="17">
        <v>42138</v>
      </c>
      <c r="T3017" s="17">
        <v>42138</v>
      </c>
      <c r="W3017">
        <v>2015</v>
      </c>
      <c r="X3017">
        <v>60</v>
      </c>
      <c r="AC3017" t="s">
        <v>109</v>
      </c>
      <c r="AD3017" t="s">
        <v>302</v>
      </c>
      <c r="AE3017" t="s">
        <v>46</v>
      </c>
      <c r="AG3017">
        <v>8</v>
      </c>
      <c r="AH3017">
        <v>9</v>
      </c>
      <c r="AI3017" t="s">
        <v>54</v>
      </c>
      <c r="AM3017">
        <v>0</v>
      </c>
      <c r="AP3017" t="s">
        <v>1201</v>
      </c>
    </row>
    <row r="3018" spans="1:42" customFormat="1">
      <c r="A3018">
        <v>270961</v>
      </c>
      <c r="B3018" t="s">
        <v>219</v>
      </c>
      <c r="C3018" t="s">
        <v>219</v>
      </c>
      <c r="D3018" s="22">
        <v>30000</v>
      </c>
      <c r="E3018" s="17">
        <v>42135</v>
      </c>
      <c r="F3018" s="18">
        <v>0.4647337962962963</v>
      </c>
      <c r="G3018" s="22">
        <v>0</v>
      </c>
      <c r="H3018">
        <v>0</v>
      </c>
      <c r="I3018" s="19" t="e">
        <f>I3017 + (D3018-G3018)</f>
        <v>#VALUE!</v>
      </c>
      <c r="N3018">
        <v>7</v>
      </c>
      <c r="O3018" t="s">
        <v>44</v>
      </c>
      <c r="P3018">
        <v>1</v>
      </c>
      <c r="R3018">
        <v>1449</v>
      </c>
      <c r="S3018" s="17">
        <v>42149</v>
      </c>
      <c r="T3018" s="17">
        <v>42149</v>
      </c>
      <c r="W3018">
        <v>2015</v>
      </c>
      <c r="X3018">
        <v>7</v>
      </c>
      <c r="AC3018" t="s">
        <v>51</v>
      </c>
      <c r="AD3018" t="s">
        <v>302</v>
      </c>
      <c r="AE3018" t="s">
        <v>46</v>
      </c>
      <c r="AG3018">
        <v>2</v>
      </c>
      <c r="AH3018">
        <v>8</v>
      </c>
      <c r="AI3018" t="s">
        <v>52</v>
      </c>
      <c r="AM3018">
        <v>0</v>
      </c>
      <c r="AP3018" t="s">
        <v>2544</v>
      </c>
    </row>
    <row r="3019" spans="1:42" customFormat="1">
      <c r="A3019">
        <v>270962</v>
      </c>
      <c r="B3019" t="s">
        <v>219</v>
      </c>
      <c r="C3019" t="s">
        <v>219</v>
      </c>
      <c r="D3019" s="22">
        <v>30000</v>
      </c>
      <c r="E3019" s="17">
        <v>42135</v>
      </c>
      <c r="F3019" s="18">
        <v>0.46502314814814816</v>
      </c>
      <c r="G3019" s="22">
        <v>0</v>
      </c>
      <c r="H3019">
        <v>0</v>
      </c>
      <c r="I3019" s="19" t="e">
        <f>I3018 + (D3019-G3019)</f>
        <v>#VALUE!</v>
      </c>
      <c r="N3019">
        <v>7</v>
      </c>
      <c r="O3019" t="s">
        <v>44</v>
      </c>
      <c r="P3019">
        <v>1</v>
      </c>
      <c r="R3019">
        <v>1449</v>
      </c>
      <c r="S3019" s="17">
        <v>42149</v>
      </c>
      <c r="T3019" s="17">
        <v>42149</v>
      </c>
      <c r="W3019">
        <v>2015</v>
      </c>
      <c r="X3019">
        <v>7</v>
      </c>
      <c r="AC3019" t="s">
        <v>51</v>
      </c>
      <c r="AD3019" t="s">
        <v>302</v>
      </c>
      <c r="AE3019" t="s">
        <v>46</v>
      </c>
      <c r="AG3019">
        <v>2</v>
      </c>
      <c r="AH3019">
        <v>8</v>
      </c>
      <c r="AI3019" t="s">
        <v>52</v>
      </c>
      <c r="AM3019">
        <v>0</v>
      </c>
      <c r="AP3019" t="s">
        <v>2544</v>
      </c>
    </row>
    <row r="3020" spans="1:42" customFormat="1">
      <c r="A3020">
        <v>269780</v>
      </c>
      <c r="B3020" t="s">
        <v>219</v>
      </c>
      <c r="C3020" t="s">
        <v>219</v>
      </c>
      <c r="D3020" s="22">
        <v>0</v>
      </c>
      <c r="E3020" s="17">
        <v>42135</v>
      </c>
      <c r="F3020" s="18">
        <v>0.47700231481481481</v>
      </c>
      <c r="G3020" s="22">
        <v>11000</v>
      </c>
      <c r="H3020">
        <v>0</v>
      </c>
      <c r="I3020" s="19" t="e">
        <f>I3019 + (D3020-G3020)</f>
        <v>#VALUE!</v>
      </c>
      <c r="N3020">
        <v>24</v>
      </c>
      <c r="O3020" t="s">
        <v>68</v>
      </c>
      <c r="P3020">
        <v>1</v>
      </c>
      <c r="R3020">
        <v>1449</v>
      </c>
      <c r="S3020" s="17">
        <v>42137</v>
      </c>
      <c r="T3020" s="17">
        <v>42137</v>
      </c>
      <c r="W3020">
        <v>2015</v>
      </c>
      <c r="X3020">
        <v>24</v>
      </c>
      <c r="AC3020" t="s">
        <v>51</v>
      </c>
      <c r="AD3020" t="s">
        <v>302</v>
      </c>
      <c r="AE3020" t="s">
        <v>46</v>
      </c>
      <c r="AG3020">
        <v>2</v>
      </c>
      <c r="AH3020">
        <v>8</v>
      </c>
      <c r="AI3020" t="s">
        <v>52</v>
      </c>
      <c r="AM3020">
        <v>0</v>
      </c>
      <c r="AO3020">
        <v>26</v>
      </c>
      <c r="AP3020" t="s">
        <v>2544</v>
      </c>
    </row>
    <row r="3021" spans="1:42" customFormat="1">
      <c r="A3021">
        <v>269781</v>
      </c>
      <c r="B3021" t="s">
        <v>219</v>
      </c>
      <c r="C3021" t="s">
        <v>2555</v>
      </c>
      <c r="D3021" s="22">
        <v>11000</v>
      </c>
      <c r="E3021" s="17">
        <v>42135</v>
      </c>
      <c r="F3021" s="18">
        <v>0.47700231481481481</v>
      </c>
      <c r="G3021" s="22">
        <v>0</v>
      </c>
      <c r="H3021">
        <v>0</v>
      </c>
      <c r="I3021" s="19" t="e">
        <f>I3020 + (D3021-G3021)</f>
        <v>#VALUE!</v>
      </c>
      <c r="N3021">
        <v>24</v>
      </c>
      <c r="O3021" t="s">
        <v>68</v>
      </c>
      <c r="P3021">
        <v>1</v>
      </c>
      <c r="R3021">
        <v>1449</v>
      </c>
      <c r="S3021" s="17">
        <v>42137</v>
      </c>
      <c r="T3021" s="17">
        <v>42137</v>
      </c>
      <c r="W3021">
        <v>2015</v>
      </c>
      <c r="X3021">
        <v>24</v>
      </c>
      <c r="AA3021">
        <v>269780</v>
      </c>
      <c r="AC3021" t="s">
        <v>51</v>
      </c>
      <c r="AD3021" t="s">
        <v>302</v>
      </c>
      <c r="AE3021" t="s">
        <v>46</v>
      </c>
      <c r="AG3021">
        <v>26</v>
      </c>
      <c r="AH3021">
        <v>8</v>
      </c>
      <c r="AI3021" t="s">
        <v>52</v>
      </c>
      <c r="AM3021">
        <v>0</v>
      </c>
      <c r="AP3021" t="s">
        <v>501</v>
      </c>
    </row>
    <row r="3022" spans="1:42" customFormat="1">
      <c r="A3022">
        <v>269782</v>
      </c>
      <c r="B3022" t="s">
        <v>219</v>
      </c>
      <c r="C3022" t="s">
        <v>219</v>
      </c>
      <c r="D3022" s="22">
        <v>0</v>
      </c>
      <c r="E3022" s="17">
        <v>42135</v>
      </c>
      <c r="F3022" s="18">
        <v>0.4773958333333333</v>
      </c>
      <c r="G3022" s="22">
        <v>11500</v>
      </c>
      <c r="H3022">
        <v>0</v>
      </c>
      <c r="I3022" s="19" t="e">
        <f>I3021 + (D3022-G3022)</f>
        <v>#VALUE!</v>
      </c>
      <c r="N3022">
        <v>24</v>
      </c>
      <c r="O3022" t="s">
        <v>68</v>
      </c>
      <c r="P3022">
        <v>1</v>
      </c>
      <c r="R3022">
        <v>1449</v>
      </c>
      <c r="S3022" s="17">
        <v>42137</v>
      </c>
      <c r="T3022" s="17">
        <v>42137</v>
      </c>
      <c r="W3022">
        <v>2015</v>
      </c>
      <c r="X3022">
        <v>24</v>
      </c>
      <c r="AC3022" t="s">
        <v>51</v>
      </c>
      <c r="AD3022" t="s">
        <v>302</v>
      </c>
      <c r="AE3022" t="s">
        <v>46</v>
      </c>
      <c r="AG3022">
        <v>2</v>
      </c>
      <c r="AH3022">
        <v>8</v>
      </c>
      <c r="AI3022" t="s">
        <v>52</v>
      </c>
      <c r="AM3022">
        <v>0</v>
      </c>
      <c r="AO3022">
        <v>26</v>
      </c>
      <c r="AP3022" t="s">
        <v>2544</v>
      </c>
    </row>
    <row r="3023" spans="1:42" customFormat="1">
      <c r="A3023">
        <v>269783</v>
      </c>
      <c r="B3023" t="s">
        <v>219</v>
      </c>
      <c r="C3023" t="s">
        <v>2556</v>
      </c>
      <c r="D3023" s="22">
        <v>11500</v>
      </c>
      <c r="E3023" s="17">
        <v>42135</v>
      </c>
      <c r="F3023" s="18">
        <v>0.4773958333333333</v>
      </c>
      <c r="G3023" s="22">
        <v>0</v>
      </c>
      <c r="H3023">
        <v>0</v>
      </c>
      <c r="I3023" s="19" t="e">
        <f>I3022 + (D3023-G3023)</f>
        <v>#VALUE!</v>
      </c>
      <c r="N3023">
        <v>24</v>
      </c>
      <c r="O3023" t="s">
        <v>68</v>
      </c>
      <c r="P3023">
        <v>1</v>
      </c>
      <c r="R3023">
        <v>1449</v>
      </c>
      <c r="S3023" s="17">
        <v>42137</v>
      </c>
      <c r="T3023" s="17">
        <v>42137</v>
      </c>
      <c r="W3023">
        <v>2015</v>
      </c>
      <c r="X3023">
        <v>24</v>
      </c>
      <c r="AA3023">
        <v>269782</v>
      </c>
      <c r="AC3023" t="s">
        <v>51</v>
      </c>
      <c r="AD3023" t="s">
        <v>302</v>
      </c>
      <c r="AE3023" t="s">
        <v>46</v>
      </c>
      <c r="AG3023">
        <v>26</v>
      </c>
      <c r="AH3023">
        <v>8</v>
      </c>
      <c r="AI3023" t="s">
        <v>52</v>
      </c>
      <c r="AM3023">
        <v>0</v>
      </c>
      <c r="AP3023" t="s">
        <v>501</v>
      </c>
    </row>
    <row r="3024" spans="1:42" customFormat="1">
      <c r="A3024">
        <v>269784</v>
      </c>
      <c r="B3024" t="s">
        <v>219</v>
      </c>
      <c r="C3024" t="s">
        <v>219</v>
      </c>
      <c r="D3024" s="22">
        <v>0</v>
      </c>
      <c r="E3024" s="17">
        <v>42135</v>
      </c>
      <c r="F3024" s="18">
        <v>0.47769675925925931</v>
      </c>
      <c r="G3024" s="22">
        <v>14000</v>
      </c>
      <c r="H3024">
        <v>0</v>
      </c>
      <c r="I3024" s="19" t="e">
        <f>I3023 + (D3024-G3024)</f>
        <v>#VALUE!</v>
      </c>
      <c r="N3024">
        <v>24</v>
      </c>
      <c r="O3024" t="s">
        <v>68</v>
      </c>
      <c r="P3024">
        <v>1</v>
      </c>
      <c r="R3024">
        <v>1449</v>
      </c>
      <c r="S3024" s="17">
        <v>42137</v>
      </c>
      <c r="T3024" s="17">
        <v>42137</v>
      </c>
      <c r="W3024">
        <v>2015</v>
      </c>
      <c r="X3024">
        <v>24</v>
      </c>
      <c r="AC3024" t="s">
        <v>51</v>
      </c>
      <c r="AD3024" t="s">
        <v>302</v>
      </c>
      <c r="AE3024" t="s">
        <v>46</v>
      </c>
      <c r="AG3024">
        <v>4</v>
      </c>
      <c r="AH3024">
        <v>8</v>
      </c>
      <c r="AI3024" t="s">
        <v>52</v>
      </c>
      <c r="AM3024">
        <v>0</v>
      </c>
      <c r="AO3024">
        <v>8</v>
      </c>
      <c r="AP3024" t="s">
        <v>389</v>
      </c>
    </row>
    <row r="3025" spans="1:42" customFormat="1">
      <c r="A3025">
        <v>269785</v>
      </c>
      <c r="B3025" t="s">
        <v>219</v>
      </c>
      <c r="C3025" t="s">
        <v>2557</v>
      </c>
      <c r="D3025" s="22">
        <v>14000</v>
      </c>
      <c r="E3025" s="17">
        <v>42135</v>
      </c>
      <c r="F3025" s="18">
        <v>0.47769675925925931</v>
      </c>
      <c r="G3025" s="22">
        <v>0</v>
      </c>
      <c r="H3025">
        <v>0</v>
      </c>
      <c r="I3025" s="19" t="e">
        <f>I3024 + (D3025-G3025)</f>
        <v>#VALUE!</v>
      </c>
      <c r="N3025">
        <v>24</v>
      </c>
      <c r="O3025" t="s">
        <v>68</v>
      </c>
      <c r="P3025">
        <v>1</v>
      </c>
      <c r="R3025">
        <v>1449</v>
      </c>
      <c r="S3025" s="17">
        <v>42137</v>
      </c>
      <c r="T3025" s="17">
        <v>42137</v>
      </c>
      <c r="W3025">
        <v>2015</v>
      </c>
      <c r="X3025">
        <v>24</v>
      </c>
      <c r="AA3025">
        <v>269784</v>
      </c>
      <c r="AC3025" t="s">
        <v>51</v>
      </c>
      <c r="AD3025" t="s">
        <v>302</v>
      </c>
      <c r="AE3025" t="s">
        <v>46</v>
      </c>
      <c r="AG3025">
        <v>8</v>
      </c>
      <c r="AH3025">
        <v>8</v>
      </c>
      <c r="AI3025" t="s">
        <v>52</v>
      </c>
      <c r="AM3025">
        <v>0</v>
      </c>
      <c r="AP3025" t="s">
        <v>1201</v>
      </c>
    </row>
    <row r="3026" spans="1:42" customFormat="1">
      <c r="A3026">
        <v>269786</v>
      </c>
      <c r="B3026" t="s">
        <v>219</v>
      </c>
      <c r="C3026" t="s">
        <v>219</v>
      </c>
      <c r="D3026" s="22">
        <v>0</v>
      </c>
      <c r="E3026" s="17">
        <v>42135</v>
      </c>
      <c r="F3026" s="18">
        <v>0.47798611111111117</v>
      </c>
      <c r="G3026" s="22">
        <v>7850</v>
      </c>
      <c r="H3026">
        <v>0</v>
      </c>
      <c r="I3026" s="19" t="e">
        <f>I3025 + (D3026-G3026)</f>
        <v>#VALUE!</v>
      </c>
      <c r="N3026">
        <v>24</v>
      </c>
      <c r="O3026" t="s">
        <v>68</v>
      </c>
      <c r="P3026">
        <v>1</v>
      </c>
      <c r="R3026">
        <v>1449</v>
      </c>
      <c r="S3026" s="17">
        <v>42137</v>
      </c>
      <c r="T3026" s="17">
        <v>42137</v>
      </c>
      <c r="W3026">
        <v>2015</v>
      </c>
      <c r="X3026">
        <v>24</v>
      </c>
      <c r="AC3026" t="s">
        <v>51</v>
      </c>
      <c r="AD3026" t="s">
        <v>302</v>
      </c>
      <c r="AE3026" t="s">
        <v>46</v>
      </c>
      <c r="AG3026">
        <v>2</v>
      </c>
      <c r="AH3026">
        <v>8</v>
      </c>
      <c r="AI3026" t="s">
        <v>52</v>
      </c>
      <c r="AM3026">
        <v>0</v>
      </c>
      <c r="AO3026">
        <v>26</v>
      </c>
      <c r="AP3026" t="s">
        <v>2544</v>
      </c>
    </row>
    <row r="3027" spans="1:42" customFormat="1">
      <c r="A3027">
        <v>269787</v>
      </c>
      <c r="B3027" t="s">
        <v>219</v>
      </c>
      <c r="C3027" t="s">
        <v>2558</v>
      </c>
      <c r="D3027" s="22">
        <v>7850</v>
      </c>
      <c r="E3027" s="17">
        <v>42135</v>
      </c>
      <c r="F3027" s="18">
        <v>0.47798611111111117</v>
      </c>
      <c r="G3027" s="22">
        <v>0</v>
      </c>
      <c r="H3027">
        <v>0</v>
      </c>
      <c r="I3027" s="19" t="e">
        <f>I3026 + (D3027-G3027)</f>
        <v>#VALUE!</v>
      </c>
      <c r="N3027">
        <v>24</v>
      </c>
      <c r="O3027" t="s">
        <v>68</v>
      </c>
      <c r="P3027">
        <v>1</v>
      </c>
      <c r="R3027">
        <v>1449</v>
      </c>
      <c r="S3027" s="17">
        <v>42137</v>
      </c>
      <c r="T3027" s="17">
        <v>42137</v>
      </c>
      <c r="W3027">
        <v>2015</v>
      </c>
      <c r="X3027">
        <v>24</v>
      </c>
      <c r="AA3027">
        <v>269786</v>
      </c>
      <c r="AC3027" t="s">
        <v>51</v>
      </c>
      <c r="AD3027" t="s">
        <v>302</v>
      </c>
      <c r="AE3027" t="s">
        <v>46</v>
      </c>
      <c r="AG3027">
        <v>26</v>
      </c>
      <c r="AH3027">
        <v>8</v>
      </c>
      <c r="AI3027" t="s">
        <v>52</v>
      </c>
      <c r="AM3027">
        <v>0</v>
      </c>
      <c r="AP3027" t="s">
        <v>501</v>
      </c>
    </row>
    <row r="3028" spans="1:42" customFormat="1">
      <c r="A3028">
        <v>269788</v>
      </c>
      <c r="B3028" t="s">
        <v>219</v>
      </c>
      <c r="C3028" t="s">
        <v>219</v>
      </c>
      <c r="D3028" s="22">
        <v>0</v>
      </c>
      <c r="E3028" s="17">
        <v>42135</v>
      </c>
      <c r="F3028" s="18">
        <v>0.4782986111111111</v>
      </c>
      <c r="G3028" s="22">
        <v>27000</v>
      </c>
      <c r="H3028">
        <v>0</v>
      </c>
      <c r="I3028" s="19" t="e">
        <f>I3027 + (D3028-G3028)</f>
        <v>#VALUE!</v>
      </c>
      <c r="N3028">
        <v>24</v>
      </c>
      <c r="O3028" t="s">
        <v>68</v>
      </c>
      <c r="P3028">
        <v>1</v>
      </c>
      <c r="R3028">
        <v>1449</v>
      </c>
      <c r="S3028" s="17">
        <v>42137</v>
      </c>
      <c r="T3028" s="17">
        <v>42137</v>
      </c>
      <c r="W3028">
        <v>2015</v>
      </c>
      <c r="X3028">
        <v>24</v>
      </c>
      <c r="AC3028" t="s">
        <v>51</v>
      </c>
      <c r="AD3028" t="s">
        <v>302</v>
      </c>
      <c r="AE3028" t="s">
        <v>46</v>
      </c>
      <c r="AG3028">
        <v>4</v>
      </c>
      <c r="AH3028">
        <v>8</v>
      </c>
      <c r="AI3028" t="s">
        <v>52</v>
      </c>
      <c r="AM3028">
        <v>0</v>
      </c>
      <c r="AO3028">
        <v>8</v>
      </c>
      <c r="AP3028" t="s">
        <v>389</v>
      </c>
    </row>
    <row r="3029" spans="1:42" customFormat="1">
      <c r="A3029">
        <v>269789</v>
      </c>
      <c r="B3029" t="s">
        <v>219</v>
      </c>
      <c r="C3029" t="s">
        <v>2559</v>
      </c>
      <c r="D3029" s="22">
        <v>27000</v>
      </c>
      <c r="E3029" s="17">
        <v>42135</v>
      </c>
      <c r="F3029" s="18">
        <v>0.4782986111111111</v>
      </c>
      <c r="G3029" s="22">
        <v>0</v>
      </c>
      <c r="H3029">
        <v>0</v>
      </c>
      <c r="I3029" s="19" t="e">
        <f>I3028 + (D3029-G3029)</f>
        <v>#VALUE!</v>
      </c>
      <c r="N3029">
        <v>24</v>
      </c>
      <c r="O3029" t="s">
        <v>68</v>
      </c>
      <c r="P3029">
        <v>1</v>
      </c>
      <c r="R3029">
        <v>1449</v>
      </c>
      <c r="S3029" s="17">
        <v>42137</v>
      </c>
      <c r="T3029" s="17">
        <v>42137</v>
      </c>
      <c r="W3029">
        <v>2015</v>
      </c>
      <c r="X3029">
        <v>24</v>
      </c>
      <c r="AA3029">
        <v>269788</v>
      </c>
      <c r="AC3029" t="s">
        <v>51</v>
      </c>
      <c r="AD3029" t="s">
        <v>302</v>
      </c>
      <c r="AE3029" t="s">
        <v>46</v>
      </c>
      <c r="AG3029">
        <v>8</v>
      </c>
      <c r="AH3029">
        <v>8</v>
      </c>
      <c r="AI3029" t="s">
        <v>52</v>
      </c>
      <c r="AM3029">
        <v>0</v>
      </c>
      <c r="AP3029" t="s">
        <v>1201</v>
      </c>
    </row>
    <row r="3030" spans="1:42" customFormat="1">
      <c r="A3030">
        <v>269798</v>
      </c>
      <c r="B3030" t="s">
        <v>219</v>
      </c>
      <c r="C3030" t="s">
        <v>219</v>
      </c>
      <c r="D3030" s="22">
        <v>0</v>
      </c>
      <c r="E3030" s="17">
        <v>42135</v>
      </c>
      <c r="F3030" s="18">
        <v>0.47991898148148149</v>
      </c>
      <c r="G3030" s="22">
        <v>15000</v>
      </c>
      <c r="H3030">
        <v>0</v>
      </c>
      <c r="I3030" s="19" t="e">
        <f>I3029 + (D3030-G3030)</f>
        <v>#VALUE!</v>
      </c>
      <c r="N3030">
        <v>24</v>
      </c>
      <c r="O3030" t="s">
        <v>68</v>
      </c>
      <c r="P3030">
        <v>1</v>
      </c>
      <c r="R3030">
        <v>1449</v>
      </c>
      <c r="S3030" s="17">
        <v>42137</v>
      </c>
      <c r="T3030" s="17">
        <v>42137</v>
      </c>
      <c r="W3030">
        <v>2015</v>
      </c>
      <c r="X3030">
        <v>24</v>
      </c>
      <c r="AC3030" t="s">
        <v>51</v>
      </c>
      <c r="AD3030" t="s">
        <v>302</v>
      </c>
      <c r="AE3030" t="s">
        <v>46</v>
      </c>
      <c r="AG3030">
        <v>12</v>
      </c>
      <c r="AH3030">
        <v>8</v>
      </c>
      <c r="AI3030" t="s">
        <v>52</v>
      </c>
      <c r="AM3030">
        <v>0</v>
      </c>
      <c r="AO3030">
        <v>52</v>
      </c>
      <c r="AP3030" t="s">
        <v>392</v>
      </c>
    </row>
    <row r="3031" spans="1:42" customFormat="1">
      <c r="A3031">
        <v>269799</v>
      </c>
      <c r="B3031" t="s">
        <v>219</v>
      </c>
      <c r="C3031" t="s">
        <v>2560</v>
      </c>
      <c r="D3031" s="22">
        <v>15000</v>
      </c>
      <c r="E3031" s="17">
        <v>42135</v>
      </c>
      <c r="F3031" s="18">
        <v>0.47991898148148149</v>
      </c>
      <c r="G3031" s="22">
        <v>0</v>
      </c>
      <c r="H3031">
        <v>0</v>
      </c>
      <c r="I3031" s="19" t="e">
        <f>I3030 + (D3031-G3031)</f>
        <v>#VALUE!</v>
      </c>
      <c r="N3031">
        <v>24</v>
      </c>
      <c r="O3031" t="s">
        <v>68</v>
      </c>
      <c r="P3031">
        <v>1</v>
      </c>
      <c r="R3031">
        <v>1449</v>
      </c>
      <c r="S3031" s="17">
        <v>42137</v>
      </c>
      <c r="T3031" s="17">
        <v>42137</v>
      </c>
      <c r="W3031">
        <v>2015</v>
      </c>
      <c r="X3031">
        <v>24</v>
      </c>
      <c r="AA3031">
        <v>269798</v>
      </c>
      <c r="AC3031" t="s">
        <v>51</v>
      </c>
      <c r="AD3031" t="s">
        <v>302</v>
      </c>
      <c r="AE3031" t="s">
        <v>46</v>
      </c>
      <c r="AG3031">
        <v>52</v>
      </c>
      <c r="AH3031">
        <v>8</v>
      </c>
      <c r="AI3031" t="s">
        <v>52</v>
      </c>
      <c r="AM3031">
        <v>0</v>
      </c>
      <c r="AP3031" t="s">
        <v>325</v>
      </c>
    </row>
    <row r="3032" spans="1:42" customFormat="1">
      <c r="A3032">
        <v>269800</v>
      </c>
      <c r="B3032" t="s">
        <v>219</v>
      </c>
      <c r="C3032" t="s">
        <v>219</v>
      </c>
      <c r="D3032" s="22">
        <v>0</v>
      </c>
      <c r="E3032" s="17">
        <v>42135</v>
      </c>
      <c r="F3032" s="18">
        <v>0.48023148148148148</v>
      </c>
      <c r="G3032" s="22">
        <v>24500</v>
      </c>
      <c r="H3032">
        <v>0</v>
      </c>
      <c r="I3032" s="19" t="e">
        <f>I3031 + (D3032-G3032)</f>
        <v>#VALUE!</v>
      </c>
      <c r="N3032">
        <v>24</v>
      </c>
      <c r="O3032" t="s">
        <v>68</v>
      </c>
      <c r="P3032">
        <v>1</v>
      </c>
      <c r="R3032">
        <v>1449</v>
      </c>
      <c r="S3032" s="17">
        <v>42137</v>
      </c>
      <c r="T3032" s="17">
        <v>42137</v>
      </c>
      <c r="W3032">
        <v>2015</v>
      </c>
      <c r="X3032">
        <v>24</v>
      </c>
      <c r="AC3032" t="s">
        <v>51</v>
      </c>
      <c r="AD3032" t="s">
        <v>302</v>
      </c>
      <c r="AE3032" t="s">
        <v>46</v>
      </c>
      <c r="AG3032">
        <v>12</v>
      </c>
      <c r="AH3032">
        <v>8</v>
      </c>
      <c r="AI3032" t="s">
        <v>52</v>
      </c>
      <c r="AM3032">
        <v>0</v>
      </c>
      <c r="AO3032">
        <v>4</v>
      </c>
      <c r="AP3032" t="s">
        <v>392</v>
      </c>
    </row>
    <row r="3033" spans="1:42" customFormat="1">
      <c r="A3033">
        <v>269801</v>
      </c>
      <c r="B3033" t="s">
        <v>219</v>
      </c>
      <c r="C3033" t="s">
        <v>2561</v>
      </c>
      <c r="D3033" s="22">
        <v>24500</v>
      </c>
      <c r="E3033" s="17">
        <v>42135</v>
      </c>
      <c r="F3033" s="18">
        <v>0.48023148148148148</v>
      </c>
      <c r="G3033" s="22">
        <v>0</v>
      </c>
      <c r="H3033">
        <v>0</v>
      </c>
      <c r="I3033" s="19" t="e">
        <f>I3032 + (D3033-G3033)</f>
        <v>#VALUE!</v>
      </c>
      <c r="N3033">
        <v>24</v>
      </c>
      <c r="O3033" t="s">
        <v>68</v>
      </c>
      <c r="P3033">
        <v>1</v>
      </c>
      <c r="R3033">
        <v>1449</v>
      </c>
      <c r="S3033" s="17">
        <v>42137</v>
      </c>
      <c r="T3033" s="17">
        <v>42137</v>
      </c>
      <c r="W3033">
        <v>2015</v>
      </c>
      <c r="X3033">
        <v>24</v>
      </c>
      <c r="AA3033">
        <v>269800</v>
      </c>
      <c r="AC3033" t="s">
        <v>51</v>
      </c>
      <c r="AD3033" t="s">
        <v>302</v>
      </c>
      <c r="AE3033" t="s">
        <v>46</v>
      </c>
      <c r="AG3033">
        <v>4</v>
      </c>
      <c r="AH3033">
        <v>8</v>
      </c>
      <c r="AI3033" t="s">
        <v>52</v>
      </c>
      <c r="AM3033">
        <v>0</v>
      </c>
      <c r="AP3033" t="s">
        <v>389</v>
      </c>
    </row>
    <row r="3034" spans="1:42" customFormat="1">
      <c r="A3034">
        <v>269812</v>
      </c>
      <c r="B3034" t="s">
        <v>219</v>
      </c>
      <c r="C3034" t="s">
        <v>219</v>
      </c>
      <c r="D3034" s="22">
        <v>0</v>
      </c>
      <c r="E3034" s="17">
        <v>42135</v>
      </c>
      <c r="F3034" s="18">
        <v>0.53106481481481482</v>
      </c>
      <c r="G3034" s="22">
        <v>3000</v>
      </c>
      <c r="H3034">
        <v>0</v>
      </c>
      <c r="I3034" s="19" t="e">
        <f>I3033 + (D3034-G3034)</f>
        <v>#VALUE!</v>
      </c>
      <c r="N3034">
        <v>24</v>
      </c>
      <c r="O3034" t="s">
        <v>68</v>
      </c>
      <c r="P3034">
        <v>1</v>
      </c>
      <c r="R3034">
        <v>1449</v>
      </c>
      <c r="S3034" s="17">
        <v>42137</v>
      </c>
      <c r="T3034" s="17">
        <v>42137</v>
      </c>
      <c r="W3034">
        <v>2015</v>
      </c>
      <c r="X3034">
        <v>24</v>
      </c>
      <c r="AC3034" t="s">
        <v>51</v>
      </c>
      <c r="AD3034" t="s">
        <v>302</v>
      </c>
      <c r="AE3034" t="s">
        <v>46</v>
      </c>
      <c r="AG3034">
        <v>8</v>
      </c>
      <c r="AH3034">
        <v>8</v>
      </c>
      <c r="AI3034" t="s">
        <v>52</v>
      </c>
      <c r="AM3034">
        <v>0</v>
      </c>
      <c r="AO3034">
        <v>26</v>
      </c>
      <c r="AP3034" t="s">
        <v>1201</v>
      </c>
    </row>
    <row r="3035" spans="1:42" customFormat="1">
      <c r="A3035">
        <v>269813</v>
      </c>
      <c r="B3035" t="s">
        <v>219</v>
      </c>
      <c r="C3035" t="s">
        <v>2571</v>
      </c>
      <c r="D3035" s="22">
        <v>3000</v>
      </c>
      <c r="E3035" s="17">
        <v>42135</v>
      </c>
      <c r="F3035" s="18">
        <v>0.53106481481481482</v>
      </c>
      <c r="G3035" s="22">
        <v>0</v>
      </c>
      <c r="H3035">
        <v>0</v>
      </c>
      <c r="I3035" s="19" t="e">
        <f>I3034 + (D3035-G3035)</f>
        <v>#VALUE!</v>
      </c>
      <c r="N3035">
        <v>24</v>
      </c>
      <c r="O3035" t="s">
        <v>68</v>
      </c>
      <c r="P3035">
        <v>1</v>
      </c>
      <c r="R3035">
        <v>1449</v>
      </c>
      <c r="S3035" s="17">
        <v>42137</v>
      </c>
      <c r="T3035" s="17">
        <v>42137</v>
      </c>
      <c r="W3035">
        <v>2015</v>
      </c>
      <c r="X3035">
        <v>24</v>
      </c>
      <c r="AA3035">
        <v>269812</v>
      </c>
      <c r="AC3035" t="s">
        <v>51</v>
      </c>
      <c r="AD3035" t="s">
        <v>302</v>
      </c>
      <c r="AE3035" t="s">
        <v>46</v>
      </c>
      <c r="AG3035">
        <v>26</v>
      </c>
      <c r="AH3035">
        <v>8</v>
      </c>
      <c r="AI3035" t="s">
        <v>52</v>
      </c>
      <c r="AM3035">
        <v>0</v>
      </c>
      <c r="AP3035" t="s">
        <v>501</v>
      </c>
    </row>
    <row r="3036" spans="1:42" customFormat="1">
      <c r="A3036">
        <v>269814</v>
      </c>
      <c r="B3036" t="s">
        <v>219</v>
      </c>
      <c r="C3036" t="s">
        <v>219</v>
      </c>
      <c r="D3036" s="22">
        <v>0</v>
      </c>
      <c r="E3036" s="17">
        <v>42135</v>
      </c>
      <c r="F3036" s="18">
        <v>0.5314699074074074</v>
      </c>
      <c r="G3036" s="22">
        <v>8000</v>
      </c>
      <c r="H3036">
        <v>0</v>
      </c>
      <c r="I3036" s="19" t="e">
        <f>I3035 + (D3036-G3036)</f>
        <v>#VALUE!</v>
      </c>
      <c r="N3036">
        <v>24</v>
      </c>
      <c r="O3036" t="s">
        <v>68</v>
      </c>
      <c r="P3036">
        <v>1</v>
      </c>
      <c r="R3036">
        <v>1449</v>
      </c>
      <c r="S3036" s="17">
        <v>42137</v>
      </c>
      <c r="T3036" s="17">
        <v>42137</v>
      </c>
      <c r="W3036">
        <v>2015</v>
      </c>
      <c r="X3036">
        <v>24</v>
      </c>
      <c r="AC3036" t="s">
        <v>51</v>
      </c>
      <c r="AD3036" t="s">
        <v>302</v>
      </c>
      <c r="AE3036" t="s">
        <v>46</v>
      </c>
      <c r="AG3036">
        <v>8</v>
      </c>
      <c r="AH3036">
        <v>8</v>
      </c>
      <c r="AI3036" t="s">
        <v>52</v>
      </c>
      <c r="AM3036">
        <v>0</v>
      </c>
      <c r="AO3036">
        <v>26</v>
      </c>
      <c r="AP3036" t="s">
        <v>1201</v>
      </c>
    </row>
    <row r="3037" spans="1:42" customFormat="1">
      <c r="A3037">
        <v>269815</v>
      </c>
      <c r="B3037" t="s">
        <v>219</v>
      </c>
      <c r="C3037" t="s">
        <v>2572</v>
      </c>
      <c r="D3037" s="22">
        <v>8000</v>
      </c>
      <c r="E3037" s="17">
        <v>42135</v>
      </c>
      <c r="F3037" s="18">
        <v>0.5314699074074074</v>
      </c>
      <c r="G3037" s="22">
        <v>0</v>
      </c>
      <c r="H3037">
        <v>0</v>
      </c>
      <c r="I3037" s="19" t="e">
        <f>I3036 + (D3037-G3037)</f>
        <v>#VALUE!</v>
      </c>
      <c r="N3037">
        <v>24</v>
      </c>
      <c r="O3037" t="s">
        <v>68</v>
      </c>
      <c r="P3037">
        <v>1</v>
      </c>
      <c r="R3037">
        <v>1449</v>
      </c>
      <c r="S3037" s="17">
        <v>42137</v>
      </c>
      <c r="T3037" s="17">
        <v>42137</v>
      </c>
      <c r="W3037">
        <v>2015</v>
      </c>
      <c r="X3037">
        <v>24</v>
      </c>
      <c r="AA3037">
        <v>269814</v>
      </c>
      <c r="AC3037" t="s">
        <v>51</v>
      </c>
      <c r="AD3037" t="s">
        <v>302</v>
      </c>
      <c r="AE3037" t="s">
        <v>46</v>
      </c>
      <c r="AG3037">
        <v>26</v>
      </c>
      <c r="AH3037">
        <v>8</v>
      </c>
      <c r="AI3037" t="s">
        <v>52</v>
      </c>
      <c r="AM3037">
        <v>0</v>
      </c>
      <c r="AP3037" t="s">
        <v>501</v>
      </c>
    </row>
    <row r="3038" spans="1:42" customFormat="1">
      <c r="A3038">
        <v>270963</v>
      </c>
      <c r="B3038" t="s">
        <v>219</v>
      </c>
      <c r="C3038" t="s">
        <v>219</v>
      </c>
      <c r="D3038" s="22">
        <v>65000</v>
      </c>
      <c r="E3038" s="17">
        <v>42136</v>
      </c>
      <c r="F3038" s="18">
        <v>0.46596064814814814</v>
      </c>
      <c r="G3038" s="22">
        <v>0</v>
      </c>
      <c r="H3038">
        <v>0</v>
      </c>
      <c r="I3038" s="19" t="e">
        <f>I3037 + (D3038-G3038)</f>
        <v>#VALUE!</v>
      </c>
      <c r="N3038">
        <v>7</v>
      </c>
      <c r="O3038" t="s">
        <v>44</v>
      </c>
      <c r="P3038">
        <v>1</v>
      </c>
      <c r="R3038">
        <v>1449</v>
      </c>
      <c r="S3038" s="17">
        <v>42149</v>
      </c>
      <c r="T3038" s="17">
        <v>42149</v>
      </c>
      <c r="W3038">
        <v>2015</v>
      </c>
      <c r="X3038">
        <v>7</v>
      </c>
      <c r="AC3038" t="s">
        <v>51</v>
      </c>
      <c r="AD3038" t="s">
        <v>302</v>
      </c>
      <c r="AE3038" t="s">
        <v>46</v>
      </c>
      <c r="AG3038">
        <v>2</v>
      </c>
      <c r="AH3038">
        <v>8</v>
      </c>
      <c r="AI3038" t="s">
        <v>52</v>
      </c>
      <c r="AM3038">
        <v>0</v>
      </c>
      <c r="AP3038" t="s">
        <v>2544</v>
      </c>
    </row>
    <row r="3039" spans="1:42" customFormat="1">
      <c r="A3039">
        <v>269932</v>
      </c>
      <c r="B3039" t="s">
        <v>102</v>
      </c>
      <c r="C3039" t="s">
        <v>2919</v>
      </c>
      <c r="D3039" s="22">
        <v>0.01</v>
      </c>
      <c r="E3039" s="17">
        <v>42136</v>
      </c>
      <c r="F3039" s="18">
        <v>0.47208333333333335</v>
      </c>
      <c r="G3039" s="22">
        <v>0</v>
      </c>
      <c r="H3039">
        <v>0</v>
      </c>
      <c r="I3039" s="19" t="e">
        <f>I3038 + (D3039-G3039)</f>
        <v>#VALUE!</v>
      </c>
      <c r="N3039">
        <v>60</v>
      </c>
      <c r="O3039" t="s">
        <v>60</v>
      </c>
      <c r="P3039">
        <v>1</v>
      </c>
      <c r="R3039">
        <v>1471</v>
      </c>
      <c r="S3039" s="17">
        <v>42138</v>
      </c>
      <c r="T3039" s="17">
        <v>42138</v>
      </c>
      <c r="W3039">
        <v>2015</v>
      </c>
      <c r="X3039">
        <v>60</v>
      </c>
      <c r="AC3039" t="s">
        <v>109</v>
      </c>
      <c r="AD3039" t="s">
        <v>302</v>
      </c>
      <c r="AE3039" t="s">
        <v>46</v>
      </c>
      <c r="AG3039">
        <v>26</v>
      </c>
      <c r="AH3039">
        <v>3</v>
      </c>
      <c r="AI3039" t="s">
        <v>64</v>
      </c>
      <c r="AM3039">
        <v>0</v>
      </c>
      <c r="AP3039" t="s">
        <v>501</v>
      </c>
    </row>
    <row r="3040" spans="1:42" customFormat="1">
      <c r="A3040">
        <v>269777</v>
      </c>
      <c r="B3040" t="s">
        <v>219</v>
      </c>
      <c r="C3040" t="s">
        <v>2922</v>
      </c>
      <c r="D3040" s="22">
        <v>0</v>
      </c>
      <c r="E3040" s="17">
        <v>42136</v>
      </c>
      <c r="F3040" s="18">
        <v>0.47512731481481479</v>
      </c>
      <c r="G3040" s="22">
        <v>1500</v>
      </c>
      <c r="H3040">
        <v>0</v>
      </c>
      <c r="I3040" s="19" t="e">
        <f>I3039 + (D3040-G3040)</f>
        <v>#VALUE!</v>
      </c>
      <c r="N3040">
        <v>24</v>
      </c>
      <c r="O3040" t="s">
        <v>68</v>
      </c>
      <c r="P3040">
        <v>1</v>
      </c>
      <c r="R3040">
        <v>1449</v>
      </c>
      <c r="S3040" s="17">
        <v>42137</v>
      </c>
      <c r="T3040" s="17">
        <v>42137</v>
      </c>
      <c r="W3040">
        <v>2015</v>
      </c>
      <c r="X3040">
        <v>24</v>
      </c>
      <c r="AC3040" t="s">
        <v>51</v>
      </c>
      <c r="AD3040" t="s">
        <v>302</v>
      </c>
      <c r="AE3040" t="s">
        <v>46</v>
      </c>
      <c r="AG3040">
        <v>26</v>
      </c>
      <c r="AH3040">
        <v>8</v>
      </c>
      <c r="AI3040" t="s">
        <v>52</v>
      </c>
      <c r="AM3040">
        <v>0</v>
      </c>
      <c r="AO3040">
        <v>56</v>
      </c>
      <c r="AP3040" t="s">
        <v>501</v>
      </c>
    </row>
    <row r="3041" spans="1:42" customFormat="1">
      <c r="A3041">
        <v>269779</v>
      </c>
      <c r="B3041" t="s">
        <v>219</v>
      </c>
      <c r="C3041" t="s">
        <v>2923</v>
      </c>
      <c r="D3041" s="22">
        <v>1500</v>
      </c>
      <c r="E3041" s="17">
        <v>42136</v>
      </c>
      <c r="F3041" s="18">
        <v>0.47512731481481479</v>
      </c>
      <c r="G3041" s="22">
        <v>0</v>
      </c>
      <c r="H3041">
        <v>0</v>
      </c>
      <c r="I3041" s="19" t="e">
        <f>I3040 + (D3041-G3041)</f>
        <v>#VALUE!</v>
      </c>
      <c r="N3041">
        <v>24</v>
      </c>
      <c r="O3041" t="s">
        <v>68</v>
      </c>
      <c r="P3041">
        <v>1</v>
      </c>
      <c r="R3041">
        <v>1449</v>
      </c>
      <c r="S3041" s="17">
        <v>42137</v>
      </c>
      <c r="T3041" s="17">
        <v>42137</v>
      </c>
      <c r="W3041">
        <v>2015</v>
      </c>
      <c r="X3041">
        <v>24</v>
      </c>
      <c r="AA3041">
        <v>269777</v>
      </c>
      <c r="AC3041" t="s">
        <v>51</v>
      </c>
      <c r="AD3041" t="s">
        <v>302</v>
      </c>
      <c r="AE3041" t="s">
        <v>46</v>
      </c>
      <c r="AG3041">
        <v>56</v>
      </c>
      <c r="AH3041">
        <v>8</v>
      </c>
      <c r="AI3041" t="s">
        <v>52</v>
      </c>
      <c r="AM3041">
        <v>0</v>
      </c>
      <c r="AP3041" t="s">
        <v>59</v>
      </c>
    </row>
    <row r="3042" spans="1:42" customFormat="1">
      <c r="A3042">
        <v>270939</v>
      </c>
      <c r="B3042" t="s">
        <v>2960</v>
      </c>
      <c r="C3042" t="s">
        <v>2960</v>
      </c>
      <c r="D3042" s="22">
        <v>0</v>
      </c>
      <c r="E3042" s="17">
        <v>42137</v>
      </c>
      <c r="F3042" s="18">
        <v>0.41271990740740744</v>
      </c>
      <c r="G3042" s="22">
        <v>1000</v>
      </c>
      <c r="H3042">
        <v>0</v>
      </c>
      <c r="I3042" s="19" t="e">
        <f>I3041 + (D3042-G3042)</f>
        <v>#VALUE!</v>
      </c>
      <c r="N3042">
        <v>7</v>
      </c>
      <c r="O3042" t="s">
        <v>44</v>
      </c>
      <c r="P3042">
        <v>1</v>
      </c>
      <c r="R3042">
        <v>1449</v>
      </c>
      <c r="S3042" s="17">
        <v>42149</v>
      </c>
      <c r="T3042" s="17">
        <v>42149</v>
      </c>
      <c r="W3042">
        <v>2015</v>
      </c>
      <c r="X3042">
        <v>7</v>
      </c>
      <c r="AC3042" t="s">
        <v>51</v>
      </c>
      <c r="AD3042" t="s">
        <v>302</v>
      </c>
      <c r="AE3042" t="s">
        <v>46</v>
      </c>
      <c r="AG3042">
        <v>75</v>
      </c>
      <c r="AH3042">
        <v>8</v>
      </c>
      <c r="AI3042" t="s">
        <v>52</v>
      </c>
      <c r="AM3042">
        <v>0</v>
      </c>
      <c r="AO3042">
        <v>5</v>
      </c>
      <c r="AP3042" t="s">
        <v>321</v>
      </c>
    </row>
    <row r="3043" spans="1:42" customFormat="1">
      <c r="A3043">
        <v>270940</v>
      </c>
      <c r="B3043" t="s">
        <v>2960</v>
      </c>
      <c r="C3043" t="s">
        <v>2961</v>
      </c>
      <c r="D3043" s="22">
        <v>1000</v>
      </c>
      <c r="E3043" s="17">
        <v>42137</v>
      </c>
      <c r="F3043" s="18">
        <v>0.41271990740740744</v>
      </c>
      <c r="G3043" s="22">
        <v>0</v>
      </c>
      <c r="H3043">
        <v>0</v>
      </c>
      <c r="I3043" s="19" t="e">
        <f>I3042 + (D3043-G3043)</f>
        <v>#VALUE!</v>
      </c>
      <c r="N3043">
        <v>7</v>
      </c>
      <c r="O3043" t="s">
        <v>44</v>
      </c>
      <c r="P3043">
        <v>1</v>
      </c>
      <c r="R3043">
        <v>1449</v>
      </c>
      <c r="S3043" s="17">
        <v>42149</v>
      </c>
      <c r="T3043" s="17">
        <v>42149</v>
      </c>
      <c r="W3043">
        <v>2015</v>
      </c>
      <c r="X3043">
        <v>7</v>
      </c>
      <c r="AA3043">
        <v>270939</v>
      </c>
      <c r="AC3043" t="s">
        <v>51</v>
      </c>
      <c r="AD3043" t="s">
        <v>302</v>
      </c>
      <c r="AE3043" t="s">
        <v>46</v>
      </c>
      <c r="AG3043">
        <v>5</v>
      </c>
      <c r="AH3043">
        <v>8</v>
      </c>
      <c r="AI3043" t="s">
        <v>52</v>
      </c>
      <c r="AM3043">
        <v>0</v>
      </c>
      <c r="AP3043" t="s">
        <v>312</v>
      </c>
    </row>
    <row r="3044" spans="1:42" customFormat="1">
      <c r="A3044">
        <v>270609</v>
      </c>
      <c r="B3044" t="s">
        <v>219</v>
      </c>
      <c r="C3044" t="s">
        <v>219</v>
      </c>
      <c r="D3044" s="22">
        <v>0</v>
      </c>
      <c r="E3044" s="17">
        <v>42137</v>
      </c>
      <c r="F3044" s="18">
        <v>0.4213541666666667</v>
      </c>
      <c r="G3044" s="22">
        <v>1000</v>
      </c>
      <c r="H3044">
        <v>0</v>
      </c>
      <c r="I3044" s="19" t="e">
        <f>I3043 + (D3044-G3044)</f>
        <v>#VALUE!</v>
      </c>
      <c r="N3044">
        <v>24</v>
      </c>
      <c r="O3044" t="s">
        <v>68</v>
      </c>
      <c r="P3044">
        <v>1</v>
      </c>
      <c r="R3044">
        <v>1449</v>
      </c>
      <c r="S3044" s="17">
        <v>42145</v>
      </c>
      <c r="T3044" s="17">
        <v>42145</v>
      </c>
      <c r="W3044">
        <v>2015</v>
      </c>
      <c r="X3044">
        <v>24</v>
      </c>
      <c r="AC3044" t="s">
        <v>51</v>
      </c>
      <c r="AD3044" t="s">
        <v>302</v>
      </c>
      <c r="AE3044" t="s">
        <v>46</v>
      </c>
      <c r="AG3044">
        <v>4</v>
      </c>
      <c r="AH3044">
        <v>8</v>
      </c>
      <c r="AI3044" t="s">
        <v>52</v>
      </c>
      <c r="AM3044">
        <v>0</v>
      </c>
      <c r="AO3044">
        <v>56</v>
      </c>
      <c r="AP3044" t="s">
        <v>389</v>
      </c>
    </row>
    <row r="3045" spans="1:42" customFormat="1">
      <c r="A3045">
        <v>270610</v>
      </c>
      <c r="B3045" t="s">
        <v>219</v>
      </c>
      <c r="C3045" t="s">
        <v>2966</v>
      </c>
      <c r="D3045" s="22">
        <v>1000</v>
      </c>
      <c r="E3045" s="17">
        <v>42137</v>
      </c>
      <c r="F3045" s="18">
        <v>0.4213541666666667</v>
      </c>
      <c r="G3045" s="22">
        <v>0</v>
      </c>
      <c r="H3045">
        <v>0</v>
      </c>
      <c r="I3045" s="19" t="e">
        <f>I3044 + (D3045-G3045)</f>
        <v>#VALUE!</v>
      </c>
      <c r="N3045">
        <v>24</v>
      </c>
      <c r="O3045" t="s">
        <v>68</v>
      </c>
      <c r="P3045">
        <v>1</v>
      </c>
      <c r="R3045">
        <v>1449</v>
      </c>
      <c r="S3045" s="17">
        <v>42145</v>
      </c>
      <c r="T3045" s="17">
        <v>42145</v>
      </c>
      <c r="W3045">
        <v>2015</v>
      </c>
      <c r="X3045">
        <v>24</v>
      </c>
      <c r="AA3045">
        <v>270609</v>
      </c>
      <c r="AC3045" t="s">
        <v>51</v>
      </c>
      <c r="AD3045" t="s">
        <v>302</v>
      </c>
      <c r="AE3045" t="s">
        <v>46</v>
      </c>
      <c r="AG3045">
        <v>56</v>
      </c>
      <c r="AH3045">
        <v>8</v>
      </c>
      <c r="AI3045" t="s">
        <v>52</v>
      </c>
      <c r="AM3045">
        <v>0</v>
      </c>
      <c r="AP3045" t="s">
        <v>59</v>
      </c>
    </row>
    <row r="3046" spans="1:42" customFormat="1">
      <c r="A3046">
        <v>270965</v>
      </c>
      <c r="B3046" t="s">
        <v>219</v>
      </c>
      <c r="C3046" t="s">
        <v>219</v>
      </c>
      <c r="D3046" s="22">
        <v>75000</v>
      </c>
      <c r="E3046" s="17">
        <v>42137</v>
      </c>
      <c r="F3046" s="18">
        <v>0.46748842592592593</v>
      </c>
      <c r="G3046" s="22">
        <v>0</v>
      </c>
      <c r="H3046">
        <v>0</v>
      </c>
      <c r="I3046" s="19" t="e">
        <f>I3045 + (D3046-G3046)</f>
        <v>#VALUE!</v>
      </c>
      <c r="N3046">
        <v>7</v>
      </c>
      <c r="O3046" t="s">
        <v>44</v>
      </c>
      <c r="P3046">
        <v>1</v>
      </c>
      <c r="R3046">
        <v>1449</v>
      </c>
      <c r="S3046" s="17">
        <v>42149</v>
      </c>
      <c r="T3046" s="17">
        <v>42149</v>
      </c>
      <c r="W3046">
        <v>2015</v>
      </c>
      <c r="X3046">
        <v>7</v>
      </c>
      <c r="AC3046" t="s">
        <v>51</v>
      </c>
      <c r="AD3046" t="s">
        <v>302</v>
      </c>
      <c r="AE3046" t="s">
        <v>46</v>
      </c>
      <c r="AG3046">
        <v>2</v>
      </c>
      <c r="AH3046">
        <v>8</v>
      </c>
      <c r="AI3046" t="s">
        <v>52</v>
      </c>
      <c r="AM3046">
        <v>0</v>
      </c>
      <c r="AP3046" t="s">
        <v>2544</v>
      </c>
    </row>
    <row r="3047" spans="1:42" customFormat="1">
      <c r="A3047">
        <v>270037</v>
      </c>
      <c r="B3047" t="s">
        <v>219</v>
      </c>
      <c r="C3047" t="s">
        <v>219</v>
      </c>
      <c r="D3047" s="22">
        <v>0</v>
      </c>
      <c r="E3047" s="17">
        <v>42137</v>
      </c>
      <c r="F3047" s="18">
        <v>0.62682870370370369</v>
      </c>
      <c r="G3047" s="22">
        <v>10000</v>
      </c>
      <c r="H3047">
        <v>0</v>
      </c>
      <c r="I3047" s="19" t="e">
        <f>I3046 + (D3047-G3047)</f>
        <v>#VALUE!</v>
      </c>
      <c r="N3047">
        <v>24</v>
      </c>
      <c r="O3047" t="s">
        <v>68</v>
      </c>
      <c r="P3047">
        <v>1</v>
      </c>
      <c r="R3047">
        <v>1449</v>
      </c>
      <c r="S3047" s="17">
        <v>42139</v>
      </c>
      <c r="T3047" s="17">
        <v>42139</v>
      </c>
      <c r="W3047">
        <v>2015</v>
      </c>
      <c r="X3047">
        <v>24</v>
      </c>
      <c r="AC3047" t="s">
        <v>51</v>
      </c>
      <c r="AD3047" t="s">
        <v>302</v>
      </c>
      <c r="AE3047" t="s">
        <v>46</v>
      </c>
      <c r="AG3047">
        <v>69</v>
      </c>
      <c r="AH3047">
        <v>8</v>
      </c>
      <c r="AI3047" t="s">
        <v>52</v>
      </c>
      <c r="AM3047">
        <v>0</v>
      </c>
      <c r="AO3047">
        <v>59</v>
      </c>
      <c r="AP3047" t="s">
        <v>339</v>
      </c>
    </row>
    <row r="3048" spans="1:42" customFormat="1">
      <c r="A3048">
        <v>270038</v>
      </c>
      <c r="B3048" t="s">
        <v>219</v>
      </c>
      <c r="C3048" t="s">
        <v>3065</v>
      </c>
      <c r="D3048" s="22">
        <v>10000</v>
      </c>
      <c r="E3048" s="17">
        <v>42137</v>
      </c>
      <c r="F3048" s="18">
        <v>0.62682870370370369</v>
      </c>
      <c r="G3048" s="22">
        <v>0</v>
      </c>
      <c r="H3048">
        <v>0</v>
      </c>
      <c r="I3048" s="19" t="e">
        <f>I3047 + (D3048-G3048)</f>
        <v>#VALUE!</v>
      </c>
      <c r="N3048">
        <v>24</v>
      </c>
      <c r="O3048" t="s">
        <v>68</v>
      </c>
      <c r="P3048">
        <v>1</v>
      </c>
      <c r="R3048">
        <v>1449</v>
      </c>
      <c r="S3048" s="17">
        <v>42139</v>
      </c>
      <c r="T3048" s="17">
        <v>42139</v>
      </c>
      <c r="W3048">
        <v>2015</v>
      </c>
      <c r="X3048">
        <v>24</v>
      </c>
      <c r="AA3048">
        <v>270037</v>
      </c>
      <c r="AC3048" t="s">
        <v>51</v>
      </c>
      <c r="AD3048" t="s">
        <v>302</v>
      </c>
      <c r="AE3048" t="s">
        <v>46</v>
      </c>
      <c r="AG3048">
        <v>59</v>
      </c>
      <c r="AH3048">
        <v>8</v>
      </c>
      <c r="AI3048" t="s">
        <v>52</v>
      </c>
      <c r="AM3048">
        <v>0</v>
      </c>
      <c r="AP3048" t="s">
        <v>341</v>
      </c>
    </row>
    <row r="3049" spans="1:42" customFormat="1">
      <c r="A3049">
        <v>270039</v>
      </c>
      <c r="B3049" t="s">
        <v>219</v>
      </c>
      <c r="C3049" t="s">
        <v>219</v>
      </c>
      <c r="D3049" s="22">
        <v>0</v>
      </c>
      <c r="E3049" s="17">
        <v>42137</v>
      </c>
      <c r="F3049" s="18">
        <v>0.62844907407407413</v>
      </c>
      <c r="G3049" s="22">
        <v>10000</v>
      </c>
      <c r="H3049">
        <v>0</v>
      </c>
      <c r="I3049" s="19" t="e">
        <f>I3048 + (D3049-G3049)</f>
        <v>#VALUE!</v>
      </c>
      <c r="N3049">
        <v>24</v>
      </c>
      <c r="O3049" t="s">
        <v>68</v>
      </c>
      <c r="P3049">
        <v>1</v>
      </c>
      <c r="R3049">
        <v>1449</v>
      </c>
      <c r="S3049" s="17">
        <v>42139</v>
      </c>
      <c r="T3049" s="17">
        <v>42139</v>
      </c>
      <c r="W3049">
        <v>2015</v>
      </c>
      <c r="X3049">
        <v>24</v>
      </c>
      <c r="AC3049" t="s">
        <v>51</v>
      </c>
      <c r="AD3049" t="s">
        <v>302</v>
      </c>
      <c r="AE3049" t="s">
        <v>46</v>
      </c>
      <c r="AG3049">
        <v>59</v>
      </c>
      <c r="AH3049">
        <v>8</v>
      </c>
      <c r="AI3049" t="s">
        <v>52</v>
      </c>
      <c r="AM3049">
        <v>0</v>
      </c>
      <c r="AO3049">
        <v>12</v>
      </c>
      <c r="AP3049" t="s">
        <v>341</v>
      </c>
    </row>
    <row r="3050" spans="1:42" customFormat="1">
      <c r="A3050">
        <v>270040</v>
      </c>
      <c r="B3050" t="s">
        <v>219</v>
      </c>
      <c r="C3050" t="s">
        <v>3066</v>
      </c>
      <c r="D3050" s="22">
        <v>10000</v>
      </c>
      <c r="E3050" s="17">
        <v>42137</v>
      </c>
      <c r="F3050" s="18">
        <v>0.62844907407407413</v>
      </c>
      <c r="G3050" s="22">
        <v>0</v>
      </c>
      <c r="H3050">
        <v>0</v>
      </c>
      <c r="I3050" s="19" t="e">
        <f>I3049 + (D3050-G3050)</f>
        <v>#VALUE!</v>
      </c>
      <c r="N3050">
        <v>24</v>
      </c>
      <c r="O3050" t="s">
        <v>68</v>
      </c>
      <c r="P3050">
        <v>1</v>
      </c>
      <c r="R3050">
        <v>1449</v>
      </c>
      <c r="S3050" s="17">
        <v>42139</v>
      </c>
      <c r="T3050" s="17">
        <v>42139</v>
      </c>
      <c r="W3050">
        <v>2015</v>
      </c>
      <c r="X3050">
        <v>24</v>
      </c>
      <c r="AA3050">
        <v>270039</v>
      </c>
      <c r="AC3050" t="s">
        <v>51</v>
      </c>
      <c r="AD3050" t="s">
        <v>302</v>
      </c>
      <c r="AE3050" t="s">
        <v>46</v>
      </c>
      <c r="AG3050">
        <v>12</v>
      </c>
      <c r="AH3050">
        <v>8</v>
      </c>
      <c r="AI3050" t="s">
        <v>52</v>
      </c>
      <c r="AM3050">
        <v>0</v>
      </c>
      <c r="AP3050" t="s">
        <v>392</v>
      </c>
    </row>
    <row r="3051" spans="1:42" customFormat="1">
      <c r="A3051">
        <v>271221</v>
      </c>
      <c r="B3051" t="s">
        <v>219</v>
      </c>
      <c r="C3051" t="s">
        <v>219</v>
      </c>
      <c r="D3051" s="22">
        <v>0</v>
      </c>
      <c r="E3051" s="17">
        <v>42137</v>
      </c>
      <c r="F3051" s="18">
        <v>0.6629976851851852</v>
      </c>
      <c r="G3051" s="22">
        <v>35000</v>
      </c>
      <c r="H3051">
        <v>0</v>
      </c>
      <c r="I3051" s="19" t="e">
        <f>I3050 + (D3051-G3051)</f>
        <v>#VALUE!</v>
      </c>
      <c r="N3051">
        <v>24</v>
      </c>
      <c r="O3051" t="s">
        <v>68</v>
      </c>
      <c r="P3051">
        <v>1</v>
      </c>
      <c r="R3051">
        <v>1449</v>
      </c>
      <c r="S3051" s="17">
        <v>42150</v>
      </c>
      <c r="T3051" s="17">
        <v>42150</v>
      </c>
      <c r="W3051">
        <v>2015</v>
      </c>
      <c r="X3051">
        <v>24</v>
      </c>
      <c r="AC3051" t="s">
        <v>51</v>
      </c>
      <c r="AD3051" t="s">
        <v>302</v>
      </c>
      <c r="AE3051" t="s">
        <v>46</v>
      </c>
      <c r="AG3051">
        <v>3</v>
      </c>
      <c r="AH3051">
        <v>8</v>
      </c>
      <c r="AI3051" t="s">
        <v>52</v>
      </c>
      <c r="AM3051">
        <v>0</v>
      </c>
      <c r="AO3051">
        <v>52</v>
      </c>
      <c r="AP3051" t="s">
        <v>80</v>
      </c>
    </row>
    <row r="3052" spans="1:42" customFormat="1">
      <c r="A3052">
        <v>271222</v>
      </c>
      <c r="B3052" t="s">
        <v>219</v>
      </c>
      <c r="C3052" t="s">
        <v>3090</v>
      </c>
      <c r="D3052" s="22">
        <v>35000</v>
      </c>
      <c r="E3052" s="17">
        <v>42137</v>
      </c>
      <c r="F3052" s="18">
        <v>0.6629976851851852</v>
      </c>
      <c r="G3052" s="22">
        <v>0</v>
      </c>
      <c r="H3052">
        <v>0</v>
      </c>
      <c r="I3052" s="19" t="e">
        <f>I3051 + (D3052-G3052)</f>
        <v>#VALUE!</v>
      </c>
      <c r="N3052">
        <v>24</v>
      </c>
      <c r="O3052" t="s">
        <v>68</v>
      </c>
      <c r="P3052">
        <v>1</v>
      </c>
      <c r="R3052">
        <v>1449</v>
      </c>
      <c r="S3052" s="17">
        <v>42150</v>
      </c>
      <c r="T3052" s="17">
        <v>42150</v>
      </c>
      <c r="W3052">
        <v>2015</v>
      </c>
      <c r="X3052">
        <v>24</v>
      </c>
      <c r="AA3052">
        <v>271221</v>
      </c>
      <c r="AC3052" t="s">
        <v>51</v>
      </c>
      <c r="AD3052" t="s">
        <v>302</v>
      </c>
      <c r="AE3052" t="s">
        <v>46</v>
      </c>
      <c r="AG3052">
        <v>52</v>
      </c>
      <c r="AH3052">
        <v>8</v>
      </c>
      <c r="AI3052" t="s">
        <v>52</v>
      </c>
      <c r="AM3052">
        <v>0</v>
      </c>
      <c r="AP3052" t="s">
        <v>325</v>
      </c>
    </row>
    <row r="3053" spans="1:42" customFormat="1">
      <c r="A3053">
        <v>271223</v>
      </c>
      <c r="B3053" t="s">
        <v>219</v>
      </c>
      <c r="C3053" t="s">
        <v>219</v>
      </c>
      <c r="D3053" s="22">
        <v>0</v>
      </c>
      <c r="E3053" s="17">
        <v>42137</v>
      </c>
      <c r="F3053" s="18">
        <v>0.6640625</v>
      </c>
      <c r="G3053" s="22">
        <v>45000</v>
      </c>
      <c r="H3053">
        <v>0</v>
      </c>
      <c r="I3053" s="19" t="e">
        <f>I3052 + (D3053-G3053)</f>
        <v>#VALUE!</v>
      </c>
      <c r="N3053">
        <v>24</v>
      </c>
      <c r="O3053" t="s">
        <v>68</v>
      </c>
      <c r="P3053">
        <v>1</v>
      </c>
      <c r="R3053">
        <v>1449</v>
      </c>
      <c r="S3053" s="17">
        <v>42150</v>
      </c>
      <c r="T3053" s="17">
        <v>42150</v>
      </c>
      <c r="W3053">
        <v>2015</v>
      </c>
      <c r="X3053">
        <v>24</v>
      </c>
      <c r="AC3053" t="s">
        <v>51</v>
      </c>
      <c r="AD3053" t="s">
        <v>302</v>
      </c>
      <c r="AE3053" t="s">
        <v>46</v>
      </c>
      <c r="AG3053">
        <v>3</v>
      </c>
      <c r="AH3053">
        <v>8</v>
      </c>
      <c r="AI3053" t="s">
        <v>52</v>
      </c>
      <c r="AM3053">
        <v>0</v>
      </c>
      <c r="AO3053">
        <v>52</v>
      </c>
      <c r="AP3053" t="s">
        <v>80</v>
      </c>
    </row>
    <row r="3054" spans="1:42" customFormat="1">
      <c r="A3054">
        <v>271224</v>
      </c>
      <c r="B3054" t="s">
        <v>219</v>
      </c>
      <c r="C3054" t="s">
        <v>3093</v>
      </c>
      <c r="D3054" s="22">
        <v>45000</v>
      </c>
      <c r="E3054" s="17">
        <v>42137</v>
      </c>
      <c r="F3054" s="18">
        <v>0.6640625</v>
      </c>
      <c r="G3054" s="22">
        <v>0</v>
      </c>
      <c r="H3054">
        <v>0</v>
      </c>
      <c r="I3054" s="19" t="e">
        <f>I3053 + (D3054-G3054)</f>
        <v>#VALUE!</v>
      </c>
      <c r="N3054">
        <v>24</v>
      </c>
      <c r="O3054" t="s">
        <v>68</v>
      </c>
      <c r="P3054">
        <v>1</v>
      </c>
      <c r="R3054">
        <v>1449</v>
      </c>
      <c r="S3054" s="17">
        <v>42150</v>
      </c>
      <c r="T3054" s="17">
        <v>42150</v>
      </c>
      <c r="W3054">
        <v>2015</v>
      </c>
      <c r="X3054">
        <v>24</v>
      </c>
      <c r="AA3054">
        <v>271223</v>
      </c>
      <c r="AC3054" t="s">
        <v>51</v>
      </c>
      <c r="AD3054" t="s">
        <v>302</v>
      </c>
      <c r="AE3054" t="s">
        <v>46</v>
      </c>
      <c r="AG3054">
        <v>52</v>
      </c>
      <c r="AH3054">
        <v>8</v>
      </c>
      <c r="AI3054" t="s">
        <v>52</v>
      </c>
      <c r="AM3054">
        <v>0</v>
      </c>
      <c r="AP3054" t="s">
        <v>325</v>
      </c>
    </row>
    <row r="3055" spans="1:42" customFormat="1">
      <c r="A3055">
        <v>271225</v>
      </c>
      <c r="B3055" t="s">
        <v>219</v>
      </c>
      <c r="C3055" t="s">
        <v>219</v>
      </c>
      <c r="D3055" s="22">
        <v>0</v>
      </c>
      <c r="E3055" s="17">
        <v>42137</v>
      </c>
      <c r="F3055" s="18">
        <v>0.66439814814814813</v>
      </c>
      <c r="G3055" s="22">
        <v>38000</v>
      </c>
      <c r="H3055">
        <v>0</v>
      </c>
      <c r="I3055" s="19" t="e">
        <f>I3054 + (D3055-G3055)</f>
        <v>#VALUE!</v>
      </c>
      <c r="N3055">
        <v>24</v>
      </c>
      <c r="O3055" t="s">
        <v>68</v>
      </c>
      <c r="P3055">
        <v>1</v>
      </c>
      <c r="R3055">
        <v>1449</v>
      </c>
      <c r="S3055" s="17">
        <v>42150</v>
      </c>
      <c r="T3055" s="17">
        <v>42150</v>
      </c>
      <c r="W3055">
        <v>2015</v>
      </c>
      <c r="X3055">
        <v>24</v>
      </c>
      <c r="AC3055" t="s">
        <v>51</v>
      </c>
      <c r="AD3055" t="s">
        <v>302</v>
      </c>
      <c r="AE3055" t="s">
        <v>46</v>
      </c>
      <c r="AG3055">
        <v>3</v>
      </c>
      <c r="AH3055">
        <v>8</v>
      </c>
      <c r="AI3055" t="s">
        <v>52</v>
      </c>
      <c r="AM3055">
        <v>0</v>
      </c>
      <c r="AO3055">
        <v>52</v>
      </c>
      <c r="AP3055" t="s">
        <v>80</v>
      </c>
    </row>
    <row r="3056" spans="1:42" customFormat="1">
      <c r="A3056">
        <v>271226</v>
      </c>
      <c r="B3056" t="s">
        <v>219</v>
      </c>
      <c r="C3056" t="s">
        <v>3094</v>
      </c>
      <c r="D3056" s="22">
        <v>38000</v>
      </c>
      <c r="E3056" s="17">
        <v>42137</v>
      </c>
      <c r="F3056" s="18">
        <v>0.66439814814814813</v>
      </c>
      <c r="G3056" s="22">
        <v>0</v>
      </c>
      <c r="H3056">
        <v>0</v>
      </c>
      <c r="I3056" s="19" t="e">
        <f>I3055 + (D3056-G3056)</f>
        <v>#VALUE!</v>
      </c>
      <c r="N3056">
        <v>24</v>
      </c>
      <c r="O3056" t="s">
        <v>68</v>
      </c>
      <c r="P3056">
        <v>1</v>
      </c>
      <c r="R3056">
        <v>1449</v>
      </c>
      <c r="S3056" s="17">
        <v>42150</v>
      </c>
      <c r="T3056" s="17">
        <v>42150</v>
      </c>
      <c r="W3056">
        <v>2015</v>
      </c>
      <c r="X3056">
        <v>24</v>
      </c>
      <c r="AA3056">
        <v>271225</v>
      </c>
      <c r="AC3056" t="s">
        <v>51</v>
      </c>
      <c r="AD3056" t="s">
        <v>302</v>
      </c>
      <c r="AE3056" t="s">
        <v>46</v>
      </c>
      <c r="AG3056">
        <v>52</v>
      </c>
      <c r="AH3056">
        <v>8</v>
      </c>
      <c r="AI3056" t="s">
        <v>52</v>
      </c>
      <c r="AM3056">
        <v>0</v>
      </c>
      <c r="AP3056" t="s">
        <v>325</v>
      </c>
    </row>
    <row r="3057" spans="1:42" customFormat="1">
      <c r="A3057">
        <v>271227</v>
      </c>
      <c r="B3057" t="s">
        <v>219</v>
      </c>
      <c r="C3057" t="s">
        <v>219</v>
      </c>
      <c r="D3057" s="22">
        <v>0</v>
      </c>
      <c r="E3057" s="17">
        <v>42137</v>
      </c>
      <c r="F3057" s="18">
        <v>0.66471064814814818</v>
      </c>
      <c r="G3057" s="22">
        <v>20000</v>
      </c>
      <c r="H3057">
        <v>0</v>
      </c>
      <c r="I3057" s="19" t="e">
        <f>I3056 + (D3057-G3057)</f>
        <v>#VALUE!</v>
      </c>
      <c r="N3057">
        <v>24</v>
      </c>
      <c r="O3057" t="s">
        <v>68</v>
      </c>
      <c r="P3057">
        <v>1</v>
      </c>
      <c r="R3057">
        <v>1449</v>
      </c>
      <c r="S3057" s="17">
        <v>42150</v>
      </c>
      <c r="T3057" s="17">
        <v>42150</v>
      </c>
      <c r="W3057">
        <v>2015</v>
      </c>
      <c r="X3057">
        <v>24</v>
      </c>
      <c r="AC3057" t="s">
        <v>51</v>
      </c>
      <c r="AD3057" t="s">
        <v>302</v>
      </c>
      <c r="AE3057" t="s">
        <v>46</v>
      </c>
      <c r="AG3057">
        <v>3</v>
      </c>
      <c r="AH3057">
        <v>8</v>
      </c>
      <c r="AI3057" t="s">
        <v>52</v>
      </c>
      <c r="AM3057">
        <v>0</v>
      </c>
      <c r="AO3057">
        <v>52</v>
      </c>
      <c r="AP3057" t="s">
        <v>80</v>
      </c>
    </row>
    <row r="3058" spans="1:42" customFormat="1">
      <c r="A3058">
        <v>271228</v>
      </c>
      <c r="B3058" t="s">
        <v>219</v>
      </c>
      <c r="C3058" t="s">
        <v>3095</v>
      </c>
      <c r="D3058" s="22">
        <v>20000</v>
      </c>
      <c r="E3058" s="17">
        <v>42137</v>
      </c>
      <c r="F3058" s="18">
        <v>0.66471064814814818</v>
      </c>
      <c r="G3058" s="22">
        <v>0</v>
      </c>
      <c r="H3058">
        <v>0</v>
      </c>
      <c r="I3058" s="19" t="e">
        <f>I3057 + (D3058-G3058)</f>
        <v>#VALUE!</v>
      </c>
      <c r="N3058">
        <v>24</v>
      </c>
      <c r="O3058" t="s">
        <v>68</v>
      </c>
      <c r="P3058">
        <v>1</v>
      </c>
      <c r="R3058">
        <v>1449</v>
      </c>
      <c r="S3058" s="17">
        <v>42150</v>
      </c>
      <c r="T3058" s="17">
        <v>42150</v>
      </c>
      <c r="W3058">
        <v>2015</v>
      </c>
      <c r="X3058">
        <v>24</v>
      </c>
      <c r="AA3058">
        <v>271227</v>
      </c>
      <c r="AC3058" t="s">
        <v>51</v>
      </c>
      <c r="AD3058" t="s">
        <v>302</v>
      </c>
      <c r="AE3058" t="s">
        <v>46</v>
      </c>
      <c r="AG3058">
        <v>52</v>
      </c>
      <c r="AH3058">
        <v>8</v>
      </c>
      <c r="AI3058" t="s">
        <v>52</v>
      </c>
      <c r="AM3058">
        <v>0</v>
      </c>
      <c r="AP3058" t="s">
        <v>325</v>
      </c>
    </row>
    <row r="3059" spans="1:42" customFormat="1">
      <c r="A3059">
        <v>271229</v>
      </c>
      <c r="B3059" t="s">
        <v>219</v>
      </c>
      <c r="C3059" t="s">
        <v>219</v>
      </c>
      <c r="D3059" s="22">
        <v>0</v>
      </c>
      <c r="E3059" s="17">
        <v>42137</v>
      </c>
      <c r="F3059" s="18">
        <v>0.66500000000000004</v>
      </c>
      <c r="G3059" s="22">
        <v>32000</v>
      </c>
      <c r="H3059">
        <v>0</v>
      </c>
      <c r="I3059" s="19" t="e">
        <f>I3058 + (D3059-G3059)</f>
        <v>#VALUE!</v>
      </c>
      <c r="N3059">
        <v>24</v>
      </c>
      <c r="O3059" t="s">
        <v>68</v>
      </c>
      <c r="P3059">
        <v>1</v>
      </c>
      <c r="R3059">
        <v>1449</v>
      </c>
      <c r="S3059" s="17">
        <v>42150</v>
      </c>
      <c r="T3059" s="17">
        <v>42150</v>
      </c>
      <c r="W3059">
        <v>2015</v>
      </c>
      <c r="X3059">
        <v>24</v>
      </c>
      <c r="AC3059" t="s">
        <v>51</v>
      </c>
      <c r="AD3059" t="s">
        <v>302</v>
      </c>
      <c r="AE3059" t="s">
        <v>46</v>
      </c>
      <c r="AG3059">
        <v>3</v>
      </c>
      <c r="AH3059">
        <v>8</v>
      </c>
      <c r="AI3059" t="s">
        <v>52</v>
      </c>
      <c r="AM3059">
        <v>0</v>
      </c>
      <c r="AO3059">
        <v>52</v>
      </c>
      <c r="AP3059" t="s">
        <v>80</v>
      </c>
    </row>
    <row r="3060" spans="1:42" customFormat="1">
      <c r="A3060">
        <v>271230</v>
      </c>
      <c r="B3060" t="s">
        <v>219</v>
      </c>
      <c r="C3060" t="s">
        <v>3096</v>
      </c>
      <c r="D3060" s="22">
        <v>32000</v>
      </c>
      <c r="E3060" s="17">
        <v>42137</v>
      </c>
      <c r="F3060" s="18">
        <v>0.66500000000000004</v>
      </c>
      <c r="G3060" s="22">
        <v>0</v>
      </c>
      <c r="H3060">
        <v>0</v>
      </c>
      <c r="I3060" s="19" t="e">
        <f>I3059 + (D3060-G3060)</f>
        <v>#VALUE!</v>
      </c>
      <c r="N3060">
        <v>24</v>
      </c>
      <c r="O3060" t="s">
        <v>68</v>
      </c>
      <c r="P3060">
        <v>1</v>
      </c>
      <c r="R3060">
        <v>1449</v>
      </c>
      <c r="S3060" s="17">
        <v>42150</v>
      </c>
      <c r="T3060" s="17">
        <v>42150</v>
      </c>
      <c r="W3060">
        <v>2015</v>
      </c>
      <c r="X3060">
        <v>24</v>
      </c>
      <c r="AA3060">
        <v>271229</v>
      </c>
      <c r="AC3060" t="s">
        <v>51</v>
      </c>
      <c r="AD3060" t="s">
        <v>302</v>
      </c>
      <c r="AE3060" t="s">
        <v>46</v>
      </c>
      <c r="AG3060">
        <v>52</v>
      </c>
      <c r="AH3060">
        <v>8</v>
      </c>
      <c r="AI3060" t="s">
        <v>52</v>
      </c>
      <c r="AM3060">
        <v>0</v>
      </c>
      <c r="AP3060" t="s">
        <v>325</v>
      </c>
    </row>
    <row r="3061" spans="1:42" customFormat="1">
      <c r="A3061">
        <v>271231</v>
      </c>
      <c r="B3061" t="s">
        <v>219</v>
      </c>
      <c r="C3061" t="s">
        <v>219</v>
      </c>
      <c r="D3061" s="22">
        <v>0</v>
      </c>
      <c r="E3061" s="17">
        <v>42137</v>
      </c>
      <c r="F3061" s="18">
        <v>0.66527777777777775</v>
      </c>
      <c r="G3061" s="22">
        <v>30000</v>
      </c>
      <c r="H3061">
        <v>0</v>
      </c>
      <c r="I3061" s="19" t="e">
        <f>I3060 + (D3061-G3061)</f>
        <v>#VALUE!</v>
      </c>
      <c r="N3061">
        <v>24</v>
      </c>
      <c r="O3061" t="s">
        <v>68</v>
      </c>
      <c r="P3061">
        <v>1</v>
      </c>
      <c r="R3061">
        <v>1449</v>
      </c>
      <c r="S3061" s="17">
        <v>42150</v>
      </c>
      <c r="T3061" s="17">
        <v>42150</v>
      </c>
      <c r="W3061">
        <v>2015</v>
      </c>
      <c r="X3061">
        <v>24</v>
      </c>
      <c r="AC3061" t="s">
        <v>51</v>
      </c>
      <c r="AD3061" t="s">
        <v>302</v>
      </c>
      <c r="AE3061" t="s">
        <v>46</v>
      </c>
      <c r="AG3061">
        <v>3</v>
      </c>
      <c r="AH3061">
        <v>8</v>
      </c>
      <c r="AI3061" t="s">
        <v>52</v>
      </c>
      <c r="AM3061">
        <v>0</v>
      </c>
      <c r="AO3061">
        <v>52</v>
      </c>
      <c r="AP3061" t="s">
        <v>80</v>
      </c>
    </row>
    <row r="3062" spans="1:42" customFormat="1">
      <c r="A3062">
        <v>271232</v>
      </c>
      <c r="B3062" t="s">
        <v>219</v>
      </c>
      <c r="C3062" t="s">
        <v>3097</v>
      </c>
      <c r="D3062" s="22">
        <v>30000</v>
      </c>
      <c r="E3062" s="17">
        <v>42137</v>
      </c>
      <c r="F3062" s="18">
        <v>0.66527777777777775</v>
      </c>
      <c r="G3062" s="22">
        <v>0</v>
      </c>
      <c r="H3062">
        <v>0</v>
      </c>
      <c r="I3062" s="19" t="e">
        <f>I3061 + (D3062-G3062)</f>
        <v>#VALUE!</v>
      </c>
      <c r="N3062">
        <v>24</v>
      </c>
      <c r="O3062" t="s">
        <v>68</v>
      </c>
      <c r="P3062">
        <v>1</v>
      </c>
      <c r="R3062">
        <v>1449</v>
      </c>
      <c r="S3062" s="17">
        <v>42150</v>
      </c>
      <c r="T3062" s="17">
        <v>42150</v>
      </c>
      <c r="W3062">
        <v>2015</v>
      </c>
      <c r="X3062">
        <v>24</v>
      </c>
      <c r="AA3062">
        <v>271231</v>
      </c>
      <c r="AC3062" t="s">
        <v>51</v>
      </c>
      <c r="AD3062" t="s">
        <v>302</v>
      </c>
      <c r="AE3062" t="s">
        <v>46</v>
      </c>
      <c r="AG3062">
        <v>52</v>
      </c>
      <c r="AH3062">
        <v>8</v>
      </c>
      <c r="AI3062" t="s">
        <v>52</v>
      </c>
      <c r="AM3062">
        <v>0</v>
      </c>
      <c r="AP3062" t="s">
        <v>325</v>
      </c>
    </row>
    <row r="3063" spans="1:42" customFormat="1">
      <c r="A3063">
        <v>271233</v>
      </c>
      <c r="B3063" t="s">
        <v>219</v>
      </c>
      <c r="C3063" t="s">
        <v>219</v>
      </c>
      <c r="D3063" s="22">
        <v>0</v>
      </c>
      <c r="E3063" s="17">
        <v>42137</v>
      </c>
      <c r="F3063" s="18">
        <v>0.66557870370370364</v>
      </c>
      <c r="G3063" s="22">
        <v>11700</v>
      </c>
      <c r="H3063">
        <v>0</v>
      </c>
      <c r="I3063" s="19" t="e">
        <f>I3062 + (D3063-G3063)</f>
        <v>#VALUE!</v>
      </c>
      <c r="N3063">
        <v>24</v>
      </c>
      <c r="O3063" t="s">
        <v>68</v>
      </c>
      <c r="P3063">
        <v>1</v>
      </c>
      <c r="R3063">
        <v>1449</v>
      </c>
      <c r="S3063" s="17">
        <v>42150</v>
      </c>
      <c r="T3063" s="17">
        <v>42150</v>
      </c>
      <c r="W3063">
        <v>2015</v>
      </c>
      <c r="X3063">
        <v>24</v>
      </c>
      <c r="AC3063" t="s">
        <v>51</v>
      </c>
      <c r="AD3063" t="s">
        <v>302</v>
      </c>
      <c r="AE3063" t="s">
        <v>46</v>
      </c>
      <c r="AG3063">
        <v>3</v>
      </c>
      <c r="AH3063">
        <v>8</v>
      </c>
      <c r="AI3063" t="s">
        <v>52</v>
      </c>
      <c r="AM3063">
        <v>0</v>
      </c>
      <c r="AO3063">
        <v>52</v>
      </c>
      <c r="AP3063" t="s">
        <v>80</v>
      </c>
    </row>
    <row r="3064" spans="1:42" customFormat="1">
      <c r="A3064">
        <v>271234</v>
      </c>
      <c r="B3064" t="s">
        <v>219</v>
      </c>
      <c r="C3064" t="s">
        <v>3098</v>
      </c>
      <c r="D3064" s="22">
        <v>11700</v>
      </c>
      <c r="E3064" s="17">
        <v>42137</v>
      </c>
      <c r="F3064" s="18">
        <v>0.66557870370370364</v>
      </c>
      <c r="G3064" s="22">
        <v>0</v>
      </c>
      <c r="H3064">
        <v>0</v>
      </c>
      <c r="I3064" s="19" t="e">
        <f>I3063 + (D3064-G3064)</f>
        <v>#VALUE!</v>
      </c>
      <c r="N3064">
        <v>24</v>
      </c>
      <c r="O3064" t="s">
        <v>68</v>
      </c>
      <c r="P3064">
        <v>1</v>
      </c>
      <c r="R3064">
        <v>1449</v>
      </c>
      <c r="S3064" s="17">
        <v>42150</v>
      </c>
      <c r="T3064" s="17">
        <v>42150</v>
      </c>
      <c r="W3064">
        <v>2015</v>
      </c>
      <c r="X3064">
        <v>24</v>
      </c>
      <c r="AA3064">
        <v>271233</v>
      </c>
      <c r="AC3064" t="s">
        <v>51</v>
      </c>
      <c r="AD3064" t="s">
        <v>302</v>
      </c>
      <c r="AE3064" t="s">
        <v>46</v>
      </c>
      <c r="AG3064">
        <v>52</v>
      </c>
      <c r="AH3064">
        <v>8</v>
      </c>
      <c r="AI3064" t="s">
        <v>52</v>
      </c>
      <c r="AM3064">
        <v>0</v>
      </c>
      <c r="AP3064" t="s">
        <v>325</v>
      </c>
    </row>
    <row r="3065" spans="1:42" customFormat="1">
      <c r="A3065">
        <v>270222</v>
      </c>
      <c r="B3065" t="s">
        <v>219</v>
      </c>
      <c r="C3065" t="s">
        <v>219</v>
      </c>
      <c r="D3065" s="22">
        <v>0</v>
      </c>
      <c r="E3065" s="17">
        <v>42137</v>
      </c>
      <c r="F3065" s="18">
        <v>0.67068287037037033</v>
      </c>
      <c r="G3065" s="22">
        <v>29000</v>
      </c>
      <c r="H3065">
        <v>0</v>
      </c>
      <c r="I3065" s="19" t="e">
        <f>I3064 + (D3065-G3065)</f>
        <v>#VALUE!</v>
      </c>
      <c r="N3065">
        <v>24</v>
      </c>
      <c r="O3065" t="s">
        <v>68</v>
      </c>
      <c r="P3065">
        <v>1</v>
      </c>
      <c r="R3065">
        <v>1449</v>
      </c>
      <c r="S3065" s="17">
        <v>42142</v>
      </c>
      <c r="T3065" s="17">
        <v>42142</v>
      </c>
      <c r="W3065">
        <v>2015</v>
      </c>
      <c r="X3065">
        <v>24</v>
      </c>
      <c r="AC3065" t="s">
        <v>51</v>
      </c>
      <c r="AD3065" t="s">
        <v>302</v>
      </c>
      <c r="AE3065" t="s">
        <v>46</v>
      </c>
      <c r="AG3065">
        <v>4</v>
      </c>
      <c r="AH3065">
        <v>8</v>
      </c>
      <c r="AI3065" t="s">
        <v>52</v>
      </c>
      <c r="AM3065">
        <v>0</v>
      </c>
      <c r="AO3065">
        <v>12</v>
      </c>
      <c r="AP3065" t="s">
        <v>389</v>
      </c>
    </row>
    <row r="3066" spans="1:42" customFormat="1">
      <c r="A3066">
        <v>270223</v>
      </c>
      <c r="B3066" t="s">
        <v>219</v>
      </c>
      <c r="C3066" t="s">
        <v>3101</v>
      </c>
      <c r="D3066" s="22">
        <v>29000</v>
      </c>
      <c r="E3066" s="17">
        <v>42137</v>
      </c>
      <c r="F3066" s="18">
        <v>0.67068287037037033</v>
      </c>
      <c r="G3066" s="22">
        <v>0</v>
      </c>
      <c r="H3066">
        <v>0</v>
      </c>
      <c r="I3066" s="19" t="e">
        <f>I3065 + (D3066-G3066)</f>
        <v>#VALUE!</v>
      </c>
      <c r="N3066">
        <v>24</v>
      </c>
      <c r="O3066" t="s">
        <v>68</v>
      </c>
      <c r="P3066">
        <v>1</v>
      </c>
      <c r="R3066">
        <v>1449</v>
      </c>
      <c r="S3066" s="17">
        <v>42142</v>
      </c>
      <c r="T3066" s="17">
        <v>42142</v>
      </c>
      <c r="W3066">
        <v>2015</v>
      </c>
      <c r="X3066">
        <v>24</v>
      </c>
      <c r="AA3066">
        <v>270222</v>
      </c>
      <c r="AC3066" t="s">
        <v>51</v>
      </c>
      <c r="AD3066" t="s">
        <v>302</v>
      </c>
      <c r="AE3066" t="s">
        <v>46</v>
      </c>
      <c r="AG3066">
        <v>12</v>
      </c>
      <c r="AH3066">
        <v>8</v>
      </c>
      <c r="AI3066" t="s">
        <v>52</v>
      </c>
      <c r="AM3066">
        <v>0</v>
      </c>
      <c r="AP3066" t="s">
        <v>392</v>
      </c>
    </row>
    <row r="3067" spans="1:42" customFormat="1">
      <c r="A3067">
        <v>270224</v>
      </c>
      <c r="B3067" t="s">
        <v>219</v>
      </c>
      <c r="C3067" t="s">
        <v>219</v>
      </c>
      <c r="D3067" s="22">
        <v>0</v>
      </c>
      <c r="E3067" s="17">
        <v>42137</v>
      </c>
      <c r="F3067" s="18">
        <v>0.67096064814814815</v>
      </c>
      <c r="G3067" s="22">
        <v>75000</v>
      </c>
      <c r="H3067">
        <v>0</v>
      </c>
      <c r="I3067" s="19" t="e">
        <f>I3066 + (D3067-G3067)</f>
        <v>#VALUE!</v>
      </c>
      <c r="N3067">
        <v>24</v>
      </c>
      <c r="O3067" t="s">
        <v>68</v>
      </c>
      <c r="P3067">
        <v>1</v>
      </c>
      <c r="R3067">
        <v>1449</v>
      </c>
      <c r="S3067" s="17">
        <v>42142</v>
      </c>
      <c r="T3067" s="17">
        <v>42142</v>
      </c>
      <c r="W3067">
        <v>2015</v>
      </c>
      <c r="X3067">
        <v>24</v>
      </c>
      <c r="AC3067" t="s">
        <v>51</v>
      </c>
      <c r="AD3067" t="s">
        <v>302</v>
      </c>
      <c r="AE3067" t="s">
        <v>46</v>
      </c>
      <c r="AG3067">
        <v>2</v>
      </c>
      <c r="AH3067">
        <v>8</v>
      </c>
      <c r="AI3067" t="s">
        <v>52</v>
      </c>
      <c r="AM3067">
        <v>0</v>
      </c>
      <c r="AO3067">
        <v>12</v>
      </c>
      <c r="AP3067" t="s">
        <v>2544</v>
      </c>
    </row>
    <row r="3068" spans="1:42" customFormat="1">
      <c r="A3068">
        <v>270225</v>
      </c>
      <c r="B3068" t="s">
        <v>219</v>
      </c>
      <c r="C3068" t="s">
        <v>3106</v>
      </c>
      <c r="D3068" s="22">
        <v>75000</v>
      </c>
      <c r="E3068" s="17">
        <v>42137</v>
      </c>
      <c r="F3068" s="18">
        <v>0.67096064814814815</v>
      </c>
      <c r="G3068" s="22">
        <v>0</v>
      </c>
      <c r="H3068">
        <v>0</v>
      </c>
      <c r="I3068" s="19" t="e">
        <f>I3067 + (D3068-G3068)</f>
        <v>#VALUE!</v>
      </c>
      <c r="N3068">
        <v>24</v>
      </c>
      <c r="O3068" t="s">
        <v>68</v>
      </c>
      <c r="P3068">
        <v>1</v>
      </c>
      <c r="R3068">
        <v>1449</v>
      </c>
      <c r="S3068" s="17">
        <v>42142</v>
      </c>
      <c r="T3068" s="17">
        <v>42142</v>
      </c>
      <c r="W3068">
        <v>2015</v>
      </c>
      <c r="X3068">
        <v>24</v>
      </c>
      <c r="AA3068">
        <v>270224</v>
      </c>
      <c r="AC3068" t="s">
        <v>51</v>
      </c>
      <c r="AD3068" t="s">
        <v>302</v>
      </c>
      <c r="AE3068" t="s">
        <v>46</v>
      </c>
      <c r="AG3068">
        <v>12</v>
      </c>
      <c r="AH3068">
        <v>8</v>
      </c>
      <c r="AI3068" t="s">
        <v>52</v>
      </c>
      <c r="AM3068">
        <v>0</v>
      </c>
      <c r="AP3068" t="s">
        <v>392</v>
      </c>
    </row>
    <row r="3069" spans="1:42" customFormat="1">
      <c r="A3069">
        <v>270226</v>
      </c>
      <c r="B3069" t="s">
        <v>219</v>
      </c>
      <c r="C3069" t="s">
        <v>219</v>
      </c>
      <c r="D3069" s="22">
        <v>0</v>
      </c>
      <c r="E3069" s="17">
        <v>42137</v>
      </c>
      <c r="F3069" s="18">
        <v>0.67137731481481477</v>
      </c>
      <c r="G3069" s="22">
        <v>52000</v>
      </c>
      <c r="H3069">
        <v>0</v>
      </c>
      <c r="I3069" s="19" t="e">
        <f>I3068 + (D3069-G3069)</f>
        <v>#VALUE!</v>
      </c>
      <c r="N3069">
        <v>24</v>
      </c>
      <c r="O3069" t="s">
        <v>68</v>
      </c>
      <c r="P3069">
        <v>1</v>
      </c>
      <c r="R3069">
        <v>1449</v>
      </c>
      <c r="S3069" s="17">
        <v>42142</v>
      </c>
      <c r="T3069" s="17">
        <v>42142</v>
      </c>
      <c r="W3069">
        <v>2015</v>
      </c>
      <c r="X3069">
        <v>24</v>
      </c>
      <c r="AC3069" t="s">
        <v>51</v>
      </c>
      <c r="AD3069" t="s">
        <v>302</v>
      </c>
      <c r="AE3069" t="s">
        <v>46</v>
      </c>
      <c r="AG3069">
        <v>4</v>
      </c>
      <c r="AH3069">
        <v>8</v>
      </c>
      <c r="AI3069" t="s">
        <v>52</v>
      </c>
      <c r="AM3069">
        <v>0</v>
      </c>
      <c r="AO3069">
        <v>8</v>
      </c>
      <c r="AP3069" t="s">
        <v>389</v>
      </c>
    </row>
    <row r="3070" spans="1:42" customFormat="1">
      <c r="A3070">
        <v>270227</v>
      </c>
      <c r="B3070" t="s">
        <v>219</v>
      </c>
      <c r="C3070" t="s">
        <v>3109</v>
      </c>
      <c r="D3070" s="22">
        <v>52000</v>
      </c>
      <c r="E3070" s="17">
        <v>42137</v>
      </c>
      <c r="F3070" s="18">
        <v>0.67137731481481477</v>
      </c>
      <c r="G3070" s="22">
        <v>0</v>
      </c>
      <c r="H3070">
        <v>0</v>
      </c>
      <c r="I3070" s="19" t="e">
        <f>I3069 + (D3070-G3070)</f>
        <v>#VALUE!</v>
      </c>
      <c r="N3070">
        <v>24</v>
      </c>
      <c r="O3070" t="s">
        <v>68</v>
      </c>
      <c r="P3070">
        <v>1</v>
      </c>
      <c r="R3070">
        <v>1449</v>
      </c>
      <c r="S3070" s="17">
        <v>42142</v>
      </c>
      <c r="T3070" s="17">
        <v>42142</v>
      </c>
      <c r="W3070">
        <v>2015</v>
      </c>
      <c r="X3070">
        <v>24</v>
      </c>
      <c r="AA3070">
        <v>270226</v>
      </c>
      <c r="AC3070" t="s">
        <v>51</v>
      </c>
      <c r="AD3070" t="s">
        <v>302</v>
      </c>
      <c r="AE3070" t="s">
        <v>46</v>
      </c>
      <c r="AG3070">
        <v>8</v>
      </c>
      <c r="AH3070">
        <v>8</v>
      </c>
      <c r="AI3070" t="s">
        <v>52</v>
      </c>
      <c r="AM3070">
        <v>0</v>
      </c>
      <c r="AP3070" t="s">
        <v>1201</v>
      </c>
    </row>
    <row r="3071" spans="1:42" customFormat="1">
      <c r="A3071">
        <v>270228</v>
      </c>
      <c r="B3071" t="s">
        <v>219</v>
      </c>
      <c r="C3071" t="s">
        <v>219</v>
      </c>
      <c r="D3071" s="22">
        <v>0</v>
      </c>
      <c r="E3071" s="17">
        <v>42137</v>
      </c>
      <c r="F3071" s="18">
        <v>0.67168981481481482</v>
      </c>
      <c r="G3071" s="22">
        <v>28600</v>
      </c>
      <c r="H3071">
        <v>0</v>
      </c>
      <c r="I3071" s="19" t="e">
        <f>I3070 + (D3071-G3071)</f>
        <v>#VALUE!</v>
      </c>
      <c r="N3071">
        <v>24</v>
      </c>
      <c r="O3071" t="s">
        <v>68</v>
      </c>
      <c r="P3071">
        <v>1</v>
      </c>
      <c r="R3071">
        <v>1449</v>
      </c>
      <c r="S3071" s="17">
        <v>42142</v>
      </c>
      <c r="T3071" s="17">
        <v>42142</v>
      </c>
      <c r="W3071">
        <v>2015</v>
      </c>
      <c r="X3071">
        <v>24</v>
      </c>
      <c r="AC3071" t="s">
        <v>51</v>
      </c>
      <c r="AD3071" t="s">
        <v>302</v>
      </c>
      <c r="AE3071" t="s">
        <v>46</v>
      </c>
      <c r="AG3071">
        <v>8</v>
      </c>
      <c r="AH3071">
        <v>8</v>
      </c>
      <c r="AI3071" t="s">
        <v>52</v>
      </c>
      <c r="AM3071">
        <v>0</v>
      </c>
      <c r="AO3071">
        <v>52</v>
      </c>
      <c r="AP3071" t="s">
        <v>1201</v>
      </c>
    </row>
    <row r="3072" spans="1:42" customFormat="1">
      <c r="A3072">
        <v>270229</v>
      </c>
      <c r="B3072" t="s">
        <v>219</v>
      </c>
      <c r="C3072" t="s">
        <v>3110</v>
      </c>
      <c r="D3072" s="22">
        <v>28600</v>
      </c>
      <c r="E3072" s="17">
        <v>42137</v>
      </c>
      <c r="F3072" s="18">
        <v>0.67168981481481482</v>
      </c>
      <c r="G3072" s="22">
        <v>0</v>
      </c>
      <c r="H3072">
        <v>0</v>
      </c>
      <c r="I3072" s="19" t="e">
        <f>I3071 + (D3072-G3072)</f>
        <v>#VALUE!</v>
      </c>
      <c r="N3072">
        <v>24</v>
      </c>
      <c r="O3072" t="s">
        <v>68</v>
      </c>
      <c r="P3072">
        <v>1</v>
      </c>
      <c r="R3072">
        <v>1449</v>
      </c>
      <c r="S3072" s="17">
        <v>42142</v>
      </c>
      <c r="T3072" s="17">
        <v>42142</v>
      </c>
      <c r="W3072">
        <v>2015</v>
      </c>
      <c r="X3072">
        <v>24</v>
      </c>
      <c r="AA3072">
        <v>270228</v>
      </c>
      <c r="AC3072" t="s">
        <v>51</v>
      </c>
      <c r="AD3072" t="s">
        <v>302</v>
      </c>
      <c r="AE3072" t="s">
        <v>46</v>
      </c>
      <c r="AG3072">
        <v>52</v>
      </c>
      <c r="AH3072">
        <v>8</v>
      </c>
      <c r="AI3072" t="s">
        <v>52</v>
      </c>
      <c r="AM3072">
        <v>0</v>
      </c>
      <c r="AP3072" t="s">
        <v>325</v>
      </c>
    </row>
    <row r="3073" spans="1:42" customFormat="1">
      <c r="A3073">
        <v>270230</v>
      </c>
      <c r="B3073" t="s">
        <v>219</v>
      </c>
      <c r="C3073" t="s">
        <v>219</v>
      </c>
      <c r="D3073" s="22">
        <v>0</v>
      </c>
      <c r="E3073" s="17">
        <v>42137</v>
      </c>
      <c r="F3073" s="18">
        <v>0.6721759259259259</v>
      </c>
      <c r="G3073" s="22">
        <v>23500</v>
      </c>
      <c r="H3073">
        <v>0</v>
      </c>
      <c r="I3073" s="19" t="e">
        <f>I3072 + (D3073-G3073)</f>
        <v>#VALUE!</v>
      </c>
      <c r="N3073">
        <v>24</v>
      </c>
      <c r="O3073" t="s">
        <v>68</v>
      </c>
      <c r="P3073">
        <v>1</v>
      </c>
      <c r="R3073">
        <v>1449</v>
      </c>
      <c r="S3073" s="17">
        <v>42142</v>
      </c>
      <c r="T3073" s="17">
        <v>42142</v>
      </c>
      <c r="W3073">
        <v>2015</v>
      </c>
      <c r="X3073">
        <v>24</v>
      </c>
      <c r="AC3073" t="s">
        <v>51</v>
      </c>
      <c r="AD3073" t="s">
        <v>302</v>
      </c>
      <c r="AE3073" t="s">
        <v>46</v>
      </c>
      <c r="AG3073">
        <v>8</v>
      </c>
      <c r="AH3073">
        <v>8</v>
      </c>
      <c r="AI3073" t="s">
        <v>52</v>
      </c>
      <c r="AM3073">
        <v>0</v>
      </c>
      <c r="AO3073">
        <v>12</v>
      </c>
      <c r="AP3073" t="s">
        <v>1201</v>
      </c>
    </row>
    <row r="3074" spans="1:42" customFormat="1">
      <c r="A3074">
        <v>270231</v>
      </c>
      <c r="B3074" t="s">
        <v>219</v>
      </c>
      <c r="C3074" t="s">
        <v>3111</v>
      </c>
      <c r="D3074" s="22">
        <v>23500</v>
      </c>
      <c r="E3074" s="17">
        <v>42137</v>
      </c>
      <c r="F3074" s="18">
        <v>0.6721759259259259</v>
      </c>
      <c r="G3074" s="22">
        <v>0</v>
      </c>
      <c r="H3074">
        <v>0</v>
      </c>
      <c r="I3074" s="19" t="e">
        <f>I3073 + (D3074-G3074)</f>
        <v>#VALUE!</v>
      </c>
      <c r="N3074">
        <v>24</v>
      </c>
      <c r="O3074" t="s">
        <v>68</v>
      </c>
      <c r="P3074">
        <v>1</v>
      </c>
      <c r="R3074">
        <v>1449</v>
      </c>
      <c r="S3074" s="17">
        <v>42142</v>
      </c>
      <c r="T3074" s="17">
        <v>42142</v>
      </c>
      <c r="W3074">
        <v>2015</v>
      </c>
      <c r="X3074">
        <v>24</v>
      </c>
      <c r="AA3074">
        <v>270230</v>
      </c>
      <c r="AC3074" t="s">
        <v>51</v>
      </c>
      <c r="AD3074" t="s">
        <v>302</v>
      </c>
      <c r="AE3074" t="s">
        <v>46</v>
      </c>
      <c r="AG3074">
        <v>12</v>
      </c>
      <c r="AH3074">
        <v>8</v>
      </c>
      <c r="AI3074" t="s">
        <v>52</v>
      </c>
      <c r="AM3074">
        <v>0</v>
      </c>
      <c r="AP3074" t="s">
        <v>392</v>
      </c>
    </row>
    <row r="3075" spans="1:42" customFormat="1">
      <c r="A3075">
        <v>270232</v>
      </c>
      <c r="B3075" t="s">
        <v>219</v>
      </c>
      <c r="C3075" t="s">
        <v>219</v>
      </c>
      <c r="D3075" s="22">
        <v>0</v>
      </c>
      <c r="E3075" s="17">
        <v>42137</v>
      </c>
      <c r="F3075" s="18">
        <v>0.67309027777777775</v>
      </c>
      <c r="G3075" s="22">
        <v>102000</v>
      </c>
      <c r="H3075">
        <v>0</v>
      </c>
      <c r="I3075" s="19" t="e">
        <f>I3074 + (D3075-G3075)</f>
        <v>#VALUE!</v>
      </c>
      <c r="N3075">
        <v>24</v>
      </c>
      <c r="O3075" t="s">
        <v>68</v>
      </c>
      <c r="P3075">
        <v>1</v>
      </c>
      <c r="R3075">
        <v>1449</v>
      </c>
      <c r="S3075" s="17">
        <v>42142</v>
      </c>
      <c r="T3075" s="17">
        <v>42142</v>
      </c>
      <c r="W3075">
        <v>2015</v>
      </c>
      <c r="X3075">
        <v>24</v>
      </c>
      <c r="AC3075" t="s">
        <v>51</v>
      </c>
      <c r="AD3075" t="s">
        <v>302</v>
      </c>
      <c r="AE3075" t="s">
        <v>46</v>
      </c>
      <c r="AG3075">
        <v>8</v>
      </c>
      <c r="AH3075">
        <v>8</v>
      </c>
      <c r="AI3075" t="s">
        <v>52</v>
      </c>
      <c r="AM3075">
        <v>0</v>
      </c>
      <c r="AO3075">
        <v>52</v>
      </c>
      <c r="AP3075" t="s">
        <v>1201</v>
      </c>
    </row>
    <row r="3076" spans="1:42" customFormat="1">
      <c r="A3076">
        <v>270233</v>
      </c>
      <c r="B3076" t="s">
        <v>219</v>
      </c>
      <c r="C3076" t="s">
        <v>3112</v>
      </c>
      <c r="D3076" s="22">
        <v>102000</v>
      </c>
      <c r="E3076" s="17">
        <v>42137</v>
      </c>
      <c r="F3076" s="18">
        <v>0.67309027777777775</v>
      </c>
      <c r="G3076" s="22">
        <v>0</v>
      </c>
      <c r="H3076">
        <v>0</v>
      </c>
      <c r="I3076" s="19" t="e">
        <f>I3075 + (D3076-G3076)</f>
        <v>#VALUE!</v>
      </c>
      <c r="N3076">
        <v>24</v>
      </c>
      <c r="O3076" t="s">
        <v>68</v>
      </c>
      <c r="P3076">
        <v>1</v>
      </c>
      <c r="R3076">
        <v>1449</v>
      </c>
      <c r="S3076" s="17">
        <v>42142</v>
      </c>
      <c r="T3076" s="17">
        <v>42142</v>
      </c>
      <c r="W3076">
        <v>2015</v>
      </c>
      <c r="X3076">
        <v>24</v>
      </c>
      <c r="AA3076">
        <v>270232</v>
      </c>
      <c r="AC3076" t="s">
        <v>51</v>
      </c>
      <c r="AD3076" t="s">
        <v>302</v>
      </c>
      <c r="AE3076" t="s">
        <v>46</v>
      </c>
      <c r="AG3076">
        <v>52</v>
      </c>
      <c r="AH3076">
        <v>8</v>
      </c>
      <c r="AI3076" t="s">
        <v>52</v>
      </c>
      <c r="AM3076">
        <v>0</v>
      </c>
      <c r="AP3076" t="s">
        <v>325</v>
      </c>
    </row>
    <row r="3077" spans="1:42" customFormat="1">
      <c r="A3077">
        <v>270234</v>
      </c>
      <c r="B3077" t="s">
        <v>219</v>
      </c>
      <c r="C3077" t="s">
        <v>219</v>
      </c>
      <c r="D3077" s="22">
        <v>0</v>
      </c>
      <c r="E3077" s="17">
        <v>42137</v>
      </c>
      <c r="F3077" s="18">
        <v>0.6734837962962964</v>
      </c>
      <c r="G3077" s="22">
        <v>30000</v>
      </c>
      <c r="H3077">
        <v>0</v>
      </c>
      <c r="I3077" s="19" t="e">
        <f>I3076 + (D3077-G3077)</f>
        <v>#VALUE!</v>
      </c>
      <c r="N3077">
        <v>24</v>
      </c>
      <c r="O3077" t="s">
        <v>68</v>
      </c>
      <c r="P3077">
        <v>1</v>
      </c>
      <c r="R3077">
        <v>1449</v>
      </c>
      <c r="S3077" s="17">
        <v>42142</v>
      </c>
      <c r="T3077" s="17">
        <v>42142</v>
      </c>
      <c r="W3077">
        <v>2015</v>
      </c>
      <c r="X3077">
        <v>24</v>
      </c>
      <c r="AC3077" t="s">
        <v>51</v>
      </c>
      <c r="AD3077" t="s">
        <v>302</v>
      </c>
      <c r="AE3077" t="s">
        <v>46</v>
      </c>
      <c r="AG3077">
        <v>8</v>
      </c>
      <c r="AH3077">
        <v>8</v>
      </c>
      <c r="AI3077" t="s">
        <v>52</v>
      </c>
      <c r="AM3077">
        <v>0</v>
      </c>
      <c r="AO3077">
        <v>52</v>
      </c>
      <c r="AP3077" t="s">
        <v>1201</v>
      </c>
    </row>
    <row r="3078" spans="1:42" customFormat="1">
      <c r="A3078">
        <v>270235</v>
      </c>
      <c r="B3078" t="s">
        <v>219</v>
      </c>
      <c r="C3078" t="s">
        <v>3113</v>
      </c>
      <c r="D3078" s="22">
        <v>30000</v>
      </c>
      <c r="E3078" s="17">
        <v>42137</v>
      </c>
      <c r="F3078" s="18">
        <v>0.6734837962962964</v>
      </c>
      <c r="G3078" s="22">
        <v>0</v>
      </c>
      <c r="H3078">
        <v>0</v>
      </c>
      <c r="I3078" s="19" t="e">
        <f>I3077 + (D3078-G3078)</f>
        <v>#VALUE!</v>
      </c>
      <c r="N3078">
        <v>24</v>
      </c>
      <c r="O3078" t="s">
        <v>68</v>
      </c>
      <c r="P3078">
        <v>1</v>
      </c>
      <c r="R3078">
        <v>1449</v>
      </c>
      <c r="S3078" s="17">
        <v>42142</v>
      </c>
      <c r="T3078" s="17">
        <v>42142</v>
      </c>
      <c r="W3078">
        <v>2015</v>
      </c>
      <c r="X3078">
        <v>24</v>
      </c>
      <c r="AA3078">
        <v>270234</v>
      </c>
      <c r="AC3078" t="s">
        <v>51</v>
      </c>
      <c r="AD3078" t="s">
        <v>302</v>
      </c>
      <c r="AE3078" t="s">
        <v>46</v>
      </c>
      <c r="AG3078">
        <v>52</v>
      </c>
      <c r="AH3078">
        <v>8</v>
      </c>
      <c r="AI3078" t="s">
        <v>52</v>
      </c>
      <c r="AM3078">
        <v>0</v>
      </c>
      <c r="AP3078" t="s">
        <v>325</v>
      </c>
    </row>
    <row r="3079" spans="1:42" customFormat="1">
      <c r="A3079">
        <v>270236</v>
      </c>
      <c r="B3079" t="s">
        <v>219</v>
      </c>
      <c r="C3079" t="s">
        <v>219</v>
      </c>
      <c r="D3079" s="22">
        <v>0</v>
      </c>
      <c r="E3079" s="17">
        <v>42137</v>
      </c>
      <c r="F3079" s="18">
        <v>0.67445601851851855</v>
      </c>
      <c r="G3079" s="22">
        <v>102000</v>
      </c>
      <c r="H3079">
        <v>0</v>
      </c>
      <c r="I3079" s="19" t="e">
        <f>I3078 + (D3079-G3079)</f>
        <v>#VALUE!</v>
      </c>
      <c r="N3079">
        <v>24</v>
      </c>
      <c r="O3079" t="s">
        <v>68</v>
      </c>
      <c r="P3079">
        <v>1</v>
      </c>
      <c r="R3079">
        <v>1449</v>
      </c>
      <c r="S3079" s="17">
        <v>42142</v>
      </c>
      <c r="T3079" s="17">
        <v>42142</v>
      </c>
      <c r="W3079">
        <v>2015</v>
      </c>
      <c r="X3079">
        <v>24</v>
      </c>
      <c r="AC3079" t="s">
        <v>51</v>
      </c>
      <c r="AD3079" t="s">
        <v>302</v>
      </c>
      <c r="AE3079" t="s">
        <v>46</v>
      </c>
      <c r="AG3079">
        <v>4</v>
      </c>
      <c r="AH3079">
        <v>8</v>
      </c>
      <c r="AI3079" t="s">
        <v>52</v>
      </c>
      <c r="AM3079">
        <v>0</v>
      </c>
      <c r="AO3079">
        <v>8</v>
      </c>
      <c r="AP3079" t="s">
        <v>389</v>
      </c>
    </row>
    <row r="3080" spans="1:42" customFormat="1">
      <c r="A3080">
        <v>270237</v>
      </c>
      <c r="B3080" t="s">
        <v>219</v>
      </c>
      <c r="C3080" t="s">
        <v>3114</v>
      </c>
      <c r="D3080" s="22">
        <v>102000</v>
      </c>
      <c r="E3080" s="17">
        <v>42137</v>
      </c>
      <c r="F3080" s="18">
        <v>0.67445601851851855</v>
      </c>
      <c r="G3080" s="22">
        <v>0</v>
      </c>
      <c r="H3080">
        <v>0</v>
      </c>
      <c r="I3080" s="19" t="e">
        <f>I3079 + (D3080-G3080)</f>
        <v>#VALUE!</v>
      </c>
      <c r="N3080">
        <v>24</v>
      </c>
      <c r="O3080" t="s">
        <v>68</v>
      </c>
      <c r="P3080">
        <v>1</v>
      </c>
      <c r="R3080">
        <v>1449</v>
      </c>
      <c r="S3080" s="17">
        <v>42142</v>
      </c>
      <c r="T3080" s="17">
        <v>42142</v>
      </c>
      <c r="W3080">
        <v>2015</v>
      </c>
      <c r="X3080">
        <v>24</v>
      </c>
      <c r="AA3080">
        <v>270236</v>
      </c>
      <c r="AC3080" t="s">
        <v>51</v>
      </c>
      <c r="AD3080" t="s">
        <v>302</v>
      </c>
      <c r="AE3080" t="s">
        <v>46</v>
      </c>
      <c r="AG3080">
        <v>8</v>
      </c>
      <c r="AH3080">
        <v>8</v>
      </c>
      <c r="AI3080" t="s">
        <v>52</v>
      </c>
      <c r="AM3080">
        <v>0</v>
      </c>
      <c r="AP3080" t="s">
        <v>1201</v>
      </c>
    </row>
    <row r="3081" spans="1:42" customFormat="1">
      <c r="A3081">
        <v>270260</v>
      </c>
      <c r="B3081" t="s">
        <v>219</v>
      </c>
      <c r="C3081" t="s">
        <v>219</v>
      </c>
      <c r="D3081" s="22">
        <v>0</v>
      </c>
      <c r="E3081" s="17">
        <v>42137</v>
      </c>
      <c r="F3081" s="18">
        <v>0.68011574074074066</v>
      </c>
      <c r="G3081" s="22">
        <v>94000</v>
      </c>
      <c r="H3081">
        <v>0</v>
      </c>
      <c r="I3081" s="19" t="e">
        <f>I3080 + (D3081-G3081)</f>
        <v>#VALUE!</v>
      </c>
      <c r="N3081">
        <v>24</v>
      </c>
      <c r="O3081" t="s">
        <v>68</v>
      </c>
      <c r="P3081">
        <v>1</v>
      </c>
      <c r="R3081">
        <v>1449</v>
      </c>
      <c r="S3081" s="17">
        <v>42142</v>
      </c>
      <c r="T3081" s="17">
        <v>42142</v>
      </c>
      <c r="W3081">
        <v>2015</v>
      </c>
      <c r="X3081">
        <v>24</v>
      </c>
      <c r="AC3081" t="s">
        <v>51</v>
      </c>
      <c r="AD3081" t="s">
        <v>302</v>
      </c>
      <c r="AE3081" t="s">
        <v>46</v>
      </c>
      <c r="AG3081">
        <v>2</v>
      </c>
      <c r="AH3081">
        <v>8</v>
      </c>
      <c r="AI3081" t="s">
        <v>52</v>
      </c>
      <c r="AM3081">
        <v>0</v>
      </c>
      <c r="AO3081">
        <v>12</v>
      </c>
      <c r="AP3081" t="s">
        <v>2544</v>
      </c>
    </row>
    <row r="3082" spans="1:42" customFormat="1">
      <c r="A3082">
        <v>270261</v>
      </c>
      <c r="B3082" t="s">
        <v>219</v>
      </c>
      <c r="C3082" t="s">
        <v>3115</v>
      </c>
      <c r="D3082" s="22">
        <v>94000</v>
      </c>
      <c r="E3082" s="17">
        <v>42137</v>
      </c>
      <c r="F3082" s="18">
        <v>0.68011574074074066</v>
      </c>
      <c r="G3082" s="22">
        <v>0</v>
      </c>
      <c r="H3082">
        <v>0</v>
      </c>
      <c r="I3082" s="19" t="e">
        <f>I3081 + (D3082-G3082)</f>
        <v>#VALUE!</v>
      </c>
      <c r="N3082">
        <v>24</v>
      </c>
      <c r="O3082" t="s">
        <v>68</v>
      </c>
      <c r="P3082">
        <v>1</v>
      </c>
      <c r="R3082">
        <v>1449</v>
      </c>
      <c r="S3082" s="17">
        <v>42142</v>
      </c>
      <c r="T3082" s="17">
        <v>42142</v>
      </c>
      <c r="W3082">
        <v>2015</v>
      </c>
      <c r="X3082">
        <v>24</v>
      </c>
      <c r="AA3082">
        <v>270260</v>
      </c>
      <c r="AC3082" t="s">
        <v>51</v>
      </c>
      <c r="AD3082" t="s">
        <v>302</v>
      </c>
      <c r="AE3082" t="s">
        <v>46</v>
      </c>
      <c r="AG3082">
        <v>12</v>
      </c>
      <c r="AH3082">
        <v>8</v>
      </c>
      <c r="AI3082" t="s">
        <v>52</v>
      </c>
      <c r="AM3082">
        <v>0</v>
      </c>
      <c r="AP3082" t="s">
        <v>392</v>
      </c>
    </row>
    <row r="3083" spans="1:42" customFormat="1">
      <c r="A3083">
        <v>270269</v>
      </c>
      <c r="B3083" t="s">
        <v>219</v>
      </c>
      <c r="C3083" t="s">
        <v>219</v>
      </c>
      <c r="D3083" s="22">
        <v>1000</v>
      </c>
      <c r="E3083" s="17">
        <v>42137</v>
      </c>
      <c r="F3083" s="18">
        <v>0.68902777777777768</v>
      </c>
      <c r="G3083" s="22">
        <v>0</v>
      </c>
      <c r="H3083">
        <v>0</v>
      </c>
      <c r="I3083" s="19" t="e">
        <f>I3082 + (D3083-G3083)</f>
        <v>#VALUE!</v>
      </c>
      <c r="N3083">
        <v>24</v>
      </c>
      <c r="O3083" t="s">
        <v>68</v>
      </c>
      <c r="P3083">
        <v>1</v>
      </c>
      <c r="R3083">
        <v>1449</v>
      </c>
      <c r="S3083" s="17">
        <v>42142</v>
      </c>
      <c r="T3083" s="17">
        <v>42142</v>
      </c>
      <c r="W3083">
        <v>2015</v>
      </c>
      <c r="X3083">
        <v>24</v>
      </c>
      <c r="AC3083" t="s">
        <v>51</v>
      </c>
      <c r="AD3083" t="s">
        <v>302</v>
      </c>
      <c r="AE3083" t="s">
        <v>46</v>
      </c>
      <c r="AG3083">
        <v>56</v>
      </c>
      <c r="AH3083">
        <v>8</v>
      </c>
      <c r="AI3083" t="s">
        <v>52</v>
      </c>
      <c r="AM3083">
        <v>0</v>
      </c>
      <c r="AP3083" t="s">
        <v>59</v>
      </c>
    </row>
    <row r="3084" spans="1:42" customFormat="1">
      <c r="A3084">
        <v>270964</v>
      </c>
      <c r="B3084" t="s">
        <v>219</v>
      </c>
      <c r="C3084" t="s">
        <v>219</v>
      </c>
      <c r="D3084" s="22">
        <v>22000</v>
      </c>
      <c r="E3084" s="17">
        <v>42138</v>
      </c>
      <c r="F3084" s="18">
        <v>0.46622685185185181</v>
      </c>
      <c r="G3084" s="22">
        <v>0</v>
      </c>
      <c r="H3084">
        <v>0</v>
      </c>
      <c r="I3084" s="19" t="e">
        <f>I3083 + (D3084-G3084)</f>
        <v>#VALUE!</v>
      </c>
      <c r="N3084">
        <v>7</v>
      </c>
      <c r="O3084" t="s">
        <v>44</v>
      </c>
      <c r="P3084">
        <v>1</v>
      </c>
      <c r="R3084">
        <v>1449</v>
      </c>
      <c r="S3084" s="17">
        <v>42149</v>
      </c>
      <c r="T3084" s="17">
        <v>42149</v>
      </c>
      <c r="W3084">
        <v>2015</v>
      </c>
      <c r="X3084">
        <v>7</v>
      </c>
      <c r="AC3084" t="s">
        <v>51</v>
      </c>
      <c r="AD3084" t="s">
        <v>302</v>
      </c>
      <c r="AE3084" t="s">
        <v>46</v>
      </c>
      <c r="AG3084">
        <v>2</v>
      </c>
      <c r="AH3084">
        <v>8</v>
      </c>
      <c r="AI3084" t="s">
        <v>52</v>
      </c>
      <c r="AM3084">
        <v>0</v>
      </c>
      <c r="AP3084" t="s">
        <v>2544</v>
      </c>
    </row>
    <row r="3085" spans="1:42" customFormat="1">
      <c r="A3085">
        <v>271235</v>
      </c>
      <c r="B3085" t="s">
        <v>219</v>
      </c>
      <c r="C3085" t="s">
        <v>219</v>
      </c>
      <c r="D3085" s="22">
        <v>0</v>
      </c>
      <c r="E3085" s="17">
        <v>42138</v>
      </c>
      <c r="F3085" s="18">
        <v>0.66593749999999996</v>
      </c>
      <c r="G3085" s="22">
        <v>48000</v>
      </c>
      <c r="H3085">
        <v>0</v>
      </c>
      <c r="I3085" s="19" t="e">
        <f>I3084 + (D3085-G3085)</f>
        <v>#VALUE!</v>
      </c>
      <c r="N3085">
        <v>24</v>
      </c>
      <c r="O3085" t="s">
        <v>68</v>
      </c>
      <c r="P3085">
        <v>1</v>
      </c>
      <c r="R3085">
        <v>1449</v>
      </c>
      <c r="S3085" s="17">
        <v>42150</v>
      </c>
      <c r="T3085" s="17">
        <v>42150</v>
      </c>
      <c r="W3085">
        <v>2015</v>
      </c>
      <c r="X3085">
        <v>24</v>
      </c>
      <c r="AC3085" t="s">
        <v>51</v>
      </c>
      <c r="AD3085" t="s">
        <v>302</v>
      </c>
      <c r="AE3085" t="s">
        <v>46</v>
      </c>
      <c r="AG3085">
        <v>3</v>
      </c>
      <c r="AH3085">
        <v>8</v>
      </c>
      <c r="AI3085" t="s">
        <v>52</v>
      </c>
      <c r="AM3085">
        <v>0</v>
      </c>
      <c r="AO3085">
        <v>52</v>
      </c>
      <c r="AP3085" t="s">
        <v>80</v>
      </c>
    </row>
    <row r="3086" spans="1:42" customFormat="1">
      <c r="A3086">
        <v>271236</v>
      </c>
      <c r="B3086" t="s">
        <v>219</v>
      </c>
      <c r="C3086" t="s">
        <v>3205</v>
      </c>
      <c r="D3086" s="22">
        <v>48000</v>
      </c>
      <c r="E3086" s="17">
        <v>42138</v>
      </c>
      <c r="F3086" s="18">
        <v>0.66593749999999996</v>
      </c>
      <c r="G3086" s="22">
        <v>0</v>
      </c>
      <c r="H3086">
        <v>0</v>
      </c>
      <c r="I3086" s="19" t="e">
        <f>I3085 + (D3086-G3086)</f>
        <v>#VALUE!</v>
      </c>
      <c r="N3086">
        <v>24</v>
      </c>
      <c r="O3086" t="s">
        <v>68</v>
      </c>
      <c r="P3086">
        <v>1</v>
      </c>
      <c r="R3086">
        <v>1449</v>
      </c>
      <c r="S3086" s="17">
        <v>42150</v>
      </c>
      <c r="T3086" s="17">
        <v>42150</v>
      </c>
      <c r="W3086">
        <v>2015</v>
      </c>
      <c r="X3086">
        <v>24</v>
      </c>
      <c r="AA3086">
        <v>271235</v>
      </c>
      <c r="AC3086" t="s">
        <v>51</v>
      </c>
      <c r="AD3086" t="s">
        <v>302</v>
      </c>
      <c r="AE3086" t="s">
        <v>46</v>
      </c>
      <c r="AG3086">
        <v>52</v>
      </c>
      <c r="AH3086">
        <v>8</v>
      </c>
      <c r="AI3086" t="s">
        <v>52</v>
      </c>
      <c r="AM3086">
        <v>0</v>
      </c>
      <c r="AP3086" t="s">
        <v>325</v>
      </c>
    </row>
    <row r="3087" spans="1:42" customFormat="1">
      <c r="A3087">
        <v>271237</v>
      </c>
      <c r="B3087" t="s">
        <v>219</v>
      </c>
      <c r="C3087" t="s">
        <v>219</v>
      </c>
      <c r="D3087" s="22">
        <v>0</v>
      </c>
      <c r="E3087" s="17">
        <v>42138</v>
      </c>
      <c r="F3087" s="18">
        <v>0.66621527777777778</v>
      </c>
      <c r="G3087" s="22">
        <v>10578.65</v>
      </c>
      <c r="H3087">
        <v>0</v>
      </c>
      <c r="I3087" s="19" t="e">
        <f>I3086 + (D3087-G3087)</f>
        <v>#VALUE!</v>
      </c>
      <c r="N3087">
        <v>24</v>
      </c>
      <c r="O3087" t="s">
        <v>68</v>
      </c>
      <c r="P3087">
        <v>1</v>
      </c>
      <c r="R3087">
        <v>1449</v>
      </c>
      <c r="S3087" s="17">
        <v>42150</v>
      </c>
      <c r="T3087" s="17">
        <v>42150</v>
      </c>
      <c r="W3087">
        <v>2015</v>
      </c>
      <c r="X3087">
        <v>24</v>
      </c>
      <c r="AC3087" t="s">
        <v>51</v>
      </c>
      <c r="AD3087" t="s">
        <v>302</v>
      </c>
      <c r="AE3087" t="s">
        <v>46</v>
      </c>
      <c r="AG3087">
        <v>3</v>
      </c>
      <c r="AH3087">
        <v>8</v>
      </c>
      <c r="AI3087" t="s">
        <v>52</v>
      </c>
      <c r="AM3087">
        <v>0</v>
      </c>
      <c r="AO3087">
        <v>52</v>
      </c>
      <c r="AP3087" t="s">
        <v>80</v>
      </c>
    </row>
    <row r="3088" spans="1:42" customFormat="1">
      <c r="A3088">
        <v>271238</v>
      </c>
      <c r="B3088" t="s">
        <v>219</v>
      </c>
      <c r="C3088" t="s">
        <v>3206</v>
      </c>
      <c r="D3088" s="22">
        <v>10578.65</v>
      </c>
      <c r="E3088" s="17">
        <v>42138</v>
      </c>
      <c r="F3088" s="18">
        <v>0.66621527777777778</v>
      </c>
      <c r="G3088" s="22">
        <v>0</v>
      </c>
      <c r="H3088">
        <v>0</v>
      </c>
      <c r="I3088" s="19" t="e">
        <f>I3087 + (D3088-G3088)</f>
        <v>#VALUE!</v>
      </c>
      <c r="N3088">
        <v>24</v>
      </c>
      <c r="O3088" t="s">
        <v>68</v>
      </c>
      <c r="P3088">
        <v>1</v>
      </c>
      <c r="R3088">
        <v>1449</v>
      </c>
      <c r="S3088" s="17">
        <v>42150</v>
      </c>
      <c r="T3088" s="17">
        <v>42150</v>
      </c>
      <c r="W3088">
        <v>2015</v>
      </c>
      <c r="X3088">
        <v>24</v>
      </c>
      <c r="AA3088">
        <v>271237</v>
      </c>
      <c r="AC3088" t="s">
        <v>51</v>
      </c>
      <c r="AD3088" t="s">
        <v>302</v>
      </c>
      <c r="AE3088" t="s">
        <v>46</v>
      </c>
      <c r="AG3088">
        <v>52</v>
      </c>
      <c r="AH3088">
        <v>8</v>
      </c>
      <c r="AI3088" t="s">
        <v>52</v>
      </c>
      <c r="AM3088">
        <v>0</v>
      </c>
      <c r="AP3088" t="s">
        <v>325</v>
      </c>
    </row>
    <row r="3089" spans="1:42" customFormat="1">
      <c r="A3089">
        <v>270216</v>
      </c>
      <c r="B3089" t="s">
        <v>219</v>
      </c>
      <c r="C3089" t="s">
        <v>219</v>
      </c>
      <c r="D3089" s="22">
        <v>0</v>
      </c>
      <c r="E3089" s="17">
        <v>42138</v>
      </c>
      <c r="F3089" s="18">
        <v>0.66932870370370379</v>
      </c>
      <c r="G3089" s="22">
        <v>2500</v>
      </c>
      <c r="H3089">
        <v>0</v>
      </c>
      <c r="I3089" s="19" t="e">
        <f>I3088 + (D3089-G3089)</f>
        <v>#VALUE!</v>
      </c>
      <c r="N3089">
        <v>24</v>
      </c>
      <c r="O3089" t="s">
        <v>68</v>
      </c>
      <c r="P3089">
        <v>1</v>
      </c>
      <c r="R3089">
        <v>1449</v>
      </c>
      <c r="S3089" s="17">
        <v>42142</v>
      </c>
      <c r="T3089" s="17">
        <v>42142</v>
      </c>
      <c r="W3089">
        <v>2015</v>
      </c>
      <c r="X3089">
        <v>24</v>
      </c>
      <c r="AC3089" t="s">
        <v>51</v>
      </c>
      <c r="AD3089" t="s">
        <v>302</v>
      </c>
      <c r="AE3089" t="s">
        <v>46</v>
      </c>
      <c r="AG3089">
        <v>8</v>
      </c>
      <c r="AH3089">
        <v>8</v>
      </c>
      <c r="AI3089" t="s">
        <v>52</v>
      </c>
      <c r="AM3089">
        <v>0</v>
      </c>
      <c r="AO3089">
        <v>56</v>
      </c>
      <c r="AP3089" t="s">
        <v>1201</v>
      </c>
    </row>
    <row r="3090" spans="1:42" customFormat="1">
      <c r="A3090">
        <v>270217</v>
      </c>
      <c r="B3090" t="s">
        <v>219</v>
      </c>
      <c r="C3090" t="s">
        <v>3207</v>
      </c>
      <c r="D3090" s="22">
        <v>2500</v>
      </c>
      <c r="E3090" s="17">
        <v>42138</v>
      </c>
      <c r="F3090" s="18">
        <v>0.66932870370370379</v>
      </c>
      <c r="G3090" s="22">
        <v>0</v>
      </c>
      <c r="H3090">
        <v>0</v>
      </c>
      <c r="I3090" s="19" t="e">
        <f>I3089 + (D3090-G3090)</f>
        <v>#VALUE!</v>
      </c>
      <c r="N3090">
        <v>24</v>
      </c>
      <c r="O3090" t="s">
        <v>68</v>
      </c>
      <c r="P3090">
        <v>1</v>
      </c>
      <c r="R3090">
        <v>1449</v>
      </c>
      <c r="S3090" s="17">
        <v>42142</v>
      </c>
      <c r="T3090" s="17">
        <v>42142</v>
      </c>
      <c r="W3090">
        <v>2015</v>
      </c>
      <c r="X3090">
        <v>24</v>
      </c>
      <c r="AA3090">
        <v>270216</v>
      </c>
      <c r="AC3090" t="s">
        <v>51</v>
      </c>
      <c r="AD3090" t="s">
        <v>302</v>
      </c>
      <c r="AE3090" t="s">
        <v>46</v>
      </c>
      <c r="AG3090">
        <v>56</v>
      </c>
      <c r="AH3090">
        <v>8</v>
      </c>
      <c r="AI3090" t="s">
        <v>52</v>
      </c>
      <c r="AM3090">
        <v>0</v>
      </c>
      <c r="AP3090" t="s">
        <v>59</v>
      </c>
    </row>
    <row r="3091" spans="1:42" customFormat="1">
      <c r="A3091">
        <v>270218</v>
      </c>
      <c r="B3091" t="s">
        <v>219</v>
      </c>
      <c r="C3091" t="s">
        <v>219</v>
      </c>
      <c r="D3091" s="22">
        <v>0</v>
      </c>
      <c r="E3091" s="17">
        <v>42138</v>
      </c>
      <c r="F3091" s="18">
        <v>0.66980324074074071</v>
      </c>
      <c r="G3091" s="22">
        <v>21000</v>
      </c>
      <c r="H3091">
        <v>0</v>
      </c>
      <c r="I3091" s="19" t="e">
        <f>I3090 + (D3091-G3091)</f>
        <v>#VALUE!</v>
      </c>
      <c r="N3091">
        <v>24</v>
      </c>
      <c r="O3091" t="s">
        <v>68</v>
      </c>
      <c r="P3091">
        <v>1</v>
      </c>
      <c r="R3091">
        <v>1449</v>
      </c>
      <c r="S3091" s="17">
        <v>42142</v>
      </c>
      <c r="T3091" s="17">
        <v>42142</v>
      </c>
      <c r="W3091">
        <v>2015</v>
      </c>
      <c r="X3091">
        <v>24</v>
      </c>
      <c r="AC3091" t="s">
        <v>51</v>
      </c>
      <c r="AD3091" t="s">
        <v>302</v>
      </c>
      <c r="AE3091" t="s">
        <v>46</v>
      </c>
      <c r="AG3091">
        <v>4</v>
      </c>
      <c r="AH3091">
        <v>8</v>
      </c>
      <c r="AI3091" t="s">
        <v>52</v>
      </c>
      <c r="AM3091">
        <v>0</v>
      </c>
      <c r="AO3091">
        <v>8</v>
      </c>
      <c r="AP3091" t="s">
        <v>389</v>
      </c>
    </row>
    <row r="3092" spans="1:42" customFormat="1">
      <c r="A3092">
        <v>270219</v>
      </c>
      <c r="B3092" t="s">
        <v>219</v>
      </c>
      <c r="C3092" t="s">
        <v>3208</v>
      </c>
      <c r="D3092" s="22">
        <v>21000</v>
      </c>
      <c r="E3092" s="17">
        <v>42138</v>
      </c>
      <c r="F3092" s="18">
        <v>0.66980324074074071</v>
      </c>
      <c r="G3092" s="22">
        <v>0</v>
      </c>
      <c r="H3092">
        <v>0</v>
      </c>
      <c r="I3092" s="19" t="e">
        <f>I3091 + (D3092-G3092)</f>
        <v>#VALUE!</v>
      </c>
      <c r="N3092">
        <v>24</v>
      </c>
      <c r="O3092" t="s">
        <v>68</v>
      </c>
      <c r="P3092">
        <v>1</v>
      </c>
      <c r="R3092">
        <v>1449</v>
      </c>
      <c r="S3092" s="17">
        <v>42142</v>
      </c>
      <c r="T3092" s="17">
        <v>42142</v>
      </c>
      <c r="W3092">
        <v>2015</v>
      </c>
      <c r="X3092">
        <v>24</v>
      </c>
      <c r="AA3092">
        <v>270218</v>
      </c>
      <c r="AC3092" t="s">
        <v>51</v>
      </c>
      <c r="AD3092" t="s">
        <v>302</v>
      </c>
      <c r="AE3092" t="s">
        <v>46</v>
      </c>
      <c r="AG3092">
        <v>8</v>
      </c>
      <c r="AH3092">
        <v>8</v>
      </c>
      <c r="AI3092" t="s">
        <v>52</v>
      </c>
      <c r="AM3092">
        <v>0</v>
      </c>
      <c r="AP3092" t="s">
        <v>1201</v>
      </c>
    </row>
    <row r="3093" spans="1:42" customFormat="1">
      <c r="A3093">
        <v>270220</v>
      </c>
      <c r="B3093" t="s">
        <v>219</v>
      </c>
      <c r="C3093" t="s">
        <v>219</v>
      </c>
      <c r="D3093" s="22">
        <v>0</v>
      </c>
      <c r="E3093" s="17">
        <v>42138</v>
      </c>
      <c r="F3093" s="18">
        <v>0.67037037037037039</v>
      </c>
      <c r="G3093" s="22">
        <v>2700</v>
      </c>
      <c r="H3093">
        <v>0</v>
      </c>
      <c r="I3093" s="19" t="e">
        <f>I3092 + (D3093-G3093)</f>
        <v>#VALUE!</v>
      </c>
      <c r="N3093">
        <v>24</v>
      </c>
      <c r="O3093" t="s">
        <v>68</v>
      </c>
      <c r="P3093">
        <v>1</v>
      </c>
      <c r="R3093">
        <v>1449</v>
      </c>
      <c r="S3093" s="17">
        <v>42142</v>
      </c>
      <c r="T3093" s="17">
        <v>42142</v>
      </c>
      <c r="W3093">
        <v>2015</v>
      </c>
      <c r="X3093">
        <v>24</v>
      </c>
      <c r="AC3093" t="s">
        <v>51</v>
      </c>
      <c r="AD3093" t="s">
        <v>302</v>
      </c>
      <c r="AE3093" t="s">
        <v>46</v>
      </c>
      <c r="AG3093">
        <v>4</v>
      </c>
      <c r="AH3093">
        <v>8</v>
      </c>
      <c r="AI3093" t="s">
        <v>52</v>
      </c>
      <c r="AM3093">
        <v>0</v>
      </c>
      <c r="AO3093">
        <v>8</v>
      </c>
      <c r="AP3093" t="s">
        <v>389</v>
      </c>
    </row>
    <row r="3094" spans="1:42" customFormat="1">
      <c r="A3094">
        <v>270221</v>
      </c>
      <c r="B3094" t="s">
        <v>219</v>
      </c>
      <c r="C3094" t="s">
        <v>3209</v>
      </c>
      <c r="D3094" s="22">
        <v>2700</v>
      </c>
      <c r="E3094" s="17">
        <v>42138</v>
      </c>
      <c r="F3094" s="18">
        <v>0.67037037037037039</v>
      </c>
      <c r="G3094" s="22">
        <v>0</v>
      </c>
      <c r="H3094">
        <v>0</v>
      </c>
      <c r="I3094" s="19" t="e">
        <f>I3093 + (D3094-G3094)</f>
        <v>#VALUE!</v>
      </c>
      <c r="N3094">
        <v>24</v>
      </c>
      <c r="O3094" t="s">
        <v>68</v>
      </c>
      <c r="P3094">
        <v>1</v>
      </c>
      <c r="R3094">
        <v>1449</v>
      </c>
      <c r="S3094" s="17">
        <v>42142</v>
      </c>
      <c r="T3094" s="17">
        <v>42142</v>
      </c>
      <c r="W3094">
        <v>2015</v>
      </c>
      <c r="X3094">
        <v>24</v>
      </c>
      <c r="AA3094">
        <v>270220</v>
      </c>
      <c r="AC3094" t="s">
        <v>51</v>
      </c>
      <c r="AD3094" t="s">
        <v>302</v>
      </c>
      <c r="AE3094" t="s">
        <v>46</v>
      </c>
      <c r="AG3094">
        <v>8</v>
      </c>
      <c r="AH3094">
        <v>8</v>
      </c>
      <c r="AI3094" t="s">
        <v>52</v>
      </c>
      <c r="AM3094">
        <v>0</v>
      </c>
      <c r="AP3094" t="s">
        <v>1201</v>
      </c>
    </row>
    <row r="3095" spans="1:42" customFormat="1">
      <c r="A3095">
        <v>270262</v>
      </c>
      <c r="B3095" t="s">
        <v>219</v>
      </c>
      <c r="C3095" t="s">
        <v>219</v>
      </c>
      <c r="D3095" s="22">
        <v>0</v>
      </c>
      <c r="E3095" s="17">
        <v>42138</v>
      </c>
      <c r="F3095" s="18">
        <v>0.68042824074074071</v>
      </c>
      <c r="G3095" s="22">
        <v>21000</v>
      </c>
      <c r="H3095">
        <v>0</v>
      </c>
      <c r="I3095" s="19" t="e">
        <f>I3094 + (D3095-G3095)</f>
        <v>#VALUE!</v>
      </c>
      <c r="N3095">
        <v>24</v>
      </c>
      <c r="O3095" t="s">
        <v>68</v>
      </c>
      <c r="P3095">
        <v>1</v>
      </c>
      <c r="R3095">
        <v>1449</v>
      </c>
      <c r="S3095" s="17">
        <v>42142</v>
      </c>
      <c r="T3095" s="17">
        <v>42142</v>
      </c>
      <c r="W3095">
        <v>2015</v>
      </c>
      <c r="X3095">
        <v>24</v>
      </c>
      <c r="AC3095" t="s">
        <v>51</v>
      </c>
      <c r="AD3095" t="s">
        <v>302</v>
      </c>
      <c r="AE3095" t="s">
        <v>46</v>
      </c>
      <c r="AG3095">
        <v>8</v>
      </c>
      <c r="AH3095">
        <v>8</v>
      </c>
      <c r="AI3095" t="s">
        <v>52</v>
      </c>
      <c r="AM3095">
        <v>0</v>
      </c>
      <c r="AO3095">
        <v>52</v>
      </c>
      <c r="AP3095" t="s">
        <v>1201</v>
      </c>
    </row>
    <row r="3096" spans="1:42" customFormat="1">
      <c r="A3096">
        <v>270263</v>
      </c>
      <c r="B3096" t="s">
        <v>219</v>
      </c>
      <c r="C3096" t="s">
        <v>3210</v>
      </c>
      <c r="D3096" s="22">
        <v>21000</v>
      </c>
      <c r="E3096" s="17">
        <v>42138</v>
      </c>
      <c r="F3096" s="18">
        <v>0.68042824074074071</v>
      </c>
      <c r="G3096" s="22">
        <v>0</v>
      </c>
      <c r="H3096">
        <v>0</v>
      </c>
      <c r="I3096" s="19" t="e">
        <f>I3095 + (D3096-G3096)</f>
        <v>#VALUE!</v>
      </c>
      <c r="N3096">
        <v>24</v>
      </c>
      <c r="O3096" t="s">
        <v>68</v>
      </c>
      <c r="P3096">
        <v>1</v>
      </c>
      <c r="R3096">
        <v>1449</v>
      </c>
      <c r="S3096" s="17">
        <v>42142</v>
      </c>
      <c r="T3096" s="17">
        <v>42142</v>
      </c>
      <c r="W3096">
        <v>2015</v>
      </c>
      <c r="X3096">
        <v>24</v>
      </c>
      <c r="AA3096">
        <v>270262</v>
      </c>
      <c r="AC3096" t="s">
        <v>51</v>
      </c>
      <c r="AD3096" t="s">
        <v>302</v>
      </c>
      <c r="AE3096" t="s">
        <v>46</v>
      </c>
      <c r="AG3096">
        <v>52</v>
      </c>
      <c r="AH3096">
        <v>8</v>
      </c>
      <c r="AI3096" t="s">
        <v>52</v>
      </c>
      <c r="AM3096">
        <v>0</v>
      </c>
      <c r="AP3096" t="s">
        <v>325</v>
      </c>
    </row>
    <row r="3097" spans="1:42" customFormat="1">
      <c r="A3097">
        <v>270264</v>
      </c>
      <c r="B3097" t="s">
        <v>219</v>
      </c>
      <c r="C3097" t="s">
        <v>219</v>
      </c>
      <c r="D3097" s="22">
        <v>0</v>
      </c>
      <c r="E3097" s="17">
        <v>42138</v>
      </c>
      <c r="F3097" s="18">
        <v>0.68108796296296292</v>
      </c>
      <c r="G3097" s="22">
        <v>22000</v>
      </c>
      <c r="H3097">
        <v>0</v>
      </c>
      <c r="I3097" s="19" t="e">
        <f>I3096 + (D3097-G3097)</f>
        <v>#VALUE!</v>
      </c>
      <c r="N3097">
        <v>24</v>
      </c>
      <c r="O3097" t="s">
        <v>68</v>
      </c>
      <c r="P3097">
        <v>1</v>
      </c>
      <c r="R3097">
        <v>1449</v>
      </c>
      <c r="S3097" s="17">
        <v>42142</v>
      </c>
      <c r="T3097" s="17">
        <v>42142</v>
      </c>
      <c r="W3097">
        <v>2015</v>
      </c>
      <c r="X3097">
        <v>24</v>
      </c>
      <c r="AC3097" t="s">
        <v>51</v>
      </c>
      <c r="AD3097" t="s">
        <v>302</v>
      </c>
      <c r="AE3097" t="s">
        <v>46</v>
      </c>
      <c r="AG3097">
        <v>2</v>
      </c>
      <c r="AH3097">
        <v>8</v>
      </c>
      <c r="AI3097" t="s">
        <v>52</v>
      </c>
      <c r="AM3097">
        <v>0</v>
      </c>
      <c r="AO3097">
        <v>8</v>
      </c>
      <c r="AP3097" t="s">
        <v>2544</v>
      </c>
    </row>
    <row r="3098" spans="1:42" customFormat="1">
      <c r="A3098">
        <v>270265</v>
      </c>
      <c r="B3098" t="s">
        <v>219</v>
      </c>
      <c r="C3098" t="s">
        <v>3211</v>
      </c>
      <c r="D3098" s="22">
        <v>22000</v>
      </c>
      <c r="E3098" s="17">
        <v>42138</v>
      </c>
      <c r="F3098" s="18">
        <v>0.68108796296296292</v>
      </c>
      <c r="G3098" s="22">
        <v>0</v>
      </c>
      <c r="H3098">
        <v>0</v>
      </c>
      <c r="I3098" s="19" t="e">
        <f>I3097 + (D3098-G3098)</f>
        <v>#VALUE!</v>
      </c>
      <c r="N3098">
        <v>24</v>
      </c>
      <c r="O3098" t="s">
        <v>68</v>
      </c>
      <c r="P3098">
        <v>1</v>
      </c>
      <c r="R3098">
        <v>1449</v>
      </c>
      <c r="S3098" s="17">
        <v>42142</v>
      </c>
      <c r="T3098" s="17">
        <v>42142</v>
      </c>
      <c r="W3098">
        <v>2015</v>
      </c>
      <c r="X3098">
        <v>24</v>
      </c>
      <c r="AA3098">
        <v>270264</v>
      </c>
      <c r="AC3098" t="s">
        <v>51</v>
      </c>
      <c r="AD3098" t="s">
        <v>302</v>
      </c>
      <c r="AE3098" t="s">
        <v>46</v>
      </c>
      <c r="AG3098">
        <v>8</v>
      </c>
      <c r="AH3098">
        <v>8</v>
      </c>
      <c r="AI3098" t="s">
        <v>52</v>
      </c>
      <c r="AM3098">
        <v>0</v>
      </c>
      <c r="AP3098" t="s">
        <v>1201</v>
      </c>
    </row>
    <row r="3099" spans="1:42" customFormat="1">
      <c r="A3099">
        <v>270873</v>
      </c>
      <c r="B3099" t="s">
        <v>3212</v>
      </c>
      <c r="C3099" t="s">
        <v>3212</v>
      </c>
      <c r="D3099" s="22">
        <v>0</v>
      </c>
      <c r="E3099" s="17">
        <v>42138</v>
      </c>
      <c r="F3099" s="18">
        <v>0.6939467592592593</v>
      </c>
      <c r="G3099" s="22">
        <v>22000</v>
      </c>
      <c r="H3099">
        <v>0</v>
      </c>
      <c r="I3099" s="19" t="e">
        <f>I3098 + (D3099-G3099)</f>
        <v>#VALUE!</v>
      </c>
      <c r="N3099">
        <v>24</v>
      </c>
      <c r="O3099" t="s">
        <v>68</v>
      </c>
      <c r="P3099">
        <v>1</v>
      </c>
      <c r="R3099">
        <v>1449</v>
      </c>
      <c r="S3099" s="17">
        <v>42146</v>
      </c>
      <c r="T3099" s="17">
        <v>42146</v>
      </c>
      <c r="W3099">
        <v>2015</v>
      </c>
      <c r="X3099">
        <v>24</v>
      </c>
      <c r="AC3099" t="s">
        <v>51</v>
      </c>
      <c r="AD3099" t="s">
        <v>302</v>
      </c>
      <c r="AE3099" t="s">
        <v>46</v>
      </c>
      <c r="AG3099">
        <v>8</v>
      </c>
      <c r="AH3099">
        <v>8</v>
      </c>
      <c r="AI3099" t="s">
        <v>52</v>
      </c>
      <c r="AM3099">
        <v>0</v>
      </c>
      <c r="AO3099">
        <v>52</v>
      </c>
      <c r="AP3099" t="s">
        <v>1201</v>
      </c>
    </row>
    <row r="3100" spans="1:42" customFormat="1">
      <c r="A3100">
        <v>270874</v>
      </c>
      <c r="B3100" t="s">
        <v>3212</v>
      </c>
      <c r="C3100" t="s">
        <v>3213</v>
      </c>
      <c r="D3100" s="22">
        <v>22000</v>
      </c>
      <c r="E3100" s="17">
        <v>42138</v>
      </c>
      <c r="F3100" s="18">
        <v>0.6939467592592593</v>
      </c>
      <c r="G3100" s="22">
        <v>0</v>
      </c>
      <c r="H3100">
        <v>0</v>
      </c>
      <c r="I3100" s="19" t="e">
        <f>I3099 + (D3100-G3100)</f>
        <v>#VALUE!</v>
      </c>
      <c r="N3100">
        <v>24</v>
      </c>
      <c r="O3100" t="s">
        <v>68</v>
      </c>
      <c r="P3100">
        <v>1</v>
      </c>
      <c r="R3100">
        <v>1449</v>
      </c>
      <c r="S3100" s="17">
        <v>42146</v>
      </c>
      <c r="T3100" s="17">
        <v>42146</v>
      </c>
      <c r="W3100">
        <v>2015</v>
      </c>
      <c r="X3100">
        <v>24</v>
      </c>
      <c r="AA3100">
        <v>270873</v>
      </c>
      <c r="AC3100" t="s">
        <v>51</v>
      </c>
      <c r="AD3100" t="s">
        <v>302</v>
      </c>
      <c r="AE3100" t="s">
        <v>46</v>
      </c>
      <c r="AG3100">
        <v>52</v>
      </c>
      <c r="AH3100">
        <v>8</v>
      </c>
      <c r="AI3100" t="s">
        <v>52</v>
      </c>
      <c r="AM3100">
        <v>0</v>
      </c>
      <c r="AP3100" t="s">
        <v>325</v>
      </c>
    </row>
    <row r="3101" spans="1:42" customFormat="1">
      <c r="A3101">
        <v>271027</v>
      </c>
      <c r="B3101" t="s">
        <v>102</v>
      </c>
      <c r="C3101" t="s">
        <v>3397</v>
      </c>
      <c r="D3101" s="22">
        <v>220</v>
      </c>
      <c r="E3101" s="17">
        <v>42139</v>
      </c>
      <c r="F3101" s="18">
        <v>0.42668981481481483</v>
      </c>
      <c r="G3101" s="22">
        <v>0</v>
      </c>
      <c r="H3101">
        <v>0</v>
      </c>
      <c r="I3101" s="19" t="e">
        <f>I3100 + (D3101-G3101)</f>
        <v>#VALUE!</v>
      </c>
      <c r="N3101">
        <v>7</v>
      </c>
      <c r="O3101" t="s">
        <v>44</v>
      </c>
      <c r="P3101">
        <v>1</v>
      </c>
      <c r="R3101">
        <v>1449</v>
      </c>
      <c r="S3101" s="17">
        <v>42150</v>
      </c>
      <c r="T3101" s="17">
        <v>42150</v>
      </c>
      <c r="W3101">
        <v>2015</v>
      </c>
      <c r="X3101">
        <v>7</v>
      </c>
      <c r="AC3101" t="s">
        <v>51</v>
      </c>
      <c r="AD3101" t="s">
        <v>302</v>
      </c>
      <c r="AE3101" t="s">
        <v>46</v>
      </c>
      <c r="AG3101">
        <v>118</v>
      </c>
      <c r="AH3101">
        <v>9</v>
      </c>
      <c r="AI3101" t="s">
        <v>54</v>
      </c>
      <c r="AM3101">
        <v>0</v>
      </c>
      <c r="AP3101" t="s">
        <v>418</v>
      </c>
    </row>
    <row r="3102" spans="1:42" customFormat="1">
      <c r="A3102">
        <v>270613</v>
      </c>
      <c r="B3102" t="s">
        <v>3398</v>
      </c>
      <c r="C3102" t="s">
        <v>3399</v>
      </c>
      <c r="D3102" s="22">
        <v>0</v>
      </c>
      <c r="E3102" s="17">
        <v>42139</v>
      </c>
      <c r="F3102" s="18">
        <v>0.42704861111111114</v>
      </c>
      <c r="G3102" s="22">
        <v>5000</v>
      </c>
      <c r="H3102">
        <v>0</v>
      </c>
      <c r="I3102" s="19" t="e">
        <f>I3101 + (D3102-G3102)</f>
        <v>#VALUE!</v>
      </c>
      <c r="N3102">
        <v>24</v>
      </c>
      <c r="O3102" t="s">
        <v>68</v>
      </c>
      <c r="P3102">
        <v>1</v>
      </c>
      <c r="R3102">
        <v>1449</v>
      </c>
      <c r="S3102" s="17">
        <v>42145</v>
      </c>
      <c r="T3102" s="17">
        <v>42145</v>
      </c>
      <c r="W3102">
        <v>2015</v>
      </c>
      <c r="X3102">
        <v>24</v>
      </c>
      <c r="AC3102" t="s">
        <v>51</v>
      </c>
      <c r="AD3102" t="s">
        <v>302</v>
      </c>
      <c r="AE3102" t="s">
        <v>46</v>
      </c>
      <c r="AG3102">
        <v>4</v>
      </c>
      <c r="AH3102">
        <v>8</v>
      </c>
      <c r="AI3102" t="s">
        <v>52</v>
      </c>
      <c r="AM3102">
        <v>0</v>
      </c>
      <c r="AO3102">
        <v>56</v>
      </c>
      <c r="AP3102" t="s">
        <v>389</v>
      </c>
    </row>
    <row r="3103" spans="1:42" customFormat="1">
      <c r="A3103">
        <v>270614</v>
      </c>
      <c r="B3103" t="s">
        <v>3398</v>
      </c>
      <c r="C3103" t="s">
        <v>3400</v>
      </c>
      <c r="D3103" s="22">
        <v>5000</v>
      </c>
      <c r="E3103" s="17">
        <v>42139</v>
      </c>
      <c r="F3103" s="18">
        <v>0.42704861111111114</v>
      </c>
      <c r="G3103" s="22">
        <v>0</v>
      </c>
      <c r="H3103">
        <v>0</v>
      </c>
      <c r="I3103" s="19" t="e">
        <f>I3102 + (D3103-G3103)</f>
        <v>#VALUE!</v>
      </c>
      <c r="N3103">
        <v>24</v>
      </c>
      <c r="O3103" t="s">
        <v>68</v>
      </c>
      <c r="P3103">
        <v>1</v>
      </c>
      <c r="R3103">
        <v>1449</v>
      </c>
      <c r="S3103" s="17">
        <v>42145</v>
      </c>
      <c r="T3103" s="17">
        <v>42145</v>
      </c>
      <c r="W3103">
        <v>2015</v>
      </c>
      <c r="X3103">
        <v>24</v>
      </c>
      <c r="AA3103">
        <v>270613</v>
      </c>
      <c r="AC3103" t="s">
        <v>51</v>
      </c>
      <c r="AD3103" t="s">
        <v>302</v>
      </c>
      <c r="AE3103" t="s">
        <v>46</v>
      </c>
      <c r="AG3103">
        <v>56</v>
      </c>
      <c r="AH3103">
        <v>8</v>
      </c>
      <c r="AI3103" t="s">
        <v>52</v>
      </c>
      <c r="AM3103">
        <v>0</v>
      </c>
      <c r="AP3103" t="s">
        <v>59</v>
      </c>
    </row>
    <row r="3104" spans="1:42" customFormat="1">
      <c r="A3104">
        <v>273136</v>
      </c>
      <c r="B3104" t="s">
        <v>219</v>
      </c>
      <c r="C3104" t="s">
        <v>219</v>
      </c>
      <c r="D3104" s="22">
        <v>0</v>
      </c>
      <c r="E3104" s="17">
        <v>42139</v>
      </c>
      <c r="F3104" s="18">
        <v>0.4293865740740741</v>
      </c>
      <c r="G3104" s="22">
        <v>10300</v>
      </c>
      <c r="H3104">
        <v>0</v>
      </c>
      <c r="I3104" s="19" t="e">
        <f>I3103 + (D3104-G3104)</f>
        <v>#VALUE!</v>
      </c>
      <c r="N3104">
        <v>24</v>
      </c>
      <c r="O3104" t="s">
        <v>68</v>
      </c>
      <c r="P3104">
        <v>1</v>
      </c>
      <c r="R3104">
        <v>1449</v>
      </c>
      <c r="S3104" s="17">
        <v>42171</v>
      </c>
      <c r="T3104" s="17">
        <v>42171</v>
      </c>
      <c r="W3104">
        <v>2015</v>
      </c>
      <c r="X3104">
        <v>24</v>
      </c>
      <c r="AC3104" t="s">
        <v>51</v>
      </c>
      <c r="AD3104" t="s">
        <v>302</v>
      </c>
      <c r="AE3104" t="s">
        <v>46</v>
      </c>
      <c r="AG3104">
        <v>8</v>
      </c>
      <c r="AH3104">
        <v>8</v>
      </c>
      <c r="AI3104" t="s">
        <v>52</v>
      </c>
      <c r="AM3104">
        <v>0</v>
      </c>
      <c r="AO3104">
        <v>99</v>
      </c>
      <c r="AP3104" t="s">
        <v>1201</v>
      </c>
    </row>
    <row r="3105" spans="1:42" customFormat="1">
      <c r="A3105">
        <v>273137</v>
      </c>
      <c r="B3105" t="s">
        <v>219</v>
      </c>
      <c r="C3105" t="s">
        <v>3407</v>
      </c>
      <c r="D3105" s="22">
        <v>10300</v>
      </c>
      <c r="E3105" s="17">
        <v>42139</v>
      </c>
      <c r="F3105" s="18">
        <v>0.4293865740740741</v>
      </c>
      <c r="G3105" s="22">
        <v>0</v>
      </c>
      <c r="H3105">
        <v>0</v>
      </c>
      <c r="I3105" s="19" t="e">
        <f>I3104 + (D3105-G3105)</f>
        <v>#VALUE!</v>
      </c>
      <c r="N3105">
        <v>24</v>
      </c>
      <c r="O3105" t="s">
        <v>68</v>
      </c>
      <c r="P3105">
        <v>1</v>
      </c>
      <c r="R3105">
        <v>1449</v>
      </c>
      <c r="S3105" s="17">
        <v>42171</v>
      </c>
      <c r="T3105" s="17">
        <v>42171</v>
      </c>
      <c r="W3105">
        <v>2015</v>
      </c>
      <c r="X3105">
        <v>24</v>
      </c>
      <c r="AA3105">
        <v>273136</v>
      </c>
      <c r="AC3105" t="s">
        <v>51</v>
      </c>
      <c r="AD3105" t="s">
        <v>302</v>
      </c>
      <c r="AE3105" t="s">
        <v>46</v>
      </c>
      <c r="AG3105">
        <v>99</v>
      </c>
      <c r="AH3105">
        <v>8</v>
      </c>
      <c r="AI3105" t="s">
        <v>52</v>
      </c>
      <c r="AM3105">
        <v>0</v>
      </c>
      <c r="AP3105" t="s">
        <v>3408</v>
      </c>
    </row>
    <row r="3106" spans="1:42" customFormat="1">
      <c r="A3106">
        <v>272806</v>
      </c>
      <c r="B3106" t="s">
        <v>102</v>
      </c>
      <c r="C3106" t="s">
        <v>3445</v>
      </c>
      <c r="D3106" s="22">
        <v>0</v>
      </c>
      <c r="E3106" s="17">
        <v>42139</v>
      </c>
      <c r="F3106" s="18">
        <v>0.44432870370370375</v>
      </c>
      <c r="G3106" s="22">
        <v>70000</v>
      </c>
      <c r="H3106">
        <v>0</v>
      </c>
      <c r="I3106" s="19" t="e">
        <f>I3105 + (D3106-G3106)</f>
        <v>#VALUE!</v>
      </c>
      <c r="N3106">
        <v>60</v>
      </c>
      <c r="O3106" t="s">
        <v>60</v>
      </c>
      <c r="P3106">
        <v>1</v>
      </c>
      <c r="R3106">
        <v>1449</v>
      </c>
      <c r="S3106" s="17">
        <v>42166</v>
      </c>
      <c r="T3106" s="17">
        <v>42166</v>
      </c>
      <c r="W3106">
        <v>2015</v>
      </c>
      <c r="X3106">
        <v>60</v>
      </c>
      <c r="AC3106" t="s">
        <v>51</v>
      </c>
      <c r="AD3106" t="s">
        <v>302</v>
      </c>
      <c r="AE3106" t="s">
        <v>46</v>
      </c>
      <c r="AG3106">
        <v>52</v>
      </c>
      <c r="AH3106">
        <v>9</v>
      </c>
      <c r="AI3106" t="s">
        <v>54</v>
      </c>
      <c r="AM3106">
        <v>0</v>
      </c>
      <c r="AP3106" t="s">
        <v>325</v>
      </c>
    </row>
    <row r="3107" spans="1:42" customFormat="1">
      <c r="A3107">
        <v>274070</v>
      </c>
      <c r="B3107" t="s">
        <v>3459</v>
      </c>
      <c r="C3107" t="s">
        <v>3459</v>
      </c>
      <c r="D3107" s="22">
        <v>0</v>
      </c>
      <c r="E3107" s="17">
        <v>42139</v>
      </c>
      <c r="F3107" s="18">
        <v>0.56515046296296301</v>
      </c>
      <c r="G3107" s="22">
        <v>15000</v>
      </c>
      <c r="H3107">
        <v>0</v>
      </c>
      <c r="I3107" s="19" t="e">
        <f>I3106 + (D3107-G3107)</f>
        <v>#VALUE!</v>
      </c>
      <c r="N3107">
        <v>60</v>
      </c>
      <c r="O3107" t="s">
        <v>60</v>
      </c>
      <c r="P3107">
        <v>1</v>
      </c>
      <c r="R3107">
        <v>1449</v>
      </c>
      <c r="S3107" s="17">
        <v>42180</v>
      </c>
      <c r="T3107" s="17">
        <v>42180</v>
      </c>
      <c r="W3107">
        <v>2015</v>
      </c>
      <c r="X3107">
        <v>60</v>
      </c>
      <c r="AC3107" t="s">
        <v>51</v>
      </c>
      <c r="AD3107" t="s">
        <v>302</v>
      </c>
      <c r="AE3107" t="s">
        <v>46</v>
      </c>
      <c r="AG3107">
        <v>3</v>
      </c>
      <c r="AH3107">
        <v>8</v>
      </c>
      <c r="AI3107" t="s">
        <v>52</v>
      </c>
      <c r="AM3107">
        <v>0</v>
      </c>
      <c r="AO3107">
        <v>52</v>
      </c>
      <c r="AP3107" t="s">
        <v>80</v>
      </c>
    </row>
    <row r="3108" spans="1:42" customFormat="1">
      <c r="A3108">
        <v>274071</v>
      </c>
      <c r="B3108" t="s">
        <v>3459</v>
      </c>
      <c r="C3108" t="s">
        <v>3460</v>
      </c>
      <c r="D3108" s="22">
        <v>15000</v>
      </c>
      <c r="E3108" s="17">
        <v>42139</v>
      </c>
      <c r="F3108" s="18">
        <v>0.56515046296296301</v>
      </c>
      <c r="G3108" s="22">
        <v>0</v>
      </c>
      <c r="H3108">
        <v>0</v>
      </c>
      <c r="I3108" s="19" t="e">
        <f>I3107 + (D3108-G3108)</f>
        <v>#VALUE!</v>
      </c>
      <c r="N3108">
        <v>60</v>
      </c>
      <c r="O3108" t="s">
        <v>60</v>
      </c>
      <c r="P3108">
        <v>1</v>
      </c>
      <c r="R3108">
        <v>1449</v>
      </c>
      <c r="S3108" s="17">
        <v>42180</v>
      </c>
      <c r="T3108" s="17">
        <v>42180</v>
      </c>
      <c r="W3108">
        <v>2015</v>
      </c>
      <c r="X3108">
        <v>60</v>
      </c>
      <c r="AA3108">
        <v>274070</v>
      </c>
      <c r="AC3108" t="s">
        <v>51</v>
      </c>
      <c r="AD3108" t="s">
        <v>302</v>
      </c>
      <c r="AE3108" t="s">
        <v>46</v>
      </c>
      <c r="AG3108">
        <v>52</v>
      </c>
      <c r="AH3108">
        <v>8</v>
      </c>
      <c r="AI3108" t="s">
        <v>52</v>
      </c>
      <c r="AM3108">
        <v>0</v>
      </c>
      <c r="AP3108" t="s">
        <v>325</v>
      </c>
    </row>
    <row r="3109" spans="1:42" customFormat="1">
      <c r="A3109">
        <v>270238</v>
      </c>
      <c r="B3109" t="s">
        <v>219</v>
      </c>
      <c r="C3109" t="s">
        <v>219</v>
      </c>
      <c r="D3109" s="22">
        <v>0</v>
      </c>
      <c r="E3109" s="17">
        <v>42139</v>
      </c>
      <c r="F3109" s="18">
        <v>0.67484953703703709</v>
      </c>
      <c r="G3109" s="22">
        <v>2250</v>
      </c>
      <c r="H3109">
        <v>0</v>
      </c>
      <c r="I3109" s="19" t="e">
        <f>I3108 + (D3109-G3109)</f>
        <v>#VALUE!</v>
      </c>
      <c r="N3109">
        <v>24</v>
      </c>
      <c r="O3109" t="s">
        <v>68</v>
      </c>
      <c r="P3109">
        <v>1</v>
      </c>
      <c r="R3109">
        <v>1449</v>
      </c>
      <c r="S3109" s="17">
        <v>42142</v>
      </c>
      <c r="T3109" s="17">
        <v>42142</v>
      </c>
      <c r="W3109">
        <v>2015</v>
      </c>
      <c r="X3109">
        <v>24</v>
      </c>
      <c r="AC3109" t="s">
        <v>51</v>
      </c>
      <c r="AD3109" t="s">
        <v>302</v>
      </c>
      <c r="AE3109" t="s">
        <v>46</v>
      </c>
      <c r="AG3109">
        <v>26</v>
      </c>
      <c r="AH3109">
        <v>8</v>
      </c>
      <c r="AI3109" t="s">
        <v>52</v>
      </c>
      <c r="AM3109">
        <v>0</v>
      </c>
      <c r="AO3109">
        <v>4</v>
      </c>
      <c r="AP3109" t="s">
        <v>501</v>
      </c>
    </row>
    <row r="3110" spans="1:42" customFormat="1">
      <c r="A3110">
        <v>270239</v>
      </c>
      <c r="B3110" t="s">
        <v>219</v>
      </c>
      <c r="C3110" t="s">
        <v>3484</v>
      </c>
      <c r="D3110" s="22">
        <v>2250</v>
      </c>
      <c r="E3110" s="17">
        <v>42139</v>
      </c>
      <c r="F3110" s="18">
        <v>0.67484953703703709</v>
      </c>
      <c r="G3110" s="22">
        <v>0</v>
      </c>
      <c r="H3110">
        <v>0</v>
      </c>
      <c r="I3110" s="19" t="e">
        <f>I3109 + (D3110-G3110)</f>
        <v>#VALUE!</v>
      </c>
      <c r="N3110">
        <v>24</v>
      </c>
      <c r="O3110" t="s">
        <v>68</v>
      </c>
      <c r="P3110">
        <v>1</v>
      </c>
      <c r="R3110">
        <v>1449</v>
      </c>
      <c r="S3110" s="17">
        <v>42142</v>
      </c>
      <c r="T3110" s="17">
        <v>42142</v>
      </c>
      <c r="W3110">
        <v>2015</v>
      </c>
      <c r="X3110">
        <v>24</v>
      </c>
      <c r="AA3110">
        <v>270238</v>
      </c>
      <c r="AC3110" t="s">
        <v>51</v>
      </c>
      <c r="AD3110" t="s">
        <v>302</v>
      </c>
      <c r="AE3110" t="s">
        <v>46</v>
      </c>
      <c r="AG3110">
        <v>4</v>
      </c>
      <c r="AH3110">
        <v>8</v>
      </c>
      <c r="AI3110" t="s">
        <v>52</v>
      </c>
      <c r="AM3110">
        <v>0</v>
      </c>
      <c r="AP3110" t="s">
        <v>389</v>
      </c>
    </row>
    <row r="3111" spans="1:42" customFormat="1">
      <c r="A3111">
        <v>270240</v>
      </c>
      <c r="B3111" t="s">
        <v>219</v>
      </c>
      <c r="C3111" t="s">
        <v>219</v>
      </c>
      <c r="D3111" s="22">
        <v>0</v>
      </c>
      <c r="E3111" s="17">
        <v>42139</v>
      </c>
      <c r="F3111" s="18">
        <v>0.67563657407407407</v>
      </c>
      <c r="G3111" s="22">
        <v>10200</v>
      </c>
      <c r="H3111">
        <v>0</v>
      </c>
      <c r="I3111" s="19" t="e">
        <f>I3110 + (D3111-G3111)</f>
        <v>#VALUE!</v>
      </c>
      <c r="N3111">
        <v>24</v>
      </c>
      <c r="O3111" t="s">
        <v>68</v>
      </c>
      <c r="P3111">
        <v>1</v>
      </c>
      <c r="R3111">
        <v>1449</v>
      </c>
      <c r="S3111" s="17">
        <v>42142</v>
      </c>
      <c r="T3111" s="17">
        <v>42142</v>
      </c>
      <c r="W3111">
        <v>2015</v>
      </c>
      <c r="X3111">
        <v>24</v>
      </c>
      <c r="AC3111" t="s">
        <v>51</v>
      </c>
      <c r="AD3111" t="s">
        <v>302</v>
      </c>
      <c r="AE3111" t="s">
        <v>46</v>
      </c>
      <c r="AG3111">
        <v>4</v>
      </c>
      <c r="AH3111">
        <v>8</v>
      </c>
      <c r="AI3111" t="s">
        <v>52</v>
      </c>
      <c r="AM3111">
        <v>0</v>
      </c>
      <c r="AO3111">
        <v>26</v>
      </c>
      <c r="AP3111" t="s">
        <v>389</v>
      </c>
    </row>
    <row r="3112" spans="1:42" customFormat="1">
      <c r="A3112">
        <v>270241</v>
      </c>
      <c r="B3112" t="s">
        <v>219</v>
      </c>
      <c r="C3112" t="s">
        <v>3485</v>
      </c>
      <c r="D3112" s="22">
        <v>10200</v>
      </c>
      <c r="E3112" s="17">
        <v>42139</v>
      </c>
      <c r="F3112" s="18">
        <v>0.67563657407407407</v>
      </c>
      <c r="G3112" s="22">
        <v>0</v>
      </c>
      <c r="H3112">
        <v>0</v>
      </c>
      <c r="I3112" s="19" t="e">
        <f>I3111 + (D3112-G3112)</f>
        <v>#VALUE!</v>
      </c>
      <c r="N3112">
        <v>24</v>
      </c>
      <c r="O3112" t="s">
        <v>68</v>
      </c>
      <c r="P3112">
        <v>1</v>
      </c>
      <c r="R3112">
        <v>1449</v>
      </c>
      <c r="S3112" s="17">
        <v>42142</v>
      </c>
      <c r="T3112" s="17">
        <v>42142</v>
      </c>
      <c r="W3112">
        <v>2015</v>
      </c>
      <c r="X3112">
        <v>24</v>
      </c>
      <c r="AA3112">
        <v>270240</v>
      </c>
      <c r="AC3112" t="s">
        <v>51</v>
      </c>
      <c r="AD3112" t="s">
        <v>302</v>
      </c>
      <c r="AE3112" t="s">
        <v>46</v>
      </c>
      <c r="AG3112">
        <v>26</v>
      </c>
      <c r="AH3112">
        <v>8</v>
      </c>
      <c r="AI3112" t="s">
        <v>52</v>
      </c>
      <c r="AM3112">
        <v>0</v>
      </c>
      <c r="AP3112" t="s">
        <v>501</v>
      </c>
    </row>
    <row r="3113" spans="1:42" customFormat="1">
      <c r="A3113">
        <v>270242</v>
      </c>
      <c r="B3113" t="s">
        <v>219</v>
      </c>
      <c r="C3113" t="s">
        <v>219</v>
      </c>
      <c r="D3113" s="22">
        <v>0</v>
      </c>
      <c r="E3113" s="17">
        <v>42139</v>
      </c>
      <c r="F3113" s="18">
        <v>0.67605324074074069</v>
      </c>
      <c r="G3113" s="22">
        <v>9000</v>
      </c>
      <c r="H3113">
        <v>0</v>
      </c>
      <c r="I3113" s="19" t="e">
        <f>I3112 + (D3113-G3113)</f>
        <v>#VALUE!</v>
      </c>
      <c r="N3113">
        <v>24</v>
      </c>
      <c r="O3113" t="s">
        <v>68</v>
      </c>
      <c r="P3113">
        <v>1</v>
      </c>
      <c r="R3113">
        <v>1449</v>
      </c>
      <c r="S3113" s="17">
        <v>42142</v>
      </c>
      <c r="T3113" s="17">
        <v>42142</v>
      </c>
      <c r="W3113">
        <v>2015</v>
      </c>
      <c r="X3113">
        <v>24</v>
      </c>
      <c r="AC3113" t="s">
        <v>51</v>
      </c>
      <c r="AD3113" t="s">
        <v>302</v>
      </c>
      <c r="AE3113" t="s">
        <v>46</v>
      </c>
      <c r="AG3113">
        <v>4</v>
      </c>
      <c r="AH3113">
        <v>8</v>
      </c>
      <c r="AI3113" t="s">
        <v>52</v>
      </c>
      <c r="AM3113">
        <v>0</v>
      </c>
      <c r="AO3113">
        <v>26</v>
      </c>
      <c r="AP3113" t="s">
        <v>389</v>
      </c>
    </row>
    <row r="3114" spans="1:42" customFormat="1">
      <c r="A3114">
        <v>270243</v>
      </c>
      <c r="B3114" t="s">
        <v>219</v>
      </c>
      <c r="C3114" t="s">
        <v>3486</v>
      </c>
      <c r="D3114" s="22">
        <v>9000</v>
      </c>
      <c r="E3114" s="17">
        <v>42139</v>
      </c>
      <c r="F3114" s="18">
        <v>0.67605324074074069</v>
      </c>
      <c r="G3114" s="22">
        <v>0</v>
      </c>
      <c r="H3114">
        <v>0</v>
      </c>
      <c r="I3114" s="19" t="e">
        <f>I3113 + (D3114-G3114)</f>
        <v>#VALUE!</v>
      </c>
      <c r="N3114">
        <v>24</v>
      </c>
      <c r="O3114" t="s">
        <v>68</v>
      </c>
      <c r="P3114">
        <v>1</v>
      </c>
      <c r="R3114">
        <v>1449</v>
      </c>
      <c r="S3114" s="17">
        <v>42142</v>
      </c>
      <c r="T3114" s="17">
        <v>42142</v>
      </c>
      <c r="W3114">
        <v>2015</v>
      </c>
      <c r="X3114">
        <v>24</v>
      </c>
      <c r="AA3114">
        <v>270242</v>
      </c>
      <c r="AC3114" t="s">
        <v>51</v>
      </c>
      <c r="AD3114" t="s">
        <v>302</v>
      </c>
      <c r="AE3114" t="s">
        <v>46</v>
      </c>
      <c r="AG3114">
        <v>26</v>
      </c>
      <c r="AH3114">
        <v>8</v>
      </c>
      <c r="AI3114" t="s">
        <v>52</v>
      </c>
      <c r="AM3114">
        <v>0</v>
      </c>
      <c r="AP3114" t="s">
        <v>501</v>
      </c>
    </row>
    <row r="3115" spans="1:42" customFormat="1">
      <c r="A3115">
        <v>270244</v>
      </c>
      <c r="B3115" t="s">
        <v>219</v>
      </c>
      <c r="C3115" t="s">
        <v>219</v>
      </c>
      <c r="D3115" s="22">
        <v>0</v>
      </c>
      <c r="E3115" s="17">
        <v>42139</v>
      </c>
      <c r="F3115" s="18">
        <v>0.67636574074074074</v>
      </c>
      <c r="G3115" s="22">
        <v>10300</v>
      </c>
      <c r="H3115">
        <v>0</v>
      </c>
      <c r="I3115" s="19" t="e">
        <f>I3114 + (D3115-G3115)</f>
        <v>#VALUE!</v>
      </c>
      <c r="N3115">
        <v>24</v>
      </c>
      <c r="O3115" t="s">
        <v>68</v>
      </c>
      <c r="P3115">
        <v>1</v>
      </c>
      <c r="R3115">
        <v>1449</v>
      </c>
      <c r="S3115" s="17">
        <v>42142</v>
      </c>
      <c r="T3115" s="17">
        <v>42142</v>
      </c>
      <c r="W3115">
        <v>2015</v>
      </c>
      <c r="X3115">
        <v>24</v>
      </c>
      <c r="AC3115" t="s">
        <v>51</v>
      </c>
      <c r="AD3115" t="s">
        <v>302</v>
      </c>
      <c r="AE3115" t="s">
        <v>46</v>
      </c>
      <c r="AG3115">
        <v>4</v>
      </c>
      <c r="AH3115">
        <v>8</v>
      </c>
      <c r="AI3115" t="s">
        <v>52</v>
      </c>
      <c r="AM3115">
        <v>0</v>
      </c>
      <c r="AO3115">
        <v>8</v>
      </c>
      <c r="AP3115" t="s">
        <v>389</v>
      </c>
    </row>
    <row r="3116" spans="1:42" customFormat="1">
      <c r="A3116">
        <v>270245</v>
      </c>
      <c r="B3116" t="s">
        <v>219</v>
      </c>
      <c r="C3116" t="s">
        <v>3487</v>
      </c>
      <c r="D3116" s="22">
        <v>10300</v>
      </c>
      <c r="E3116" s="17">
        <v>42139</v>
      </c>
      <c r="F3116" s="18">
        <v>0.67636574074074074</v>
      </c>
      <c r="G3116" s="22">
        <v>0</v>
      </c>
      <c r="H3116">
        <v>0</v>
      </c>
      <c r="I3116" s="19" t="e">
        <f>I3115 + (D3116-G3116)</f>
        <v>#VALUE!</v>
      </c>
      <c r="N3116">
        <v>24</v>
      </c>
      <c r="O3116" t="s">
        <v>68</v>
      </c>
      <c r="P3116">
        <v>1</v>
      </c>
      <c r="R3116">
        <v>1449</v>
      </c>
      <c r="S3116" s="17">
        <v>42142</v>
      </c>
      <c r="T3116" s="17">
        <v>42142</v>
      </c>
      <c r="W3116">
        <v>2015</v>
      </c>
      <c r="X3116">
        <v>24</v>
      </c>
      <c r="AA3116">
        <v>270244</v>
      </c>
      <c r="AC3116" t="s">
        <v>51</v>
      </c>
      <c r="AD3116" t="s">
        <v>302</v>
      </c>
      <c r="AE3116" t="s">
        <v>46</v>
      </c>
      <c r="AG3116">
        <v>8</v>
      </c>
      <c r="AH3116">
        <v>8</v>
      </c>
      <c r="AI3116" t="s">
        <v>52</v>
      </c>
      <c r="AM3116">
        <v>0</v>
      </c>
      <c r="AP3116" t="s">
        <v>1201</v>
      </c>
    </row>
    <row r="3117" spans="1:42" customFormat="1">
      <c r="A3117">
        <v>270246</v>
      </c>
      <c r="B3117" t="s">
        <v>219</v>
      </c>
      <c r="C3117" t="s">
        <v>219</v>
      </c>
      <c r="D3117" s="22">
        <v>0</v>
      </c>
      <c r="E3117" s="17">
        <v>42139</v>
      </c>
      <c r="F3117" s="18">
        <v>0.67714120370370379</v>
      </c>
      <c r="G3117" s="22">
        <v>4000</v>
      </c>
      <c r="H3117">
        <v>0</v>
      </c>
      <c r="I3117" s="19" t="e">
        <f>I3116 + (D3117-G3117)</f>
        <v>#VALUE!</v>
      </c>
      <c r="N3117">
        <v>24</v>
      </c>
      <c r="O3117" t="s">
        <v>68</v>
      </c>
      <c r="P3117">
        <v>1</v>
      </c>
      <c r="R3117">
        <v>1449</v>
      </c>
      <c r="S3117" s="17">
        <v>42142</v>
      </c>
      <c r="T3117" s="17">
        <v>42142</v>
      </c>
      <c r="W3117">
        <v>2015</v>
      </c>
      <c r="X3117">
        <v>24</v>
      </c>
      <c r="AC3117" t="s">
        <v>51</v>
      </c>
      <c r="AD3117" t="s">
        <v>302</v>
      </c>
      <c r="AE3117" t="s">
        <v>46</v>
      </c>
      <c r="AG3117">
        <v>4</v>
      </c>
      <c r="AH3117">
        <v>8</v>
      </c>
      <c r="AI3117" t="s">
        <v>52</v>
      </c>
      <c r="AM3117">
        <v>0</v>
      </c>
      <c r="AO3117">
        <v>26</v>
      </c>
      <c r="AP3117" t="s">
        <v>389</v>
      </c>
    </row>
    <row r="3118" spans="1:42" customFormat="1">
      <c r="A3118">
        <v>270247</v>
      </c>
      <c r="B3118" t="s">
        <v>219</v>
      </c>
      <c r="C3118" t="s">
        <v>3488</v>
      </c>
      <c r="D3118" s="22">
        <v>4000</v>
      </c>
      <c r="E3118" s="17">
        <v>42139</v>
      </c>
      <c r="F3118" s="18">
        <v>0.67714120370370379</v>
      </c>
      <c r="G3118" s="22">
        <v>0</v>
      </c>
      <c r="H3118">
        <v>0</v>
      </c>
      <c r="I3118" s="19" t="e">
        <f>I3117 + (D3118-G3118)</f>
        <v>#VALUE!</v>
      </c>
      <c r="N3118">
        <v>24</v>
      </c>
      <c r="O3118" t="s">
        <v>68</v>
      </c>
      <c r="P3118">
        <v>1</v>
      </c>
      <c r="R3118">
        <v>1449</v>
      </c>
      <c r="S3118" s="17">
        <v>42142</v>
      </c>
      <c r="T3118" s="17">
        <v>42142</v>
      </c>
      <c r="W3118">
        <v>2015</v>
      </c>
      <c r="X3118">
        <v>24</v>
      </c>
      <c r="AA3118">
        <v>270246</v>
      </c>
      <c r="AC3118" t="s">
        <v>51</v>
      </c>
      <c r="AD3118" t="s">
        <v>302</v>
      </c>
      <c r="AE3118" t="s">
        <v>46</v>
      </c>
      <c r="AG3118">
        <v>26</v>
      </c>
      <c r="AH3118">
        <v>8</v>
      </c>
      <c r="AI3118" t="s">
        <v>52</v>
      </c>
      <c r="AM3118">
        <v>0</v>
      </c>
      <c r="AP3118" t="s">
        <v>501</v>
      </c>
    </row>
    <row r="3119" spans="1:42" customFormat="1">
      <c r="A3119">
        <v>270248</v>
      </c>
      <c r="B3119" t="s">
        <v>219</v>
      </c>
      <c r="C3119" t="s">
        <v>219</v>
      </c>
      <c r="D3119" s="22">
        <v>0</v>
      </c>
      <c r="E3119" s="17">
        <v>42139</v>
      </c>
      <c r="F3119" s="18">
        <v>0.67752314814814818</v>
      </c>
      <c r="G3119" s="22">
        <v>10000</v>
      </c>
      <c r="H3119">
        <v>0</v>
      </c>
      <c r="I3119" s="19" t="e">
        <f>I3118 + (D3119-G3119)</f>
        <v>#VALUE!</v>
      </c>
      <c r="N3119">
        <v>24</v>
      </c>
      <c r="O3119" t="s">
        <v>68</v>
      </c>
      <c r="P3119">
        <v>1</v>
      </c>
      <c r="R3119">
        <v>1449</v>
      </c>
      <c r="S3119" s="17">
        <v>42142</v>
      </c>
      <c r="T3119" s="17">
        <v>42142</v>
      </c>
      <c r="W3119">
        <v>2015</v>
      </c>
      <c r="X3119">
        <v>24</v>
      </c>
      <c r="AC3119" t="s">
        <v>51</v>
      </c>
      <c r="AD3119" t="s">
        <v>302</v>
      </c>
      <c r="AE3119" t="s">
        <v>46</v>
      </c>
      <c r="AG3119">
        <v>4</v>
      </c>
      <c r="AH3119">
        <v>8</v>
      </c>
      <c r="AI3119" t="s">
        <v>52</v>
      </c>
      <c r="AM3119">
        <v>0</v>
      </c>
      <c r="AO3119">
        <v>26</v>
      </c>
      <c r="AP3119" t="s">
        <v>389</v>
      </c>
    </row>
    <row r="3120" spans="1:42" customFormat="1">
      <c r="A3120">
        <v>270249</v>
      </c>
      <c r="B3120" t="s">
        <v>219</v>
      </c>
      <c r="C3120" t="s">
        <v>3489</v>
      </c>
      <c r="D3120" s="22">
        <v>10000</v>
      </c>
      <c r="E3120" s="17">
        <v>42139</v>
      </c>
      <c r="F3120" s="18">
        <v>0.67752314814814818</v>
      </c>
      <c r="G3120" s="22">
        <v>0</v>
      </c>
      <c r="H3120">
        <v>0</v>
      </c>
      <c r="I3120" s="19" t="e">
        <f>I3119 + (D3120-G3120)</f>
        <v>#VALUE!</v>
      </c>
      <c r="N3120">
        <v>24</v>
      </c>
      <c r="O3120" t="s">
        <v>68</v>
      </c>
      <c r="P3120">
        <v>1</v>
      </c>
      <c r="R3120">
        <v>1449</v>
      </c>
      <c r="S3120" s="17">
        <v>42142</v>
      </c>
      <c r="T3120" s="17">
        <v>42142</v>
      </c>
      <c r="W3120">
        <v>2015</v>
      </c>
      <c r="X3120">
        <v>24</v>
      </c>
      <c r="AA3120">
        <v>270248</v>
      </c>
      <c r="AC3120" t="s">
        <v>51</v>
      </c>
      <c r="AD3120" t="s">
        <v>302</v>
      </c>
      <c r="AE3120" t="s">
        <v>46</v>
      </c>
      <c r="AG3120">
        <v>26</v>
      </c>
      <c r="AH3120">
        <v>8</v>
      </c>
      <c r="AI3120" t="s">
        <v>52</v>
      </c>
      <c r="AM3120">
        <v>0</v>
      </c>
      <c r="AP3120" t="s">
        <v>501</v>
      </c>
    </row>
    <row r="3121" spans="1:42" customFormat="1">
      <c r="A3121">
        <v>270250</v>
      </c>
      <c r="B3121" t="s">
        <v>219</v>
      </c>
      <c r="C3121" t="s">
        <v>219</v>
      </c>
      <c r="D3121" s="22">
        <v>0</v>
      </c>
      <c r="E3121" s="17">
        <v>42139</v>
      </c>
      <c r="F3121" s="18">
        <v>0.6778819444444445</v>
      </c>
      <c r="G3121" s="22">
        <v>10500</v>
      </c>
      <c r="H3121">
        <v>0</v>
      </c>
      <c r="I3121" s="19" t="e">
        <f>I3120 + (D3121-G3121)</f>
        <v>#VALUE!</v>
      </c>
      <c r="N3121">
        <v>24</v>
      </c>
      <c r="O3121" t="s">
        <v>68</v>
      </c>
      <c r="P3121">
        <v>1</v>
      </c>
      <c r="R3121">
        <v>1449</v>
      </c>
      <c r="S3121" s="17">
        <v>42142</v>
      </c>
      <c r="T3121" s="17">
        <v>42142</v>
      </c>
      <c r="W3121">
        <v>2015</v>
      </c>
      <c r="X3121">
        <v>24</v>
      </c>
      <c r="AC3121" t="s">
        <v>51</v>
      </c>
      <c r="AD3121" t="s">
        <v>302</v>
      </c>
      <c r="AE3121" t="s">
        <v>46</v>
      </c>
      <c r="AG3121">
        <v>4</v>
      </c>
      <c r="AH3121">
        <v>8</v>
      </c>
      <c r="AI3121" t="s">
        <v>52</v>
      </c>
      <c r="AM3121">
        <v>0</v>
      </c>
      <c r="AO3121">
        <v>8</v>
      </c>
      <c r="AP3121" t="s">
        <v>389</v>
      </c>
    </row>
    <row r="3122" spans="1:42" customFormat="1">
      <c r="A3122">
        <v>270251</v>
      </c>
      <c r="B3122" t="s">
        <v>219</v>
      </c>
      <c r="C3122" t="s">
        <v>3490</v>
      </c>
      <c r="D3122" s="22">
        <v>10500</v>
      </c>
      <c r="E3122" s="17">
        <v>42139</v>
      </c>
      <c r="F3122" s="18">
        <v>0.6778819444444445</v>
      </c>
      <c r="G3122" s="22">
        <v>0</v>
      </c>
      <c r="H3122">
        <v>0</v>
      </c>
      <c r="I3122" s="19" t="e">
        <f>I3121 + (D3122-G3122)</f>
        <v>#VALUE!</v>
      </c>
      <c r="N3122">
        <v>24</v>
      </c>
      <c r="O3122" t="s">
        <v>68</v>
      </c>
      <c r="P3122">
        <v>1</v>
      </c>
      <c r="R3122">
        <v>1449</v>
      </c>
      <c r="S3122" s="17">
        <v>42142</v>
      </c>
      <c r="T3122" s="17">
        <v>42142</v>
      </c>
      <c r="W3122">
        <v>2015</v>
      </c>
      <c r="X3122">
        <v>24</v>
      </c>
      <c r="AA3122">
        <v>270250</v>
      </c>
      <c r="AC3122" t="s">
        <v>51</v>
      </c>
      <c r="AD3122" t="s">
        <v>302</v>
      </c>
      <c r="AE3122" t="s">
        <v>46</v>
      </c>
      <c r="AG3122">
        <v>8</v>
      </c>
      <c r="AH3122">
        <v>8</v>
      </c>
      <c r="AI3122" t="s">
        <v>52</v>
      </c>
      <c r="AM3122">
        <v>0</v>
      </c>
      <c r="AP3122" t="s">
        <v>1201</v>
      </c>
    </row>
    <row r="3123" spans="1:42" customFormat="1">
      <c r="A3123">
        <v>270252</v>
      </c>
      <c r="B3123" t="s">
        <v>219</v>
      </c>
      <c r="C3123" t="s">
        <v>219</v>
      </c>
      <c r="D3123" s="22">
        <v>0</v>
      </c>
      <c r="E3123" s="17">
        <v>42139</v>
      </c>
      <c r="F3123" s="18">
        <v>0.67824074074074081</v>
      </c>
      <c r="G3123" s="22">
        <v>6000</v>
      </c>
      <c r="H3123">
        <v>0</v>
      </c>
      <c r="I3123" s="19" t="e">
        <f>I3122 + (D3123-G3123)</f>
        <v>#VALUE!</v>
      </c>
      <c r="N3123">
        <v>24</v>
      </c>
      <c r="O3123" t="s">
        <v>68</v>
      </c>
      <c r="P3123">
        <v>1</v>
      </c>
      <c r="R3123">
        <v>1449</v>
      </c>
      <c r="S3123" s="17">
        <v>42142</v>
      </c>
      <c r="T3123" s="17">
        <v>42142</v>
      </c>
      <c r="W3123">
        <v>2015</v>
      </c>
      <c r="X3123">
        <v>24</v>
      </c>
      <c r="AC3123" t="s">
        <v>51</v>
      </c>
      <c r="AD3123" t="s">
        <v>302</v>
      </c>
      <c r="AE3123" t="s">
        <v>46</v>
      </c>
      <c r="AG3123">
        <v>4</v>
      </c>
      <c r="AH3123">
        <v>8</v>
      </c>
      <c r="AI3123" t="s">
        <v>52</v>
      </c>
      <c r="AM3123">
        <v>0</v>
      </c>
      <c r="AO3123">
        <v>8</v>
      </c>
      <c r="AP3123" t="s">
        <v>389</v>
      </c>
    </row>
    <row r="3124" spans="1:42" customFormat="1">
      <c r="A3124">
        <v>270253</v>
      </c>
      <c r="B3124" t="s">
        <v>219</v>
      </c>
      <c r="C3124" t="s">
        <v>3491</v>
      </c>
      <c r="D3124" s="22">
        <v>6000</v>
      </c>
      <c r="E3124" s="17">
        <v>42139</v>
      </c>
      <c r="F3124" s="18">
        <v>0.67824074074074081</v>
      </c>
      <c r="G3124" s="22">
        <v>0</v>
      </c>
      <c r="H3124">
        <v>0</v>
      </c>
      <c r="I3124" s="19" t="e">
        <f>I3123 + (D3124-G3124)</f>
        <v>#VALUE!</v>
      </c>
      <c r="N3124">
        <v>24</v>
      </c>
      <c r="O3124" t="s">
        <v>68</v>
      </c>
      <c r="P3124">
        <v>1</v>
      </c>
      <c r="R3124">
        <v>1449</v>
      </c>
      <c r="S3124" s="17">
        <v>42142</v>
      </c>
      <c r="T3124" s="17">
        <v>42142</v>
      </c>
      <c r="W3124">
        <v>2015</v>
      </c>
      <c r="X3124">
        <v>24</v>
      </c>
      <c r="AA3124">
        <v>270252</v>
      </c>
      <c r="AC3124" t="s">
        <v>51</v>
      </c>
      <c r="AD3124" t="s">
        <v>302</v>
      </c>
      <c r="AE3124" t="s">
        <v>46</v>
      </c>
      <c r="AG3124">
        <v>8</v>
      </c>
      <c r="AH3124">
        <v>8</v>
      </c>
      <c r="AI3124" t="s">
        <v>52</v>
      </c>
      <c r="AM3124">
        <v>0</v>
      </c>
      <c r="AP3124" t="s">
        <v>1201</v>
      </c>
    </row>
    <row r="3125" spans="1:42" customFormat="1">
      <c r="A3125">
        <v>270254</v>
      </c>
      <c r="B3125" t="s">
        <v>219</v>
      </c>
      <c r="C3125" t="s">
        <v>219</v>
      </c>
      <c r="D3125" s="22">
        <v>0</v>
      </c>
      <c r="E3125" s="17">
        <v>42139</v>
      </c>
      <c r="F3125" s="18">
        <v>0.6790856481481482</v>
      </c>
      <c r="G3125" s="22">
        <v>10000</v>
      </c>
      <c r="H3125">
        <v>0</v>
      </c>
      <c r="I3125" s="19" t="e">
        <f>I3124 + (D3125-G3125)</f>
        <v>#VALUE!</v>
      </c>
      <c r="N3125">
        <v>24</v>
      </c>
      <c r="O3125" t="s">
        <v>68</v>
      </c>
      <c r="P3125">
        <v>1</v>
      </c>
      <c r="R3125">
        <v>1449</v>
      </c>
      <c r="S3125" s="17">
        <v>42142</v>
      </c>
      <c r="T3125" s="17">
        <v>42142</v>
      </c>
      <c r="W3125">
        <v>2015</v>
      </c>
      <c r="X3125">
        <v>24</v>
      </c>
      <c r="AC3125" t="s">
        <v>51</v>
      </c>
      <c r="AD3125" t="s">
        <v>302</v>
      </c>
      <c r="AE3125" t="s">
        <v>46</v>
      </c>
      <c r="AG3125">
        <v>4</v>
      </c>
      <c r="AH3125">
        <v>8</v>
      </c>
      <c r="AI3125" t="s">
        <v>52</v>
      </c>
      <c r="AM3125">
        <v>0</v>
      </c>
      <c r="AO3125">
        <v>26</v>
      </c>
      <c r="AP3125" t="s">
        <v>389</v>
      </c>
    </row>
    <row r="3126" spans="1:42" customFormat="1">
      <c r="A3126">
        <v>270255</v>
      </c>
      <c r="B3126" t="s">
        <v>219</v>
      </c>
      <c r="C3126" t="s">
        <v>3492</v>
      </c>
      <c r="D3126" s="22">
        <v>10000</v>
      </c>
      <c r="E3126" s="17">
        <v>42139</v>
      </c>
      <c r="F3126" s="18">
        <v>0.6790856481481482</v>
      </c>
      <c r="G3126" s="22">
        <v>0</v>
      </c>
      <c r="H3126">
        <v>0</v>
      </c>
      <c r="I3126" s="19" t="e">
        <f>I3125 + (D3126-G3126)</f>
        <v>#VALUE!</v>
      </c>
      <c r="N3126">
        <v>24</v>
      </c>
      <c r="O3126" t="s">
        <v>68</v>
      </c>
      <c r="P3126">
        <v>1</v>
      </c>
      <c r="R3126">
        <v>1449</v>
      </c>
      <c r="S3126" s="17">
        <v>42142</v>
      </c>
      <c r="T3126" s="17">
        <v>42142</v>
      </c>
      <c r="W3126">
        <v>2015</v>
      </c>
      <c r="X3126">
        <v>24</v>
      </c>
      <c r="AA3126">
        <v>270254</v>
      </c>
      <c r="AC3126" t="s">
        <v>51</v>
      </c>
      <c r="AD3126" t="s">
        <v>302</v>
      </c>
      <c r="AE3126" t="s">
        <v>46</v>
      </c>
      <c r="AG3126">
        <v>26</v>
      </c>
      <c r="AH3126">
        <v>8</v>
      </c>
      <c r="AI3126" t="s">
        <v>52</v>
      </c>
      <c r="AM3126">
        <v>0</v>
      </c>
      <c r="AP3126" t="s">
        <v>501</v>
      </c>
    </row>
    <row r="3127" spans="1:42" customFormat="1">
      <c r="A3127">
        <v>270256</v>
      </c>
      <c r="B3127" t="s">
        <v>219</v>
      </c>
      <c r="C3127" t="s">
        <v>219</v>
      </c>
      <c r="D3127" s="22">
        <v>0</v>
      </c>
      <c r="E3127" s="17">
        <v>42139</v>
      </c>
      <c r="F3127" s="18">
        <v>0.6793865740740741</v>
      </c>
      <c r="G3127" s="22">
        <v>10000</v>
      </c>
      <c r="H3127">
        <v>0</v>
      </c>
      <c r="I3127" s="19" t="e">
        <f>I3126 + (D3127-G3127)</f>
        <v>#VALUE!</v>
      </c>
      <c r="N3127">
        <v>24</v>
      </c>
      <c r="O3127" t="s">
        <v>68</v>
      </c>
      <c r="P3127">
        <v>1</v>
      </c>
      <c r="R3127">
        <v>1449</v>
      </c>
      <c r="S3127" s="17">
        <v>42142</v>
      </c>
      <c r="T3127" s="17">
        <v>42142</v>
      </c>
      <c r="W3127">
        <v>2015</v>
      </c>
      <c r="X3127">
        <v>24</v>
      </c>
      <c r="AC3127" t="s">
        <v>51</v>
      </c>
      <c r="AD3127" t="s">
        <v>302</v>
      </c>
      <c r="AE3127" t="s">
        <v>46</v>
      </c>
      <c r="AG3127">
        <v>4</v>
      </c>
      <c r="AH3127">
        <v>8</v>
      </c>
      <c r="AI3127" t="s">
        <v>52</v>
      </c>
      <c r="AM3127">
        <v>0</v>
      </c>
      <c r="AO3127">
        <v>8</v>
      </c>
      <c r="AP3127" t="s">
        <v>389</v>
      </c>
    </row>
    <row r="3128" spans="1:42" customFormat="1">
      <c r="A3128">
        <v>270257</v>
      </c>
      <c r="B3128" t="s">
        <v>219</v>
      </c>
      <c r="C3128" t="s">
        <v>3493</v>
      </c>
      <c r="D3128" s="22">
        <v>10000</v>
      </c>
      <c r="E3128" s="17">
        <v>42139</v>
      </c>
      <c r="F3128" s="18">
        <v>0.6793865740740741</v>
      </c>
      <c r="G3128" s="22">
        <v>0</v>
      </c>
      <c r="H3128">
        <v>0</v>
      </c>
      <c r="I3128" s="19" t="e">
        <f>I3127 + (D3128-G3128)</f>
        <v>#VALUE!</v>
      </c>
      <c r="N3128">
        <v>24</v>
      </c>
      <c r="O3128" t="s">
        <v>68</v>
      </c>
      <c r="P3128">
        <v>1</v>
      </c>
      <c r="R3128">
        <v>1449</v>
      </c>
      <c r="S3128" s="17">
        <v>42142</v>
      </c>
      <c r="T3128" s="17">
        <v>42142</v>
      </c>
      <c r="W3128">
        <v>2015</v>
      </c>
      <c r="X3128">
        <v>24</v>
      </c>
      <c r="AA3128">
        <v>270256</v>
      </c>
      <c r="AC3128" t="s">
        <v>51</v>
      </c>
      <c r="AD3128" t="s">
        <v>302</v>
      </c>
      <c r="AE3128" t="s">
        <v>46</v>
      </c>
      <c r="AG3128">
        <v>8</v>
      </c>
      <c r="AH3128">
        <v>8</v>
      </c>
      <c r="AI3128" t="s">
        <v>52</v>
      </c>
      <c r="AM3128">
        <v>0</v>
      </c>
      <c r="AP3128" t="s">
        <v>1201</v>
      </c>
    </row>
    <row r="3129" spans="1:42" customFormat="1">
      <c r="A3129">
        <v>271613</v>
      </c>
      <c r="B3129" t="s">
        <v>219</v>
      </c>
      <c r="C3129" t="s">
        <v>3549</v>
      </c>
      <c r="D3129" s="22">
        <v>0</v>
      </c>
      <c r="E3129" s="17">
        <v>42142</v>
      </c>
      <c r="F3129" s="18">
        <v>0.45700231481481479</v>
      </c>
      <c r="G3129" s="22">
        <v>7000</v>
      </c>
      <c r="H3129">
        <v>0</v>
      </c>
      <c r="I3129" s="19" t="e">
        <f>I3128 + (D3129-G3129)</f>
        <v>#VALUE!</v>
      </c>
      <c r="N3129">
        <v>24</v>
      </c>
      <c r="O3129" t="s">
        <v>68</v>
      </c>
      <c r="P3129">
        <v>2</v>
      </c>
      <c r="R3129">
        <v>1449</v>
      </c>
      <c r="S3129" s="17">
        <v>42157</v>
      </c>
      <c r="T3129" s="17">
        <v>42157</v>
      </c>
      <c r="W3129">
        <v>2015</v>
      </c>
      <c r="X3129">
        <v>24</v>
      </c>
      <c r="AC3129" t="s">
        <v>51</v>
      </c>
      <c r="AD3129" t="s">
        <v>302</v>
      </c>
      <c r="AE3129" t="s">
        <v>46</v>
      </c>
      <c r="AG3129">
        <v>4</v>
      </c>
      <c r="AH3129">
        <v>8</v>
      </c>
      <c r="AI3129" t="s">
        <v>52</v>
      </c>
      <c r="AM3129">
        <v>0</v>
      </c>
      <c r="AO3129">
        <v>56</v>
      </c>
      <c r="AP3129" t="s">
        <v>389</v>
      </c>
    </row>
    <row r="3130" spans="1:42" customFormat="1">
      <c r="A3130">
        <v>271614</v>
      </c>
      <c r="B3130" t="s">
        <v>219</v>
      </c>
      <c r="C3130" t="s">
        <v>3550</v>
      </c>
      <c r="D3130" s="22">
        <v>7000</v>
      </c>
      <c r="E3130" s="17">
        <v>42142</v>
      </c>
      <c r="F3130" s="18">
        <v>0.45700231481481479</v>
      </c>
      <c r="G3130" s="22">
        <v>0</v>
      </c>
      <c r="H3130">
        <v>0</v>
      </c>
      <c r="I3130" s="19" t="e">
        <f>I3129 + (D3130-G3130)</f>
        <v>#VALUE!</v>
      </c>
      <c r="N3130">
        <v>24</v>
      </c>
      <c r="O3130" t="s">
        <v>68</v>
      </c>
      <c r="P3130">
        <v>2</v>
      </c>
      <c r="R3130">
        <v>1449</v>
      </c>
      <c r="S3130" s="17">
        <v>42157</v>
      </c>
      <c r="T3130" s="17">
        <v>42157</v>
      </c>
      <c r="W3130">
        <v>2015</v>
      </c>
      <c r="X3130">
        <v>24</v>
      </c>
      <c r="AA3130">
        <v>271613</v>
      </c>
      <c r="AC3130" t="s">
        <v>51</v>
      </c>
      <c r="AD3130" t="s">
        <v>302</v>
      </c>
      <c r="AE3130" t="s">
        <v>46</v>
      </c>
      <c r="AG3130">
        <v>56</v>
      </c>
      <c r="AH3130">
        <v>8</v>
      </c>
      <c r="AI3130" t="s">
        <v>52</v>
      </c>
      <c r="AM3130">
        <v>0</v>
      </c>
      <c r="AP3130" t="s">
        <v>59</v>
      </c>
    </row>
    <row r="3131" spans="1:42" customFormat="1">
      <c r="A3131">
        <v>270875</v>
      </c>
      <c r="B3131" t="s">
        <v>3212</v>
      </c>
      <c r="C3131" t="s">
        <v>3212</v>
      </c>
      <c r="D3131" s="22">
        <v>0</v>
      </c>
      <c r="E3131" s="17">
        <v>42142</v>
      </c>
      <c r="F3131" s="18">
        <v>0.69453703703703706</v>
      </c>
      <c r="G3131" s="22">
        <v>5500</v>
      </c>
      <c r="H3131">
        <v>0</v>
      </c>
      <c r="I3131" s="19" t="e">
        <f>I3130 + (D3131-G3131)</f>
        <v>#VALUE!</v>
      </c>
      <c r="N3131">
        <v>24</v>
      </c>
      <c r="O3131" t="s">
        <v>68</v>
      </c>
      <c r="P3131">
        <v>1</v>
      </c>
      <c r="R3131">
        <v>1449</v>
      </c>
      <c r="S3131" s="17">
        <v>42146</v>
      </c>
      <c r="T3131" s="17">
        <v>42146</v>
      </c>
      <c r="W3131">
        <v>2015</v>
      </c>
      <c r="X3131">
        <v>24</v>
      </c>
      <c r="AC3131" t="s">
        <v>51</v>
      </c>
      <c r="AD3131" t="s">
        <v>302</v>
      </c>
      <c r="AE3131" t="s">
        <v>46</v>
      </c>
      <c r="AG3131">
        <v>26</v>
      </c>
      <c r="AH3131">
        <v>8</v>
      </c>
      <c r="AI3131" t="s">
        <v>52</v>
      </c>
      <c r="AM3131">
        <v>0</v>
      </c>
      <c r="AO3131">
        <v>52</v>
      </c>
      <c r="AP3131" t="s">
        <v>501</v>
      </c>
    </row>
    <row r="3132" spans="1:42" customFormat="1">
      <c r="A3132">
        <v>270876</v>
      </c>
      <c r="B3132" t="s">
        <v>3212</v>
      </c>
      <c r="C3132" t="s">
        <v>3578</v>
      </c>
      <c r="D3132" s="22">
        <v>5500</v>
      </c>
      <c r="E3132" s="17">
        <v>42142</v>
      </c>
      <c r="F3132" s="18">
        <v>0.69453703703703706</v>
      </c>
      <c r="G3132" s="22">
        <v>0</v>
      </c>
      <c r="H3132">
        <v>0</v>
      </c>
      <c r="I3132" s="19" t="e">
        <f>I3131 + (D3132-G3132)</f>
        <v>#VALUE!</v>
      </c>
      <c r="N3132">
        <v>24</v>
      </c>
      <c r="O3132" t="s">
        <v>68</v>
      </c>
      <c r="P3132">
        <v>1</v>
      </c>
      <c r="R3132">
        <v>1449</v>
      </c>
      <c r="S3132" s="17">
        <v>42146</v>
      </c>
      <c r="T3132" s="17">
        <v>42146</v>
      </c>
      <c r="W3132">
        <v>2015</v>
      </c>
      <c r="X3132">
        <v>24</v>
      </c>
      <c r="AA3132">
        <v>270875</v>
      </c>
      <c r="AC3132" t="s">
        <v>51</v>
      </c>
      <c r="AD3132" t="s">
        <v>302</v>
      </c>
      <c r="AE3132" t="s">
        <v>46</v>
      </c>
      <c r="AG3132">
        <v>52</v>
      </c>
      <c r="AH3132">
        <v>8</v>
      </c>
      <c r="AI3132" t="s">
        <v>52</v>
      </c>
      <c r="AM3132">
        <v>0</v>
      </c>
      <c r="AP3132" t="s">
        <v>325</v>
      </c>
    </row>
    <row r="3133" spans="1:42" customFormat="1">
      <c r="A3133">
        <v>270877</v>
      </c>
      <c r="B3133" t="s">
        <v>219</v>
      </c>
      <c r="C3133" t="s">
        <v>219</v>
      </c>
      <c r="D3133" s="22">
        <v>0</v>
      </c>
      <c r="E3133" s="17">
        <v>42142</v>
      </c>
      <c r="F3133" s="18">
        <v>0.69493055555555561</v>
      </c>
      <c r="G3133" s="22">
        <v>4700</v>
      </c>
      <c r="H3133">
        <v>0</v>
      </c>
      <c r="I3133" s="19" t="e">
        <f>I3132 + (D3133-G3133)</f>
        <v>#VALUE!</v>
      </c>
      <c r="N3133">
        <v>24</v>
      </c>
      <c r="O3133" t="s">
        <v>68</v>
      </c>
      <c r="P3133">
        <v>1</v>
      </c>
      <c r="R3133">
        <v>1449</v>
      </c>
      <c r="S3133" s="17">
        <v>42146</v>
      </c>
      <c r="T3133" s="17">
        <v>42146</v>
      </c>
      <c r="W3133">
        <v>2015</v>
      </c>
      <c r="X3133">
        <v>24</v>
      </c>
      <c r="AC3133" t="s">
        <v>51</v>
      </c>
      <c r="AD3133" t="s">
        <v>302</v>
      </c>
      <c r="AE3133" t="s">
        <v>46</v>
      </c>
      <c r="AG3133">
        <v>4</v>
      </c>
      <c r="AH3133">
        <v>8</v>
      </c>
      <c r="AI3133" t="s">
        <v>52</v>
      </c>
      <c r="AM3133">
        <v>0</v>
      </c>
      <c r="AO3133">
        <v>26</v>
      </c>
      <c r="AP3133" t="s">
        <v>389</v>
      </c>
    </row>
    <row r="3134" spans="1:42" customFormat="1">
      <c r="A3134">
        <v>270878</v>
      </c>
      <c r="B3134" t="s">
        <v>219</v>
      </c>
      <c r="C3134" t="s">
        <v>3579</v>
      </c>
      <c r="D3134" s="22">
        <v>4700</v>
      </c>
      <c r="E3134" s="17">
        <v>42142</v>
      </c>
      <c r="F3134" s="18">
        <v>0.69493055555555561</v>
      </c>
      <c r="G3134" s="22">
        <v>0</v>
      </c>
      <c r="H3134">
        <v>0</v>
      </c>
      <c r="I3134" s="19" t="e">
        <f>I3133 + (D3134-G3134)</f>
        <v>#VALUE!</v>
      </c>
      <c r="N3134">
        <v>24</v>
      </c>
      <c r="O3134" t="s">
        <v>68</v>
      </c>
      <c r="P3134">
        <v>1</v>
      </c>
      <c r="R3134">
        <v>1449</v>
      </c>
      <c r="S3134" s="17">
        <v>42146</v>
      </c>
      <c r="T3134" s="17">
        <v>42146</v>
      </c>
      <c r="W3134">
        <v>2015</v>
      </c>
      <c r="X3134">
        <v>24</v>
      </c>
      <c r="AA3134">
        <v>270877</v>
      </c>
      <c r="AC3134" t="s">
        <v>51</v>
      </c>
      <c r="AD3134" t="s">
        <v>302</v>
      </c>
      <c r="AE3134" t="s">
        <v>46</v>
      </c>
      <c r="AG3134">
        <v>26</v>
      </c>
      <c r="AH3134">
        <v>8</v>
      </c>
      <c r="AI3134" t="s">
        <v>52</v>
      </c>
      <c r="AM3134">
        <v>0</v>
      </c>
      <c r="AP3134" t="s">
        <v>501</v>
      </c>
    </row>
    <row r="3135" spans="1:42" customFormat="1">
      <c r="A3135">
        <v>270879</v>
      </c>
      <c r="B3135" t="s">
        <v>219</v>
      </c>
      <c r="C3135" t="s">
        <v>219</v>
      </c>
      <c r="D3135" s="22">
        <v>0</v>
      </c>
      <c r="E3135" s="17">
        <v>42142</v>
      </c>
      <c r="F3135" s="18">
        <v>0.69538194444444434</v>
      </c>
      <c r="G3135" s="22">
        <v>6500</v>
      </c>
      <c r="H3135">
        <v>0</v>
      </c>
      <c r="I3135" s="19" t="e">
        <f>I3134 + (D3135-G3135)</f>
        <v>#VALUE!</v>
      </c>
      <c r="N3135">
        <v>24</v>
      </c>
      <c r="O3135" t="s">
        <v>68</v>
      </c>
      <c r="P3135">
        <v>1</v>
      </c>
      <c r="R3135">
        <v>1449</v>
      </c>
      <c r="S3135" s="17">
        <v>42146</v>
      </c>
      <c r="T3135" s="17">
        <v>42146</v>
      </c>
      <c r="W3135">
        <v>2015</v>
      </c>
      <c r="X3135">
        <v>24</v>
      </c>
      <c r="AC3135" t="s">
        <v>51</v>
      </c>
      <c r="AD3135" t="s">
        <v>302</v>
      </c>
      <c r="AE3135" t="s">
        <v>46</v>
      </c>
      <c r="AG3135">
        <v>8</v>
      </c>
      <c r="AH3135">
        <v>8</v>
      </c>
      <c r="AI3135" t="s">
        <v>52</v>
      </c>
      <c r="AM3135">
        <v>0</v>
      </c>
      <c r="AO3135">
        <v>52</v>
      </c>
      <c r="AP3135" t="s">
        <v>1201</v>
      </c>
    </row>
    <row r="3136" spans="1:42" customFormat="1">
      <c r="A3136">
        <v>270880</v>
      </c>
      <c r="B3136" t="s">
        <v>219</v>
      </c>
      <c r="C3136" t="s">
        <v>3580</v>
      </c>
      <c r="D3136" s="22">
        <v>6500</v>
      </c>
      <c r="E3136" s="17">
        <v>42142</v>
      </c>
      <c r="F3136" s="18">
        <v>0.69538194444444434</v>
      </c>
      <c r="G3136" s="22">
        <v>0</v>
      </c>
      <c r="H3136">
        <v>0</v>
      </c>
      <c r="I3136" s="19" t="e">
        <f>I3135 + (D3136-G3136)</f>
        <v>#VALUE!</v>
      </c>
      <c r="N3136">
        <v>24</v>
      </c>
      <c r="O3136" t="s">
        <v>68</v>
      </c>
      <c r="P3136">
        <v>1</v>
      </c>
      <c r="R3136">
        <v>1449</v>
      </c>
      <c r="S3136" s="17">
        <v>42146</v>
      </c>
      <c r="T3136" s="17">
        <v>42146</v>
      </c>
      <c r="W3136">
        <v>2015</v>
      </c>
      <c r="X3136">
        <v>24</v>
      </c>
      <c r="AA3136">
        <v>270879</v>
      </c>
      <c r="AC3136" t="s">
        <v>51</v>
      </c>
      <c r="AD3136" t="s">
        <v>302</v>
      </c>
      <c r="AE3136" t="s">
        <v>46</v>
      </c>
      <c r="AG3136">
        <v>52</v>
      </c>
      <c r="AH3136">
        <v>8</v>
      </c>
      <c r="AI3136" t="s">
        <v>52</v>
      </c>
      <c r="AM3136">
        <v>0</v>
      </c>
      <c r="AP3136" t="s">
        <v>325</v>
      </c>
    </row>
    <row r="3137" spans="1:42" customFormat="1">
      <c r="A3137">
        <v>274029</v>
      </c>
      <c r="B3137" t="s">
        <v>219</v>
      </c>
      <c r="C3137" t="s">
        <v>219</v>
      </c>
      <c r="D3137" s="22">
        <v>0</v>
      </c>
      <c r="E3137" s="17">
        <v>42143</v>
      </c>
      <c r="F3137" s="18">
        <v>0.37312499999999998</v>
      </c>
      <c r="G3137" s="22">
        <v>11500</v>
      </c>
      <c r="H3137">
        <v>0</v>
      </c>
      <c r="I3137" s="19" t="e">
        <f>I3136 + (D3137-G3137)</f>
        <v>#VALUE!</v>
      </c>
      <c r="N3137">
        <v>24</v>
      </c>
      <c r="O3137" t="s">
        <v>68</v>
      </c>
      <c r="P3137">
        <v>1</v>
      </c>
      <c r="R3137">
        <v>1449</v>
      </c>
      <c r="S3137" s="17">
        <v>42180</v>
      </c>
      <c r="T3137" s="17">
        <v>42180</v>
      </c>
      <c r="W3137">
        <v>2015</v>
      </c>
      <c r="X3137">
        <v>24</v>
      </c>
      <c r="AC3137" t="s">
        <v>51</v>
      </c>
      <c r="AD3137" t="s">
        <v>302</v>
      </c>
      <c r="AE3137" t="s">
        <v>46</v>
      </c>
      <c r="AG3137">
        <v>26</v>
      </c>
      <c r="AH3137">
        <v>8</v>
      </c>
      <c r="AI3137" t="s">
        <v>52</v>
      </c>
      <c r="AM3137">
        <v>0</v>
      </c>
      <c r="AO3137">
        <v>52</v>
      </c>
      <c r="AP3137" t="s">
        <v>501</v>
      </c>
    </row>
    <row r="3138" spans="1:42" customFormat="1">
      <c r="A3138">
        <v>274030</v>
      </c>
      <c r="B3138" t="s">
        <v>219</v>
      </c>
      <c r="C3138" t="s">
        <v>3608</v>
      </c>
      <c r="D3138" s="22">
        <v>11500</v>
      </c>
      <c r="E3138" s="17">
        <v>42143</v>
      </c>
      <c r="F3138" s="18">
        <v>0.37312499999999998</v>
      </c>
      <c r="G3138" s="22">
        <v>0</v>
      </c>
      <c r="H3138">
        <v>0</v>
      </c>
      <c r="I3138" s="19" t="e">
        <f>I3137 + (D3138-G3138)</f>
        <v>#VALUE!</v>
      </c>
      <c r="N3138">
        <v>24</v>
      </c>
      <c r="O3138" t="s">
        <v>68</v>
      </c>
      <c r="P3138">
        <v>1</v>
      </c>
      <c r="R3138">
        <v>1449</v>
      </c>
      <c r="S3138" s="17">
        <v>42180</v>
      </c>
      <c r="T3138" s="17">
        <v>42180</v>
      </c>
      <c r="W3138">
        <v>2015</v>
      </c>
      <c r="X3138">
        <v>24</v>
      </c>
      <c r="AA3138">
        <v>274029</v>
      </c>
      <c r="AC3138" t="s">
        <v>51</v>
      </c>
      <c r="AD3138" t="s">
        <v>302</v>
      </c>
      <c r="AE3138" t="s">
        <v>46</v>
      </c>
      <c r="AG3138">
        <v>52</v>
      </c>
      <c r="AH3138">
        <v>8</v>
      </c>
      <c r="AI3138" t="s">
        <v>52</v>
      </c>
      <c r="AM3138">
        <v>0</v>
      </c>
      <c r="AP3138" t="s">
        <v>325</v>
      </c>
    </row>
    <row r="3139" spans="1:42" customFormat="1">
      <c r="A3139">
        <v>273134</v>
      </c>
      <c r="B3139" t="s">
        <v>219</v>
      </c>
      <c r="C3139" t="s">
        <v>219</v>
      </c>
      <c r="D3139" s="22">
        <v>0</v>
      </c>
      <c r="E3139" s="17">
        <v>42143</v>
      </c>
      <c r="F3139" s="18">
        <v>0.42879629629629629</v>
      </c>
      <c r="G3139" s="22">
        <v>10900</v>
      </c>
      <c r="H3139">
        <v>0</v>
      </c>
      <c r="I3139" s="19" t="e">
        <f>I3138 + (D3139-G3139)</f>
        <v>#VALUE!</v>
      </c>
      <c r="N3139">
        <v>60</v>
      </c>
      <c r="O3139" t="s">
        <v>60</v>
      </c>
      <c r="P3139">
        <v>1</v>
      </c>
      <c r="R3139">
        <v>1471</v>
      </c>
      <c r="S3139" s="17">
        <v>42171</v>
      </c>
      <c r="T3139" s="17">
        <v>42179</v>
      </c>
      <c r="W3139">
        <v>2015</v>
      </c>
      <c r="X3139">
        <v>24</v>
      </c>
      <c r="AC3139" t="s">
        <v>109</v>
      </c>
      <c r="AD3139" t="s">
        <v>302</v>
      </c>
      <c r="AE3139" t="s">
        <v>46</v>
      </c>
      <c r="AG3139">
        <v>8</v>
      </c>
      <c r="AH3139">
        <v>8</v>
      </c>
      <c r="AI3139" t="s">
        <v>52</v>
      </c>
      <c r="AM3139">
        <v>0</v>
      </c>
      <c r="AO3139">
        <v>52</v>
      </c>
      <c r="AP3139" t="s">
        <v>1201</v>
      </c>
    </row>
    <row r="3140" spans="1:42" customFormat="1">
      <c r="A3140">
        <v>273135</v>
      </c>
      <c r="B3140" t="s">
        <v>219</v>
      </c>
      <c r="C3140" t="s">
        <v>3723</v>
      </c>
      <c r="D3140" s="22">
        <v>10900</v>
      </c>
      <c r="E3140" s="17">
        <v>42143</v>
      </c>
      <c r="F3140" s="18">
        <v>0.42879629629629629</v>
      </c>
      <c r="G3140" s="22">
        <v>0</v>
      </c>
      <c r="H3140">
        <v>0</v>
      </c>
      <c r="I3140" s="19" t="e">
        <f>I3139 + (D3140-G3140)</f>
        <v>#VALUE!</v>
      </c>
      <c r="N3140">
        <v>60</v>
      </c>
      <c r="O3140" t="s">
        <v>60</v>
      </c>
      <c r="P3140">
        <v>1</v>
      </c>
      <c r="R3140">
        <v>1471</v>
      </c>
      <c r="S3140" s="17">
        <v>42171</v>
      </c>
      <c r="T3140" s="17">
        <v>42179</v>
      </c>
      <c r="W3140">
        <v>2015</v>
      </c>
      <c r="X3140">
        <v>24</v>
      </c>
      <c r="AA3140">
        <v>273134</v>
      </c>
      <c r="AC3140" t="s">
        <v>109</v>
      </c>
      <c r="AD3140" t="s">
        <v>302</v>
      </c>
      <c r="AE3140" t="s">
        <v>46</v>
      </c>
      <c r="AG3140">
        <v>52</v>
      </c>
      <c r="AH3140">
        <v>8</v>
      </c>
      <c r="AI3140" t="s">
        <v>52</v>
      </c>
      <c r="AM3140">
        <v>0</v>
      </c>
      <c r="AP3140" t="s">
        <v>325</v>
      </c>
    </row>
    <row r="3141" spans="1:42" customFormat="1">
      <c r="A3141">
        <v>270757</v>
      </c>
      <c r="B3141" t="s">
        <v>219</v>
      </c>
      <c r="C3141" t="s">
        <v>219</v>
      </c>
      <c r="D3141" s="22">
        <v>0</v>
      </c>
      <c r="E3141" s="17">
        <v>42143</v>
      </c>
      <c r="F3141" s="18">
        <v>0.45104166666666662</v>
      </c>
      <c r="G3141" s="22">
        <v>7300</v>
      </c>
      <c r="H3141">
        <v>0</v>
      </c>
      <c r="I3141" s="19" t="e">
        <f>I3140 + (D3141-G3141)</f>
        <v>#VALUE!</v>
      </c>
      <c r="N3141">
        <v>24</v>
      </c>
      <c r="O3141" t="s">
        <v>68</v>
      </c>
      <c r="P3141">
        <v>1</v>
      </c>
      <c r="R3141">
        <v>1449</v>
      </c>
      <c r="S3141" s="17">
        <v>42146</v>
      </c>
      <c r="T3141" s="17">
        <v>42146</v>
      </c>
      <c r="W3141">
        <v>2015</v>
      </c>
      <c r="X3141">
        <v>24</v>
      </c>
      <c r="AC3141" t="s">
        <v>51</v>
      </c>
      <c r="AD3141" t="s">
        <v>302</v>
      </c>
      <c r="AE3141" t="s">
        <v>46</v>
      </c>
      <c r="AG3141">
        <v>4</v>
      </c>
      <c r="AH3141">
        <v>8</v>
      </c>
      <c r="AI3141" t="s">
        <v>52</v>
      </c>
      <c r="AM3141">
        <v>0</v>
      </c>
      <c r="AO3141">
        <v>26</v>
      </c>
      <c r="AP3141" t="s">
        <v>389</v>
      </c>
    </row>
    <row r="3142" spans="1:42" customFormat="1">
      <c r="A3142">
        <v>270758</v>
      </c>
      <c r="B3142" t="s">
        <v>219</v>
      </c>
      <c r="C3142" t="s">
        <v>3750</v>
      </c>
      <c r="D3142" s="22">
        <v>7300</v>
      </c>
      <c r="E3142" s="17">
        <v>42143</v>
      </c>
      <c r="F3142" s="18">
        <v>0.45104166666666662</v>
      </c>
      <c r="G3142" s="22">
        <v>0</v>
      </c>
      <c r="H3142">
        <v>0</v>
      </c>
      <c r="I3142" s="19" t="e">
        <f>I3141 + (D3142-G3142)</f>
        <v>#VALUE!</v>
      </c>
      <c r="N3142">
        <v>24</v>
      </c>
      <c r="O3142" t="s">
        <v>68</v>
      </c>
      <c r="P3142">
        <v>1</v>
      </c>
      <c r="R3142">
        <v>1449</v>
      </c>
      <c r="S3142" s="17">
        <v>42146</v>
      </c>
      <c r="T3142" s="17">
        <v>42146</v>
      </c>
      <c r="W3142">
        <v>2015</v>
      </c>
      <c r="X3142">
        <v>24</v>
      </c>
      <c r="AA3142">
        <v>270757</v>
      </c>
      <c r="AC3142" t="s">
        <v>51</v>
      </c>
      <c r="AD3142" t="s">
        <v>302</v>
      </c>
      <c r="AE3142" t="s">
        <v>46</v>
      </c>
      <c r="AG3142">
        <v>26</v>
      </c>
      <c r="AH3142">
        <v>8</v>
      </c>
      <c r="AI3142" t="s">
        <v>52</v>
      </c>
      <c r="AM3142">
        <v>0</v>
      </c>
      <c r="AP3142" t="s">
        <v>501</v>
      </c>
    </row>
    <row r="3143" spans="1:42" customFormat="1">
      <c r="A3143">
        <v>270759</v>
      </c>
      <c r="B3143" t="s">
        <v>219</v>
      </c>
      <c r="C3143" t="s">
        <v>219</v>
      </c>
      <c r="D3143" s="22">
        <v>0</v>
      </c>
      <c r="E3143" s="17">
        <v>42143</v>
      </c>
      <c r="F3143" s="18">
        <v>0.45291666666666663</v>
      </c>
      <c r="G3143" s="22">
        <v>5000</v>
      </c>
      <c r="H3143">
        <v>0</v>
      </c>
      <c r="I3143" s="19" t="e">
        <f>I3142 + (D3143-G3143)</f>
        <v>#VALUE!</v>
      </c>
      <c r="N3143">
        <v>24</v>
      </c>
      <c r="O3143" t="s">
        <v>68</v>
      </c>
      <c r="P3143">
        <v>1</v>
      </c>
      <c r="R3143">
        <v>1449</v>
      </c>
      <c r="S3143" s="17">
        <v>42146</v>
      </c>
      <c r="T3143" s="17">
        <v>42146</v>
      </c>
      <c r="W3143">
        <v>2015</v>
      </c>
      <c r="X3143">
        <v>24</v>
      </c>
      <c r="AC3143" t="s">
        <v>51</v>
      </c>
      <c r="AD3143" t="s">
        <v>302</v>
      </c>
      <c r="AE3143" t="s">
        <v>46</v>
      </c>
      <c r="AG3143">
        <v>26</v>
      </c>
      <c r="AH3143">
        <v>8</v>
      </c>
      <c r="AI3143" t="s">
        <v>52</v>
      </c>
      <c r="AM3143">
        <v>0</v>
      </c>
      <c r="AO3143">
        <v>2</v>
      </c>
      <c r="AP3143" t="s">
        <v>501</v>
      </c>
    </row>
    <row r="3144" spans="1:42" customFormat="1">
      <c r="A3144">
        <v>270760</v>
      </c>
      <c r="B3144" t="s">
        <v>219</v>
      </c>
      <c r="C3144" t="s">
        <v>3751</v>
      </c>
      <c r="D3144" s="22">
        <v>5000</v>
      </c>
      <c r="E3144" s="17">
        <v>42143</v>
      </c>
      <c r="F3144" s="18">
        <v>0.45291666666666663</v>
      </c>
      <c r="G3144" s="22">
        <v>0</v>
      </c>
      <c r="H3144">
        <v>0</v>
      </c>
      <c r="I3144" s="19" t="e">
        <f>I3143 + (D3144-G3144)</f>
        <v>#VALUE!</v>
      </c>
      <c r="N3144">
        <v>24</v>
      </c>
      <c r="O3144" t="s">
        <v>68</v>
      </c>
      <c r="P3144">
        <v>1</v>
      </c>
      <c r="R3144">
        <v>1449</v>
      </c>
      <c r="S3144" s="17">
        <v>42146</v>
      </c>
      <c r="T3144" s="17">
        <v>42146</v>
      </c>
      <c r="W3144">
        <v>2015</v>
      </c>
      <c r="X3144">
        <v>24</v>
      </c>
      <c r="AA3144">
        <v>270759</v>
      </c>
      <c r="AC3144" t="s">
        <v>51</v>
      </c>
      <c r="AD3144" t="s">
        <v>302</v>
      </c>
      <c r="AE3144" t="s">
        <v>46</v>
      </c>
      <c r="AG3144">
        <v>2</v>
      </c>
      <c r="AH3144">
        <v>8</v>
      </c>
      <c r="AI3144" t="s">
        <v>52</v>
      </c>
      <c r="AM3144">
        <v>0</v>
      </c>
      <c r="AP3144" t="s">
        <v>2544</v>
      </c>
    </row>
    <row r="3145" spans="1:42" customFormat="1">
      <c r="A3145">
        <v>270761</v>
      </c>
      <c r="B3145" t="s">
        <v>219</v>
      </c>
      <c r="C3145" t="s">
        <v>219</v>
      </c>
      <c r="D3145" s="22">
        <v>0</v>
      </c>
      <c r="E3145" s="17">
        <v>42143</v>
      </c>
      <c r="F3145" s="18">
        <v>0.45491898148148152</v>
      </c>
      <c r="G3145" s="22">
        <v>2300</v>
      </c>
      <c r="H3145">
        <v>0</v>
      </c>
      <c r="I3145" s="19" t="e">
        <f>I3144 + (D3145-G3145)</f>
        <v>#VALUE!</v>
      </c>
      <c r="N3145">
        <v>24</v>
      </c>
      <c r="O3145" t="s">
        <v>68</v>
      </c>
      <c r="P3145">
        <v>1</v>
      </c>
      <c r="R3145">
        <v>1449</v>
      </c>
      <c r="S3145" s="17">
        <v>42146</v>
      </c>
      <c r="T3145" s="17">
        <v>42146</v>
      </c>
      <c r="W3145">
        <v>2015</v>
      </c>
      <c r="X3145">
        <v>24</v>
      </c>
      <c r="AC3145" t="s">
        <v>51</v>
      </c>
      <c r="AD3145" t="s">
        <v>302</v>
      </c>
      <c r="AE3145" t="s">
        <v>46</v>
      </c>
      <c r="AG3145">
        <v>4</v>
      </c>
      <c r="AH3145">
        <v>8</v>
      </c>
      <c r="AI3145" t="s">
        <v>52</v>
      </c>
      <c r="AM3145">
        <v>0</v>
      </c>
      <c r="AO3145">
        <v>2</v>
      </c>
      <c r="AP3145" t="s">
        <v>389</v>
      </c>
    </row>
    <row r="3146" spans="1:42" customFormat="1">
      <c r="A3146">
        <v>270762</v>
      </c>
      <c r="B3146" t="s">
        <v>219</v>
      </c>
      <c r="C3146" t="s">
        <v>3752</v>
      </c>
      <c r="D3146" s="22">
        <v>2300</v>
      </c>
      <c r="E3146" s="17">
        <v>42143</v>
      </c>
      <c r="F3146" s="18">
        <v>0.45491898148148152</v>
      </c>
      <c r="G3146" s="22">
        <v>0</v>
      </c>
      <c r="H3146">
        <v>0</v>
      </c>
      <c r="I3146" s="19" t="e">
        <f>I3145 + (D3146-G3146)</f>
        <v>#VALUE!</v>
      </c>
      <c r="N3146">
        <v>24</v>
      </c>
      <c r="O3146" t="s">
        <v>68</v>
      </c>
      <c r="P3146">
        <v>1</v>
      </c>
      <c r="R3146">
        <v>1449</v>
      </c>
      <c r="S3146" s="17">
        <v>42146</v>
      </c>
      <c r="T3146" s="17">
        <v>42146</v>
      </c>
      <c r="W3146">
        <v>2015</v>
      </c>
      <c r="X3146">
        <v>24</v>
      </c>
      <c r="AA3146">
        <v>270761</v>
      </c>
      <c r="AC3146" t="s">
        <v>51</v>
      </c>
      <c r="AD3146" t="s">
        <v>302</v>
      </c>
      <c r="AE3146" t="s">
        <v>46</v>
      </c>
      <c r="AG3146">
        <v>2</v>
      </c>
      <c r="AH3146">
        <v>8</v>
      </c>
      <c r="AI3146" t="s">
        <v>52</v>
      </c>
      <c r="AM3146">
        <v>0</v>
      </c>
      <c r="AP3146" t="s">
        <v>2544</v>
      </c>
    </row>
    <row r="3147" spans="1:42" customFormat="1">
      <c r="A3147">
        <v>270763</v>
      </c>
      <c r="B3147" t="s">
        <v>219</v>
      </c>
      <c r="C3147" t="s">
        <v>219</v>
      </c>
      <c r="D3147" s="22">
        <v>0</v>
      </c>
      <c r="E3147" s="17">
        <v>42143</v>
      </c>
      <c r="F3147" s="18">
        <v>0.45543981481481483</v>
      </c>
      <c r="G3147" s="22">
        <v>1300</v>
      </c>
      <c r="H3147">
        <v>0</v>
      </c>
      <c r="I3147" s="19" t="e">
        <f>I3146 + (D3147-G3147)</f>
        <v>#VALUE!</v>
      </c>
      <c r="N3147">
        <v>24</v>
      </c>
      <c r="O3147" t="s">
        <v>68</v>
      </c>
      <c r="P3147">
        <v>1</v>
      </c>
      <c r="R3147">
        <v>1449</v>
      </c>
      <c r="S3147" s="17">
        <v>42146</v>
      </c>
      <c r="T3147" s="17">
        <v>42146</v>
      </c>
      <c r="W3147">
        <v>2015</v>
      </c>
      <c r="X3147">
        <v>24</v>
      </c>
      <c r="AC3147" t="s">
        <v>51</v>
      </c>
      <c r="AD3147" t="s">
        <v>302</v>
      </c>
      <c r="AE3147" t="s">
        <v>46</v>
      </c>
      <c r="AG3147">
        <v>4</v>
      </c>
      <c r="AH3147">
        <v>8</v>
      </c>
      <c r="AI3147" t="s">
        <v>52</v>
      </c>
      <c r="AM3147">
        <v>0</v>
      </c>
      <c r="AO3147">
        <v>8</v>
      </c>
      <c r="AP3147" t="s">
        <v>389</v>
      </c>
    </row>
    <row r="3148" spans="1:42" customFormat="1">
      <c r="A3148">
        <v>270764</v>
      </c>
      <c r="B3148" t="s">
        <v>219</v>
      </c>
      <c r="C3148" t="s">
        <v>3753</v>
      </c>
      <c r="D3148" s="22">
        <v>1300</v>
      </c>
      <c r="E3148" s="17">
        <v>42143</v>
      </c>
      <c r="F3148" s="18">
        <v>0.45543981481481483</v>
      </c>
      <c r="G3148" s="22">
        <v>0</v>
      </c>
      <c r="H3148">
        <v>0</v>
      </c>
      <c r="I3148" s="19" t="e">
        <f>I3147 + (D3148-G3148)</f>
        <v>#VALUE!</v>
      </c>
      <c r="N3148">
        <v>24</v>
      </c>
      <c r="O3148" t="s">
        <v>68</v>
      </c>
      <c r="P3148">
        <v>1</v>
      </c>
      <c r="R3148">
        <v>1449</v>
      </c>
      <c r="S3148" s="17">
        <v>42146</v>
      </c>
      <c r="T3148" s="17">
        <v>42146</v>
      </c>
      <c r="W3148">
        <v>2015</v>
      </c>
      <c r="X3148">
        <v>24</v>
      </c>
      <c r="AA3148">
        <v>270763</v>
      </c>
      <c r="AC3148" t="s">
        <v>51</v>
      </c>
      <c r="AD3148" t="s">
        <v>302</v>
      </c>
      <c r="AE3148" t="s">
        <v>46</v>
      </c>
      <c r="AG3148">
        <v>8</v>
      </c>
      <c r="AH3148">
        <v>8</v>
      </c>
      <c r="AI3148" t="s">
        <v>52</v>
      </c>
      <c r="AM3148">
        <v>0</v>
      </c>
      <c r="AP3148" t="s">
        <v>1201</v>
      </c>
    </row>
    <row r="3149" spans="1:42" customFormat="1">
      <c r="A3149">
        <v>270776</v>
      </c>
      <c r="B3149" t="s">
        <v>219</v>
      </c>
      <c r="C3149" t="s">
        <v>219</v>
      </c>
      <c r="D3149" s="22">
        <v>0</v>
      </c>
      <c r="E3149" s="17">
        <v>42143</v>
      </c>
      <c r="F3149" s="18">
        <v>0.46008101851851851</v>
      </c>
      <c r="G3149" s="22">
        <v>5000</v>
      </c>
      <c r="H3149">
        <v>0</v>
      </c>
      <c r="I3149" s="19" t="e">
        <f>I3148 + (D3149-G3149)</f>
        <v>#VALUE!</v>
      </c>
      <c r="N3149">
        <v>24</v>
      </c>
      <c r="O3149" t="s">
        <v>68</v>
      </c>
      <c r="P3149">
        <v>1</v>
      </c>
      <c r="R3149">
        <v>1449</v>
      </c>
      <c r="S3149" s="17">
        <v>42146</v>
      </c>
      <c r="T3149" s="17">
        <v>42146</v>
      </c>
      <c r="W3149">
        <v>2015</v>
      </c>
      <c r="X3149">
        <v>24</v>
      </c>
      <c r="AC3149" t="s">
        <v>51</v>
      </c>
      <c r="AD3149" t="s">
        <v>302</v>
      </c>
      <c r="AE3149" t="s">
        <v>46</v>
      </c>
      <c r="AG3149">
        <v>8</v>
      </c>
      <c r="AH3149">
        <v>8</v>
      </c>
      <c r="AI3149" t="s">
        <v>52</v>
      </c>
      <c r="AM3149">
        <v>0</v>
      </c>
      <c r="AO3149">
        <v>52</v>
      </c>
      <c r="AP3149" t="s">
        <v>1201</v>
      </c>
    </row>
    <row r="3150" spans="1:42" customFormat="1">
      <c r="A3150">
        <v>270777</v>
      </c>
      <c r="B3150" t="s">
        <v>219</v>
      </c>
      <c r="C3150" t="s">
        <v>3754</v>
      </c>
      <c r="D3150" s="22">
        <v>5000</v>
      </c>
      <c r="E3150" s="17">
        <v>42143</v>
      </c>
      <c r="F3150" s="18">
        <v>0.46008101851851851</v>
      </c>
      <c r="G3150" s="22">
        <v>0</v>
      </c>
      <c r="H3150">
        <v>0</v>
      </c>
      <c r="I3150" s="19" t="e">
        <f>I3149 + (D3150-G3150)</f>
        <v>#VALUE!</v>
      </c>
      <c r="N3150">
        <v>24</v>
      </c>
      <c r="O3150" t="s">
        <v>68</v>
      </c>
      <c r="P3150">
        <v>1</v>
      </c>
      <c r="R3150">
        <v>1449</v>
      </c>
      <c r="S3150" s="17">
        <v>42146</v>
      </c>
      <c r="T3150" s="17">
        <v>42146</v>
      </c>
      <c r="W3150">
        <v>2015</v>
      </c>
      <c r="X3150">
        <v>24</v>
      </c>
      <c r="AA3150">
        <v>270776</v>
      </c>
      <c r="AC3150" t="s">
        <v>51</v>
      </c>
      <c r="AD3150" t="s">
        <v>302</v>
      </c>
      <c r="AE3150" t="s">
        <v>46</v>
      </c>
      <c r="AG3150">
        <v>52</v>
      </c>
      <c r="AH3150">
        <v>8</v>
      </c>
      <c r="AI3150" t="s">
        <v>52</v>
      </c>
      <c r="AM3150">
        <v>0</v>
      </c>
      <c r="AP3150" t="s">
        <v>325</v>
      </c>
    </row>
    <row r="3151" spans="1:42" customFormat="1">
      <c r="A3151">
        <v>270778</v>
      </c>
      <c r="B3151" t="s">
        <v>219</v>
      </c>
      <c r="C3151" t="s">
        <v>219</v>
      </c>
      <c r="D3151" s="22">
        <v>0</v>
      </c>
      <c r="E3151" s="17">
        <v>42143</v>
      </c>
      <c r="F3151" s="18">
        <v>0.4604166666666667</v>
      </c>
      <c r="G3151" s="22">
        <v>11000</v>
      </c>
      <c r="H3151">
        <v>0</v>
      </c>
      <c r="I3151" s="19" t="e">
        <f>I3150 + (D3151-G3151)</f>
        <v>#VALUE!</v>
      </c>
      <c r="N3151">
        <v>24</v>
      </c>
      <c r="O3151" t="s">
        <v>68</v>
      </c>
      <c r="P3151">
        <v>1</v>
      </c>
      <c r="R3151">
        <v>1449</v>
      </c>
      <c r="S3151" s="17">
        <v>42146</v>
      </c>
      <c r="T3151" s="17">
        <v>42146</v>
      </c>
      <c r="W3151">
        <v>2015</v>
      </c>
      <c r="X3151">
        <v>24</v>
      </c>
      <c r="AC3151" t="s">
        <v>51</v>
      </c>
      <c r="AD3151" t="s">
        <v>302</v>
      </c>
      <c r="AE3151" t="s">
        <v>46</v>
      </c>
      <c r="AG3151">
        <v>4</v>
      </c>
      <c r="AH3151">
        <v>8</v>
      </c>
      <c r="AI3151" t="s">
        <v>52</v>
      </c>
      <c r="AM3151">
        <v>0</v>
      </c>
      <c r="AO3151">
        <v>8</v>
      </c>
      <c r="AP3151" t="s">
        <v>389</v>
      </c>
    </row>
    <row r="3152" spans="1:42" customFormat="1">
      <c r="A3152">
        <v>270779</v>
      </c>
      <c r="B3152" t="s">
        <v>219</v>
      </c>
      <c r="C3152" t="s">
        <v>3755</v>
      </c>
      <c r="D3152" s="22">
        <v>11000</v>
      </c>
      <c r="E3152" s="17">
        <v>42143</v>
      </c>
      <c r="F3152" s="18">
        <v>0.4604166666666667</v>
      </c>
      <c r="G3152" s="22">
        <v>0</v>
      </c>
      <c r="H3152">
        <v>0</v>
      </c>
      <c r="I3152" s="19" t="e">
        <f>I3151 + (D3152-G3152)</f>
        <v>#VALUE!</v>
      </c>
      <c r="N3152">
        <v>24</v>
      </c>
      <c r="O3152" t="s">
        <v>68</v>
      </c>
      <c r="P3152">
        <v>1</v>
      </c>
      <c r="R3152">
        <v>1449</v>
      </c>
      <c r="S3152" s="17">
        <v>42146</v>
      </c>
      <c r="T3152" s="17">
        <v>42146</v>
      </c>
      <c r="W3152">
        <v>2015</v>
      </c>
      <c r="X3152">
        <v>24</v>
      </c>
      <c r="AA3152">
        <v>270778</v>
      </c>
      <c r="AC3152" t="s">
        <v>51</v>
      </c>
      <c r="AD3152" t="s">
        <v>302</v>
      </c>
      <c r="AE3152" t="s">
        <v>46</v>
      </c>
      <c r="AG3152">
        <v>8</v>
      </c>
      <c r="AH3152">
        <v>8</v>
      </c>
      <c r="AI3152" t="s">
        <v>52</v>
      </c>
      <c r="AM3152">
        <v>0</v>
      </c>
      <c r="AP3152" t="s">
        <v>1201</v>
      </c>
    </row>
    <row r="3153" spans="1:42" customFormat="1">
      <c r="A3153">
        <v>270780</v>
      </c>
      <c r="B3153" t="s">
        <v>219</v>
      </c>
      <c r="C3153" t="s">
        <v>219</v>
      </c>
      <c r="D3153" s="22">
        <v>0</v>
      </c>
      <c r="E3153" s="17">
        <v>42143</v>
      </c>
      <c r="F3153" s="18">
        <v>0.4607060185185185</v>
      </c>
      <c r="G3153" s="22">
        <v>10600</v>
      </c>
      <c r="H3153">
        <v>0</v>
      </c>
      <c r="I3153" s="19" t="e">
        <f>I3152 + (D3153-G3153)</f>
        <v>#VALUE!</v>
      </c>
      <c r="N3153">
        <v>24</v>
      </c>
      <c r="O3153" t="s">
        <v>68</v>
      </c>
      <c r="P3153">
        <v>1</v>
      </c>
      <c r="R3153">
        <v>1449</v>
      </c>
      <c r="S3153" s="17">
        <v>42146</v>
      </c>
      <c r="T3153" s="17">
        <v>42146</v>
      </c>
      <c r="W3153">
        <v>2015</v>
      </c>
      <c r="X3153">
        <v>24</v>
      </c>
      <c r="AC3153" t="s">
        <v>51</v>
      </c>
      <c r="AD3153" t="s">
        <v>302</v>
      </c>
      <c r="AE3153" t="s">
        <v>46</v>
      </c>
      <c r="AG3153">
        <v>4</v>
      </c>
      <c r="AH3153">
        <v>8</v>
      </c>
      <c r="AI3153" t="s">
        <v>52</v>
      </c>
      <c r="AM3153">
        <v>0</v>
      </c>
      <c r="AO3153">
        <v>8</v>
      </c>
      <c r="AP3153" t="s">
        <v>389</v>
      </c>
    </row>
    <row r="3154" spans="1:42" customFormat="1">
      <c r="A3154">
        <v>270781</v>
      </c>
      <c r="B3154" t="s">
        <v>219</v>
      </c>
      <c r="C3154" t="s">
        <v>3756</v>
      </c>
      <c r="D3154" s="22">
        <v>10600</v>
      </c>
      <c r="E3154" s="17">
        <v>42143</v>
      </c>
      <c r="F3154" s="18">
        <v>0.4607060185185185</v>
      </c>
      <c r="G3154" s="22">
        <v>0</v>
      </c>
      <c r="H3154">
        <v>0</v>
      </c>
      <c r="I3154" s="19" t="e">
        <f>I3153 + (D3154-G3154)</f>
        <v>#VALUE!</v>
      </c>
      <c r="N3154">
        <v>24</v>
      </c>
      <c r="O3154" t="s">
        <v>68</v>
      </c>
      <c r="P3154">
        <v>1</v>
      </c>
      <c r="R3154">
        <v>1449</v>
      </c>
      <c r="S3154" s="17">
        <v>42146</v>
      </c>
      <c r="T3154" s="17">
        <v>42146</v>
      </c>
      <c r="W3154">
        <v>2015</v>
      </c>
      <c r="X3154">
        <v>24</v>
      </c>
      <c r="AA3154">
        <v>270780</v>
      </c>
      <c r="AC3154" t="s">
        <v>51</v>
      </c>
      <c r="AD3154" t="s">
        <v>302</v>
      </c>
      <c r="AE3154" t="s">
        <v>46</v>
      </c>
      <c r="AG3154">
        <v>8</v>
      </c>
      <c r="AH3154">
        <v>8</v>
      </c>
      <c r="AI3154" t="s">
        <v>52</v>
      </c>
      <c r="AM3154">
        <v>0</v>
      </c>
      <c r="AP3154" t="s">
        <v>1201</v>
      </c>
    </row>
    <row r="3155" spans="1:42" customFormat="1">
      <c r="A3155">
        <v>270782</v>
      </c>
      <c r="B3155" t="s">
        <v>219</v>
      </c>
      <c r="C3155" t="s">
        <v>219</v>
      </c>
      <c r="D3155" s="22">
        <v>0</v>
      </c>
      <c r="E3155" s="17">
        <v>42143</v>
      </c>
      <c r="F3155" s="18">
        <v>0.46103009259259259</v>
      </c>
      <c r="G3155" s="22">
        <v>10800</v>
      </c>
      <c r="H3155">
        <v>0</v>
      </c>
      <c r="I3155" s="19" t="e">
        <f>I3154 + (D3155-G3155)</f>
        <v>#VALUE!</v>
      </c>
      <c r="N3155">
        <v>24</v>
      </c>
      <c r="O3155" t="s">
        <v>68</v>
      </c>
      <c r="P3155">
        <v>1</v>
      </c>
      <c r="R3155">
        <v>1449</v>
      </c>
      <c r="S3155" s="17">
        <v>42146</v>
      </c>
      <c r="T3155" s="17">
        <v>42146</v>
      </c>
      <c r="W3155">
        <v>2015</v>
      </c>
      <c r="X3155">
        <v>24</v>
      </c>
      <c r="AC3155" t="s">
        <v>51</v>
      </c>
      <c r="AD3155" t="s">
        <v>302</v>
      </c>
      <c r="AE3155" t="s">
        <v>46</v>
      </c>
      <c r="AG3155">
        <v>4</v>
      </c>
      <c r="AH3155">
        <v>8</v>
      </c>
      <c r="AI3155" t="s">
        <v>52</v>
      </c>
      <c r="AM3155">
        <v>0</v>
      </c>
      <c r="AO3155">
        <v>26</v>
      </c>
      <c r="AP3155" t="s">
        <v>389</v>
      </c>
    </row>
    <row r="3156" spans="1:42" customFormat="1">
      <c r="A3156">
        <v>270783</v>
      </c>
      <c r="B3156" t="s">
        <v>219</v>
      </c>
      <c r="C3156" t="s">
        <v>3757</v>
      </c>
      <c r="D3156" s="22">
        <v>10800</v>
      </c>
      <c r="E3156" s="17">
        <v>42143</v>
      </c>
      <c r="F3156" s="18">
        <v>0.46103009259259259</v>
      </c>
      <c r="G3156" s="22">
        <v>0</v>
      </c>
      <c r="H3156">
        <v>0</v>
      </c>
      <c r="I3156" s="19" t="e">
        <f>I3155 + (D3156-G3156)</f>
        <v>#VALUE!</v>
      </c>
      <c r="N3156">
        <v>24</v>
      </c>
      <c r="O3156" t="s">
        <v>68</v>
      </c>
      <c r="P3156">
        <v>1</v>
      </c>
      <c r="R3156">
        <v>1449</v>
      </c>
      <c r="S3156" s="17">
        <v>42146</v>
      </c>
      <c r="T3156" s="17">
        <v>42146</v>
      </c>
      <c r="W3156">
        <v>2015</v>
      </c>
      <c r="X3156">
        <v>24</v>
      </c>
      <c r="AA3156">
        <v>270782</v>
      </c>
      <c r="AC3156" t="s">
        <v>51</v>
      </c>
      <c r="AD3156" t="s">
        <v>302</v>
      </c>
      <c r="AE3156" t="s">
        <v>46</v>
      </c>
      <c r="AG3156">
        <v>26</v>
      </c>
      <c r="AH3156">
        <v>8</v>
      </c>
      <c r="AI3156" t="s">
        <v>52</v>
      </c>
      <c r="AM3156">
        <v>0</v>
      </c>
      <c r="AP3156" t="s">
        <v>501</v>
      </c>
    </row>
    <row r="3157" spans="1:42" customFormat="1">
      <c r="A3157">
        <v>270784</v>
      </c>
      <c r="B3157" t="s">
        <v>219</v>
      </c>
      <c r="C3157" t="s">
        <v>219</v>
      </c>
      <c r="D3157" s="22">
        <v>0</v>
      </c>
      <c r="E3157" s="17">
        <v>42143</v>
      </c>
      <c r="F3157" s="18">
        <v>0.46128472222222222</v>
      </c>
      <c r="G3157" s="22">
        <v>10200</v>
      </c>
      <c r="H3157">
        <v>0</v>
      </c>
      <c r="I3157" s="19" t="e">
        <f>I3156 + (D3157-G3157)</f>
        <v>#VALUE!</v>
      </c>
      <c r="N3157">
        <v>24</v>
      </c>
      <c r="O3157" t="s">
        <v>68</v>
      </c>
      <c r="P3157">
        <v>1</v>
      </c>
      <c r="R3157">
        <v>1449</v>
      </c>
      <c r="S3157" s="17">
        <v>42146</v>
      </c>
      <c r="T3157" s="17">
        <v>42146</v>
      </c>
      <c r="W3157">
        <v>2015</v>
      </c>
      <c r="X3157">
        <v>24</v>
      </c>
      <c r="AC3157" t="s">
        <v>51</v>
      </c>
      <c r="AD3157" t="s">
        <v>302</v>
      </c>
      <c r="AE3157" t="s">
        <v>46</v>
      </c>
      <c r="AG3157">
        <v>4</v>
      </c>
      <c r="AH3157">
        <v>8</v>
      </c>
      <c r="AI3157" t="s">
        <v>52</v>
      </c>
      <c r="AM3157">
        <v>0</v>
      </c>
      <c r="AO3157">
        <v>26</v>
      </c>
      <c r="AP3157" t="s">
        <v>389</v>
      </c>
    </row>
    <row r="3158" spans="1:42" customFormat="1">
      <c r="A3158">
        <v>270785</v>
      </c>
      <c r="B3158" t="s">
        <v>219</v>
      </c>
      <c r="C3158" t="s">
        <v>3758</v>
      </c>
      <c r="D3158" s="22">
        <v>10200</v>
      </c>
      <c r="E3158" s="17">
        <v>42143</v>
      </c>
      <c r="F3158" s="18">
        <v>0.46128472222222222</v>
      </c>
      <c r="G3158" s="22">
        <v>0</v>
      </c>
      <c r="H3158">
        <v>0</v>
      </c>
      <c r="I3158" s="19" t="e">
        <f>I3157 + (D3158-G3158)</f>
        <v>#VALUE!</v>
      </c>
      <c r="N3158">
        <v>24</v>
      </c>
      <c r="O3158" t="s">
        <v>68</v>
      </c>
      <c r="P3158">
        <v>1</v>
      </c>
      <c r="R3158">
        <v>1449</v>
      </c>
      <c r="S3158" s="17">
        <v>42146</v>
      </c>
      <c r="T3158" s="17">
        <v>42146</v>
      </c>
      <c r="W3158">
        <v>2015</v>
      </c>
      <c r="X3158">
        <v>24</v>
      </c>
      <c r="AA3158">
        <v>270784</v>
      </c>
      <c r="AC3158" t="s">
        <v>51</v>
      </c>
      <c r="AD3158" t="s">
        <v>302</v>
      </c>
      <c r="AE3158" t="s">
        <v>46</v>
      </c>
      <c r="AG3158">
        <v>26</v>
      </c>
      <c r="AH3158">
        <v>8</v>
      </c>
      <c r="AI3158" t="s">
        <v>52</v>
      </c>
      <c r="AM3158">
        <v>0</v>
      </c>
      <c r="AP3158" t="s">
        <v>501</v>
      </c>
    </row>
    <row r="3159" spans="1:42" customFormat="1">
      <c r="A3159">
        <v>270786</v>
      </c>
      <c r="B3159" t="s">
        <v>219</v>
      </c>
      <c r="C3159" t="s">
        <v>219</v>
      </c>
      <c r="D3159" s="22">
        <v>0</v>
      </c>
      <c r="E3159" s="17">
        <v>42143</v>
      </c>
      <c r="F3159" s="18">
        <v>0.46156250000000004</v>
      </c>
      <c r="G3159" s="22">
        <v>10500</v>
      </c>
      <c r="H3159">
        <v>0</v>
      </c>
      <c r="I3159" s="19" t="e">
        <f>I3158 + (D3159-G3159)</f>
        <v>#VALUE!</v>
      </c>
      <c r="N3159">
        <v>24</v>
      </c>
      <c r="O3159" t="s">
        <v>68</v>
      </c>
      <c r="P3159">
        <v>1</v>
      </c>
      <c r="R3159">
        <v>1449</v>
      </c>
      <c r="S3159" s="17">
        <v>42146</v>
      </c>
      <c r="T3159" s="17">
        <v>42146</v>
      </c>
      <c r="W3159">
        <v>2015</v>
      </c>
      <c r="X3159">
        <v>24</v>
      </c>
      <c r="AC3159" t="s">
        <v>51</v>
      </c>
      <c r="AD3159" t="s">
        <v>302</v>
      </c>
      <c r="AE3159" t="s">
        <v>46</v>
      </c>
      <c r="AG3159">
        <v>4</v>
      </c>
      <c r="AH3159">
        <v>8</v>
      </c>
      <c r="AI3159" t="s">
        <v>52</v>
      </c>
      <c r="AM3159">
        <v>0</v>
      </c>
      <c r="AO3159">
        <v>8</v>
      </c>
      <c r="AP3159" t="s">
        <v>389</v>
      </c>
    </row>
    <row r="3160" spans="1:42" customFormat="1">
      <c r="A3160">
        <v>270787</v>
      </c>
      <c r="B3160" t="s">
        <v>219</v>
      </c>
      <c r="C3160" t="s">
        <v>3759</v>
      </c>
      <c r="D3160" s="22">
        <v>10500</v>
      </c>
      <c r="E3160" s="17">
        <v>42143</v>
      </c>
      <c r="F3160" s="18">
        <v>0.46156250000000004</v>
      </c>
      <c r="G3160" s="22">
        <v>0</v>
      </c>
      <c r="H3160">
        <v>0</v>
      </c>
      <c r="I3160" s="19" t="e">
        <f>I3159 + (D3160-G3160)</f>
        <v>#VALUE!</v>
      </c>
      <c r="N3160">
        <v>24</v>
      </c>
      <c r="O3160" t="s">
        <v>68</v>
      </c>
      <c r="P3160">
        <v>1</v>
      </c>
      <c r="R3160">
        <v>1449</v>
      </c>
      <c r="S3160" s="17">
        <v>42146</v>
      </c>
      <c r="T3160" s="17">
        <v>42146</v>
      </c>
      <c r="W3160">
        <v>2015</v>
      </c>
      <c r="X3160">
        <v>24</v>
      </c>
      <c r="AA3160">
        <v>270786</v>
      </c>
      <c r="AC3160" t="s">
        <v>51</v>
      </c>
      <c r="AD3160" t="s">
        <v>302</v>
      </c>
      <c r="AE3160" t="s">
        <v>46</v>
      </c>
      <c r="AG3160">
        <v>8</v>
      </c>
      <c r="AH3160">
        <v>8</v>
      </c>
      <c r="AI3160" t="s">
        <v>52</v>
      </c>
      <c r="AM3160">
        <v>0</v>
      </c>
      <c r="AP3160" t="s">
        <v>1201</v>
      </c>
    </row>
    <row r="3161" spans="1:42" customFormat="1">
      <c r="A3161">
        <v>270788</v>
      </c>
      <c r="B3161" t="s">
        <v>219</v>
      </c>
      <c r="C3161" t="s">
        <v>219</v>
      </c>
      <c r="D3161" s="22">
        <v>0</v>
      </c>
      <c r="E3161" s="17">
        <v>42143</v>
      </c>
      <c r="F3161" s="18">
        <v>0.46182870370370371</v>
      </c>
      <c r="G3161" s="22">
        <v>500</v>
      </c>
      <c r="H3161">
        <v>0</v>
      </c>
      <c r="I3161" s="19" t="e">
        <f>I3160 + (D3161-G3161)</f>
        <v>#VALUE!</v>
      </c>
      <c r="N3161">
        <v>24</v>
      </c>
      <c r="O3161" t="s">
        <v>68</v>
      </c>
      <c r="P3161">
        <v>1</v>
      </c>
      <c r="R3161">
        <v>1449</v>
      </c>
      <c r="S3161" s="17">
        <v>42146</v>
      </c>
      <c r="T3161" s="17">
        <v>42146</v>
      </c>
      <c r="W3161">
        <v>2015</v>
      </c>
      <c r="X3161">
        <v>24</v>
      </c>
      <c r="AC3161" t="s">
        <v>51</v>
      </c>
      <c r="AD3161" t="s">
        <v>302</v>
      </c>
      <c r="AE3161" t="s">
        <v>46</v>
      </c>
      <c r="AG3161">
        <v>26</v>
      </c>
      <c r="AH3161">
        <v>8</v>
      </c>
      <c r="AI3161" t="s">
        <v>52</v>
      </c>
      <c r="AM3161">
        <v>0</v>
      </c>
      <c r="AO3161">
        <v>8</v>
      </c>
      <c r="AP3161" t="s">
        <v>501</v>
      </c>
    </row>
    <row r="3162" spans="1:42" customFormat="1">
      <c r="A3162">
        <v>270789</v>
      </c>
      <c r="B3162" t="s">
        <v>219</v>
      </c>
      <c r="C3162" t="s">
        <v>3760</v>
      </c>
      <c r="D3162" s="22">
        <v>500</v>
      </c>
      <c r="E3162" s="17">
        <v>42143</v>
      </c>
      <c r="F3162" s="18">
        <v>0.46182870370370371</v>
      </c>
      <c r="G3162" s="22">
        <v>0</v>
      </c>
      <c r="H3162">
        <v>0</v>
      </c>
      <c r="I3162" s="19" t="e">
        <f>I3161 + (D3162-G3162)</f>
        <v>#VALUE!</v>
      </c>
      <c r="N3162">
        <v>24</v>
      </c>
      <c r="O3162" t="s">
        <v>68</v>
      </c>
      <c r="P3162">
        <v>1</v>
      </c>
      <c r="R3162">
        <v>1449</v>
      </c>
      <c r="S3162" s="17">
        <v>42146</v>
      </c>
      <c r="T3162" s="17">
        <v>42146</v>
      </c>
      <c r="W3162">
        <v>2015</v>
      </c>
      <c r="X3162">
        <v>24</v>
      </c>
      <c r="AA3162">
        <v>270788</v>
      </c>
      <c r="AC3162" t="s">
        <v>51</v>
      </c>
      <c r="AD3162" t="s">
        <v>302</v>
      </c>
      <c r="AE3162" t="s">
        <v>46</v>
      </c>
      <c r="AG3162">
        <v>8</v>
      </c>
      <c r="AH3162">
        <v>8</v>
      </c>
      <c r="AI3162" t="s">
        <v>52</v>
      </c>
      <c r="AM3162">
        <v>0</v>
      </c>
      <c r="AP3162" t="s">
        <v>1201</v>
      </c>
    </row>
    <row r="3163" spans="1:42" customFormat="1">
      <c r="A3163">
        <v>271047</v>
      </c>
      <c r="B3163" t="s">
        <v>102</v>
      </c>
      <c r="C3163" t="s">
        <v>3764</v>
      </c>
      <c r="D3163" s="22">
        <v>11745</v>
      </c>
      <c r="E3163" s="17">
        <v>42143</v>
      </c>
      <c r="F3163" s="18">
        <v>0.47857638888888893</v>
      </c>
      <c r="G3163" s="22">
        <v>0</v>
      </c>
      <c r="H3163">
        <v>0</v>
      </c>
      <c r="I3163" s="19" t="e">
        <f>I3162 + (D3163-G3163)</f>
        <v>#VALUE!</v>
      </c>
      <c r="N3163">
        <v>7</v>
      </c>
      <c r="O3163" t="s">
        <v>44</v>
      </c>
      <c r="P3163">
        <v>1</v>
      </c>
      <c r="R3163">
        <v>1449</v>
      </c>
      <c r="S3163" s="17">
        <v>42150</v>
      </c>
      <c r="T3163" s="17">
        <v>42150</v>
      </c>
      <c r="W3163">
        <v>2015</v>
      </c>
      <c r="X3163">
        <v>7</v>
      </c>
      <c r="AC3163" t="s">
        <v>51</v>
      </c>
      <c r="AD3163" t="s">
        <v>302</v>
      </c>
      <c r="AE3163" t="s">
        <v>46</v>
      </c>
      <c r="AG3163">
        <v>26</v>
      </c>
      <c r="AH3163">
        <v>8</v>
      </c>
      <c r="AI3163" t="s">
        <v>52</v>
      </c>
      <c r="AM3163">
        <v>0</v>
      </c>
      <c r="AP3163" t="s">
        <v>501</v>
      </c>
    </row>
    <row r="3164" spans="1:42" customFormat="1">
      <c r="A3164">
        <v>270752</v>
      </c>
      <c r="B3164" t="s">
        <v>219</v>
      </c>
      <c r="C3164" t="s">
        <v>219</v>
      </c>
      <c r="D3164" s="22">
        <v>0</v>
      </c>
      <c r="E3164" s="17">
        <v>42144</v>
      </c>
      <c r="F3164" s="18">
        <v>0.44906249999999998</v>
      </c>
      <c r="G3164" s="22">
        <v>10000</v>
      </c>
      <c r="H3164">
        <v>0</v>
      </c>
      <c r="I3164" s="19" t="e">
        <f>I3163 + (D3164-G3164)</f>
        <v>#VALUE!</v>
      </c>
      <c r="N3164">
        <v>24</v>
      </c>
      <c r="O3164" t="s">
        <v>68</v>
      </c>
      <c r="P3164">
        <v>1</v>
      </c>
      <c r="R3164">
        <v>1449</v>
      </c>
      <c r="S3164" s="17">
        <v>42146</v>
      </c>
      <c r="T3164" s="17">
        <v>42146</v>
      </c>
      <c r="W3164">
        <v>2015</v>
      </c>
      <c r="X3164">
        <v>24</v>
      </c>
      <c r="AC3164" t="s">
        <v>51</v>
      </c>
      <c r="AD3164" t="s">
        <v>302</v>
      </c>
      <c r="AE3164" t="s">
        <v>46</v>
      </c>
      <c r="AG3164">
        <v>4</v>
      </c>
      <c r="AH3164">
        <v>8</v>
      </c>
      <c r="AI3164" t="s">
        <v>52</v>
      </c>
      <c r="AM3164">
        <v>0</v>
      </c>
      <c r="AO3164">
        <v>26</v>
      </c>
      <c r="AP3164" t="s">
        <v>389</v>
      </c>
    </row>
    <row r="3165" spans="1:42" customFormat="1">
      <c r="A3165">
        <v>270754</v>
      </c>
      <c r="B3165" t="s">
        <v>219</v>
      </c>
      <c r="C3165" t="s">
        <v>3837</v>
      </c>
      <c r="D3165" s="22">
        <v>10000</v>
      </c>
      <c r="E3165" s="17">
        <v>42144</v>
      </c>
      <c r="F3165" s="18">
        <v>0.44906249999999998</v>
      </c>
      <c r="G3165" s="22">
        <v>0</v>
      </c>
      <c r="H3165">
        <v>0</v>
      </c>
      <c r="I3165" s="19" t="e">
        <f>I3164 + (D3165-G3165)</f>
        <v>#VALUE!</v>
      </c>
      <c r="N3165">
        <v>24</v>
      </c>
      <c r="O3165" t="s">
        <v>68</v>
      </c>
      <c r="P3165">
        <v>1</v>
      </c>
      <c r="R3165">
        <v>1449</v>
      </c>
      <c r="S3165" s="17">
        <v>42146</v>
      </c>
      <c r="T3165" s="17">
        <v>42146</v>
      </c>
      <c r="W3165">
        <v>2015</v>
      </c>
      <c r="X3165">
        <v>24</v>
      </c>
      <c r="AA3165">
        <v>270752</v>
      </c>
      <c r="AC3165" t="s">
        <v>51</v>
      </c>
      <c r="AD3165" t="s">
        <v>302</v>
      </c>
      <c r="AE3165" t="s">
        <v>46</v>
      </c>
      <c r="AG3165">
        <v>26</v>
      </c>
      <c r="AH3165">
        <v>8</v>
      </c>
      <c r="AI3165" t="s">
        <v>52</v>
      </c>
      <c r="AM3165">
        <v>0</v>
      </c>
      <c r="AP3165" t="s">
        <v>501</v>
      </c>
    </row>
    <row r="3166" spans="1:42" customFormat="1">
      <c r="A3166">
        <v>270755</v>
      </c>
      <c r="B3166" t="s">
        <v>219</v>
      </c>
      <c r="C3166" t="s">
        <v>219</v>
      </c>
      <c r="D3166" s="22">
        <v>0</v>
      </c>
      <c r="E3166" s="17">
        <v>42144</v>
      </c>
      <c r="F3166" s="18">
        <v>0.45069444444444445</v>
      </c>
      <c r="G3166" s="22">
        <v>4200</v>
      </c>
      <c r="H3166">
        <v>0</v>
      </c>
      <c r="I3166" s="19" t="e">
        <f>I3165 + (D3166-G3166)</f>
        <v>#VALUE!</v>
      </c>
      <c r="N3166">
        <v>24</v>
      </c>
      <c r="O3166" t="s">
        <v>68</v>
      </c>
      <c r="P3166">
        <v>1</v>
      </c>
      <c r="R3166">
        <v>1449</v>
      </c>
      <c r="S3166" s="17">
        <v>42146</v>
      </c>
      <c r="T3166" s="17">
        <v>42146</v>
      </c>
      <c r="W3166">
        <v>2015</v>
      </c>
      <c r="X3166">
        <v>24</v>
      </c>
      <c r="AC3166" t="s">
        <v>51</v>
      </c>
      <c r="AD3166" t="s">
        <v>302</v>
      </c>
      <c r="AE3166" t="s">
        <v>46</v>
      </c>
      <c r="AG3166">
        <v>4</v>
      </c>
      <c r="AH3166">
        <v>8</v>
      </c>
      <c r="AI3166" t="s">
        <v>52</v>
      </c>
      <c r="AM3166">
        <v>0</v>
      </c>
      <c r="AO3166">
        <v>2</v>
      </c>
      <c r="AP3166" t="s">
        <v>389</v>
      </c>
    </row>
    <row r="3167" spans="1:42" customFormat="1">
      <c r="A3167">
        <v>270756</v>
      </c>
      <c r="B3167" t="s">
        <v>219</v>
      </c>
      <c r="C3167" t="s">
        <v>3838</v>
      </c>
      <c r="D3167" s="22">
        <v>4200</v>
      </c>
      <c r="E3167" s="17">
        <v>42144</v>
      </c>
      <c r="F3167" s="18">
        <v>0.45069444444444445</v>
      </c>
      <c r="G3167" s="22">
        <v>0</v>
      </c>
      <c r="H3167">
        <v>0</v>
      </c>
      <c r="I3167" s="19" t="e">
        <f>I3166 + (D3167-G3167)</f>
        <v>#VALUE!</v>
      </c>
      <c r="N3167">
        <v>24</v>
      </c>
      <c r="O3167" t="s">
        <v>68</v>
      </c>
      <c r="P3167">
        <v>1</v>
      </c>
      <c r="R3167">
        <v>1449</v>
      </c>
      <c r="S3167" s="17">
        <v>42146</v>
      </c>
      <c r="T3167" s="17">
        <v>42146</v>
      </c>
      <c r="W3167">
        <v>2015</v>
      </c>
      <c r="X3167">
        <v>24</v>
      </c>
      <c r="AA3167">
        <v>270755</v>
      </c>
      <c r="AC3167" t="s">
        <v>51</v>
      </c>
      <c r="AD3167" t="s">
        <v>302</v>
      </c>
      <c r="AE3167" t="s">
        <v>46</v>
      </c>
      <c r="AG3167">
        <v>2</v>
      </c>
      <c r="AH3167">
        <v>8</v>
      </c>
      <c r="AI3167" t="s">
        <v>52</v>
      </c>
      <c r="AM3167">
        <v>0</v>
      </c>
      <c r="AP3167" t="s">
        <v>2544</v>
      </c>
    </row>
    <row r="3168" spans="1:42" customFormat="1">
      <c r="A3168">
        <v>270972</v>
      </c>
      <c r="B3168" t="s">
        <v>219</v>
      </c>
      <c r="C3168" t="s">
        <v>219</v>
      </c>
      <c r="D3168" s="22">
        <v>0</v>
      </c>
      <c r="E3168" s="17">
        <v>42144</v>
      </c>
      <c r="F3168" s="18">
        <v>0.47607638888888887</v>
      </c>
      <c r="G3168" s="22">
        <v>32533.59</v>
      </c>
      <c r="H3168">
        <v>0</v>
      </c>
      <c r="I3168" s="19" t="e">
        <f>I3167 + (D3168-G3168)</f>
        <v>#VALUE!</v>
      </c>
      <c r="N3168">
        <v>7</v>
      </c>
      <c r="O3168" t="s">
        <v>44</v>
      </c>
      <c r="P3168">
        <v>1</v>
      </c>
      <c r="R3168">
        <v>1449</v>
      </c>
      <c r="S3168" s="17">
        <v>42149</v>
      </c>
      <c r="T3168" s="17">
        <v>42149</v>
      </c>
      <c r="W3168">
        <v>2015</v>
      </c>
      <c r="X3168">
        <v>7</v>
      </c>
      <c r="AC3168" t="s">
        <v>51</v>
      </c>
      <c r="AD3168" t="s">
        <v>302</v>
      </c>
      <c r="AE3168" t="s">
        <v>46</v>
      </c>
      <c r="AG3168">
        <v>3</v>
      </c>
      <c r="AH3168">
        <v>8</v>
      </c>
      <c r="AI3168" t="s">
        <v>52</v>
      </c>
      <c r="AM3168">
        <v>0</v>
      </c>
      <c r="AO3168">
        <v>2</v>
      </c>
      <c r="AP3168" t="s">
        <v>80</v>
      </c>
    </row>
    <row r="3169" spans="1:42" customFormat="1">
      <c r="A3169">
        <v>270973</v>
      </c>
      <c r="B3169" t="s">
        <v>219</v>
      </c>
      <c r="C3169" t="s">
        <v>3840</v>
      </c>
      <c r="D3169" s="22">
        <v>32533.59</v>
      </c>
      <c r="E3169" s="17">
        <v>42144</v>
      </c>
      <c r="F3169" s="18">
        <v>0.47607638888888887</v>
      </c>
      <c r="G3169" s="22">
        <v>0</v>
      </c>
      <c r="H3169">
        <v>0</v>
      </c>
      <c r="I3169" s="19" t="e">
        <f>I3168 + (D3169-G3169)</f>
        <v>#VALUE!</v>
      </c>
      <c r="N3169">
        <v>7</v>
      </c>
      <c r="O3169" t="s">
        <v>44</v>
      </c>
      <c r="P3169">
        <v>1</v>
      </c>
      <c r="R3169">
        <v>1449</v>
      </c>
      <c r="S3169" s="17">
        <v>42149</v>
      </c>
      <c r="T3169" s="17">
        <v>42149</v>
      </c>
      <c r="W3169">
        <v>2015</v>
      </c>
      <c r="X3169">
        <v>7</v>
      </c>
      <c r="AA3169">
        <v>270972</v>
      </c>
      <c r="AC3169" t="s">
        <v>51</v>
      </c>
      <c r="AD3169" t="s">
        <v>302</v>
      </c>
      <c r="AE3169" t="s">
        <v>46</v>
      </c>
      <c r="AG3169">
        <v>2</v>
      </c>
      <c r="AH3169">
        <v>8</v>
      </c>
      <c r="AI3169" t="s">
        <v>52</v>
      </c>
      <c r="AM3169">
        <v>0</v>
      </c>
      <c r="AP3169" t="s">
        <v>2544</v>
      </c>
    </row>
    <row r="3170" spans="1:42" customFormat="1">
      <c r="A3170">
        <v>270974</v>
      </c>
      <c r="B3170" t="s">
        <v>219</v>
      </c>
      <c r="C3170" t="s">
        <v>219</v>
      </c>
      <c r="D3170" s="22">
        <v>0</v>
      </c>
      <c r="E3170" s="17">
        <v>42144</v>
      </c>
      <c r="F3170" s="18">
        <v>0.4763425925925926</v>
      </c>
      <c r="G3170" s="22">
        <v>35000</v>
      </c>
      <c r="H3170">
        <v>0</v>
      </c>
      <c r="I3170" s="19" t="e">
        <f>I3169 + (D3170-G3170)</f>
        <v>#VALUE!</v>
      </c>
      <c r="N3170">
        <v>7</v>
      </c>
      <c r="O3170" t="s">
        <v>44</v>
      </c>
      <c r="P3170">
        <v>1</v>
      </c>
      <c r="R3170">
        <v>1449</v>
      </c>
      <c r="S3170" s="17">
        <v>42149</v>
      </c>
      <c r="T3170" s="17">
        <v>42149</v>
      </c>
      <c r="W3170">
        <v>2015</v>
      </c>
      <c r="X3170">
        <v>7</v>
      </c>
      <c r="AC3170" t="s">
        <v>51</v>
      </c>
      <c r="AD3170" t="s">
        <v>302</v>
      </c>
      <c r="AE3170" t="s">
        <v>46</v>
      </c>
      <c r="AG3170">
        <v>3</v>
      </c>
      <c r="AH3170">
        <v>8</v>
      </c>
      <c r="AI3170" t="s">
        <v>52</v>
      </c>
      <c r="AM3170">
        <v>0</v>
      </c>
      <c r="AO3170">
        <v>2</v>
      </c>
      <c r="AP3170" t="s">
        <v>80</v>
      </c>
    </row>
    <row r="3171" spans="1:42" customFormat="1">
      <c r="A3171">
        <v>270976</v>
      </c>
      <c r="B3171" t="s">
        <v>219</v>
      </c>
      <c r="C3171" t="s">
        <v>3841</v>
      </c>
      <c r="D3171" s="22">
        <v>35000</v>
      </c>
      <c r="E3171" s="17">
        <v>42144</v>
      </c>
      <c r="F3171" s="18">
        <v>0.4763425925925926</v>
      </c>
      <c r="G3171" s="22">
        <v>0</v>
      </c>
      <c r="H3171">
        <v>0</v>
      </c>
      <c r="I3171" s="19" t="e">
        <f>I3170 + (D3171-G3171)</f>
        <v>#VALUE!</v>
      </c>
      <c r="N3171">
        <v>7</v>
      </c>
      <c r="O3171" t="s">
        <v>44</v>
      </c>
      <c r="P3171">
        <v>1</v>
      </c>
      <c r="R3171">
        <v>1449</v>
      </c>
      <c r="S3171" s="17">
        <v>42149</v>
      </c>
      <c r="T3171" s="17">
        <v>42149</v>
      </c>
      <c r="W3171">
        <v>2015</v>
      </c>
      <c r="X3171">
        <v>7</v>
      </c>
      <c r="AA3171">
        <v>270974</v>
      </c>
      <c r="AC3171" t="s">
        <v>51</v>
      </c>
      <c r="AD3171" t="s">
        <v>302</v>
      </c>
      <c r="AE3171" t="s">
        <v>46</v>
      </c>
      <c r="AG3171">
        <v>2</v>
      </c>
      <c r="AH3171">
        <v>8</v>
      </c>
      <c r="AI3171" t="s">
        <v>52</v>
      </c>
      <c r="AM3171">
        <v>0</v>
      </c>
      <c r="AP3171" t="s">
        <v>2544</v>
      </c>
    </row>
    <row r="3172" spans="1:42" customFormat="1">
      <c r="A3172">
        <v>270765</v>
      </c>
      <c r="B3172" t="s">
        <v>219</v>
      </c>
      <c r="C3172" t="s">
        <v>219</v>
      </c>
      <c r="D3172" s="22">
        <v>0</v>
      </c>
      <c r="E3172" s="17">
        <v>42145</v>
      </c>
      <c r="F3172" s="18">
        <v>0.45584490740740741</v>
      </c>
      <c r="G3172" s="22">
        <v>2000</v>
      </c>
      <c r="H3172">
        <v>0</v>
      </c>
      <c r="I3172" s="19" t="e">
        <f>I3171 + (D3172-G3172)</f>
        <v>#VALUE!</v>
      </c>
      <c r="N3172">
        <v>24</v>
      </c>
      <c r="O3172" t="s">
        <v>68</v>
      </c>
      <c r="P3172">
        <v>1</v>
      </c>
      <c r="R3172">
        <v>1449</v>
      </c>
      <c r="S3172" s="17">
        <v>42146</v>
      </c>
      <c r="T3172" s="17">
        <v>42146</v>
      </c>
      <c r="W3172">
        <v>2015</v>
      </c>
      <c r="X3172">
        <v>24</v>
      </c>
      <c r="AC3172" t="s">
        <v>51</v>
      </c>
      <c r="AD3172" t="s">
        <v>302</v>
      </c>
      <c r="AE3172" t="s">
        <v>46</v>
      </c>
      <c r="AG3172">
        <v>8</v>
      </c>
      <c r="AH3172">
        <v>8</v>
      </c>
      <c r="AI3172" t="s">
        <v>52</v>
      </c>
      <c r="AM3172">
        <v>0</v>
      </c>
      <c r="AO3172">
        <v>52</v>
      </c>
      <c r="AP3172" t="s">
        <v>1201</v>
      </c>
    </row>
    <row r="3173" spans="1:42" customFormat="1">
      <c r="A3173">
        <v>270766</v>
      </c>
      <c r="B3173" t="s">
        <v>219</v>
      </c>
      <c r="C3173" t="s">
        <v>4028</v>
      </c>
      <c r="D3173" s="22">
        <v>2000</v>
      </c>
      <c r="E3173" s="17">
        <v>42145</v>
      </c>
      <c r="F3173" s="18">
        <v>0.45584490740740741</v>
      </c>
      <c r="G3173" s="22">
        <v>0</v>
      </c>
      <c r="H3173">
        <v>0</v>
      </c>
      <c r="I3173" s="19" t="e">
        <f>I3172 + (D3173-G3173)</f>
        <v>#VALUE!</v>
      </c>
      <c r="N3173">
        <v>24</v>
      </c>
      <c r="O3173" t="s">
        <v>68</v>
      </c>
      <c r="P3173">
        <v>1</v>
      </c>
      <c r="R3173">
        <v>1449</v>
      </c>
      <c r="S3173" s="17">
        <v>42146</v>
      </c>
      <c r="T3173" s="17">
        <v>42146</v>
      </c>
      <c r="W3173">
        <v>2015</v>
      </c>
      <c r="X3173">
        <v>24</v>
      </c>
      <c r="AA3173">
        <v>270765</v>
      </c>
      <c r="AC3173" t="s">
        <v>51</v>
      </c>
      <c r="AD3173" t="s">
        <v>302</v>
      </c>
      <c r="AE3173" t="s">
        <v>46</v>
      </c>
      <c r="AG3173">
        <v>52</v>
      </c>
      <c r="AH3173">
        <v>8</v>
      </c>
      <c r="AI3173" t="s">
        <v>52</v>
      </c>
      <c r="AM3173">
        <v>0</v>
      </c>
      <c r="AP3173" t="s">
        <v>325</v>
      </c>
    </row>
    <row r="3174" spans="1:42" customFormat="1">
      <c r="A3174">
        <v>270767</v>
      </c>
      <c r="B3174" t="s">
        <v>219</v>
      </c>
      <c r="C3174" t="s">
        <v>219</v>
      </c>
      <c r="D3174" s="22">
        <v>0</v>
      </c>
      <c r="E3174" s="17">
        <v>42145</v>
      </c>
      <c r="F3174" s="18">
        <v>0.45716435185185184</v>
      </c>
      <c r="G3174" s="22">
        <v>10000</v>
      </c>
      <c r="H3174">
        <v>0</v>
      </c>
      <c r="I3174" s="19" t="e">
        <f>I3173 + (D3174-G3174)</f>
        <v>#VALUE!</v>
      </c>
      <c r="N3174">
        <v>24</v>
      </c>
      <c r="O3174" t="s">
        <v>68</v>
      </c>
      <c r="P3174">
        <v>1</v>
      </c>
      <c r="R3174">
        <v>1449</v>
      </c>
      <c r="S3174" s="17">
        <v>42146</v>
      </c>
      <c r="T3174" s="17">
        <v>42146</v>
      </c>
      <c r="W3174">
        <v>2015</v>
      </c>
      <c r="X3174">
        <v>24</v>
      </c>
      <c r="AC3174" t="s">
        <v>51</v>
      </c>
      <c r="AD3174" t="s">
        <v>302</v>
      </c>
      <c r="AE3174" t="s">
        <v>46</v>
      </c>
      <c r="AG3174">
        <v>26</v>
      </c>
      <c r="AH3174">
        <v>8</v>
      </c>
      <c r="AI3174" t="s">
        <v>52</v>
      </c>
      <c r="AM3174">
        <v>0</v>
      </c>
      <c r="AO3174">
        <v>52</v>
      </c>
      <c r="AP3174" t="s">
        <v>501</v>
      </c>
    </row>
    <row r="3175" spans="1:42" customFormat="1">
      <c r="A3175">
        <v>270768</v>
      </c>
      <c r="B3175" t="s">
        <v>219</v>
      </c>
      <c r="C3175" t="s">
        <v>4031</v>
      </c>
      <c r="D3175" s="22">
        <v>10000</v>
      </c>
      <c r="E3175" s="17">
        <v>42145</v>
      </c>
      <c r="F3175" s="18">
        <v>0.45716435185185184</v>
      </c>
      <c r="G3175" s="22">
        <v>0</v>
      </c>
      <c r="H3175">
        <v>0</v>
      </c>
      <c r="I3175" s="19" t="e">
        <f>I3174 + (D3175-G3175)</f>
        <v>#VALUE!</v>
      </c>
      <c r="N3175">
        <v>24</v>
      </c>
      <c r="O3175" t="s">
        <v>68</v>
      </c>
      <c r="P3175">
        <v>1</v>
      </c>
      <c r="R3175">
        <v>1449</v>
      </c>
      <c r="S3175" s="17">
        <v>42146</v>
      </c>
      <c r="T3175" s="17">
        <v>42146</v>
      </c>
      <c r="W3175">
        <v>2015</v>
      </c>
      <c r="X3175">
        <v>24</v>
      </c>
      <c r="AA3175">
        <v>270767</v>
      </c>
      <c r="AC3175" t="s">
        <v>51</v>
      </c>
      <c r="AD3175" t="s">
        <v>302</v>
      </c>
      <c r="AE3175" t="s">
        <v>46</v>
      </c>
      <c r="AG3175">
        <v>52</v>
      </c>
      <c r="AH3175">
        <v>8</v>
      </c>
      <c r="AI3175" t="s">
        <v>52</v>
      </c>
      <c r="AM3175">
        <v>0</v>
      </c>
      <c r="AP3175" t="s">
        <v>325</v>
      </c>
    </row>
    <row r="3176" spans="1:42" customFormat="1">
      <c r="A3176">
        <v>270769</v>
      </c>
      <c r="B3176" t="s">
        <v>219</v>
      </c>
      <c r="C3176" t="s">
        <v>219</v>
      </c>
      <c r="D3176" s="22">
        <v>0</v>
      </c>
      <c r="E3176" s="17">
        <v>42145</v>
      </c>
      <c r="F3176" s="18">
        <v>0.45750000000000002</v>
      </c>
      <c r="G3176" s="22">
        <v>10000</v>
      </c>
      <c r="H3176">
        <v>0</v>
      </c>
      <c r="I3176" s="19" t="e">
        <f>I3175 + (D3176-G3176)</f>
        <v>#VALUE!</v>
      </c>
      <c r="N3176">
        <v>24</v>
      </c>
      <c r="O3176" t="s">
        <v>68</v>
      </c>
      <c r="P3176">
        <v>1</v>
      </c>
      <c r="R3176">
        <v>1449</v>
      </c>
      <c r="S3176" s="17">
        <v>42146</v>
      </c>
      <c r="T3176" s="17">
        <v>42146</v>
      </c>
      <c r="W3176">
        <v>2015</v>
      </c>
      <c r="X3176">
        <v>24</v>
      </c>
      <c r="AC3176" t="s">
        <v>51</v>
      </c>
      <c r="AD3176" t="s">
        <v>302</v>
      </c>
      <c r="AE3176" t="s">
        <v>46</v>
      </c>
      <c r="AG3176">
        <v>2</v>
      </c>
      <c r="AH3176">
        <v>8</v>
      </c>
      <c r="AI3176" t="s">
        <v>52</v>
      </c>
      <c r="AM3176">
        <v>0</v>
      </c>
      <c r="AO3176">
        <v>8</v>
      </c>
      <c r="AP3176" t="s">
        <v>2544</v>
      </c>
    </row>
    <row r="3177" spans="1:42" customFormat="1">
      <c r="A3177">
        <v>270770</v>
      </c>
      <c r="B3177" t="s">
        <v>219</v>
      </c>
      <c r="C3177" t="s">
        <v>4032</v>
      </c>
      <c r="D3177" s="22">
        <v>10000</v>
      </c>
      <c r="E3177" s="17">
        <v>42145</v>
      </c>
      <c r="F3177" s="18">
        <v>0.45750000000000002</v>
      </c>
      <c r="G3177" s="22">
        <v>0</v>
      </c>
      <c r="H3177">
        <v>0</v>
      </c>
      <c r="I3177" s="19" t="e">
        <f>I3176 + (D3177-G3177)</f>
        <v>#VALUE!</v>
      </c>
      <c r="N3177">
        <v>24</v>
      </c>
      <c r="O3177" t="s">
        <v>68</v>
      </c>
      <c r="P3177">
        <v>1</v>
      </c>
      <c r="R3177">
        <v>1449</v>
      </c>
      <c r="S3177" s="17">
        <v>42146</v>
      </c>
      <c r="T3177" s="17">
        <v>42146</v>
      </c>
      <c r="W3177">
        <v>2015</v>
      </c>
      <c r="X3177">
        <v>24</v>
      </c>
      <c r="AA3177">
        <v>270769</v>
      </c>
      <c r="AC3177" t="s">
        <v>51</v>
      </c>
      <c r="AD3177" t="s">
        <v>302</v>
      </c>
      <c r="AE3177" t="s">
        <v>46</v>
      </c>
      <c r="AG3177">
        <v>8</v>
      </c>
      <c r="AH3177">
        <v>8</v>
      </c>
      <c r="AI3177" t="s">
        <v>52</v>
      </c>
      <c r="AM3177">
        <v>0</v>
      </c>
      <c r="AP3177" t="s">
        <v>1201</v>
      </c>
    </row>
    <row r="3178" spans="1:42" customFormat="1">
      <c r="A3178">
        <v>270771</v>
      </c>
      <c r="B3178" t="s">
        <v>219</v>
      </c>
      <c r="C3178" t="s">
        <v>219</v>
      </c>
      <c r="D3178" s="22">
        <v>0</v>
      </c>
      <c r="E3178" s="17">
        <v>42145</v>
      </c>
      <c r="F3178" s="18">
        <v>0.457974537037037</v>
      </c>
      <c r="G3178" s="22">
        <v>10000</v>
      </c>
      <c r="H3178">
        <v>0</v>
      </c>
      <c r="I3178" s="19" t="e">
        <f>I3177 + (D3178-G3178)</f>
        <v>#VALUE!</v>
      </c>
      <c r="N3178">
        <v>24</v>
      </c>
      <c r="O3178" t="s">
        <v>68</v>
      </c>
      <c r="P3178">
        <v>1</v>
      </c>
      <c r="R3178">
        <v>1449</v>
      </c>
      <c r="S3178" s="17">
        <v>42146</v>
      </c>
      <c r="T3178" s="17">
        <v>42146</v>
      </c>
      <c r="W3178">
        <v>2015</v>
      </c>
      <c r="X3178">
        <v>24</v>
      </c>
      <c r="AC3178" t="s">
        <v>51</v>
      </c>
      <c r="AD3178" t="s">
        <v>302</v>
      </c>
      <c r="AE3178" t="s">
        <v>46</v>
      </c>
      <c r="AG3178">
        <v>2</v>
      </c>
      <c r="AH3178">
        <v>8</v>
      </c>
      <c r="AI3178" t="s">
        <v>52</v>
      </c>
      <c r="AM3178">
        <v>0</v>
      </c>
      <c r="AO3178">
        <v>26</v>
      </c>
      <c r="AP3178" t="s">
        <v>2544</v>
      </c>
    </row>
    <row r="3179" spans="1:42" customFormat="1">
      <c r="A3179">
        <v>270772</v>
      </c>
      <c r="B3179" t="s">
        <v>219</v>
      </c>
      <c r="C3179" t="s">
        <v>4033</v>
      </c>
      <c r="D3179" s="22">
        <v>10000</v>
      </c>
      <c r="E3179" s="17">
        <v>42145</v>
      </c>
      <c r="F3179" s="18">
        <v>0.457974537037037</v>
      </c>
      <c r="G3179" s="22">
        <v>0</v>
      </c>
      <c r="H3179">
        <v>0</v>
      </c>
      <c r="I3179" s="19" t="e">
        <f>I3178 + (D3179-G3179)</f>
        <v>#VALUE!</v>
      </c>
      <c r="N3179">
        <v>24</v>
      </c>
      <c r="O3179" t="s">
        <v>68</v>
      </c>
      <c r="P3179">
        <v>1</v>
      </c>
      <c r="R3179">
        <v>1449</v>
      </c>
      <c r="S3179" s="17">
        <v>42146</v>
      </c>
      <c r="T3179" s="17">
        <v>42146</v>
      </c>
      <c r="W3179">
        <v>2015</v>
      </c>
      <c r="X3179">
        <v>24</v>
      </c>
      <c r="AA3179">
        <v>270771</v>
      </c>
      <c r="AC3179" t="s">
        <v>51</v>
      </c>
      <c r="AD3179" t="s">
        <v>302</v>
      </c>
      <c r="AE3179" t="s">
        <v>46</v>
      </c>
      <c r="AG3179">
        <v>26</v>
      </c>
      <c r="AH3179">
        <v>8</v>
      </c>
      <c r="AI3179" t="s">
        <v>52</v>
      </c>
      <c r="AM3179">
        <v>0</v>
      </c>
      <c r="AP3179" t="s">
        <v>501</v>
      </c>
    </row>
    <row r="3180" spans="1:42" customFormat="1">
      <c r="A3180">
        <v>270773</v>
      </c>
      <c r="B3180" t="s">
        <v>219</v>
      </c>
      <c r="C3180" t="s">
        <v>4034</v>
      </c>
      <c r="D3180" s="22">
        <v>0</v>
      </c>
      <c r="E3180" s="17">
        <v>42145</v>
      </c>
      <c r="F3180" s="18">
        <v>0.45916666666666667</v>
      </c>
      <c r="G3180" s="22">
        <v>2000</v>
      </c>
      <c r="H3180">
        <v>0</v>
      </c>
      <c r="I3180" s="19" t="e">
        <f>I3179 + (D3180-G3180)</f>
        <v>#VALUE!</v>
      </c>
      <c r="N3180">
        <v>24</v>
      </c>
      <c r="O3180" t="s">
        <v>68</v>
      </c>
      <c r="P3180">
        <v>1</v>
      </c>
      <c r="R3180">
        <v>1449</v>
      </c>
      <c r="S3180" s="17">
        <v>42146</v>
      </c>
      <c r="T3180" s="17">
        <v>42146</v>
      </c>
      <c r="W3180">
        <v>2015</v>
      </c>
      <c r="X3180">
        <v>24</v>
      </c>
      <c r="AC3180" t="s">
        <v>51</v>
      </c>
      <c r="AD3180" t="s">
        <v>302</v>
      </c>
      <c r="AE3180" t="s">
        <v>46</v>
      </c>
      <c r="AG3180">
        <v>4</v>
      </c>
      <c r="AH3180">
        <v>8</v>
      </c>
      <c r="AI3180" t="s">
        <v>52</v>
      </c>
      <c r="AM3180">
        <v>0</v>
      </c>
      <c r="AO3180">
        <v>56</v>
      </c>
      <c r="AP3180" t="s">
        <v>389</v>
      </c>
    </row>
    <row r="3181" spans="1:42" customFormat="1">
      <c r="A3181">
        <v>270774</v>
      </c>
      <c r="B3181" t="s">
        <v>219</v>
      </c>
      <c r="C3181" t="s">
        <v>4035</v>
      </c>
      <c r="D3181" s="22">
        <v>2000</v>
      </c>
      <c r="E3181" s="17">
        <v>42145</v>
      </c>
      <c r="F3181" s="18">
        <v>0.45916666666666667</v>
      </c>
      <c r="G3181" s="22">
        <v>0</v>
      </c>
      <c r="H3181">
        <v>0</v>
      </c>
      <c r="I3181" s="19" t="e">
        <f>I3180 + (D3181-G3181)</f>
        <v>#VALUE!</v>
      </c>
      <c r="N3181">
        <v>24</v>
      </c>
      <c r="O3181" t="s">
        <v>68</v>
      </c>
      <c r="P3181">
        <v>1</v>
      </c>
      <c r="R3181">
        <v>1449</v>
      </c>
      <c r="S3181" s="17">
        <v>42146</v>
      </c>
      <c r="T3181" s="17">
        <v>42146</v>
      </c>
      <c r="W3181">
        <v>2015</v>
      </c>
      <c r="X3181">
        <v>24</v>
      </c>
      <c r="AA3181">
        <v>270773</v>
      </c>
      <c r="AC3181" t="s">
        <v>51</v>
      </c>
      <c r="AD3181" t="s">
        <v>302</v>
      </c>
      <c r="AE3181" t="s">
        <v>46</v>
      </c>
      <c r="AG3181">
        <v>56</v>
      </c>
      <c r="AH3181">
        <v>8</v>
      </c>
      <c r="AI3181" t="s">
        <v>52</v>
      </c>
      <c r="AM3181">
        <v>0</v>
      </c>
      <c r="AP3181" t="s">
        <v>59</v>
      </c>
    </row>
    <row r="3182" spans="1:42" customFormat="1">
      <c r="A3182">
        <v>270882</v>
      </c>
      <c r="B3182" t="s">
        <v>219</v>
      </c>
      <c r="C3182" t="s">
        <v>219</v>
      </c>
      <c r="D3182" s="22">
        <v>0</v>
      </c>
      <c r="E3182" s="17">
        <v>42146</v>
      </c>
      <c r="F3182" s="18">
        <v>0.69590277777777787</v>
      </c>
      <c r="G3182" s="22">
        <v>10000</v>
      </c>
      <c r="H3182">
        <v>0</v>
      </c>
      <c r="I3182" s="19" t="e">
        <f>I3181 + (D3182-G3182)</f>
        <v>#VALUE!</v>
      </c>
      <c r="N3182">
        <v>24</v>
      </c>
      <c r="O3182" t="s">
        <v>68</v>
      </c>
      <c r="P3182">
        <v>1</v>
      </c>
      <c r="R3182">
        <v>1449</v>
      </c>
      <c r="S3182" s="17">
        <v>42146</v>
      </c>
      <c r="T3182" s="17">
        <v>42146</v>
      </c>
      <c r="W3182">
        <v>2015</v>
      </c>
      <c r="X3182">
        <v>24</v>
      </c>
      <c r="AC3182" t="s">
        <v>51</v>
      </c>
      <c r="AD3182" t="s">
        <v>302</v>
      </c>
      <c r="AE3182" t="s">
        <v>46</v>
      </c>
      <c r="AG3182">
        <v>2</v>
      </c>
      <c r="AH3182">
        <v>8</v>
      </c>
      <c r="AI3182" t="s">
        <v>52</v>
      </c>
      <c r="AM3182">
        <v>0</v>
      </c>
      <c r="AO3182">
        <v>8</v>
      </c>
      <c r="AP3182" t="s">
        <v>2544</v>
      </c>
    </row>
    <row r="3183" spans="1:42" customFormat="1">
      <c r="A3183">
        <v>270883</v>
      </c>
      <c r="B3183" t="s">
        <v>219</v>
      </c>
      <c r="C3183" t="s">
        <v>4480</v>
      </c>
      <c r="D3183" s="22">
        <v>10000</v>
      </c>
      <c r="E3183" s="17">
        <v>42146</v>
      </c>
      <c r="F3183" s="18">
        <v>0.69590277777777787</v>
      </c>
      <c r="G3183" s="22">
        <v>0</v>
      </c>
      <c r="H3183">
        <v>0</v>
      </c>
      <c r="I3183" s="19" t="e">
        <f>I3182 + (D3183-G3183)</f>
        <v>#VALUE!</v>
      </c>
      <c r="N3183">
        <v>24</v>
      </c>
      <c r="O3183" t="s">
        <v>68</v>
      </c>
      <c r="P3183">
        <v>1</v>
      </c>
      <c r="R3183">
        <v>1449</v>
      </c>
      <c r="S3183" s="17">
        <v>42146</v>
      </c>
      <c r="T3183" s="17">
        <v>42146</v>
      </c>
      <c r="W3183">
        <v>2015</v>
      </c>
      <c r="X3183">
        <v>24</v>
      </c>
      <c r="AA3183">
        <v>270882</v>
      </c>
      <c r="AC3183" t="s">
        <v>51</v>
      </c>
      <c r="AD3183" t="s">
        <v>302</v>
      </c>
      <c r="AE3183" t="s">
        <v>46</v>
      </c>
      <c r="AG3183">
        <v>8</v>
      </c>
      <c r="AH3183">
        <v>8</v>
      </c>
      <c r="AI3183" t="s">
        <v>52</v>
      </c>
      <c r="AM3183">
        <v>0</v>
      </c>
      <c r="AP3183" t="s">
        <v>1201</v>
      </c>
    </row>
    <row r="3184" spans="1:42" customFormat="1">
      <c r="A3184">
        <v>270884</v>
      </c>
      <c r="B3184" t="s">
        <v>219</v>
      </c>
      <c r="C3184" t="s">
        <v>219</v>
      </c>
      <c r="D3184" s="22">
        <v>0</v>
      </c>
      <c r="E3184" s="17">
        <v>42146</v>
      </c>
      <c r="F3184" s="18">
        <v>0.69622685185185185</v>
      </c>
      <c r="G3184" s="22">
        <v>11000</v>
      </c>
      <c r="H3184">
        <v>0</v>
      </c>
      <c r="I3184" s="19" t="e">
        <f>I3183 + (D3184-G3184)</f>
        <v>#VALUE!</v>
      </c>
      <c r="N3184">
        <v>24</v>
      </c>
      <c r="O3184" t="s">
        <v>68</v>
      </c>
      <c r="P3184">
        <v>1</v>
      </c>
      <c r="R3184">
        <v>1449</v>
      </c>
      <c r="S3184" s="17">
        <v>42146</v>
      </c>
      <c r="T3184" s="17">
        <v>42146</v>
      </c>
      <c r="W3184">
        <v>2015</v>
      </c>
      <c r="X3184">
        <v>24</v>
      </c>
      <c r="AC3184" t="s">
        <v>51</v>
      </c>
      <c r="AD3184" t="s">
        <v>302</v>
      </c>
      <c r="AE3184" t="s">
        <v>46</v>
      </c>
      <c r="AG3184">
        <v>8</v>
      </c>
      <c r="AH3184">
        <v>8</v>
      </c>
      <c r="AI3184" t="s">
        <v>52</v>
      </c>
      <c r="AM3184">
        <v>0</v>
      </c>
      <c r="AO3184">
        <v>52</v>
      </c>
      <c r="AP3184" t="s">
        <v>1201</v>
      </c>
    </row>
    <row r="3185" spans="1:42" customFormat="1">
      <c r="A3185">
        <v>270885</v>
      </c>
      <c r="B3185" t="s">
        <v>219</v>
      </c>
      <c r="C3185" t="s">
        <v>4481</v>
      </c>
      <c r="D3185" s="22">
        <v>11000</v>
      </c>
      <c r="E3185" s="17">
        <v>42146</v>
      </c>
      <c r="F3185" s="18">
        <v>0.69622685185185185</v>
      </c>
      <c r="G3185" s="22">
        <v>0</v>
      </c>
      <c r="H3185">
        <v>0</v>
      </c>
      <c r="I3185" s="19" t="e">
        <f>I3184 + (D3185-G3185)</f>
        <v>#VALUE!</v>
      </c>
      <c r="N3185">
        <v>24</v>
      </c>
      <c r="O3185" t="s">
        <v>68</v>
      </c>
      <c r="P3185">
        <v>1</v>
      </c>
      <c r="R3185">
        <v>1449</v>
      </c>
      <c r="S3185" s="17">
        <v>42146</v>
      </c>
      <c r="T3185" s="17">
        <v>42146</v>
      </c>
      <c r="W3185">
        <v>2015</v>
      </c>
      <c r="X3185">
        <v>24</v>
      </c>
      <c r="AA3185">
        <v>270884</v>
      </c>
      <c r="AC3185" t="s">
        <v>51</v>
      </c>
      <c r="AD3185" t="s">
        <v>302</v>
      </c>
      <c r="AE3185" t="s">
        <v>46</v>
      </c>
      <c r="AG3185">
        <v>52</v>
      </c>
      <c r="AH3185">
        <v>8</v>
      </c>
      <c r="AI3185" t="s">
        <v>52</v>
      </c>
      <c r="AM3185">
        <v>0</v>
      </c>
      <c r="AP3185" t="s">
        <v>325</v>
      </c>
    </row>
    <row r="3186" spans="1:42" customFormat="1">
      <c r="A3186">
        <v>270886</v>
      </c>
      <c r="B3186" t="s">
        <v>219</v>
      </c>
      <c r="C3186" t="s">
        <v>219</v>
      </c>
      <c r="D3186" s="22">
        <v>0</v>
      </c>
      <c r="E3186" s="17">
        <v>42146</v>
      </c>
      <c r="F3186" s="18">
        <v>0.69660879629629635</v>
      </c>
      <c r="G3186" s="22">
        <v>8000</v>
      </c>
      <c r="H3186">
        <v>0</v>
      </c>
      <c r="I3186" s="19" t="e">
        <f>I3185 + (D3186-G3186)</f>
        <v>#VALUE!</v>
      </c>
      <c r="N3186">
        <v>24</v>
      </c>
      <c r="O3186" t="s">
        <v>68</v>
      </c>
      <c r="P3186">
        <v>1</v>
      </c>
      <c r="R3186">
        <v>1449</v>
      </c>
      <c r="S3186" s="17">
        <v>42146</v>
      </c>
      <c r="T3186" s="17">
        <v>42146</v>
      </c>
      <c r="W3186">
        <v>2015</v>
      </c>
      <c r="X3186">
        <v>24</v>
      </c>
      <c r="AC3186" t="s">
        <v>51</v>
      </c>
      <c r="AD3186" t="s">
        <v>302</v>
      </c>
      <c r="AE3186" t="s">
        <v>46</v>
      </c>
      <c r="AG3186">
        <v>2</v>
      </c>
      <c r="AH3186">
        <v>8</v>
      </c>
      <c r="AI3186" t="s">
        <v>52</v>
      </c>
      <c r="AM3186">
        <v>0</v>
      </c>
      <c r="AO3186">
        <v>26</v>
      </c>
      <c r="AP3186" t="s">
        <v>2544</v>
      </c>
    </row>
    <row r="3187" spans="1:42" customFormat="1">
      <c r="A3187">
        <v>270887</v>
      </c>
      <c r="B3187" t="s">
        <v>219</v>
      </c>
      <c r="C3187" t="s">
        <v>4482</v>
      </c>
      <c r="D3187" s="22">
        <v>8000</v>
      </c>
      <c r="E3187" s="17">
        <v>42146</v>
      </c>
      <c r="F3187" s="18">
        <v>0.69660879629629635</v>
      </c>
      <c r="G3187" s="22">
        <v>0</v>
      </c>
      <c r="H3187">
        <v>0</v>
      </c>
      <c r="I3187" s="19" t="e">
        <f>I3186 + (D3187-G3187)</f>
        <v>#VALUE!</v>
      </c>
      <c r="N3187">
        <v>24</v>
      </c>
      <c r="O3187" t="s">
        <v>68</v>
      </c>
      <c r="P3187">
        <v>1</v>
      </c>
      <c r="R3187">
        <v>1449</v>
      </c>
      <c r="S3187" s="17">
        <v>42146</v>
      </c>
      <c r="T3187" s="17">
        <v>42146</v>
      </c>
      <c r="W3187">
        <v>2015</v>
      </c>
      <c r="X3187">
        <v>24</v>
      </c>
      <c r="AA3187">
        <v>270886</v>
      </c>
      <c r="AC3187" t="s">
        <v>51</v>
      </c>
      <c r="AD3187" t="s">
        <v>302</v>
      </c>
      <c r="AE3187" t="s">
        <v>46</v>
      </c>
      <c r="AG3187">
        <v>26</v>
      </c>
      <c r="AH3187">
        <v>8</v>
      </c>
      <c r="AI3187" t="s">
        <v>52</v>
      </c>
      <c r="AM3187">
        <v>0</v>
      </c>
      <c r="AP3187" t="s">
        <v>501</v>
      </c>
    </row>
    <row r="3188" spans="1:42" customFormat="1">
      <c r="A3188">
        <v>270888</v>
      </c>
      <c r="B3188" t="s">
        <v>219</v>
      </c>
      <c r="C3188" t="s">
        <v>219</v>
      </c>
      <c r="D3188" s="22">
        <v>0</v>
      </c>
      <c r="E3188" s="17">
        <v>42146</v>
      </c>
      <c r="F3188" s="18">
        <v>0.6969212962962964</v>
      </c>
      <c r="G3188" s="22">
        <v>6500</v>
      </c>
      <c r="H3188">
        <v>0</v>
      </c>
      <c r="I3188" s="19" t="e">
        <f>I3187 + (D3188-G3188)</f>
        <v>#VALUE!</v>
      </c>
      <c r="N3188">
        <v>24</v>
      </c>
      <c r="O3188" t="s">
        <v>68</v>
      </c>
      <c r="P3188">
        <v>1</v>
      </c>
      <c r="R3188">
        <v>1449</v>
      </c>
      <c r="S3188" s="17">
        <v>42146</v>
      </c>
      <c r="T3188" s="17">
        <v>42146</v>
      </c>
      <c r="W3188">
        <v>2015</v>
      </c>
      <c r="X3188">
        <v>24</v>
      </c>
      <c r="AC3188" t="s">
        <v>51</v>
      </c>
      <c r="AD3188" t="s">
        <v>302</v>
      </c>
      <c r="AE3188" t="s">
        <v>46</v>
      </c>
      <c r="AG3188">
        <v>4</v>
      </c>
      <c r="AH3188">
        <v>8</v>
      </c>
      <c r="AI3188" t="s">
        <v>52</v>
      </c>
      <c r="AM3188">
        <v>0</v>
      </c>
      <c r="AO3188">
        <v>2</v>
      </c>
      <c r="AP3188" t="s">
        <v>389</v>
      </c>
    </row>
    <row r="3189" spans="1:42" customFormat="1">
      <c r="A3189">
        <v>270889</v>
      </c>
      <c r="B3189" t="s">
        <v>219</v>
      </c>
      <c r="C3189" t="s">
        <v>4483</v>
      </c>
      <c r="D3189" s="22">
        <v>6500</v>
      </c>
      <c r="E3189" s="17">
        <v>42146</v>
      </c>
      <c r="F3189" s="18">
        <v>0.6969212962962964</v>
      </c>
      <c r="G3189" s="22">
        <v>0</v>
      </c>
      <c r="H3189">
        <v>0</v>
      </c>
      <c r="I3189" s="19" t="e">
        <f>I3188 + (D3189-G3189)</f>
        <v>#VALUE!</v>
      </c>
      <c r="N3189">
        <v>24</v>
      </c>
      <c r="O3189" t="s">
        <v>68</v>
      </c>
      <c r="P3189">
        <v>1</v>
      </c>
      <c r="R3189">
        <v>1449</v>
      </c>
      <c r="S3189" s="17">
        <v>42146</v>
      </c>
      <c r="T3189" s="17">
        <v>42146</v>
      </c>
      <c r="W3189">
        <v>2015</v>
      </c>
      <c r="X3189">
        <v>24</v>
      </c>
      <c r="AA3189">
        <v>270888</v>
      </c>
      <c r="AC3189" t="s">
        <v>51</v>
      </c>
      <c r="AD3189" t="s">
        <v>302</v>
      </c>
      <c r="AE3189" t="s">
        <v>46</v>
      </c>
      <c r="AG3189">
        <v>2</v>
      </c>
      <c r="AH3189">
        <v>8</v>
      </c>
      <c r="AI3189" t="s">
        <v>52</v>
      </c>
      <c r="AM3189">
        <v>0</v>
      </c>
      <c r="AP3189" t="s">
        <v>2544</v>
      </c>
    </row>
    <row r="3190" spans="1:42" customFormat="1">
      <c r="A3190">
        <v>270890</v>
      </c>
      <c r="B3190" t="s">
        <v>219</v>
      </c>
      <c r="C3190" t="s">
        <v>219</v>
      </c>
      <c r="D3190" s="22">
        <v>0</v>
      </c>
      <c r="E3190" s="17">
        <v>42146</v>
      </c>
      <c r="F3190" s="18">
        <v>0.69723379629629623</v>
      </c>
      <c r="G3190" s="22">
        <v>8000</v>
      </c>
      <c r="H3190">
        <v>0</v>
      </c>
      <c r="I3190" s="19" t="e">
        <f>I3189 + (D3190-G3190)</f>
        <v>#VALUE!</v>
      </c>
      <c r="N3190">
        <v>24</v>
      </c>
      <c r="O3190" t="s">
        <v>68</v>
      </c>
      <c r="P3190">
        <v>1</v>
      </c>
      <c r="R3190">
        <v>1449</v>
      </c>
      <c r="S3190" s="17">
        <v>42146</v>
      </c>
      <c r="T3190" s="17">
        <v>42146</v>
      </c>
      <c r="W3190">
        <v>2015</v>
      </c>
      <c r="X3190">
        <v>24</v>
      </c>
      <c r="AC3190" t="s">
        <v>51</v>
      </c>
      <c r="AD3190" t="s">
        <v>302</v>
      </c>
      <c r="AE3190" t="s">
        <v>46</v>
      </c>
      <c r="AG3190">
        <v>2</v>
      </c>
      <c r="AH3190">
        <v>8</v>
      </c>
      <c r="AI3190" t="s">
        <v>52</v>
      </c>
      <c r="AM3190">
        <v>0</v>
      </c>
      <c r="AO3190">
        <v>8</v>
      </c>
      <c r="AP3190" t="s">
        <v>2544</v>
      </c>
    </row>
    <row r="3191" spans="1:42" customFormat="1">
      <c r="A3191">
        <v>270891</v>
      </c>
      <c r="B3191" t="s">
        <v>219</v>
      </c>
      <c r="C3191" t="s">
        <v>4484</v>
      </c>
      <c r="D3191" s="22">
        <v>8000</v>
      </c>
      <c r="E3191" s="17">
        <v>42146</v>
      </c>
      <c r="F3191" s="18">
        <v>0.69723379629629623</v>
      </c>
      <c r="G3191" s="22">
        <v>0</v>
      </c>
      <c r="H3191">
        <v>0</v>
      </c>
      <c r="I3191" s="19" t="e">
        <f>I3190 + (D3191-G3191)</f>
        <v>#VALUE!</v>
      </c>
      <c r="N3191">
        <v>24</v>
      </c>
      <c r="O3191" t="s">
        <v>68</v>
      </c>
      <c r="P3191">
        <v>1</v>
      </c>
      <c r="R3191">
        <v>1449</v>
      </c>
      <c r="S3191" s="17">
        <v>42146</v>
      </c>
      <c r="T3191" s="17">
        <v>42146</v>
      </c>
      <c r="W3191">
        <v>2015</v>
      </c>
      <c r="X3191">
        <v>24</v>
      </c>
      <c r="AA3191">
        <v>270890</v>
      </c>
      <c r="AC3191" t="s">
        <v>51</v>
      </c>
      <c r="AD3191" t="s">
        <v>302</v>
      </c>
      <c r="AE3191" t="s">
        <v>46</v>
      </c>
      <c r="AG3191">
        <v>8</v>
      </c>
      <c r="AH3191">
        <v>8</v>
      </c>
      <c r="AI3191" t="s">
        <v>52</v>
      </c>
      <c r="AM3191">
        <v>0</v>
      </c>
      <c r="AP3191" t="s">
        <v>1201</v>
      </c>
    </row>
    <row r="3192" spans="1:42" customFormat="1">
      <c r="A3192">
        <v>270892</v>
      </c>
      <c r="B3192" t="s">
        <v>219</v>
      </c>
      <c r="C3192" t="s">
        <v>219</v>
      </c>
      <c r="D3192" s="22">
        <v>0</v>
      </c>
      <c r="E3192" s="17">
        <v>42146</v>
      </c>
      <c r="F3192" s="18">
        <v>0.69759259259259254</v>
      </c>
      <c r="G3192" s="22">
        <v>8000</v>
      </c>
      <c r="H3192">
        <v>0</v>
      </c>
      <c r="I3192" s="19" t="e">
        <f>I3191 + (D3192-G3192)</f>
        <v>#VALUE!</v>
      </c>
      <c r="N3192">
        <v>24</v>
      </c>
      <c r="O3192" t="s">
        <v>68</v>
      </c>
      <c r="P3192">
        <v>1</v>
      </c>
      <c r="R3192">
        <v>1449</v>
      </c>
      <c r="S3192" s="17">
        <v>42146</v>
      </c>
      <c r="T3192" s="17">
        <v>42146</v>
      </c>
      <c r="W3192">
        <v>2015</v>
      </c>
      <c r="X3192">
        <v>24</v>
      </c>
      <c r="AC3192" t="s">
        <v>51</v>
      </c>
      <c r="AD3192" t="s">
        <v>302</v>
      </c>
      <c r="AE3192" t="s">
        <v>46</v>
      </c>
      <c r="AG3192">
        <v>8</v>
      </c>
      <c r="AH3192">
        <v>8</v>
      </c>
      <c r="AI3192" t="s">
        <v>52</v>
      </c>
      <c r="AM3192">
        <v>0</v>
      </c>
      <c r="AO3192">
        <v>52</v>
      </c>
      <c r="AP3192" t="s">
        <v>1201</v>
      </c>
    </row>
    <row r="3193" spans="1:42" customFormat="1">
      <c r="A3193">
        <v>270893</v>
      </c>
      <c r="B3193" t="s">
        <v>219</v>
      </c>
      <c r="C3193" t="s">
        <v>4485</v>
      </c>
      <c r="D3193" s="22">
        <v>8000</v>
      </c>
      <c r="E3193" s="17">
        <v>42146</v>
      </c>
      <c r="F3193" s="18">
        <v>0.69759259259259254</v>
      </c>
      <c r="G3193" s="22">
        <v>0</v>
      </c>
      <c r="H3193">
        <v>0</v>
      </c>
      <c r="I3193" s="19" t="e">
        <f>I3192 + (D3193-G3193)</f>
        <v>#VALUE!</v>
      </c>
      <c r="N3193">
        <v>24</v>
      </c>
      <c r="O3193" t="s">
        <v>68</v>
      </c>
      <c r="P3193">
        <v>1</v>
      </c>
      <c r="R3193">
        <v>1449</v>
      </c>
      <c r="S3193" s="17">
        <v>42146</v>
      </c>
      <c r="T3193" s="17">
        <v>42146</v>
      </c>
      <c r="W3193">
        <v>2015</v>
      </c>
      <c r="X3193">
        <v>24</v>
      </c>
      <c r="AA3193">
        <v>270892</v>
      </c>
      <c r="AC3193" t="s">
        <v>51</v>
      </c>
      <c r="AD3193" t="s">
        <v>302</v>
      </c>
      <c r="AE3193" t="s">
        <v>46</v>
      </c>
      <c r="AG3193">
        <v>52</v>
      </c>
      <c r="AH3193">
        <v>8</v>
      </c>
      <c r="AI3193" t="s">
        <v>52</v>
      </c>
      <c r="AM3193">
        <v>0</v>
      </c>
      <c r="AP3193" t="s">
        <v>325</v>
      </c>
    </row>
    <row r="3194" spans="1:42" customFormat="1">
      <c r="A3194">
        <v>270894</v>
      </c>
      <c r="B3194" t="s">
        <v>219</v>
      </c>
      <c r="C3194" t="s">
        <v>219</v>
      </c>
      <c r="D3194" s="22">
        <v>0</v>
      </c>
      <c r="E3194" s="17">
        <v>42146</v>
      </c>
      <c r="F3194" s="18">
        <v>0.69783564814814814</v>
      </c>
      <c r="G3194" s="22">
        <v>4000</v>
      </c>
      <c r="H3194">
        <v>0</v>
      </c>
      <c r="I3194" s="19" t="e">
        <f>I3193 + (D3194-G3194)</f>
        <v>#VALUE!</v>
      </c>
      <c r="N3194">
        <v>24</v>
      </c>
      <c r="O3194" t="s">
        <v>68</v>
      </c>
      <c r="P3194">
        <v>1</v>
      </c>
      <c r="R3194">
        <v>1449</v>
      </c>
      <c r="S3194" s="17">
        <v>42146</v>
      </c>
      <c r="T3194" s="17">
        <v>42146</v>
      </c>
      <c r="W3194">
        <v>2015</v>
      </c>
      <c r="X3194">
        <v>24</v>
      </c>
      <c r="AC3194" t="s">
        <v>51</v>
      </c>
      <c r="AD3194" t="s">
        <v>302</v>
      </c>
      <c r="AE3194" t="s">
        <v>46</v>
      </c>
      <c r="AG3194">
        <v>2</v>
      </c>
      <c r="AH3194">
        <v>8</v>
      </c>
      <c r="AI3194" t="s">
        <v>52</v>
      </c>
      <c r="AM3194">
        <v>0</v>
      </c>
      <c r="AO3194">
        <v>5</v>
      </c>
      <c r="AP3194" t="s">
        <v>2544</v>
      </c>
    </row>
    <row r="3195" spans="1:42" customFormat="1">
      <c r="A3195">
        <v>270895</v>
      </c>
      <c r="B3195" t="s">
        <v>219</v>
      </c>
      <c r="C3195" t="s">
        <v>4486</v>
      </c>
      <c r="D3195" s="22">
        <v>4000</v>
      </c>
      <c r="E3195" s="17">
        <v>42146</v>
      </c>
      <c r="F3195" s="18">
        <v>0.69783564814814814</v>
      </c>
      <c r="G3195" s="22">
        <v>0</v>
      </c>
      <c r="H3195">
        <v>0</v>
      </c>
      <c r="I3195" s="19" t="e">
        <f>I3194 + (D3195-G3195)</f>
        <v>#VALUE!</v>
      </c>
      <c r="N3195">
        <v>24</v>
      </c>
      <c r="O3195" t="s">
        <v>68</v>
      </c>
      <c r="P3195">
        <v>1</v>
      </c>
      <c r="R3195">
        <v>1449</v>
      </c>
      <c r="S3195" s="17">
        <v>42146</v>
      </c>
      <c r="T3195" s="17">
        <v>42146</v>
      </c>
      <c r="W3195">
        <v>2015</v>
      </c>
      <c r="X3195">
        <v>24</v>
      </c>
      <c r="AA3195">
        <v>270894</v>
      </c>
      <c r="AC3195" t="s">
        <v>51</v>
      </c>
      <c r="AD3195" t="s">
        <v>302</v>
      </c>
      <c r="AE3195" t="s">
        <v>46</v>
      </c>
      <c r="AG3195">
        <v>5</v>
      </c>
      <c r="AH3195">
        <v>8</v>
      </c>
      <c r="AI3195" t="s">
        <v>52</v>
      </c>
      <c r="AM3195">
        <v>0</v>
      </c>
      <c r="AP3195" t="s">
        <v>312</v>
      </c>
    </row>
    <row r="3196" spans="1:42" customFormat="1">
      <c r="A3196">
        <v>270896</v>
      </c>
      <c r="B3196" t="s">
        <v>219</v>
      </c>
      <c r="C3196" t="s">
        <v>219</v>
      </c>
      <c r="D3196" s="22">
        <v>0</v>
      </c>
      <c r="E3196" s="17">
        <v>42146</v>
      </c>
      <c r="F3196" s="18">
        <v>0.69819444444444445</v>
      </c>
      <c r="G3196" s="22">
        <v>2000</v>
      </c>
      <c r="H3196">
        <v>0</v>
      </c>
      <c r="I3196" s="19" t="e">
        <f>I3195 + (D3196-G3196)</f>
        <v>#VALUE!</v>
      </c>
      <c r="N3196">
        <v>24</v>
      </c>
      <c r="O3196" t="s">
        <v>68</v>
      </c>
      <c r="P3196">
        <v>1</v>
      </c>
      <c r="R3196">
        <v>1449</v>
      </c>
      <c r="S3196" s="17">
        <v>42146</v>
      </c>
      <c r="T3196" s="17">
        <v>42146</v>
      </c>
      <c r="W3196">
        <v>2015</v>
      </c>
      <c r="X3196">
        <v>24</v>
      </c>
      <c r="AC3196" t="s">
        <v>51</v>
      </c>
      <c r="AD3196" t="s">
        <v>302</v>
      </c>
      <c r="AE3196" t="s">
        <v>46</v>
      </c>
      <c r="AG3196">
        <v>2</v>
      </c>
      <c r="AH3196">
        <v>8</v>
      </c>
      <c r="AI3196" t="s">
        <v>52</v>
      </c>
      <c r="AM3196">
        <v>0</v>
      </c>
      <c r="AO3196">
        <v>26</v>
      </c>
      <c r="AP3196" t="s">
        <v>2544</v>
      </c>
    </row>
    <row r="3197" spans="1:42" customFormat="1">
      <c r="A3197">
        <v>270897</v>
      </c>
      <c r="B3197" t="s">
        <v>219</v>
      </c>
      <c r="C3197" t="s">
        <v>4487</v>
      </c>
      <c r="D3197" s="22">
        <v>2000</v>
      </c>
      <c r="E3197" s="17">
        <v>42146</v>
      </c>
      <c r="F3197" s="18">
        <v>0.69819444444444445</v>
      </c>
      <c r="G3197" s="22">
        <v>0</v>
      </c>
      <c r="H3197">
        <v>0</v>
      </c>
      <c r="I3197" s="19" t="e">
        <f>I3196 + (D3197-G3197)</f>
        <v>#VALUE!</v>
      </c>
      <c r="N3197">
        <v>24</v>
      </c>
      <c r="O3197" t="s">
        <v>68</v>
      </c>
      <c r="P3197">
        <v>1</v>
      </c>
      <c r="R3197">
        <v>1449</v>
      </c>
      <c r="S3197" s="17">
        <v>42146</v>
      </c>
      <c r="T3197" s="17">
        <v>42146</v>
      </c>
      <c r="W3197">
        <v>2015</v>
      </c>
      <c r="X3197">
        <v>24</v>
      </c>
      <c r="AA3197">
        <v>270896</v>
      </c>
      <c r="AC3197" t="s">
        <v>51</v>
      </c>
      <c r="AD3197" t="s">
        <v>302</v>
      </c>
      <c r="AE3197" t="s">
        <v>46</v>
      </c>
      <c r="AG3197">
        <v>26</v>
      </c>
      <c r="AH3197">
        <v>8</v>
      </c>
      <c r="AI3197" t="s">
        <v>52</v>
      </c>
      <c r="AM3197">
        <v>0</v>
      </c>
      <c r="AP3197" t="s">
        <v>501</v>
      </c>
    </row>
    <row r="3198" spans="1:42" customFormat="1">
      <c r="A3198">
        <v>270898</v>
      </c>
      <c r="B3198" t="s">
        <v>219</v>
      </c>
      <c r="C3198" t="s">
        <v>219</v>
      </c>
      <c r="D3198" s="22">
        <v>0</v>
      </c>
      <c r="E3198" s="17">
        <v>42146</v>
      </c>
      <c r="F3198" s="18">
        <v>0.6985069444444445</v>
      </c>
      <c r="G3198" s="22">
        <v>2000</v>
      </c>
      <c r="H3198">
        <v>0</v>
      </c>
      <c r="I3198" s="19" t="e">
        <f>I3197 + (D3198-G3198)</f>
        <v>#VALUE!</v>
      </c>
      <c r="N3198">
        <v>24</v>
      </c>
      <c r="O3198" t="s">
        <v>68</v>
      </c>
      <c r="P3198">
        <v>1</v>
      </c>
      <c r="R3198">
        <v>1449</v>
      </c>
      <c r="S3198" s="17">
        <v>42146</v>
      </c>
      <c r="T3198" s="17">
        <v>42146</v>
      </c>
      <c r="W3198">
        <v>2015</v>
      </c>
      <c r="X3198">
        <v>24</v>
      </c>
      <c r="AC3198" t="s">
        <v>51</v>
      </c>
      <c r="AD3198" t="s">
        <v>302</v>
      </c>
      <c r="AE3198" t="s">
        <v>46</v>
      </c>
      <c r="AG3198">
        <v>26</v>
      </c>
      <c r="AH3198">
        <v>8</v>
      </c>
      <c r="AI3198" t="s">
        <v>52</v>
      </c>
      <c r="AM3198">
        <v>0</v>
      </c>
      <c r="AO3198">
        <v>19</v>
      </c>
      <c r="AP3198" t="s">
        <v>501</v>
      </c>
    </row>
    <row r="3199" spans="1:42" customFormat="1">
      <c r="A3199">
        <v>270899</v>
      </c>
      <c r="B3199" t="s">
        <v>219</v>
      </c>
      <c r="C3199" t="s">
        <v>4488</v>
      </c>
      <c r="D3199" s="22">
        <v>2000</v>
      </c>
      <c r="E3199" s="17">
        <v>42146</v>
      </c>
      <c r="F3199" s="18">
        <v>0.6985069444444445</v>
      </c>
      <c r="G3199" s="22">
        <v>0</v>
      </c>
      <c r="H3199">
        <v>0</v>
      </c>
      <c r="I3199" s="19" t="e">
        <f>I3198 + (D3199-G3199)</f>
        <v>#VALUE!</v>
      </c>
      <c r="N3199">
        <v>24</v>
      </c>
      <c r="O3199" t="s">
        <v>68</v>
      </c>
      <c r="P3199">
        <v>1</v>
      </c>
      <c r="R3199">
        <v>1449</v>
      </c>
      <c r="S3199" s="17">
        <v>42146</v>
      </c>
      <c r="T3199" s="17">
        <v>42146</v>
      </c>
      <c r="W3199">
        <v>2015</v>
      </c>
      <c r="X3199">
        <v>24</v>
      </c>
      <c r="AA3199">
        <v>270898</v>
      </c>
      <c r="AC3199" t="s">
        <v>51</v>
      </c>
      <c r="AD3199" t="s">
        <v>302</v>
      </c>
      <c r="AE3199" t="s">
        <v>46</v>
      </c>
      <c r="AG3199">
        <v>19</v>
      </c>
      <c r="AH3199">
        <v>8</v>
      </c>
      <c r="AI3199" t="s">
        <v>52</v>
      </c>
      <c r="AM3199">
        <v>0</v>
      </c>
      <c r="AP3199" t="s">
        <v>4489</v>
      </c>
    </row>
    <row r="3200" spans="1:42" customFormat="1">
      <c r="A3200">
        <v>270900</v>
      </c>
      <c r="B3200" t="s">
        <v>219</v>
      </c>
      <c r="C3200" t="s">
        <v>219</v>
      </c>
      <c r="D3200" s="22">
        <v>0</v>
      </c>
      <c r="E3200" s="17">
        <v>42146</v>
      </c>
      <c r="F3200" s="18">
        <v>0.6988078703703704</v>
      </c>
      <c r="G3200" s="22">
        <v>11000</v>
      </c>
      <c r="H3200">
        <v>0</v>
      </c>
      <c r="I3200" s="19" t="e">
        <f>I3199 + (D3200-G3200)</f>
        <v>#VALUE!</v>
      </c>
      <c r="N3200">
        <v>24</v>
      </c>
      <c r="O3200" t="s">
        <v>68</v>
      </c>
      <c r="P3200">
        <v>1</v>
      </c>
      <c r="R3200">
        <v>1449</v>
      </c>
      <c r="S3200" s="17">
        <v>42146</v>
      </c>
      <c r="T3200" s="17">
        <v>42146</v>
      </c>
      <c r="W3200">
        <v>2015</v>
      </c>
      <c r="X3200">
        <v>24</v>
      </c>
      <c r="AC3200" t="s">
        <v>51</v>
      </c>
      <c r="AD3200" t="s">
        <v>302</v>
      </c>
      <c r="AE3200" t="s">
        <v>46</v>
      </c>
      <c r="AG3200">
        <v>26</v>
      </c>
      <c r="AH3200">
        <v>8</v>
      </c>
      <c r="AI3200" t="s">
        <v>52</v>
      </c>
      <c r="AM3200">
        <v>0</v>
      </c>
      <c r="AO3200">
        <v>52</v>
      </c>
      <c r="AP3200" t="s">
        <v>501</v>
      </c>
    </row>
    <row r="3201" spans="1:42" customFormat="1">
      <c r="A3201">
        <v>270901</v>
      </c>
      <c r="B3201" t="s">
        <v>219</v>
      </c>
      <c r="C3201" t="s">
        <v>4490</v>
      </c>
      <c r="D3201" s="22">
        <v>11000</v>
      </c>
      <c r="E3201" s="17">
        <v>42146</v>
      </c>
      <c r="F3201" s="18">
        <v>0.6988078703703704</v>
      </c>
      <c r="G3201" s="22">
        <v>0</v>
      </c>
      <c r="H3201">
        <v>0</v>
      </c>
      <c r="I3201" s="19" t="e">
        <f>I3200 + (D3201-G3201)</f>
        <v>#VALUE!</v>
      </c>
      <c r="N3201">
        <v>24</v>
      </c>
      <c r="O3201" t="s">
        <v>68</v>
      </c>
      <c r="P3201">
        <v>1</v>
      </c>
      <c r="R3201">
        <v>1449</v>
      </c>
      <c r="S3201" s="17">
        <v>42146</v>
      </c>
      <c r="T3201" s="17">
        <v>42146</v>
      </c>
      <c r="W3201">
        <v>2015</v>
      </c>
      <c r="X3201">
        <v>24</v>
      </c>
      <c r="AA3201">
        <v>270900</v>
      </c>
      <c r="AC3201" t="s">
        <v>51</v>
      </c>
      <c r="AD3201" t="s">
        <v>302</v>
      </c>
      <c r="AE3201" t="s">
        <v>46</v>
      </c>
      <c r="AG3201">
        <v>52</v>
      </c>
      <c r="AH3201">
        <v>8</v>
      </c>
      <c r="AI3201" t="s">
        <v>52</v>
      </c>
      <c r="AM3201">
        <v>0</v>
      </c>
      <c r="AP3201" t="s">
        <v>325</v>
      </c>
    </row>
    <row r="3202" spans="1:42" customFormat="1">
      <c r="A3202">
        <v>271417</v>
      </c>
      <c r="B3202" t="s">
        <v>235</v>
      </c>
      <c r="C3202" t="s">
        <v>4520</v>
      </c>
      <c r="D3202" s="22">
        <v>0</v>
      </c>
      <c r="E3202" s="17">
        <v>42149</v>
      </c>
      <c r="F3202" s="18">
        <v>0.39207175925925924</v>
      </c>
      <c r="G3202" s="22">
        <v>52000</v>
      </c>
      <c r="H3202">
        <v>0</v>
      </c>
      <c r="I3202" s="19" t="e">
        <f>I3201 + (D3202-G3202)</f>
        <v>#VALUE!</v>
      </c>
      <c r="N3202">
        <v>24</v>
      </c>
      <c r="O3202" t="s">
        <v>68</v>
      </c>
      <c r="P3202">
        <v>2</v>
      </c>
      <c r="R3202">
        <v>1449</v>
      </c>
      <c r="S3202" s="17">
        <v>42152</v>
      </c>
      <c r="T3202" s="17">
        <v>42152</v>
      </c>
      <c r="W3202">
        <v>2015</v>
      </c>
      <c r="X3202">
        <v>24</v>
      </c>
      <c r="AC3202" t="s">
        <v>51</v>
      </c>
      <c r="AD3202" t="s">
        <v>302</v>
      </c>
      <c r="AE3202" t="s">
        <v>46</v>
      </c>
      <c r="AG3202">
        <v>57</v>
      </c>
      <c r="AH3202">
        <v>8</v>
      </c>
      <c r="AI3202" t="s">
        <v>52</v>
      </c>
      <c r="AM3202">
        <v>0</v>
      </c>
      <c r="AO3202">
        <v>52</v>
      </c>
      <c r="AP3202" t="s">
        <v>48</v>
      </c>
    </row>
    <row r="3203" spans="1:42" customFormat="1">
      <c r="A3203">
        <v>271418</v>
      </c>
      <c r="B3203" t="s">
        <v>235</v>
      </c>
      <c r="C3203" t="s">
        <v>4521</v>
      </c>
      <c r="D3203" s="22">
        <v>52000</v>
      </c>
      <c r="E3203" s="17">
        <v>42149</v>
      </c>
      <c r="F3203" s="18">
        <v>0.39207175925925924</v>
      </c>
      <c r="G3203" s="22">
        <v>0</v>
      </c>
      <c r="H3203">
        <v>0</v>
      </c>
      <c r="I3203" s="19" t="e">
        <f>I3202 + (D3203-G3203)</f>
        <v>#VALUE!</v>
      </c>
      <c r="N3203">
        <v>24</v>
      </c>
      <c r="O3203" t="s">
        <v>68</v>
      </c>
      <c r="P3203">
        <v>2</v>
      </c>
      <c r="R3203">
        <v>1449</v>
      </c>
      <c r="S3203" s="17">
        <v>42152</v>
      </c>
      <c r="T3203" s="17">
        <v>42152</v>
      </c>
      <c r="W3203">
        <v>2015</v>
      </c>
      <c r="X3203">
        <v>24</v>
      </c>
      <c r="AA3203">
        <v>271417</v>
      </c>
      <c r="AC3203" t="s">
        <v>51</v>
      </c>
      <c r="AD3203" t="s">
        <v>302</v>
      </c>
      <c r="AE3203" t="s">
        <v>46</v>
      </c>
      <c r="AG3203">
        <v>52</v>
      </c>
      <c r="AH3203">
        <v>8</v>
      </c>
      <c r="AI3203" t="s">
        <v>52</v>
      </c>
      <c r="AM3203">
        <v>0</v>
      </c>
      <c r="AP3203" t="s">
        <v>325</v>
      </c>
    </row>
    <row r="3204" spans="1:42" customFormat="1">
      <c r="A3204">
        <v>271425</v>
      </c>
      <c r="B3204" t="s">
        <v>219</v>
      </c>
      <c r="C3204" t="s">
        <v>219</v>
      </c>
      <c r="D3204" s="22">
        <v>0</v>
      </c>
      <c r="E3204" s="17">
        <v>42149</v>
      </c>
      <c r="F3204" s="18">
        <v>0.41726851851851854</v>
      </c>
      <c r="G3204" s="22">
        <v>5600</v>
      </c>
      <c r="H3204">
        <v>0</v>
      </c>
      <c r="I3204" s="19" t="e">
        <f>I3203 + (D3204-G3204)</f>
        <v>#VALUE!</v>
      </c>
      <c r="N3204">
        <v>24</v>
      </c>
      <c r="O3204" t="s">
        <v>68</v>
      </c>
      <c r="P3204">
        <v>2</v>
      </c>
      <c r="R3204">
        <v>1449</v>
      </c>
      <c r="S3204" s="17">
        <v>42152</v>
      </c>
      <c r="T3204" s="17">
        <v>42152</v>
      </c>
      <c r="W3204">
        <v>2015</v>
      </c>
      <c r="X3204">
        <v>24</v>
      </c>
      <c r="AC3204" t="s">
        <v>51</v>
      </c>
      <c r="AD3204" t="s">
        <v>302</v>
      </c>
      <c r="AE3204" t="s">
        <v>46</v>
      </c>
      <c r="AG3204">
        <v>4</v>
      </c>
      <c r="AH3204">
        <v>8</v>
      </c>
      <c r="AI3204" t="s">
        <v>52</v>
      </c>
      <c r="AM3204">
        <v>0</v>
      </c>
      <c r="AO3204">
        <v>2</v>
      </c>
      <c r="AP3204" t="s">
        <v>389</v>
      </c>
    </row>
    <row r="3205" spans="1:42" customFormat="1">
      <c r="A3205">
        <v>271426</v>
      </c>
      <c r="B3205" t="s">
        <v>219</v>
      </c>
      <c r="C3205" t="s">
        <v>4527</v>
      </c>
      <c r="D3205" s="22">
        <v>5600</v>
      </c>
      <c r="E3205" s="17">
        <v>42149</v>
      </c>
      <c r="F3205" s="18">
        <v>0.41726851851851854</v>
      </c>
      <c r="G3205" s="22">
        <v>0</v>
      </c>
      <c r="H3205">
        <v>0</v>
      </c>
      <c r="I3205" s="19" t="e">
        <f>I3204 + (D3205-G3205)</f>
        <v>#VALUE!</v>
      </c>
      <c r="N3205">
        <v>24</v>
      </c>
      <c r="O3205" t="s">
        <v>68</v>
      </c>
      <c r="P3205">
        <v>2</v>
      </c>
      <c r="R3205">
        <v>1449</v>
      </c>
      <c r="S3205" s="17">
        <v>42152</v>
      </c>
      <c r="T3205" s="17">
        <v>42152</v>
      </c>
      <c r="W3205">
        <v>2015</v>
      </c>
      <c r="X3205">
        <v>24</v>
      </c>
      <c r="AA3205">
        <v>271425</v>
      </c>
      <c r="AC3205" t="s">
        <v>51</v>
      </c>
      <c r="AD3205" t="s">
        <v>302</v>
      </c>
      <c r="AE3205" t="s">
        <v>46</v>
      </c>
      <c r="AG3205">
        <v>2</v>
      </c>
      <c r="AH3205">
        <v>8</v>
      </c>
      <c r="AI3205" t="s">
        <v>52</v>
      </c>
      <c r="AM3205">
        <v>0</v>
      </c>
      <c r="AP3205" t="s">
        <v>2544</v>
      </c>
    </row>
    <row r="3206" spans="1:42" customFormat="1">
      <c r="A3206">
        <v>271427</v>
      </c>
      <c r="B3206" t="s">
        <v>219</v>
      </c>
      <c r="C3206" t="s">
        <v>219</v>
      </c>
      <c r="D3206" s="22">
        <v>0</v>
      </c>
      <c r="E3206" s="17">
        <v>42149</v>
      </c>
      <c r="F3206" s="18">
        <v>0.4175462962962963</v>
      </c>
      <c r="G3206" s="22">
        <v>6000</v>
      </c>
      <c r="H3206">
        <v>0</v>
      </c>
      <c r="I3206" s="19" t="e">
        <f>I3205 + (D3206-G3206)</f>
        <v>#VALUE!</v>
      </c>
      <c r="N3206">
        <v>24</v>
      </c>
      <c r="O3206" t="s">
        <v>68</v>
      </c>
      <c r="P3206">
        <v>2</v>
      </c>
      <c r="R3206">
        <v>1449</v>
      </c>
      <c r="S3206" s="17">
        <v>42152</v>
      </c>
      <c r="T3206" s="17">
        <v>42152</v>
      </c>
      <c r="W3206">
        <v>2015</v>
      </c>
      <c r="X3206">
        <v>24</v>
      </c>
      <c r="AC3206" t="s">
        <v>51</v>
      </c>
      <c r="AD3206" t="s">
        <v>302</v>
      </c>
      <c r="AE3206" t="s">
        <v>46</v>
      </c>
      <c r="AG3206">
        <v>26</v>
      </c>
      <c r="AH3206">
        <v>8</v>
      </c>
      <c r="AI3206" t="s">
        <v>52</v>
      </c>
      <c r="AM3206">
        <v>0</v>
      </c>
      <c r="AO3206">
        <v>2</v>
      </c>
      <c r="AP3206" t="s">
        <v>501</v>
      </c>
    </row>
    <row r="3207" spans="1:42" customFormat="1">
      <c r="A3207">
        <v>271428</v>
      </c>
      <c r="B3207" t="s">
        <v>219</v>
      </c>
      <c r="C3207" t="s">
        <v>4528</v>
      </c>
      <c r="D3207" s="22">
        <v>6000</v>
      </c>
      <c r="E3207" s="17">
        <v>42149</v>
      </c>
      <c r="F3207" s="18">
        <v>0.4175462962962963</v>
      </c>
      <c r="G3207" s="22">
        <v>0</v>
      </c>
      <c r="H3207">
        <v>0</v>
      </c>
      <c r="I3207" s="19" t="e">
        <f>I3206 + (D3207-G3207)</f>
        <v>#VALUE!</v>
      </c>
      <c r="N3207">
        <v>24</v>
      </c>
      <c r="O3207" t="s">
        <v>68</v>
      </c>
      <c r="P3207">
        <v>2</v>
      </c>
      <c r="R3207">
        <v>1449</v>
      </c>
      <c r="S3207" s="17">
        <v>42152</v>
      </c>
      <c r="T3207" s="17">
        <v>42152</v>
      </c>
      <c r="W3207">
        <v>2015</v>
      </c>
      <c r="X3207">
        <v>24</v>
      </c>
      <c r="AA3207">
        <v>271427</v>
      </c>
      <c r="AC3207" t="s">
        <v>51</v>
      </c>
      <c r="AD3207" t="s">
        <v>302</v>
      </c>
      <c r="AE3207" t="s">
        <v>46</v>
      </c>
      <c r="AG3207">
        <v>2</v>
      </c>
      <c r="AH3207">
        <v>8</v>
      </c>
      <c r="AI3207" t="s">
        <v>52</v>
      </c>
      <c r="AM3207">
        <v>0</v>
      </c>
      <c r="AP3207" t="s">
        <v>2544</v>
      </c>
    </row>
    <row r="3208" spans="1:42" customFormat="1">
      <c r="A3208">
        <v>276007</v>
      </c>
      <c r="B3208" t="s">
        <v>102</v>
      </c>
      <c r="C3208" t="s">
        <v>4534</v>
      </c>
      <c r="D3208" s="22">
        <v>2700</v>
      </c>
      <c r="E3208" s="17">
        <v>42149</v>
      </c>
      <c r="F3208" s="18">
        <v>0.43547453703703703</v>
      </c>
      <c r="G3208" s="22">
        <v>0</v>
      </c>
      <c r="H3208">
        <v>0</v>
      </c>
      <c r="I3208" s="19" t="e">
        <f>I3207 + (D3208-G3208)</f>
        <v>#VALUE!</v>
      </c>
      <c r="N3208">
        <v>7</v>
      </c>
      <c r="O3208" t="s">
        <v>44</v>
      </c>
      <c r="P3208">
        <v>1</v>
      </c>
      <c r="R3208">
        <v>1471</v>
      </c>
      <c r="S3208" s="17">
        <v>42188</v>
      </c>
      <c r="T3208" s="17">
        <v>42188</v>
      </c>
      <c r="W3208">
        <v>2015</v>
      </c>
      <c r="X3208">
        <v>7</v>
      </c>
      <c r="AC3208" t="s">
        <v>109</v>
      </c>
      <c r="AD3208" t="s">
        <v>302</v>
      </c>
      <c r="AE3208" t="s">
        <v>46</v>
      </c>
      <c r="AG3208">
        <v>7</v>
      </c>
      <c r="AH3208">
        <v>1</v>
      </c>
      <c r="AI3208" t="s">
        <v>58</v>
      </c>
      <c r="AM3208">
        <v>0</v>
      </c>
      <c r="AP3208" t="s">
        <v>220</v>
      </c>
    </row>
    <row r="3209" spans="1:42" customFormat="1">
      <c r="A3209">
        <v>271618</v>
      </c>
      <c r="B3209" t="s">
        <v>219</v>
      </c>
      <c r="C3209" t="s">
        <v>219</v>
      </c>
      <c r="D3209" s="22">
        <v>0</v>
      </c>
      <c r="E3209" s="17">
        <v>42149</v>
      </c>
      <c r="F3209" s="18">
        <v>0.45841435185185181</v>
      </c>
      <c r="G3209" s="22">
        <v>632.59</v>
      </c>
      <c r="H3209">
        <v>0</v>
      </c>
      <c r="I3209" s="19" t="e">
        <f>I3208 + (D3209-G3209)</f>
        <v>#VALUE!</v>
      </c>
      <c r="N3209">
        <v>24</v>
      </c>
      <c r="O3209" t="s">
        <v>68</v>
      </c>
      <c r="P3209">
        <v>2</v>
      </c>
      <c r="R3209">
        <v>1449</v>
      </c>
      <c r="S3209" s="17">
        <v>42157</v>
      </c>
      <c r="T3209" s="17">
        <v>42157</v>
      </c>
      <c r="W3209">
        <v>2015</v>
      </c>
      <c r="X3209">
        <v>24</v>
      </c>
      <c r="AC3209" t="s">
        <v>51</v>
      </c>
      <c r="AD3209" t="s">
        <v>302</v>
      </c>
      <c r="AE3209" t="s">
        <v>46</v>
      </c>
      <c r="AG3209">
        <v>123</v>
      </c>
      <c r="AH3209">
        <v>8</v>
      </c>
      <c r="AI3209" t="s">
        <v>52</v>
      </c>
      <c r="AM3209">
        <v>0</v>
      </c>
      <c r="AO3209">
        <v>7</v>
      </c>
      <c r="AP3209" t="s">
        <v>331</v>
      </c>
    </row>
    <row r="3210" spans="1:42" customFormat="1">
      <c r="A3210">
        <v>271620</v>
      </c>
      <c r="B3210" t="s">
        <v>219</v>
      </c>
      <c r="C3210" t="s">
        <v>4535</v>
      </c>
      <c r="D3210" s="22">
        <v>632.59</v>
      </c>
      <c r="E3210" s="17">
        <v>42149</v>
      </c>
      <c r="F3210" s="18">
        <v>0.45841435185185181</v>
      </c>
      <c r="G3210" s="22">
        <v>0</v>
      </c>
      <c r="H3210">
        <v>0</v>
      </c>
      <c r="I3210" s="19" t="e">
        <f>I3209 + (D3210-G3210)</f>
        <v>#VALUE!</v>
      </c>
      <c r="N3210">
        <v>24</v>
      </c>
      <c r="O3210" t="s">
        <v>68</v>
      </c>
      <c r="P3210">
        <v>2</v>
      </c>
      <c r="R3210">
        <v>1449</v>
      </c>
      <c r="S3210" s="17">
        <v>42157</v>
      </c>
      <c r="T3210" s="17">
        <v>42157</v>
      </c>
      <c r="W3210">
        <v>2015</v>
      </c>
      <c r="X3210">
        <v>24</v>
      </c>
      <c r="AA3210">
        <v>271618</v>
      </c>
      <c r="AC3210" t="s">
        <v>51</v>
      </c>
      <c r="AD3210" t="s">
        <v>302</v>
      </c>
      <c r="AE3210" t="s">
        <v>46</v>
      </c>
      <c r="AG3210">
        <v>7</v>
      </c>
      <c r="AH3210">
        <v>8</v>
      </c>
      <c r="AI3210" t="s">
        <v>52</v>
      </c>
      <c r="AM3210">
        <v>0</v>
      </c>
      <c r="AP3210" t="s">
        <v>220</v>
      </c>
    </row>
    <row r="3211" spans="1:42" customFormat="1">
      <c r="A3211">
        <v>271621</v>
      </c>
      <c r="B3211" t="s">
        <v>219</v>
      </c>
      <c r="C3211" t="s">
        <v>219</v>
      </c>
      <c r="D3211" s="22">
        <v>0</v>
      </c>
      <c r="E3211" s="17">
        <v>42149</v>
      </c>
      <c r="F3211" s="18">
        <v>0.4591898148148148</v>
      </c>
      <c r="G3211" s="22">
        <v>225.78</v>
      </c>
      <c r="H3211">
        <v>0</v>
      </c>
      <c r="I3211" s="19" t="e">
        <f>I3210 + (D3211-G3211)</f>
        <v>#VALUE!</v>
      </c>
      <c r="N3211">
        <v>24</v>
      </c>
      <c r="O3211" t="s">
        <v>68</v>
      </c>
      <c r="P3211">
        <v>2</v>
      </c>
      <c r="R3211">
        <v>1449</v>
      </c>
      <c r="S3211" s="17">
        <v>42157</v>
      </c>
      <c r="T3211" s="17">
        <v>42157</v>
      </c>
      <c r="W3211">
        <v>2015</v>
      </c>
      <c r="X3211">
        <v>24</v>
      </c>
      <c r="AC3211" t="s">
        <v>51</v>
      </c>
      <c r="AD3211" t="s">
        <v>302</v>
      </c>
      <c r="AE3211" t="s">
        <v>46</v>
      </c>
      <c r="AG3211">
        <v>122</v>
      </c>
      <c r="AH3211">
        <v>8</v>
      </c>
      <c r="AI3211" t="s">
        <v>52</v>
      </c>
      <c r="AM3211">
        <v>0</v>
      </c>
      <c r="AO3211">
        <v>7</v>
      </c>
      <c r="AP3211" t="s">
        <v>444</v>
      </c>
    </row>
    <row r="3212" spans="1:42" customFormat="1">
      <c r="A3212">
        <v>271622</v>
      </c>
      <c r="B3212" t="s">
        <v>219</v>
      </c>
      <c r="C3212" t="s">
        <v>4536</v>
      </c>
      <c r="D3212" s="22">
        <v>225.78</v>
      </c>
      <c r="E3212" s="17">
        <v>42149</v>
      </c>
      <c r="F3212" s="18">
        <v>0.4591898148148148</v>
      </c>
      <c r="G3212" s="22">
        <v>0</v>
      </c>
      <c r="H3212">
        <v>0</v>
      </c>
      <c r="I3212" s="19" t="e">
        <f>I3211 + (D3212-G3212)</f>
        <v>#VALUE!</v>
      </c>
      <c r="N3212">
        <v>24</v>
      </c>
      <c r="O3212" t="s">
        <v>68</v>
      </c>
      <c r="P3212">
        <v>2</v>
      </c>
      <c r="R3212">
        <v>1449</v>
      </c>
      <c r="S3212" s="17">
        <v>42157</v>
      </c>
      <c r="T3212" s="17">
        <v>42157</v>
      </c>
      <c r="W3212">
        <v>2015</v>
      </c>
      <c r="X3212">
        <v>24</v>
      </c>
      <c r="AA3212">
        <v>271621</v>
      </c>
      <c r="AC3212" t="s">
        <v>51</v>
      </c>
      <c r="AD3212" t="s">
        <v>302</v>
      </c>
      <c r="AE3212" t="s">
        <v>46</v>
      </c>
      <c r="AG3212">
        <v>7</v>
      </c>
      <c r="AH3212">
        <v>8</v>
      </c>
      <c r="AI3212" t="s">
        <v>52</v>
      </c>
      <c r="AM3212">
        <v>0</v>
      </c>
      <c r="AP3212" t="s">
        <v>220</v>
      </c>
    </row>
    <row r="3213" spans="1:42" customFormat="1">
      <c r="A3213">
        <v>271623</v>
      </c>
      <c r="B3213" t="s">
        <v>219</v>
      </c>
      <c r="C3213" t="s">
        <v>219</v>
      </c>
      <c r="D3213" s="22">
        <v>0</v>
      </c>
      <c r="E3213" s="17">
        <v>42149</v>
      </c>
      <c r="F3213" s="18">
        <v>0.45980324074074069</v>
      </c>
      <c r="G3213" s="22">
        <v>37</v>
      </c>
      <c r="H3213">
        <v>0</v>
      </c>
      <c r="I3213" s="19" t="e">
        <f>I3212 + (D3213-G3213)</f>
        <v>#VALUE!</v>
      </c>
      <c r="N3213">
        <v>24</v>
      </c>
      <c r="O3213" t="s">
        <v>68</v>
      </c>
      <c r="P3213">
        <v>2</v>
      </c>
      <c r="R3213">
        <v>1449</v>
      </c>
      <c r="S3213" s="17">
        <v>42157</v>
      </c>
      <c r="T3213" s="17">
        <v>42157</v>
      </c>
      <c r="W3213">
        <v>2015</v>
      </c>
      <c r="X3213">
        <v>24</v>
      </c>
      <c r="AC3213" t="s">
        <v>51</v>
      </c>
      <c r="AD3213" t="s">
        <v>302</v>
      </c>
      <c r="AE3213" t="s">
        <v>46</v>
      </c>
      <c r="AG3213">
        <v>95</v>
      </c>
      <c r="AH3213">
        <v>8</v>
      </c>
      <c r="AI3213" t="s">
        <v>52</v>
      </c>
      <c r="AM3213">
        <v>0</v>
      </c>
      <c r="AO3213">
        <v>7</v>
      </c>
      <c r="AP3213" t="s">
        <v>4537</v>
      </c>
    </row>
    <row r="3214" spans="1:42" customFormat="1">
      <c r="A3214">
        <v>271624</v>
      </c>
      <c r="B3214" t="s">
        <v>219</v>
      </c>
      <c r="C3214" t="s">
        <v>4538</v>
      </c>
      <c r="D3214" s="22">
        <v>37</v>
      </c>
      <c r="E3214" s="17">
        <v>42149</v>
      </c>
      <c r="F3214" s="18">
        <v>0.45980324074074069</v>
      </c>
      <c r="G3214" s="22">
        <v>0</v>
      </c>
      <c r="H3214">
        <v>0</v>
      </c>
      <c r="I3214" s="19" t="e">
        <f>I3213 + (D3214-G3214)</f>
        <v>#VALUE!</v>
      </c>
      <c r="N3214">
        <v>24</v>
      </c>
      <c r="O3214" t="s">
        <v>68</v>
      </c>
      <c r="P3214">
        <v>2</v>
      </c>
      <c r="R3214">
        <v>1449</v>
      </c>
      <c r="S3214" s="17">
        <v>42157</v>
      </c>
      <c r="T3214" s="17">
        <v>42157</v>
      </c>
      <c r="W3214">
        <v>2015</v>
      </c>
      <c r="X3214">
        <v>24</v>
      </c>
      <c r="AA3214">
        <v>271623</v>
      </c>
      <c r="AC3214" t="s">
        <v>51</v>
      </c>
      <c r="AD3214" t="s">
        <v>302</v>
      </c>
      <c r="AE3214" t="s">
        <v>46</v>
      </c>
      <c r="AG3214">
        <v>7</v>
      </c>
      <c r="AH3214">
        <v>8</v>
      </c>
      <c r="AI3214" t="s">
        <v>52</v>
      </c>
      <c r="AM3214">
        <v>0</v>
      </c>
      <c r="AP3214" t="s">
        <v>220</v>
      </c>
    </row>
    <row r="3215" spans="1:42" customFormat="1">
      <c r="A3215">
        <v>271626</v>
      </c>
      <c r="B3215" t="s">
        <v>219</v>
      </c>
      <c r="C3215" t="s">
        <v>219</v>
      </c>
      <c r="D3215" s="22">
        <v>0</v>
      </c>
      <c r="E3215" s="17">
        <v>42149</v>
      </c>
      <c r="F3215" s="18">
        <v>0.46164351851851854</v>
      </c>
      <c r="G3215" s="22">
        <v>596.52</v>
      </c>
      <c r="H3215">
        <v>0</v>
      </c>
      <c r="I3215" s="19" t="e">
        <f>I3214 + (D3215-G3215)</f>
        <v>#VALUE!</v>
      </c>
      <c r="N3215">
        <v>24</v>
      </c>
      <c r="O3215" t="s">
        <v>68</v>
      </c>
      <c r="P3215">
        <v>1</v>
      </c>
      <c r="R3215">
        <v>1449</v>
      </c>
      <c r="S3215" s="17">
        <v>42157</v>
      </c>
      <c r="T3215" s="17">
        <v>42157</v>
      </c>
      <c r="W3215">
        <v>2015</v>
      </c>
      <c r="X3215">
        <v>24</v>
      </c>
      <c r="AC3215" t="s">
        <v>51</v>
      </c>
      <c r="AD3215" t="s">
        <v>302</v>
      </c>
      <c r="AE3215" t="s">
        <v>46</v>
      </c>
      <c r="AG3215">
        <v>129</v>
      </c>
      <c r="AH3215">
        <v>8</v>
      </c>
      <c r="AI3215" t="s">
        <v>52</v>
      </c>
      <c r="AM3215">
        <v>0</v>
      </c>
      <c r="AO3215">
        <v>7</v>
      </c>
      <c r="AP3215" t="s">
        <v>4539</v>
      </c>
    </row>
    <row r="3216" spans="1:42" customFormat="1">
      <c r="A3216">
        <v>271627</v>
      </c>
      <c r="B3216" t="s">
        <v>219</v>
      </c>
      <c r="C3216" t="s">
        <v>4540</v>
      </c>
      <c r="D3216" s="22">
        <v>596.52</v>
      </c>
      <c r="E3216" s="17">
        <v>42149</v>
      </c>
      <c r="F3216" s="18">
        <v>0.46164351851851854</v>
      </c>
      <c r="G3216" s="22">
        <v>0</v>
      </c>
      <c r="H3216">
        <v>0</v>
      </c>
      <c r="I3216" s="19" t="e">
        <f>I3215 + (D3216-G3216)</f>
        <v>#VALUE!</v>
      </c>
      <c r="N3216">
        <v>24</v>
      </c>
      <c r="O3216" t="s">
        <v>68</v>
      </c>
      <c r="P3216">
        <v>1</v>
      </c>
      <c r="R3216">
        <v>1449</v>
      </c>
      <c r="S3216" s="17">
        <v>42157</v>
      </c>
      <c r="T3216" s="17">
        <v>42157</v>
      </c>
      <c r="W3216">
        <v>2015</v>
      </c>
      <c r="X3216">
        <v>24</v>
      </c>
      <c r="AA3216">
        <v>271626</v>
      </c>
      <c r="AC3216" t="s">
        <v>51</v>
      </c>
      <c r="AD3216" t="s">
        <v>302</v>
      </c>
      <c r="AE3216" t="s">
        <v>46</v>
      </c>
      <c r="AG3216">
        <v>7</v>
      </c>
      <c r="AH3216">
        <v>8</v>
      </c>
      <c r="AI3216" t="s">
        <v>52</v>
      </c>
      <c r="AM3216">
        <v>0</v>
      </c>
      <c r="AP3216" t="s">
        <v>220</v>
      </c>
    </row>
    <row r="3217" spans="1:42" customFormat="1">
      <c r="A3217">
        <v>271628</v>
      </c>
      <c r="B3217" t="s">
        <v>219</v>
      </c>
      <c r="C3217" t="s">
        <v>219</v>
      </c>
      <c r="D3217" s="22">
        <v>0</v>
      </c>
      <c r="E3217" s="17">
        <v>42149</v>
      </c>
      <c r="F3217" s="18">
        <v>0.46217592592592593</v>
      </c>
      <c r="G3217" s="22">
        <v>75.34</v>
      </c>
      <c r="H3217">
        <v>0</v>
      </c>
      <c r="I3217" s="19" t="e">
        <f>I3216 + (D3217-G3217)</f>
        <v>#VALUE!</v>
      </c>
      <c r="N3217">
        <v>24</v>
      </c>
      <c r="O3217" t="s">
        <v>68</v>
      </c>
      <c r="P3217">
        <v>1</v>
      </c>
      <c r="R3217">
        <v>1449</v>
      </c>
      <c r="S3217" s="17">
        <v>42157</v>
      </c>
      <c r="T3217" s="17">
        <v>42157</v>
      </c>
      <c r="W3217">
        <v>2015</v>
      </c>
      <c r="X3217">
        <v>24</v>
      </c>
      <c r="AC3217" t="s">
        <v>51</v>
      </c>
      <c r="AD3217" t="s">
        <v>302</v>
      </c>
      <c r="AE3217" t="s">
        <v>46</v>
      </c>
      <c r="AG3217">
        <v>98</v>
      </c>
      <c r="AH3217">
        <v>8</v>
      </c>
      <c r="AI3217" t="s">
        <v>52</v>
      </c>
      <c r="AM3217">
        <v>0</v>
      </c>
      <c r="AO3217">
        <v>7</v>
      </c>
      <c r="AP3217" t="s">
        <v>4541</v>
      </c>
    </row>
    <row r="3218" spans="1:42" customFormat="1">
      <c r="A3218">
        <v>271629</v>
      </c>
      <c r="B3218" t="s">
        <v>219</v>
      </c>
      <c r="C3218" t="s">
        <v>4542</v>
      </c>
      <c r="D3218" s="22">
        <v>75.34</v>
      </c>
      <c r="E3218" s="17">
        <v>42149</v>
      </c>
      <c r="F3218" s="18">
        <v>0.46217592592592593</v>
      </c>
      <c r="G3218" s="22">
        <v>0</v>
      </c>
      <c r="H3218">
        <v>0</v>
      </c>
      <c r="I3218" s="19" t="e">
        <f>I3217 + (D3218-G3218)</f>
        <v>#VALUE!</v>
      </c>
      <c r="N3218">
        <v>24</v>
      </c>
      <c r="O3218" t="s">
        <v>68</v>
      </c>
      <c r="P3218">
        <v>1</v>
      </c>
      <c r="R3218">
        <v>1449</v>
      </c>
      <c r="S3218" s="17">
        <v>42157</v>
      </c>
      <c r="T3218" s="17">
        <v>42157</v>
      </c>
      <c r="W3218">
        <v>2015</v>
      </c>
      <c r="X3218">
        <v>24</v>
      </c>
      <c r="AA3218">
        <v>271628</v>
      </c>
      <c r="AC3218" t="s">
        <v>51</v>
      </c>
      <c r="AD3218" t="s">
        <v>302</v>
      </c>
      <c r="AE3218" t="s">
        <v>46</v>
      </c>
      <c r="AG3218">
        <v>7</v>
      </c>
      <c r="AH3218">
        <v>8</v>
      </c>
      <c r="AI3218" t="s">
        <v>52</v>
      </c>
      <c r="AM3218">
        <v>0</v>
      </c>
      <c r="AP3218" t="s">
        <v>220</v>
      </c>
    </row>
    <row r="3219" spans="1:42" customFormat="1">
      <c r="A3219">
        <v>271630</v>
      </c>
      <c r="B3219" t="s">
        <v>219</v>
      </c>
      <c r="C3219" t="s">
        <v>219</v>
      </c>
      <c r="D3219" s="22">
        <v>0</v>
      </c>
      <c r="E3219" s="17">
        <v>42149</v>
      </c>
      <c r="F3219" s="18">
        <v>0.46251157407407412</v>
      </c>
      <c r="G3219" s="22">
        <v>60000</v>
      </c>
      <c r="H3219">
        <v>0</v>
      </c>
      <c r="I3219" s="19" t="e">
        <f>I3218 + (D3219-G3219)</f>
        <v>#VALUE!</v>
      </c>
      <c r="N3219">
        <v>24</v>
      </c>
      <c r="O3219" t="s">
        <v>68</v>
      </c>
      <c r="P3219">
        <v>1</v>
      </c>
      <c r="R3219">
        <v>1449</v>
      </c>
      <c r="S3219" s="17">
        <v>42157</v>
      </c>
      <c r="T3219" s="17">
        <v>42157</v>
      </c>
      <c r="W3219">
        <v>2015</v>
      </c>
      <c r="X3219">
        <v>24</v>
      </c>
      <c r="AC3219" t="s">
        <v>51</v>
      </c>
      <c r="AD3219" t="s">
        <v>302</v>
      </c>
      <c r="AE3219" t="s">
        <v>46</v>
      </c>
      <c r="AG3219">
        <v>103</v>
      </c>
      <c r="AH3219">
        <v>8</v>
      </c>
      <c r="AI3219" t="s">
        <v>52</v>
      </c>
      <c r="AM3219">
        <v>0</v>
      </c>
      <c r="AO3219">
        <v>7</v>
      </c>
      <c r="AP3219" t="s">
        <v>2183</v>
      </c>
    </row>
    <row r="3220" spans="1:42" customFormat="1">
      <c r="A3220">
        <v>271631</v>
      </c>
      <c r="B3220" t="s">
        <v>219</v>
      </c>
      <c r="C3220" t="s">
        <v>4543</v>
      </c>
      <c r="D3220" s="22">
        <v>60000</v>
      </c>
      <c r="E3220" s="17">
        <v>42149</v>
      </c>
      <c r="F3220" s="18">
        <v>0.46251157407407412</v>
      </c>
      <c r="G3220" s="22">
        <v>0</v>
      </c>
      <c r="H3220">
        <v>0</v>
      </c>
      <c r="I3220" s="19" t="e">
        <f>I3219 + (D3220-G3220)</f>
        <v>#VALUE!</v>
      </c>
      <c r="N3220">
        <v>24</v>
      </c>
      <c r="O3220" t="s">
        <v>68</v>
      </c>
      <c r="P3220">
        <v>1</v>
      </c>
      <c r="R3220">
        <v>1449</v>
      </c>
      <c r="S3220" s="17">
        <v>42157</v>
      </c>
      <c r="T3220" s="17">
        <v>42157</v>
      </c>
      <c r="W3220">
        <v>2015</v>
      </c>
      <c r="X3220">
        <v>24</v>
      </c>
      <c r="AA3220">
        <v>271630</v>
      </c>
      <c r="AC3220" t="s">
        <v>51</v>
      </c>
      <c r="AD3220" t="s">
        <v>302</v>
      </c>
      <c r="AE3220" t="s">
        <v>46</v>
      </c>
      <c r="AG3220">
        <v>7</v>
      </c>
      <c r="AH3220">
        <v>8</v>
      </c>
      <c r="AI3220" t="s">
        <v>52</v>
      </c>
      <c r="AM3220">
        <v>0</v>
      </c>
      <c r="AP3220" t="s">
        <v>220</v>
      </c>
    </row>
    <row r="3221" spans="1:42" customFormat="1">
      <c r="A3221">
        <v>271632</v>
      </c>
      <c r="B3221" t="s">
        <v>219</v>
      </c>
      <c r="C3221" t="s">
        <v>219</v>
      </c>
      <c r="D3221" s="22">
        <v>0</v>
      </c>
      <c r="E3221" s="17">
        <v>42149</v>
      </c>
      <c r="F3221" s="18">
        <v>0.46284722222222219</v>
      </c>
      <c r="G3221" s="22">
        <v>2520.04</v>
      </c>
      <c r="H3221">
        <v>0</v>
      </c>
      <c r="I3221" s="19" t="e">
        <f>I3220 + (D3221-G3221)</f>
        <v>#VALUE!</v>
      </c>
      <c r="N3221">
        <v>24</v>
      </c>
      <c r="O3221" t="s">
        <v>68</v>
      </c>
      <c r="P3221">
        <v>1</v>
      </c>
      <c r="R3221">
        <v>1449</v>
      </c>
      <c r="S3221" s="17">
        <v>42157</v>
      </c>
      <c r="T3221" s="17">
        <v>42157</v>
      </c>
      <c r="W3221">
        <v>2015</v>
      </c>
      <c r="X3221">
        <v>24</v>
      </c>
      <c r="AC3221" t="s">
        <v>51</v>
      </c>
      <c r="AD3221" t="s">
        <v>302</v>
      </c>
      <c r="AE3221" t="s">
        <v>46</v>
      </c>
      <c r="AG3221">
        <v>103</v>
      </c>
      <c r="AH3221">
        <v>8</v>
      </c>
      <c r="AI3221" t="s">
        <v>52</v>
      </c>
      <c r="AM3221">
        <v>0</v>
      </c>
      <c r="AO3221">
        <v>7</v>
      </c>
      <c r="AP3221" t="s">
        <v>2183</v>
      </c>
    </row>
    <row r="3222" spans="1:42" customFormat="1">
      <c r="A3222">
        <v>271633</v>
      </c>
      <c r="B3222" t="s">
        <v>219</v>
      </c>
      <c r="C3222" t="s">
        <v>4544</v>
      </c>
      <c r="D3222" s="22">
        <v>2520.04</v>
      </c>
      <c r="E3222" s="17">
        <v>42149</v>
      </c>
      <c r="F3222" s="18">
        <v>0.46284722222222219</v>
      </c>
      <c r="G3222" s="22">
        <v>0</v>
      </c>
      <c r="H3222">
        <v>0</v>
      </c>
      <c r="I3222" s="19" t="e">
        <f>I3221 + (D3222-G3222)</f>
        <v>#VALUE!</v>
      </c>
      <c r="N3222">
        <v>24</v>
      </c>
      <c r="O3222" t="s">
        <v>68</v>
      </c>
      <c r="P3222">
        <v>1</v>
      </c>
      <c r="R3222">
        <v>1449</v>
      </c>
      <c r="S3222" s="17">
        <v>42157</v>
      </c>
      <c r="T3222" s="17">
        <v>42157</v>
      </c>
      <c r="W3222">
        <v>2015</v>
      </c>
      <c r="X3222">
        <v>24</v>
      </c>
      <c r="AA3222">
        <v>271632</v>
      </c>
      <c r="AC3222" t="s">
        <v>51</v>
      </c>
      <c r="AD3222" t="s">
        <v>302</v>
      </c>
      <c r="AE3222" t="s">
        <v>46</v>
      </c>
      <c r="AG3222">
        <v>7</v>
      </c>
      <c r="AH3222">
        <v>8</v>
      </c>
      <c r="AI3222" t="s">
        <v>52</v>
      </c>
      <c r="AM3222">
        <v>0</v>
      </c>
      <c r="AP3222" t="s">
        <v>220</v>
      </c>
    </row>
    <row r="3223" spans="1:42" customFormat="1">
      <c r="A3223">
        <v>271635</v>
      </c>
      <c r="B3223" t="s">
        <v>219</v>
      </c>
      <c r="C3223" t="s">
        <v>219</v>
      </c>
      <c r="D3223" s="22">
        <v>0</v>
      </c>
      <c r="E3223" s="17">
        <v>42149</v>
      </c>
      <c r="F3223" s="18">
        <v>0.46396990740740746</v>
      </c>
      <c r="G3223" s="22">
        <v>7555.76</v>
      </c>
      <c r="H3223">
        <v>0</v>
      </c>
      <c r="I3223" s="19" t="e">
        <f>I3222 + (D3223-G3223)</f>
        <v>#VALUE!</v>
      </c>
      <c r="N3223">
        <v>24</v>
      </c>
      <c r="O3223" t="s">
        <v>68</v>
      </c>
      <c r="P3223">
        <v>1</v>
      </c>
      <c r="R3223">
        <v>1449</v>
      </c>
      <c r="S3223" s="17">
        <v>42157</v>
      </c>
      <c r="T3223" s="17">
        <v>42157</v>
      </c>
      <c r="W3223">
        <v>2015</v>
      </c>
      <c r="X3223">
        <v>24</v>
      </c>
      <c r="AC3223" t="s">
        <v>51</v>
      </c>
      <c r="AD3223" t="s">
        <v>302</v>
      </c>
      <c r="AE3223" t="s">
        <v>46</v>
      </c>
      <c r="AG3223">
        <v>131</v>
      </c>
      <c r="AH3223">
        <v>8</v>
      </c>
      <c r="AI3223" t="s">
        <v>52</v>
      </c>
      <c r="AM3223">
        <v>0</v>
      </c>
      <c r="AO3223">
        <v>7</v>
      </c>
      <c r="AP3223" t="s">
        <v>4545</v>
      </c>
    </row>
    <row r="3224" spans="1:42" customFormat="1">
      <c r="A3224">
        <v>271636</v>
      </c>
      <c r="B3224" t="s">
        <v>219</v>
      </c>
      <c r="C3224" t="s">
        <v>4546</v>
      </c>
      <c r="D3224" s="22">
        <v>7555.76</v>
      </c>
      <c r="E3224" s="17">
        <v>42149</v>
      </c>
      <c r="F3224" s="18">
        <v>0.46396990740740746</v>
      </c>
      <c r="G3224" s="22">
        <v>0</v>
      </c>
      <c r="H3224">
        <v>0</v>
      </c>
      <c r="I3224" s="19" t="e">
        <f>I3223 + (D3224-G3224)</f>
        <v>#VALUE!</v>
      </c>
      <c r="N3224">
        <v>24</v>
      </c>
      <c r="O3224" t="s">
        <v>68</v>
      </c>
      <c r="P3224">
        <v>1</v>
      </c>
      <c r="R3224">
        <v>1449</v>
      </c>
      <c r="S3224" s="17">
        <v>42157</v>
      </c>
      <c r="T3224" s="17">
        <v>42157</v>
      </c>
      <c r="W3224">
        <v>2015</v>
      </c>
      <c r="X3224">
        <v>24</v>
      </c>
      <c r="AA3224">
        <v>271635</v>
      </c>
      <c r="AC3224" t="s">
        <v>51</v>
      </c>
      <c r="AD3224" t="s">
        <v>302</v>
      </c>
      <c r="AE3224" t="s">
        <v>46</v>
      </c>
      <c r="AG3224">
        <v>7</v>
      </c>
      <c r="AH3224">
        <v>8</v>
      </c>
      <c r="AI3224" t="s">
        <v>52</v>
      </c>
      <c r="AM3224">
        <v>0</v>
      </c>
      <c r="AP3224" t="s">
        <v>220</v>
      </c>
    </row>
    <row r="3225" spans="1:42" customFormat="1">
      <c r="A3225">
        <v>272835</v>
      </c>
      <c r="B3225" t="s">
        <v>102</v>
      </c>
      <c r="C3225" t="s">
        <v>4570</v>
      </c>
      <c r="D3225" s="22">
        <v>1473</v>
      </c>
      <c r="E3225" s="17">
        <v>42149</v>
      </c>
      <c r="F3225" s="18">
        <v>0.55436342592592591</v>
      </c>
      <c r="G3225" s="22">
        <v>0</v>
      </c>
      <c r="H3225">
        <v>0</v>
      </c>
      <c r="I3225" s="19" t="e">
        <f>I3224 + (D3225-G3225)</f>
        <v>#VALUE!</v>
      </c>
      <c r="N3225">
        <v>24</v>
      </c>
      <c r="O3225" t="s">
        <v>68</v>
      </c>
      <c r="P3225">
        <v>1</v>
      </c>
      <c r="R3225">
        <v>1449</v>
      </c>
      <c r="S3225" s="17">
        <v>42166</v>
      </c>
      <c r="T3225" s="17">
        <v>42166</v>
      </c>
      <c r="W3225">
        <v>2015</v>
      </c>
      <c r="X3225">
        <v>24</v>
      </c>
      <c r="AC3225" t="s">
        <v>51</v>
      </c>
      <c r="AD3225" t="s">
        <v>302</v>
      </c>
      <c r="AE3225" t="s">
        <v>46</v>
      </c>
      <c r="AG3225">
        <v>12</v>
      </c>
      <c r="AH3225">
        <v>9</v>
      </c>
      <c r="AI3225" t="s">
        <v>54</v>
      </c>
      <c r="AM3225">
        <v>0</v>
      </c>
      <c r="AP3225" t="s">
        <v>392</v>
      </c>
    </row>
    <row r="3226" spans="1:42" customFormat="1">
      <c r="A3226">
        <v>274072</v>
      </c>
      <c r="B3226" t="s">
        <v>3459</v>
      </c>
      <c r="C3226" t="s">
        <v>3459</v>
      </c>
      <c r="D3226" s="22">
        <v>0</v>
      </c>
      <c r="E3226" s="17">
        <v>42149</v>
      </c>
      <c r="F3226" s="18">
        <v>0.56592592592592594</v>
      </c>
      <c r="G3226" s="22">
        <v>30000</v>
      </c>
      <c r="H3226">
        <v>0</v>
      </c>
      <c r="I3226" s="19" t="e">
        <f>I3225 + (D3226-G3226)</f>
        <v>#VALUE!</v>
      </c>
      <c r="N3226">
        <v>60</v>
      </c>
      <c r="O3226" t="s">
        <v>60</v>
      </c>
      <c r="P3226">
        <v>1</v>
      </c>
      <c r="R3226">
        <v>1449</v>
      </c>
      <c r="S3226" s="17">
        <v>42180</v>
      </c>
      <c r="T3226" s="17">
        <v>42180</v>
      </c>
      <c r="W3226">
        <v>2015</v>
      </c>
      <c r="X3226">
        <v>60</v>
      </c>
      <c r="AC3226" t="s">
        <v>51</v>
      </c>
      <c r="AD3226" t="s">
        <v>302</v>
      </c>
      <c r="AE3226" t="s">
        <v>46</v>
      </c>
      <c r="AG3226">
        <v>3</v>
      </c>
      <c r="AH3226">
        <v>8</v>
      </c>
      <c r="AI3226" t="s">
        <v>52</v>
      </c>
      <c r="AM3226">
        <v>0</v>
      </c>
      <c r="AO3226">
        <v>52</v>
      </c>
      <c r="AP3226" t="s">
        <v>80</v>
      </c>
    </row>
    <row r="3227" spans="1:42" customFormat="1">
      <c r="A3227">
        <v>274073</v>
      </c>
      <c r="B3227" t="s">
        <v>3459</v>
      </c>
      <c r="C3227" t="s">
        <v>4583</v>
      </c>
      <c r="D3227" s="22">
        <v>30000</v>
      </c>
      <c r="E3227" s="17">
        <v>42149</v>
      </c>
      <c r="F3227" s="18">
        <v>0.56592592592592594</v>
      </c>
      <c r="G3227" s="22">
        <v>0</v>
      </c>
      <c r="H3227">
        <v>0</v>
      </c>
      <c r="I3227" s="19" t="e">
        <f>I3226 + (D3227-G3227)</f>
        <v>#VALUE!</v>
      </c>
      <c r="N3227">
        <v>60</v>
      </c>
      <c r="O3227" t="s">
        <v>60</v>
      </c>
      <c r="P3227">
        <v>1</v>
      </c>
      <c r="R3227">
        <v>1449</v>
      </c>
      <c r="S3227" s="17">
        <v>42180</v>
      </c>
      <c r="T3227" s="17">
        <v>42180</v>
      </c>
      <c r="W3227">
        <v>2015</v>
      </c>
      <c r="X3227">
        <v>60</v>
      </c>
      <c r="AA3227">
        <v>274072</v>
      </c>
      <c r="AC3227" t="s">
        <v>51</v>
      </c>
      <c r="AD3227" t="s">
        <v>302</v>
      </c>
      <c r="AE3227" t="s">
        <v>46</v>
      </c>
      <c r="AG3227">
        <v>52</v>
      </c>
      <c r="AH3227">
        <v>8</v>
      </c>
      <c r="AI3227" t="s">
        <v>52</v>
      </c>
      <c r="AM3227">
        <v>0</v>
      </c>
      <c r="AP3227" t="s">
        <v>325</v>
      </c>
    </row>
    <row r="3228" spans="1:42" customFormat="1">
      <c r="A3228">
        <v>273977</v>
      </c>
      <c r="B3228" t="s">
        <v>219</v>
      </c>
      <c r="C3228" t="s">
        <v>219</v>
      </c>
      <c r="D3228" s="22">
        <v>0</v>
      </c>
      <c r="E3228" s="17">
        <v>42149</v>
      </c>
      <c r="F3228" s="18">
        <v>0.69047453703703709</v>
      </c>
      <c r="G3228" s="22">
        <v>63.33</v>
      </c>
      <c r="H3228">
        <v>0</v>
      </c>
      <c r="I3228" s="19" t="e">
        <f>I3227 + (D3228-G3228)</f>
        <v>#VALUE!</v>
      </c>
      <c r="N3228">
        <v>60</v>
      </c>
      <c r="O3228" t="s">
        <v>60</v>
      </c>
      <c r="P3228">
        <v>1</v>
      </c>
      <c r="R3228">
        <v>1449</v>
      </c>
      <c r="S3228" s="17">
        <v>42179</v>
      </c>
      <c r="T3228" s="17">
        <v>42180</v>
      </c>
      <c r="W3228">
        <v>2015</v>
      </c>
      <c r="X3228">
        <v>24</v>
      </c>
      <c r="AC3228" t="s">
        <v>51</v>
      </c>
      <c r="AD3228" t="s">
        <v>302</v>
      </c>
      <c r="AE3228" t="s">
        <v>46</v>
      </c>
      <c r="AG3228">
        <v>75</v>
      </c>
      <c r="AH3228">
        <v>8</v>
      </c>
      <c r="AI3228" t="s">
        <v>52</v>
      </c>
      <c r="AM3228">
        <v>0</v>
      </c>
      <c r="AO3228">
        <v>5</v>
      </c>
      <c r="AP3228" t="s">
        <v>321</v>
      </c>
    </row>
    <row r="3229" spans="1:42" customFormat="1">
      <c r="A3229">
        <v>273978</v>
      </c>
      <c r="B3229" t="s">
        <v>219</v>
      </c>
      <c r="C3229" t="s">
        <v>4628</v>
      </c>
      <c r="D3229" s="22">
        <v>63.33</v>
      </c>
      <c r="E3229" s="17">
        <v>42149</v>
      </c>
      <c r="F3229" s="18">
        <v>0.69047453703703709</v>
      </c>
      <c r="G3229" s="22">
        <v>0</v>
      </c>
      <c r="H3229">
        <v>0</v>
      </c>
      <c r="I3229" s="19" t="e">
        <f>I3228 + (D3229-G3229)</f>
        <v>#VALUE!</v>
      </c>
      <c r="N3229">
        <v>60</v>
      </c>
      <c r="O3229" t="s">
        <v>60</v>
      </c>
      <c r="P3229">
        <v>1</v>
      </c>
      <c r="R3229">
        <v>1449</v>
      </c>
      <c r="S3229" s="17">
        <v>42179</v>
      </c>
      <c r="T3229" s="17">
        <v>42180</v>
      </c>
      <c r="W3229">
        <v>2015</v>
      </c>
      <c r="X3229">
        <v>24</v>
      </c>
      <c r="AA3229">
        <v>273977</v>
      </c>
      <c r="AC3229" t="s">
        <v>51</v>
      </c>
      <c r="AD3229" t="s">
        <v>302</v>
      </c>
      <c r="AE3229" t="s">
        <v>46</v>
      </c>
      <c r="AG3229">
        <v>5</v>
      </c>
      <c r="AH3229">
        <v>8</v>
      </c>
      <c r="AI3229" t="s">
        <v>52</v>
      </c>
      <c r="AM3229">
        <v>0</v>
      </c>
      <c r="AP3229" t="s">
        <v>312</v>
      </c>
    </row>
    <row r="3230" spans="1:42" customFormat="1">
      <c r="A3230">
        <v>273979</v>
      </c>
      <c r="B3230" t="s">
        <v>219</v>
      </c>
      <c r="C3230" t="s">
        <v>219</v>
      </c>
      <c r="D3230" s="22">
        <v>0</v>
      </c>
      <c r="E3230" s="17">
        <v>42149</v>
      </c>
      <c r="F3230" s="18">
        <v>0.69093749999999998</v>
      </c>
      <c r="G3230" s="22">
        <v>6462.6</v>
      </c>
      <c r="H3230">
        <v>0</v>
      </c>
      <c r="I3230" s="19" t="e">
        <f>I3229 + (D3230-G3230)</f>
        <v>#VALUE!</v>
      </c>
      <c r="N3230">
        <v>24</v>
      </c>
      <c r="O3230" t="s">
        <v>68</v>
      </c>
      <c r="P3230">
        <v>1</v>
      </c>
      <c r="R3230">
        <v>1449</v>
      </c>
      <c r="S3230" s="17">
        <v>42179</v>
      </c>
      <c r="T3230" s="17">
        <v>42179</v>
      </c>
      <c r="W3230">
        <v>2015</v>
      </c>
      <c r="X3230">
        <v>24</v>
      </c>
      <c r="AC3230" t="s">
        <v>51</v>
      </c>
      <c r="AD3230" t="s">
        <v>302</v>
      </c>
      <c r="AE3230" t="s">
        <v>46</v>
      </c>
      <c r="AG3230">
        <v>75</v>
      </c>
      <c r="AH3230">
        <v>8</v>
      </c>
      <c r="AI3230" t="s">
        <v>52</v>
      </c>
      <c r="AM3230">
        <v>0</v>
      </c>
      <c r="AO3230">
        <v>5</v>
      </c>
      <c r="AP3230" t="s">
        <v>321</v>
      </c>
    </row>
    <row r="3231" spans="1:42" customFormat="1">
      <c r="A3231">
        <v>273980</v>
      </c>
      <c r="B3231" t="s">
        <v>219</v>
      </c>
      <c r="C3231" t="s">
        <v>4629</v>
      </c>
      <c r="D3231" s="22">
        <v>6462.6</v>
      </c>
      <c r="E3231" s="17">
        <v>42149</v>
      </c>
      <c r="F3231" s="18">
        <v>0.69093749999999998</v>
      </c>
      <c r="G3231" s="22">
        <v>0</v>
      </c>
      <c r="H3231">
        <v>0</v>
      </c>
      <c r="I3231" s="19" t="e">
        <f>I3230 + (D3231-G3231)</f>
        <v>#VALUE!</v>
      </c>
      <c r="N3231">
        <v>24</v>
      </c>
      <c r="O3231" t="s">
        <v>68</v>
      </c>
      <c r="P3231">
        <v>1</v>
      </c>
      <c r="R3231">
        <v>1449</v>
      </c>
      <c r="S3231" s="17">
        <v>42179</v>
      </c>
      <c r="T3231" s="17">
        <v>42179</v>
      </c>
      <c r="W3231">
        <v>2015</v>
      </c>
      <c r="X3231">
        <v>24</v>
      </c>
      <c r="AA3231">
        <v>273979</v>
      </c>
      <c r="AC3231" t="s">
        <v>51</v>
      </c>
      <c r="AD3231" t="s">
        <v>302</v>
      </c>
      <c r="AE3231" t="s">
        <v>46</v>
      </c>
      <c r="AG3231">
        <v>5</v>
      </c>
      <c r="AH3231">
        <v>8</v>
      </c>
      <c r="AI3231" t="s">
        <v>52</v>
      </c>
      <c r="AM3231">
        <v>0</v>
      </c>
      <c r="AP3231" t="s">
        <v>312</v>
      </c>
    </row>
    <row r="3232" spans="1:42" customFormat="1">
      <c r="A3232">
        <v>273981</v>
      </c>
      <c r="B3232" t="s">
        <v>219</v>
      </c>
      <c r="C3232" t="s">
        <v>219</v>
      </c>
      <c r="D3232" s="22">
        <v>0</v>
      </c>
      <c r="E3232" s="17">
        <v>42149</v>
      </c>
      <c r="F3232" s="18">
        <v>0.69133101851851853</v>
      </c>
      <c r="G3232" s="22">
        <v>1108</v>
      </c>
      <c r="H3232">
        <v>0</v>
      </c>
      <c r="I3232" s="19" t="e">
        <f>I3231 + (D3232-G3232)</f>
        <v>#VALUE!</v>
      </c>
      <c r="N3232">
        <v>24</v>
      </c>
      <c r="O3232" t="s">
        <v>68</v>
      </c>
      <c r="P3232">
        <v>1</v>
      </c>
      <c r="R3232">
        <v>1449</v>
      </c>
      <c r="S3232" s="17">
        <v>42179</v>
      </c>
      <c r="T3232" s="17">
        <v>42179</v>
      </c>
      <c r="W3232">
        <v>2015</v>
      </c>
      <c r="X3232">
        <v>24</v>
      </c>
      <c r="AC3232" t="s">
        <v>51</v>
      </c>
      <c r="AD3232" t="s">
        <v>302</v>
      </c>
      <c r="AE3232" t="s">
        <v>46</v>
      </c>
      <c r="AG3232">
        <v>75</v>
      </c>
      <c r="AH3232">
        <v>8</v>
      </c>
      <c r="AI3232" t="s">
        <v>52</v>
      </c>
      <c r="AM3232">
        <v>0</v>
      </c>
      <c r="AO3232">
        <v>5</v>
      </c>
      <c r="AP3232" t="s">
        <v>321</v>
      </c>
    </row>
    <row r="3233" spans="1:42" customFormat="1">
      <c r="A3233">
        <v>273982</v>
      </c>
      <c r="B3233" t="s">
        <v>219</v>
      </c>
      <c r="C3233" t="s">
        <v>4630</v>
      </c>
      <c r="D3233" s="22">
        <v>1108</v>
      </c>
      <c r="E3233" s="17">
        <v>42149</v>
      </c>
      <c r="F3233" s="18">
        <v>0.69133101851851853</v>
      </c>
      <c r="G3233" s="22">
        <v>0</v>
      </c>
      <c r="H3233">
        <v>0</v>
      </c>
      <c r="I3233" s="19" t="e">
        <f>I3232 + (D3233-G3233)</f>
        <v>#VALUE!</v>
      </c>
      <c r="N3233">
        <v>24</v>
      </c>
      <c r="O3233" t="s">
        <v>68</v>
      </c>
      <c r="P3233">
        <v>1</v>
      </c>
      <c r="R3233">
        <v>1449</v>
      </c>
      <c r="S3233" s="17">
        <v>42179</v>
      </c>
      <c r="T3233" s="17">
        <v>42179</v>
      </c>
      <c r="W3233">
        <v>2015</v>
      </c>
      <c r="X3233">
        <v>24</v>
      </c>
      <c r="AA3233">
        <v>273981</v>
      </c>
      <c r="AC3233" t="s">
        <v>51</v>
      </c>
      <c r="AD3233" t="s">
        <v>302</v>
      </c>
      <c r="AE3233" t="s">
        <v>46</v>
      </c>
      <c r="AG3233">
        <v>5</v>
      </c>
      <c r="AH3233">
        <v>8</v>
      </c>
      <c r="AI3233" t="s">
        <v>52</v>
      </c>
      <c r="AM3233">
        <v>0</v>
      </c>
      <c r="AP3233" t="s">
        <v>312</v>
      </c>
    </row>
    <row r="3234" spans="1:42" customFormat="1">
      <c r="A3234">
        <v>273983</v>
      </c>
      <c r="B3234" t="s">
        <v>219</v>
      </c>
      <c r="C3234" t="s">
        <v>169</v>
      </c>
      <c r="D3234" s="22">
        <v>0</v>
      </c>
      <c r="E3234" s="17">
        <v>42149</v>
      </c>
      <c r="F3234" s="18">
        <v>0.69226851851851856</v>
      </c>
      <c r="G3234" s="22">
        <v>7484.14</v>
      </c>
      <c r="H3234">
        <v>0</v>
      </c>
      <c r="I3234" s="19" t="e">
        <f>I3233 + (D3234-G3234)</f>
        <v>#VALUE!</v>
      </c>
      <c r="N3234">
        <v>24</v>
      </c>
      <c r="O3234" t="s">
        <v>68</v>
      </c>
      <c r="P3234">
        <v>1</v>
      </c>
      <c r="R3234">
        <v>1449</v>
      </c>
      <c r="S3234" s="17">
        <v>42179</v>
      </c>
      <c r="T3234" s="17">
        <v>42179</v>
      </c>
      <c r="W3234">
        <v>2015</v>
      </c>
      <c r="X3234">
        <v>24</v>
      </c>
      <c r="AC3234" t="s">
        <v>51</v>
      </c>
      <c r="AD3234" t="s">
        <v>302</v>
      </c>
      <c r="AE3234" t="s">
        <v>46</v>
      </c>
      <c r="AG3234">
        <v>5</v>
      </c>
      <c r="AH3234">
        <v>8</v>
      </c>
      <c r="AI3234" t="s">
        <v>52</v>
      </c>
      <c r="AM3234">
        <v>0</v>
      </c>
      <c r="AO3234">
        <v>75</v>
      </c>
      <c r="AP3234" t="s">
        <v>312</v>
      </c>
    </row>
    <row r="3235" spans="1:42" customFormat="1">
      <c r="A3235">
        <v>273984</v>
      </c>
      <c r="B3235" t="s">
        <v>219</v>
      </c>
      <c r="C3235" t="s">
        <v>4632</v>
      </c>
      <c r="D3235" s="22">
        <v>7484.14</v>
      </c>
      <c r="E3235" s="17">
        <v>42149</v>
      </c>
      <c r="F3235" s="18">
        <v>0.69226851851851856</v>
      </c>
      <c r="G3235" s="22">
        <v>0</v>
      </c>
      <c r="H3235">
        <v>0</v>
      </c>
      <c r="I3235" s="19" t="e">
        <f>I3234 + (D3235-G3235)</f>
        <v>#VALUE!</v>
      </c>
      <c r="N3235">
        <v>24</v>
      </c>
      <c r="O3235" t="s">
        <v>68</v>
      </c>
      <c r="P3235">
        <v>1</v>
      </c>
      <c r="R3235">
        <v>1449</v>
      </c>
      <c r="S3235" s="17">
        <v>42179</v>
      </c>
      <c r="T3235" s="17">
        <v>42179</v>
      </c>
      <c r="W3235">
        <v>2015</v>
      </c>
      <c r="X3235">
        <v>24</v>
      </c>
      <c r="AA3235">
        <v>273983</v>
      </c>
      <c r="AC3235" t="s">
        <v>51</v>
      </c>
      <c r="AD3235" t="s">
        <v>302</v>
      </c>
      <c r="AE3235" t="s">
        <v>46</v>
      </c>
      <c r="AG3235">
        <v>75</v>
      </c>
      <c r="AH3235">
        <v>8</v>
      </c>
      <c r="AI3235" t="s">
        <v>52</v>
      </c>
      <c r="AM3235">
        <v>0</v>
      </c>
      <c r="AP3235" t="s">
        <v>321</v>
      </c>
    </row>
    <row r="3236" spans="1:42" customFormat="1">
      <c r="A3236">
        <v>273100</v>
      </c>
      <c r="B3236" t="s">
        <v>219</v>
      </c>
      <c r="C3236" t="s">
        <v>219</v>
      </c>
      <c r="D3236" s="22">
        <v>20000</v>
      </c>
      <c r="E3236" s="17">
        <v>42150</v>
      </c>
      <c r="F3236" s="18">
        <v>0.37510416666666663</v>
      </c>
      <c r="G3236" s="22">
        <v>0</v>
      </c>
      <c r="H3236">
        <v>0</v>
      </c>
      <c r="I3236" s="19" t="e">
        <f>I3235 + (D3236-G3236)</f>
        <v>#VALUE!</v>
      </c>
      <c r="N3236">
        <v>24</v>
      </c>
      <c r="O3236" t="s">
        <v>68</v>
      </c>
      <c r="P3236">
        <v>1</v>
      </c>
      <c r="R3236">
        <v>1449</v>
      </c>
      <c r="S3236" s="17">
        <v>42171</v>
      </c>
      <c r="T3236" s="17">
        <v>42171</v>
      </c>
      <c r="W3236">
        <v>2015</v>
      </c>
      <c r="X3236">
        <v>24</v>
      </c>
      <c r="AC3236" t="s">
        <v>51</v>
      </c>
      <c r="AD3236" t="s">
        <v>302</v>
      </c>
      <c r="AE3236" t="s">
        <v>46</v>
      </c>
      <c r="AG3236">
        <v>2</v>
      </c>
      <c r="AH3236">
        <v>8</v>
      </c>
      <c r="AI3236" t="s">
        <v>52</v>
      </c>
      <c r="AM3236">
        <v>0</v>
      </c>
      <c r="AP3236" t="s">
        <v>2544</v>
      </c>
    </row>
    <row r="3237" spans="1:42" customFormat="1">
      <c r="A3237">
        <v>271429</v>
      </c>
      <c r="B3237" t="s">
        <v>219</v>
      </c>
      <c r="C3237" t="s">
        <v>219</v>
      </c>
      <c r="D3237" s="22">
        <v>0</v>
      </c>
      <c r="E3237" s="17">
        <v>42150</v>
      </c>
      <c r="F3237" s="18">
        <v>0.4178587962962963</v>
      </c>
      <c r="G3237" s="22">
        <v>2000</v>
      </c>
      <c r="H3237">
        <v>0</v>
      </c>
      <c r="I3237" s="19" t="e">
        <f>I3236 + (D3237-G3237)</f>
        <v>#VALUE!</v>
      </c>
      <c r="N3237">
        <v>24</v>
      </c>
      <c r="O3237" t="s">
        <v>68</v>
      </c>
      <c r="P3237">
        <v>2</v>
      </c>
      <c r="R3237">
        <v>1449</v>
      </c>
      <c r="S3237" s="17">
        <v>42152</v>
      </c>
      <c r="T3237" s="17">
        <v>42152</v>
      </c>
      <c r="W3237">
        <v>2015</v>
      </c>
      <c r="X3237">
        <v>24</v>
      </c>
      <c r="AC3237" t="s">
        <v>51</v>
      </c>
      <c r="AD3237" t="s">
        <v>302</v>
      </c>
      <c r="AE3237" t="s">
        <v>46</v>
      </c>
      <c r="AG3237">
        <v>52</v>
      </c>
      <c r="AH3237">
        <v>8</v>
      </c>
      <c r="AI3237" t="s">
        <v>52</v>
      </c>
      <c r="AM3237">
        <v>0</v>
      </c>
      <c r="AO3237">
        <v>2</v>
      </c>
      <c r="AP3237" t="s">
        <v>325</v>
      </c>
    </row>
    <row r="3238" spans="1:42" customFormat="1">
      <c r="A3238">
        <v>271430</v>
      </c>
      <c r="B3238" t="s">
        <v>219</v>
      </c>
      <c r="C3238" t="s">
        <v>4740</v>
      </c>
      <c r="D3238" s="22">
        <v>2000</v>
      </c>
      <c r="E3238" s="17">
        <v>42150</v>
      </c>
      <c r="F3238" s="18">
        <v>0.4178587962962963</v>
      </c>
      <c r="G3238" s="22">
        <v>0</v>
      </c>
      <c r="H3238">
        <v>0</v>
      </c>
      <c r="I3238" s="19" t="e">
        <f>I3237 + (D3238-G3238)</f>
        <v>#VALUE!</v>
      </c>
      <c r="N3238">
        <v>24</v>
      </c>
      <c r="O3238" t="s">
        <v>68</v>
      </c>
      <c r="P3238">
        <v>2</v>
      </c>
      <c r="R3238">
        <v>1449</v>
      </c>
      <c r="S3238" s="17">
        <v>42152</v>
      </c>
      <c r="T3238" s="17">
        <v>42152</v>
      </c>
      <c r="W3238">
        <v>2015</v>
      </c>
      <c r="X3238">
        <v>24</v>
      </c>
      <c r="AA3238">
        <v>271429</v>
      </c>
      <c r="AC3238" t="s">
        <v>51</v>
      </c>
      <c r="AD3238" t="s">
        <v>302</v>
      </c>
      <c r="AE3238" t="s">
        <v>46</v>
      </c>
      <c r="AG3238">
        <v>2</v>
      </c>
      <c r="AH3238">
        <v>8</v>
      </c>
      <c r="AI3238" t="s">
        <v>52</v>
      </c>
      <c r="AM3238">
        <v>0</v>
      </c>
      <c r="AP3238" t="s">
        <v>2544</v>
      </c>
    </row>
    <row r="3239" spans="1:42" customFormat="1">
      <c r="A3239">
        <v>271431</v>
      </c>
      <c r="B3239" t="s">
        <v>219</v>
      </c>
      <c r="C3239" t="s">
        <v>219</v>
      </c>
      <c r="D3239" s="22">
        <v>0</v>
      </c>
      <c r="E3239" s="17">
        <v>42150</v>
      </c>
      <c r="F3239" s="18">
        <v>0.41817129629629629</v>
      </c>
      <c r="G3239" s="22">
        <v>4800</v>
      </c>
      <c r="H3239">
        <v>0</v>
      </c>
      <c r="I3239" s="19" t="e">
        <f>I3238 + (D3239-G3239)</f>
        <v>#VALUE!</v>
      </c>
      <c r="N3239">
        <v>24</v>
      </c>
      <c r="O3239" t="s">
        <v>68</v>
      </c>
      <c r="P3239">
        <v>2</v>
      </c>
      <c r="R3239">
        <v>1449</v>
      </c>
      <c r="S3239" s="17">
        <v>42152</v>
      </c>
      <c r="T3239" s="17">
        <v>42152</v>
      </c>
      <c r="W3239">
        <v>2015</v>
      </c>
      <c r="X3239">
        <v>24</v>
      </c>
      <c r="AC3239" t="s">
        <v>51</v>
      </c>
      <c r="AD3239" t="s">
        <v>302</v>
      </c>
      <c r="AE3239" t="s">
        <v>46</v>
      </c>
      <c r="AG3239">
        <v>26</v>
      </c>
      <c r="AH3239">
        <v>8</v>
      </c>
      <c r="AI3239" t="s">
        <v>52</v>
      </c>
      <c r="AM3239">
        <v>0</v>
      </c>
      <c r="AO3239">
        <v>2</v>
      </c>
      <c r="AP3239" t="s">
        <v>501</v>
      </c>
    </row>
    <row r="3240" spans="1:42" customFormat="1">
      <c r="A3240">
        <v>271432</v>
      </c>
      <c r="B3240" t="s">
        <v>219</v>
      </c>
      <c r="C3240" t="s">
        <v>4741</v>
      </c>
      <c r="D3240" s="22">
        <v>4800</v>
      </c>
      <c r="E3240" s="17">
        <v>42150</v>
      </c>
      <c r="F3240" s="18">
        <v>0.41817129629629629</v>
      </c>
      <c r="G3240" s="22">
        <v>0</v>
      </c>
      <c r="H3240">
        <v>0</v>
      </c>
      <c r="I3240" s="19" t="e">
        <f>I3239 + (D3240-G3240)</f>
        <v>#VALUE!</v>
      </c>
      <c r="N3240">
        <v>24</v>
      </c>
      <c r="O3240" t="s">
        <v>68</v>
      </c>
      <c r="P3240">
        <v>2</v>
      </c>
      <c r="R3240">
        <v>1449</v>
      </c>
      <c r="S3240" s="17">
        <v>42152</v>
      </c>
      <c r="T3240" s="17">
        <v>42152</v>
      </c>
      <c r="W3240">
        <v>2015</v>
      </c>
      <c r="X3240">
        <v>24</v>
      </c>
      <c r="AA3240">
        <v>271431</v>
      </c>
      <c r="AC3240" t="s">
        <v>51</v>
      </c>
      <c r="AD3240" t="s">
        <v>302</v>
      </c>
      <c r="AE3240" t="s">
        <v>46</v>
      </c>
      <c r="AG3240">
        <v>2</v>
      </c>
      <c r="AH3240">
        <v>8</v>
      </c>
      <c r="AI3240" t="s">
        <v>52</v>
      </c>
      <c r="AM3240">
        <v>0</v>
      </c>
      <c r="AP3240" t="s">
        <v>2544</v>
      </c>
    </row>
    <row r="3241" spans="1:42" customFormat="1">
      <c r="A3241">
        <v>271433</v>
      </c>
      <c r="B3241" t="s">
        <v>219</v>
      </c>
      <c r="C3241" t="s">
        <v>219</v>
      </c>
      <c r="D3241" s="22">
        <v>0</v>
      </c>
      <c r="E3241" s="17">
        <v>42150</v>
      </c>
      <c r="F3241" s="18">
        <v>0.41844907407407406</v>
      </c>
      <c r="G3241" s="22">
        <v>37000</v>
      </c>
      <c r="H3241">
        <v>0</v>
      </c>
      <c r="I3241" s="19" t="e">
        <f>I3240 + (D3241-G3241)</f>
        <v>#VALUE!</v>
      </c>
      <c r="N3241">
        <v>24</v>
      </c>
      <c r="O3241" t="s">
        <v>68</v>
      </c>
      <c r="P3241">
        <v>2</v>
      </c>
      <c r="R3241">
        <v>1449</v>
      </c>
      <c r="S3241" s="17">
        <v>42152</v>
      </c>
      <c r="T3241" s="17">
        <v>42152</v>
      </c>
      <c r="W3241">
        <v>2015</v>
      </c>
      <c r="X3241">
        <v>24</v>
      </c>
      <c r="AC3241" t="s">
        <v>51</v>
      </c>
      <c r="AD3241" t="s">
        <v>302</v>
      </c>
      <c r="AE3241" t="s">
        <v>46</v>
      </c>
      <c r="AG3241">
        <v>52</v>
      </c>
      <c r="AH3241">
        <v>8</v>
      </c>
      <c r="AI3241" t="s">
        <v>52</v>
      </c>
      <c r="AM3241">
        <v>0</v>
      </c>
      <c r="AO3241">
        <v>2</v>
      </c>
      <c r="AP3241" t="s">
        <v>325</v>
      </c>
    </row>
    <row r="3242" spans="1:42" customFormat="1">
      <c r="A3242">
        <v>271434</v>
      </c>
      <c r="B3242" t="s">
        <v>219</v>
      </c>
      <c r="C3242" t="s">
        <v>4742</v>
      </c>
      <c r="D3242" s="22">
        <v>37000</v>
      </c>
      <c r="E3242" s="17">
        <v>42150</v>
      </c>
      <c r="F3242" s="18">
        <v>0.41844907407407406</v>
      </c>
      <c r="G3242" s="22">
        <v>0</v>
      </c>
      <c r="H3242">
        <v>0</v>
      </c>
      <c r="I3242" s="19" t="e">
        <f>I3241 + (D3242-G3242)</f>
        <v>#VALUE!</v>
      </c>
      <c r="N3242">
        <v>24</v>
      </c>
      <c r="O3242" t="s">
        <v>68</v>
      </c>
      <c r="P3242">
        <v>2</v>
      </c>
      <c r="R3242">
        <v>1449</v>
      </c>
      <c r="S3242" s="17">
        <v>42152</v>
      </c>
      <c r="T3242" s="17">
        <v>42152</v>
      </c>
      <c r="W3242">
        <v>2015</v>
      </c>
      <c r="X3242">
        <v>24</v>
      </c>
      <c r="AA3242">
        <v>271433</v>
      </c>
      <c r="AC3242" t="s">
        <v>51</v>
      </c>
      <c r="AD3242" t="s">
        <v>302</v>
      </c>
      <c r="AE3242" t="s">
        <v>46</v>
      </c>
      <c r="AG3242">
        <v>2</v>
      </c>
      <c r="AH3242">
        <v>8</v>
      </c>
      <c r="AI3242" t="s">
        <v>52</v>
      </c>
      <c r="AM3242">
        <v>0</v>
      </c>
      <c r="AP3242" t="s">
        <v>2544</v>
      </c>
    </row>
    <row r="3243" spans="1:42" customFormat="1">
      <c r="A3243">
        <v>271435</v>
      </c>
      <c r="B3243" t="s">
        <v>219</v>
      </c>
      <c r="C3243" t="s">
        <v>219</v>
      </c>
      <c r="D3243" s="22">
        <v>0</v>
      </c>
      <c r="E3243" s="17">
        <v>42150</v>
      </c>
      <c r="F3243" s="18">
        <v>0.41944444444444445</v>
      </c>
      <c r="G3243" s="22">
        <v>11000</v>
      </c>
      <c r="H3243">
        <v>0</v>
      </c>
      <c r="I3243" s="19" t="e">
        <f>I3242 + (D3243-G3243)</f>
        <v>#VALUE!</v>
      </c>
      <c r="N3243">
        <v>24</v>
      </c>
      <c r="O3243" t="s">
        <v>68</v>
      </c>
      <c r="P3243">
        <v>2</v>
      </c>
      <c r="R3243">
        <v>1449</v>
      </c>
      <c r="S3243" s="17">
        <v>42152</v>
      </c>
      <c r="T3243" s="17">
        <v>42152</v>
      </c>
      <c r="W3243">
        <v>2015</v>
      </c>
      <c r="X3243">
        <v>24</v>
      </c>
      <c r="AC3243" t="s">
        <v>51</v>
      </c>
      <c r="AD3243" t="s">
        <v>302</v>
      </c>
      <c r="AE3243" t="s">
        <v>46</v>
      </c>
      <c r="AG3243">
        <v>2</v>
      </c>
      <c r="AH3243">
        <v>8</v>
      </c>
      <c r="AI3243" t="s">
        <v>52</v>
      </c>
      <c r="AM3243">
        <v>0</v>
      </c>
      <c r="AO3243">
        <v>26</v>
      </c>
      <c r="AP3243" t="s">
        <v>2544</v>
      </c>
    </row>
    <row r="3244" spans="1:42" customFormat="1">
      <c r="A3244">
        <v>271436</v>
      </c>
      <c r="B3244" t="s">
        <v>219</v>
      </c>
      <c r="C3244" t="s">
        <v>4743</v>
      </c>
      <c r="D3244" s="22">
        <v>11000</v>
      </c>
      <c r="E3244" s="17">
        <v>42150</v>
      </c>
      <c r="F3244" s="18">
        <v>0.41944444444444445</v>
      </c>
      <c r="G3244" s="22">
        <v>0</v>
      </c>
      <c r="H3244">
        <v>0</v>
      </c>
      <c r="I3244" s="19" t="e">
        <f>I3243 + (D3244-G3244)</f>
        <v>#VALUE!</v>
      </c>
      <c r="N3244">
        <v>24</v>
      </c>
      <c r="O3244" t="s">
        <v>68</v>
      </c>
      <c r="P3244">
        <v>2</v>
      </c>
      <c r="R3244">
        <v>1449</v>
      </c>
      <c r="S3244" s="17">
        <v>42152</v>
      </c>
      <c r="T3244" s="17">
        <v>42152</v>
      </c>
      <c r="W3244">
        <v>2015</v>
      </c>
      <c r="X3244">
        <v>24</v>
      </c>
      <c r="AA3244">
        <v>271435</v>
      </c>
      <c r="AC3244" t="s">
        <v>51</v>
      </c>
      <c r="AD3244" t="s">
        <v>302</v>
      </c>
      <c r="AE3244" t="s">
        <v>46</v>
      </c>
      <c r="AG3244">
        <v>26</v>
      </c>
      <c r="AH3244">
        <v>8</v>
      </c>
      <c r="AI3244" t="s">
        <v>52</v>
      </c>
      <c r="AM3244">
        <v>0</v>
      </c>
      <c r="AP3244" t="s">
        <v>501</v>
      </c>
    </row>
    <row r="3245" spans="1:42" customFormat="1">
      <c r="A3245">
        <v>271437</v>
      </c>
      <c r="B3245" t="s">
        <v>219</v>
      </c>
      <c r="C3245" t="s">
        <v>219</v>
      </c>
      <c r="D3245" s="22">
        <v>0</v>
      </c>
      <c r="E3245" s="17">
        <v>42150</v>
      </c>
      <c r="F3245" s="18">
        <v>0.41979166666666662</v>
      </c>
      <c r="G3245" s="22">
        <v>10000</v>
      </c>
      <c r="H3245">
        <v>0</v>
      </c>
      <c r="I3245" s="19" t="e">
        <f>I3244 + (D3245-G3245)</f>
        <v>#VALUE!</v>
      </c>
      <c r="N3245">
        <v>24</v>
      </c>
      <c r="O3245" t="s">
        <v>68</v>
      </c>
      <c r="P3245">
        <v>2</v>
      </c>
      <c r="R3245">
        <v>1449</v>
      </c>
      <c r="S3245" s="17">
        <v>42152</v>
      </c>
      <c r="T3245" s="17">
        <v>42152</v>
      </c>
      <c r="W3245">
        <v>2015</v>
      </c>
      <c r="X3245">
        <v>24</v>
      </c>
      <c r="AC3245" t="s">
        <v>51</v>
      </c>
      <c r="AD3245" t="s">
        <v>302</v>
      </c>
      <c r="AE3245" t="s">
        <v>46</v>
      </c>
      <c r="AG3245">
        <v>2</v>
      </c>
      <c r="AH3245">
        <v>8</v>
      </c>
      <c r="AI3245" t="s">
        <v>52</v>
      </c>
      <c r="AM3245">
        <v>0</v>
      </c>
      <c r="AO3245">
        <v>12</v>
      </c>
      <c r="AP3245" t="s">
        <v>2544</v>
      </c>
    </row>
    <row r="3246" spans="1:42" customFormat="1">
      <c r="A3246">
        <v>271438</v>
      </c>
      <c r="B3246" t="s">
        <v>219</v>
      </c>
      <c r="C3246" t="s">
        <v>4744</v>
      </c>
      <c r="D3246" s="22">
        <v>10000</v>
      </c>
      <c r="E3246" s="17">
        <v>42150</v>
      </c>
      <c r="F3246" s="18">
        <v>0.41979166666666662</v>
      </c>
      <c r="G3246" s="22">
        <v>0</v>
      </c>
      <c r="H3246">
        <v>0</v>
      </c>
      <c r="I3246" s="19" t="e">
        <f>I3245 + (D3246-G3246)</f>
        <v>#VALUE!</v>
      </c>
      <c r="N3246">
        <v>24</v>
      </c>
      <c r="O3246" t="s">
        <v>68</v>
      </c>
      <c r="P3246">
        <v>2</v>
      </c>
      <c r="R3246">
        <v>1449</v>
      </c>
      <c r="S3246" s="17">
        <v>42152</v>
      </c>
      <c r="T3246" s="17">
        <v>42152</v>
      </c>
      <c r="W3246">
        <v>2015</v>
      </c>
      <c r="X3246">
        <v>24</v>
      </c>
      <c r="AA3246">
        <v>271437</v>
      </c>
      <c r="AC3246" t="s">
        <v>51</v>
      </c>
      <c r="AD3246" t="s">
        <v>302</v>
      </c>
      <c r="AE3246" t="s">
        <v>46</v>
      </c>
      <c r="AG3246">
        <v>12</v>
      </c>
      <c r="AH3246">
        <v>8</v>
      </c>
      <c r="AI3246" t="s">
        <v>52</v>
      </c>
      <c r="AM3246">
        <v>0</v>
      </c>
      <c r="AP3246" t="s">
        <v>392</v>
      </c>
    </row>
    <row r="3247" spans="1:42" customFormat="1">
      <c r="A3247">
        <v>271439</v>
      </c>
      <c r="B3247" t="s">
        <v>219</v>
      </c>
      <c r="C3247" t="s">
        <v>219</v>
      </c>
      <c r="D3247" s="22">
        <v>0</v>
      </c>
      <c r="E3247" s="17">
        <v>42150</v>
      </c>
      <c r="F3247" s="18">
        <v>0.4201273148148148</v>
      </c>
      <c r="G3247" s="22">
        <v>11000</v>
      </c>
      <c r="H3247">
        <v>0</v>
      </c>
      <c r="I3247" s="19" t="e">
        <f>I3246 + (D3247-G3247)</f>
        <v>#VALUE!</v>
      </c>
      <c r="N3247">
        <v>24</v>
      </c>
      <c r="O3247" t="s">
        <v>68</v>
      </c>
      <c r="P3247">
        <v>2</v>
      </c>
      <c r="R3247">
        <v>1449</v>
      </c>
      <c r="S3247" s="17">
        <v>42152</v>
      </c>
      <c r="T3247" s="17">
        <v>42152</v>
      </c>
      <c r="W3247">
        <v>2015</v>
      </c>
      <c r="X3247">
        <v>24</v>
      </c>
      <c r="AC3247" t="s">
        <v>51</v>
      </c>
      <c r="AD3247" t="s">
        <v>302</v>
      </c>
      <c r="AE3247" t="s">
        <v>46</v>
      </c>
      <c r="AG3247">
        <v>2</v>
      </c>
      <c r="AH3247">
        <v>8</v>
      </c>
      <c r="AI3247" t="s">
        <v>52</v>
      </c>
      <c r="AM3247">
        <v>0</v>
      </c>
      <c r="AO3247">
        <v>8</v>
      </c>
      <c r="AP3247" t="s">
        <v>2544</v>
      </c>
    </row>
    <row r="3248" spans="1:42" customFormat="1">
      <c r="A3248">
        <v>271440</v>
      </c>
      <c r="B3248" t="s">
        <v>219</v>
      </c>
      <c r="C3248" t="s">
        <v>4745</v>
      </c>
      <c r="D3248" s="22">
        <v>11000</v>
      </c>
      <c r="E3248" s="17">
        <v>42150</v>
      </c>
      <c r="F3248" s="18">
        <v>0.4201273148148148</v>
      </c>
      <c r="G3248" s="22">
        <v>0</v>
      </c>
      <c r="H3248">
        <v>0</v>
      </c>
      <c r="I3248" s="19" t="e">
        <f>I3247 + (D3248-G3248)</f>
        <v>#VALUE!</v>
      </c>
      <c r="N3248">
        <v>24</v>
      </c>
      <c r="O3248" t="s">
        <v>68</v>
      </c>
      <c r="P3248">
        <v>2</v>
      </c>
      <c r="R3248">
        <v>1449</v>
      </c>
      <c r="S3248" s="17">
        <v>42152</v>
      </c>
      <c r="T3248" s="17">
        <v>42152</v>
      </c>
      <c r="W3248">
        <v>2015</v>
      </c>
      <c r="X3248">
        <v>24</v>
      </c>
      <c r="AA3248">
        <v>271439</v>
      </c>
      <c r="AC3248" t="s">
        <v>51</v>
      </c>
      <c r="AD3248" t="s">
        <v>302</v>
      </c>
      <c r="AE3248" t="s">
        <v>46</v>
      </c>
      <c r="AG3248">
        <v>8</v>
      </c>
      <c r="AH3248">
        <v>8</v>
      </c>
      <c r="AI3248" t="s">
        <v>52</v>
      </c>
      <c r="AM3248">
        <v>0</v>
      </c>
      <c r="AP3248" t="s">
        <v>1201</v>
      </c>
    </row>
    <row r="3249" spans="1:42" customFormat="1">
      <c r="A3249">
        <v>271300</v>
      </c>
      <c r="B3249" t="s">
        <v>235</v>
      </c>
      <c r="C3249" t="s">
        <v>4823</v>
      </c>
      <c r="D3249" s="22">
        <v>26000</v>
      </c>
      <c r="E3249" s="17">
        <v>42150</v>
      </c>
      <c r="F3249" s="18">
        <v>0.58291666666666664</v>
      </c>
      <c r="G3249" s="22">
        <v>0</v>
      </c>
      <c r="H3249">
        <v>0</v>
      </c>
      <c r="I3249" s="19" t="e">
        <f>I3248 + (D3249-G3249)</f>
        <v>#VALUE!</v>
      </c>
      <c r="N3249">
        <v>24</v>
      </c>
      <c r="O3249" t="s">
        <v>68</v>
      </c>
      <c r="P3249">
        <v>1</v>
      </c>
      <c r="R3249">
        <v>1471</v>
      </c>
      <c r="S3249" s="17">
        <v>42151</v>
      </c>
      <c r="T3249" s="17">
        <v>42151</v>
      </c>
      <c r="W3249">
        <v>2015</v>
      </c>
      <c r="X3249">
        <v>24</v>
      </c>
      <c r="AC3249" t="s">
        <v>109</v>
      </c>
      <c r="AD3249" t="s">
        <v>302</v>
      </c>
      <c r="AE3249" t="s">
        <v>46</v>
      </c>
      <c r="AG3249">
        <v>55</v>
      </c>
      <c r="AH3249">
        <v>2</v>
      </c>
      <c r="AI3249" t="s">
        <v>50</v>
      </c>
      <c r="AM3249">
        <v>0</v>
      </c>
      <c r="AP3249" t="s">
        <v>4767</v>
      </c>
    </row>
    <row r="3250" spans="1:42" customFormat="1">
      <c r="A3250">
        <v>271302</v>
      </c>
      <c r="B3250" t="s">
        <v>235</v>
      </c>
      <c r="C3250" t="s">
        <v>4825</v>
      </c>
      <c r="D3250" s="22">
        <v>26000</v>
      </c>
      <c r="E3250" s="17">
        <v>42150</v>
      </c>
      <c r="F3250" s="18">
        <v>0.58501157407407411</v>
      </c>
      <c r="G3250" s="22">
        <v>0</v>
      </c>
      <c r="H3250">
        <v>0</v>
      </c>
      <c r="I3250" s="19" t="e">
        <f>I3249 + (D3250-G3250)</f>
        <v>#VALUE!</v>
      </c>
      <c r="N3250">
        <v>24</v>
      </c>
      <c r="O3250" t="s">
        <v>68</v>
      </c>
      <c r="P3250">
        <v>1</v>
      </c>
      <c r="R3250">
        <v>1471</v>
      </c>
      <c r="S3250" s="17">
        <v>42151</v>
      </c>
      <c r="T3250" s="17">
        <v>42151</v>
      </c>
      <c r="W3250">
        <v>2015</v>
      </c>
      <c r="X3250">
        <v>24</v>
      </c>
      <c r="AC3250" t="s">
        <v>109</v>
      </c>
      <c r="AD3250" t="s">
        <v>302</v>
      </c>
      <c r="AE3250" t="s">
        <v>46</v>
      </c>
      <c r="AG3250">
        <v>55</v>
      </c>
      <c r="AH3250">
        <v>8</v>
      </c>
      <c r="AI3250" t="s">
        <v>52</v>
      </c>
      <c r="AM3250">
        <v>0</v>
      </c>
      <c r="AP3250" t="s">
        <v>4767</v>
      </c>
    </row>
    <row r="3251" spans="1:42" customFormat="1">
      <c r="A3251">
        <v>276287</v>
      </c>
      <c r="B3251" t="s">
        <v>109</v>
      </c>
      <c r="C3251" t="s">
        <v>109</v>
      </c>
      <c r="D3251" s="22">
        <v>0</v>
      </c>
      <c r="E3251" s="17">
        <v>42151</v>
      </c>
      <c r="F3251" s="18">
        <v>0.4051967592592593</v>
      </c>
      <c r="G3251" s="22">
        <v>3448</v>
      </c>
      <c r="H3251">
        <v>0</v>
      </c>
      <c r="I3251" s="19" t="e">
        <f>I3250 + (D3251-G3251)</f>
        <v>#VALUE!</v>
      </c>
      <c r="N3251">
        <v>7</v>
      </c>
      <c r="O3251" t="s">
        <v>44</v>
      </c>
      <c r="P3251">
        <v>1</v>
      </c>
      <c r="R3251">
        <v>1449</v>
      </c>
      <c r="S3251" s="17">
        <v>42191</v>
      </c>
      <c r="T3251" s="17">
        <v>42191</v>
      </c>
      <c r="W3251">
        <v>2015</v>
      </c>
      <c r="X3251">
        <v>7</v>
      </c>
      <c r="AC3251" t="s">
        <v>51</v>
      </c>
      <c r="AD3251" t="s">
        <v>302</v>
      </c>
      <c r="AE3251" t="s">
        <v>46</v>
      </c>
      <c r="AG3251">
        <v>114</v>
      </c>
      <c r="AH3251">
        <v>9</v>
      </c>
      <c r="AI3251" t="s">
        <v>54</v>
      </c>
      <c r="AM3251">
        <v>0</v>
      </c>
      <c r="AP3251" t="s">
        <v>898</v>
      </c>
    </row>
    <row r="3252" spans="1:42" customFormat="1">
      <c r="A3252">
        <v>271423</v>
      </c>
      <c r="B3252" t="s">
        <v>219</v>
      </c>
      <c r="C3252" t="s">
        <v>219</v>
      </c>
      <c r="D3252" s="22">
        <v>0</v>
      </c>
      <c r="E3252" s="17">
        <v>42151</v>
      </c>
      <c r="F3252" s="18">
        <v>0.41681712962962963</v>
      </c>
      <c r="G3252" s="22">
        <v>10000</v>
      </c>
      <c r="H3252">
        <v>0</v>
      </c>
      <c r="I3252" s="19" t="e">
        <f>I3251 + (D3252-G3252)</f>
        <v>#VALUE!</v>
      </c>
      <c r="N3252">
        <v>24</v>
      </c>
      <c r="O3252" t="s">
        <v>68</v>
      </c>
      <c r="P3252">
        <v>2</v>
      </c>
      <c r="R3252">
        <v>1449</v>
      </c>
      <c r="S3252" s="17">
        <v>42152</v>
      </c>
      <c r="T3252" s="17">
        <v>42152</v>
      </c>
      <c r="W3252">
        <v>2015</v>
      </c>
      <c r="X3252">
        <v>24</v>
      </c>
      <c r="AC3252" t="s">
        <v>51</v>
      </c>
      <c r="AD3252" t="s">
        <v>302</v>
      </c>
      <c r="AE3252" t="s">
        <v>46</v>
      </c>
      <c r="AG3252">
        <v>26</v>
      </c>
      <c r="AH3252">
        <v>8</v>
      </c>
      <c r="AI3252" t="s">
        <v>52</v>
      </c>
      <c r="AM3252">
        <v>0</v>
      </c>
      <c r="AO3252">
        <v>52</v>
      </c>
      <c r="AP3252" t="s">
        <v>501</v>
      </c>
    </row>
    <row r="3253" spans="1:42" customFormat="1">
      <c r="A3253">
        <v>271424</v>
      </c>
      <c r="B3253" t="s">
        <v>219</v>
      </c>
      <c r="C3253" t="s">
        <v>4941</v>
      </c>
      <c r="D3253" s="22">
        <v>10000</v>
      </c>
      <c r="E3253" s="17">
        <v>42151</v>
      </c>
      <c r="F3253" s="18">
        <v>0.41681712962962963</v>
      </c>
      <c r="G3253" s="22">
        <v>0</v>
      </c>
      <c r="H3253">
        <v>0</v>
      </c>
      <c r="I3253" s="19" t="e">
        <f>I3252 + (D3253-G3253)</f>
        <v>#VALUE!</v>
      </c>
      <c r="N3253">
        <v>24</v>
      </c>
      <c r="O3253" t="s">
        <v>68</v>
      </c>
      <c r="P3253">
        <v>2</v>
      </c>
      <c r="R3253">
        <v>1449</v>
      </c>
      <c r="S3253" s="17">
        <v>42152</v>
      </c>
      <c r="T3253" s="17">
        <v>42152</v>
      </c>
      <c r="W3253">
        <v>2015</v>
      </c>
      <c r="X3253">
        <v>24</v>
      </c>
      <c r="AA3253">
        <v>271423</v>
      </c>
      <c r="AC3253" t="s">
        <v>51</v>
      </c>
      <c r="AD3253" t="s">
        <v>302</v>
      </c>
      <c r="AE3253" t="s">
        <v>46</v>
      </c>
      <c r="AG3253">
        <v>52</v>
      </c>
      <c r="AH3253">
        <v>8</v>
      </c>
      <c r="AI3253" t="s">
        <v>52</v>
      </c>
      <c r="AM3253">
        <v>0</v>
      </c>
      <c r="AP3253" t="s">
        <v>325</v>
      </c>
    </row>
    <row r="3254" spans="1:42" customFormat="1">
      <c r="A3254">
        <v>271441</v>
      </c>
      <c r="B3254" t="s">
        <v>219</v>
      </c>
      <c r="C3254" t="s">
        <v>219</v>
      </c>
      <c r="D3254" s="22">
        <v>0</v>
      </c>
      <c r="E3254" s="17">
        <v>42151</v>
      </c>
      <c r="F3254" s="18">
        <v>0.42049768518518515</v>
      </c>
      <c r="G3254" s="22">
        <v>8600</v>
      </c>
      <c r="H3254">
        <v>0</v>
      </c>
      <c r="I3254" s="19" t="e">
        <f>I3253 + (D3254-G3254)</f>
        <v>#VALUE!</v>
      </c>
      <c r="N3254">
        <v>24</v>
      </c>
      <c r="O3254" t="s">
        <v>68</v>
      </c>
      <c r="P3254">
        <v>2</v>
      </c>
      <c r="R3254">
        <v>1449</v>
      </c>
      <c r="S3254" s="17">
        <v>42152</v>
      </c>
      <c r="T3254" s="17">
        <v>42152</v>
      </c>
      <c r="W3254">
        <v>2015</v>
      </c>
      <c r="X3254">
        <v>24</v>
      </c>
      <c r="AC3254" t="s">
        <v>51</v>
      </c>
      <c r="AD3254" t="s">
        <v>302</v>
      </c>
      <c r="AE3254" t="s">
        <v>46</v>
      </c>
      <c r="AG3254">
        <v>2</v>
      </c>
      <c r="AH3254">
        <v>8</v>
      </c>
      <c r="AI3254" t="s">
        <v>52</v>
      </c>
      <c r="AM3254">
        <v>0</v>
      </c>
      <c r="AO3254">
        <v>26</v>
      </c>
      <c r="AP3254" t="s">
        <v>2544</v>
      </c>
    </row>
    <row r="3255" spans="1:42" customFormat="1">
      <c r="A3255">
        <v>271442</v>
      </c>
      <c r="B3255" t="s">
        <v>219</v>
      </c>
      <c r="C3255" t="s">
        <v>4944</v>
      </c>
      <c r="D3255" s="22">
        <v>8600</v>
      </c>
      <c r="E3255" s="17">
        <v>42151</v>
      </c>
      <c r="F3255" s="18">
        <v>0.42049768518518515</v>
      </c>
      <c r="G3255" s="22">
        <v>0</v>
      </c>
      <c r="H3255">
        <v>0</v>
      </c>
      <c r="I3255" s="19" t="e">
        <f>I3254 + (D3255-G3255)</f>
        <v>#VALUE!</v>
      </c>
      <c r="N3255">
        <v>24</v>
      </c>
      <c r="O3255" t="s">
        <v>68</v>
      </c>
      <c r="P3255">
        <v>2</v>
      </c>
      <c r="R3255">
        <v>1449</v>
      </c>
      <c r="S3255" s="17">
        <v>42152</v>
      </c>
      <c r="T3255" s="17">
        <v>42152</v>
      </c>
      <c r="W3255">
        <v>2015</v>
      </c>
      <c r="X3255">
        <v>24</v>
      </c>
      <c r="AA3255">
        <v>271441</v>
      </c>
      <c r="AC3255" t="s">
        <v>51</v>
      </c>
      <c r="AD3255" t="s">
        <v>302</v>
      </c>
      <c r="AE3255" t="s">
        <v>46</v>
      </c>
      <c r="AG3255">
        <v>26</v>
      </c>
      <c r="AH3255">
        <v>8</v>
      </c>
      <c r="AI3255" t="s">
        <v>52</v>
      </c>
      <c r="AM3255">
        <v>0</v>
      </c>
      <c r="AP3255" t="s">
        <v>501</v>
      </c>
    </row>
    <row r="3256" spans="1:42" customFormat="1">
      <c r="A3256">
        <v>271443</v>
      </c>
      <c r="B3256" t="s">
        <v>219</v>
      </c>
      <c r="C3256" t="s">
        <v>219</v>
      </c>
      <c r="D3256" s="22">
        <v>0</v>
      </c>
      <c r="E3256" s="17">
        <v>42151</v>
      </c>
      <c r="F3256" s="18">
        <v>0.42084490740740743</v>
      </c>
      <c r="G3256" s="22">
        <v>8600</v>
      </c>
      <c r="H3256">
        <v>0</v>
      </c>
      <c r="I3256" s="19" t="e">
        <f>I3255 + (D3256-G3256)</f>
        <v>#VALUE!</v>
      </c>
      <c r="N3256">
        <v>24</v>
      </c>
      <c r="O3256" t="s">
        <v>68</v>
      </c>
      <c r="P3256">
        <v>2</v>
      </c>
      <c r="R3256">
        <v>1449</v>
      </c>
      <c r="S3256" s="17">
        <v>42152</v>
      </c>
      <c r="T3256" s="17">
        <v>42152</v>
      </c>
      <c r="W3256">
        <v>2015</v>
      </c>
      <c r="X3256">
        <v>24</v>
      </c>
      <c r="AC3256" t="s">
        <v>51</v>
      </c>
      <c r="AD3256" t="s">
        <v>302</v>
      </c>
      <c r="AE3256" t="s">
        <v>46</v>
      </c>
      <c r="AG3256">
        <v>26</v>
      </c>
      <c r="AH3256">
        <v>8</v>
      </c>
      <c r="AI3256" t="s">
        <v>52</v>
      </c>
      <c r="AM3256">
        <v>0</v>
      </c>
      <c r="AO3256">
        <v>52</v>
      </c>
      <c r="AP3256" t="s">
        <v>501</v>
      </c>
    </row>
    <row r="3257" spans="1:42" customFormat="1">
      <c r="A3257">
        <v>271444</v>
      </c>
      <c r="B3257" t="s">
        <v>219</v>
      </c>
      <c r="C3257" t="s">
        <v>4945</v>
      </c>
      <c r="D3257" s="22">
        <v>8600</v>
      </c>
      <c r="E3257" s="17">
        <v>42151</v>
      </c>
      <c r="F3257" s="18">
        <v>0.42084490740740743</v>
      </c>
      <c r="G3257" s="22">
        <v>0</v>
      </c>
      <c r="H3257">
        <v>0</v>
      </c>
      <c r="I3257" s="19" t="e">
        <f>I3256 + (D3257-G3257)</f>
        <v>#VALUE!</v>
      </c>
      <c r="N3257">
        <v>24</v>
      </c>
      <c r="O3257" t="s">
        <v>68</v>
      </c>
      <c r="P3257">
        <v>2</v>
      </c>
      <c r="R3257">
        <v>1449</v>
      </c>
      <c r="S3257" s="17">
        <v>42152</v>
      </c>
      <c r="T3257" s="17">
        <v>42152</v>
      </c>
      <c r="W3257">
        <v>2015</v>
      </c>
      <c r="X3257">
        <v>24</v>
      </c>
      <c r="AA3257">
        <v>271443</v>
      </c>
      <c r="AC3257" t="s">
        <v>51</v>
      </c>
      <c r="AD3257" t="s">
        <v>302</v>
      </c>
      <c r="AE3257" t="s">
        <v>46</v>
      </c>
      <c r="AG3257">
        <v>52</v>
      </c>
      <c r="AH3257">
        <v>8</v>
      </c>
      <c r="AI3257" t="s">
        <v>52</v>
      </c>
      <c r="AM3257">
        <v>0</v>
      </c>
      <c r="AP3257" t="s">
        <v>325</v>
      </c>
    </row>
    <row r="3258" spans="1:42" customFormat="1">
      <c r="A3258">
        <v>271594</v>
      </c>
      <c r="B3258" t="s">
        <v>219</v>
      </c>
      <c r="C3258" t="s">
        <v>219</v>
      </c>
      <c r="D3258" s="22">
        <v>0</v>
      </c>
      <c r="E3258" s="17">
        <v>42151</v>
      </c>
      <c r="F3258" s="18">
        <v>0.45203703703703701</v>
      </c>
      <c r="G3258" s="22">
        <v>4000</v>
      </c>
      <c r="H3258">
        <v>0</v>
      </c>
      <c r="I3258" s="19" t="e">
        <f>I3257 + (D3258-G3258)</f>
        <v>#VALUE!</v>
      </c>
      <c r="N3258">
        <v>24</v>
      </c>
      <c r="O3258" t="s">
        <v>68</v>
      </c>
      <c r="P3258">
        <v>1</v>
      </c>
      <c r="R3258">
        <v>1449</v>
      </c>
      <c r="S3258" s="17">
        <v>42157</v>
      </c>
      <c r="T3258" s="17">
        <v>42157</v>
      </c>
      <c r="W3258">
        <v>2015</v>
      </c>
      <c r="X3258">
        <v>24</v>
      </c>
      <c r="AC3258" t="s">
        <v>51</v>
      </c>
      <c r="AD3258" t="s">
        <v>302</v>
      </c>
      <c r="AE3258" t="s">
        <v>46</v>
      </c>
      <c r="AG3258">
        <v>8</v>
      </c>
      <c r="AH3258">
        <v>8</v>
      </c>
      <c r="AI3258" t="s">
        <v>52</v>
      </c>
      <c r="AM3258">
        <v>0</v>
      </c>
      <c r="AO3258">
        <v>2</v>
      </c>
      <c r="AP3258" t="s">
        <v>1201</v>
      </c>
    </row>
    <row r="3259" spans="1:42" customFormat="1">
      <c r="A3259">
        <v>271595</v>
      </c>
      <c r="B3259" t="s">
        <v>219</v>
      </c>
      <c r="C3259" t="s">
        <v>4961</v>
      </c>
      <c r="D3259" s="22">
        <v>4000</v>
      </c>
      <c r="E3259" s="17">
        <v>42151</v>
      </c>
      <c r="F3259" s="18">
        <v>0.45203703703703701</v>
      </c>
      <c r="G3259" s="22">
        <v>0</v>
      </c>
      <c r="H3259">
        <v>0</v>
      </c>
      <c r="I3259" s="19" t="e">
        <f>I3258 + (D3259-G3259)</f>
        <v>#VALUE!</v>
      </c>
      <c r="N3259">
        <v>24</v>
      </c>
      <c r="O3259" t="s">
        <v>68</v>
      </c>
      <c r="P3259">
        <v>1</v>
      </c>
      <c r="R3259">
        <v>1449</v>
      </c>
      <c r="S3259" s="17">
        <v>42157</v>
      </c>
      <c r="T3259" s="17">
        <v>42157</v>
      </c>
      <c r="W3259">
        <v>2015</v>
      </c>
      <c r="X3259">
        <v>24</v>
      </c>
      <c r="AA3259">
        <v>271594</v>
      </c>
      <c r="AC3259" t="s">
        <v>51</v>
      </c>
      <c r="AD3259" t="s">
        <v>302</v>
      </c>
      <c r="AE3259" t="s">
        <v>46</v>
      </c>
      <c r="AG3259">
        <v>2</v>
      </c>
      <c r="AH3259">
        <v>8</v>
      </c>
      <c r="AI3259" t="s">
        <v>52</v>
      </c>
      <c r="AM3259">
        <v>0</v>
      </c>
      <c r="AP3259" t="s">
        <v>2544</v>
      </c>
    </row>
    <row r="3260" spans="1:42" customFormat="1">
      <c r="A3260">
        <v>271596</v>
      </c>
      <c r="B3260" t="s">
        <v>219</v>
      </c>
      <c r="C3260" t="s">
        <v>219</v>
      </c>
      <c r="D3260" s="22">
        <v>0</v>
      </c>
      <c r="E3260" s="17">
        <v>42151</v>
      </c>
      <c r="F3260" s="18">
        <v>0.45234953703703701</v>
      </c>
      <c r="G3260" s="22">
        <v>6000</v>
      </c>
      <c r="H3260">
        <v>0</v>
      </c>
      <c r="I3260" s="19" t="e">
        <f>I3259 + (D3260-G3260)</f>
        <v>#VALUE!</v>
      </c>
      <c r="N3260">
        <v>24</v>
      </c>
      <c r="O3260" t="s">
        <v>68</v>
      </c>
      <c r="P3260">
        <v>1</v>
      </c>
      <c r="R3260">
        <v>1449</v>
      </c>
      <c r="S3260" s="17">
        <v>42157</v>
      </c>
      <c r="T3260" s="17">
        <v>42157</v>
      </c>
      <c r="W3260">
        <v>2015</v>
      </c>
      <c r="X3260">
        <v>24</v>
      </c>
      <c r="AC3260" t="s">
        <v>51</v>
      </c>
      <c r="AD3260" t="s">
        <v>302</v>
      </c>
      <c r="AE3260" t="s">
        <v>46</v>
      </c>
      <c r="AG3260">
        <v>8</v>
      </c>
      <c r="AH3260">
        <v>8</v>
      </c>
      <c r="AI3260" t="s">
        <v>52</v>
      </c>
      <c r="AM3260">
        <v>0</v>
      </c>
      <c r="AO3260">
        <v>52</v>
      </c>
      <c r="AP3260" t="s">
        <v>1201</v>
      </c>
    </row>
    <row r="3261" spans="1:42" customFormat="1">
      <c r="A3261">
        <v>271597</v>
      </c>
      <c r="B3261" t="s">
        <v>219</v>
      </c>
      <c r="C3261" t="s">
        <v>4962</v>
      </c>
      <c r="D3261" s="22">
        <v>6000</v>
      </c>
      <c r="E3261" s="17">
        <v>42151</v>
      </c>
      <c r="F3261" s="18">
        <v>0.45234953703703701</v>
      </c>
      <c r="G3261" s="22">
        <v>0</v>
      </c>
      <c r="H3261">
        <v>0</v>
      </c>
      <c r="I3261" s="19" t="e">
        <f>I3260 + (D3261-G3261)</f>
        <v>#VALUE!</v>
      </c>
      <c r="N3261">
        <v>24</v>
      </c>
      <c r="O3261" t="s">
        <v>68</v>
      </c>
      <c r="P3261">
        <v>1</v>
      </c>
      <c r="R3261">
        <v>1449</v>
      </c>
      <c r="S3261" s="17">
        <v>42157</v>
      </c>
      <c r="T3261" s="17">
        <v>42157</v>
      </c>
      <c r="W3261">
        <v>2015</v>
      </c>
      <c r="X3261">
        <v>24</v>
      </c>
      <c r="AA3261">
        <v>271596</v>
      </c>
      <c r="AC3261" t="s">
        <v>51</v>
      </c>
      <c r="AD3261" t="s">
        <v>302</v>
      </c>
      <c r="AE3261" t="s">
        <v>46</v>
      </c>
      <c r="AG3261">
        <v>52</v>
      </c>
      <c r="AH3261">
        <v>8</v>
      </c>
      <c r="AI3261" t="s">
        <v>52</v>
      </c>
      <c r="AM3261">
        <v>0</v>
      </c>
      <c r="AP3261" t="s">
        <v>325</v>
      </c>
    </row>
    <row r="3262" spans="1:42" customFormat="1">
      <c r="A3262">
        <v>274074</v>
      </c>
      <c r="B3262" t="s">
        <v>3459</v>
      </c>
      <c r="C3262" t="s">
        <v>3459</v>
      </c>
      <c r="D3262" s="22">
        <v>0</v>
      </c>
      <c r="E3262" s="17">
        <v>42151</v>
      </c>
      <c r="F3262" s="18">
        <v>0.56649305555555551</v>
      </c>
      <c r="G3262" s="22">
        <v>20131.75</v>
      </c>
      <c r="H3262">
        <v>0</v>
      </c>
      <c r="I3262" s="19" t="e">
        <f>I3261 + (D3262-G3262)</f>
        <v>#VALUE!</v>
      </c>
      <c r="N3262">
        <v>60</v>
      </c>
      <c r="O3262" t="s">
        <v>60</v>
      </c>
      <c r="P3262">
        <v>2</v>
      </c>
      <c r="R3262">
        <v>1449</v>
      </c>
      <c r="S3262" s="17">
        <v>42180</v>
      </c>
      <c r="T3262" s="17">
        <v>42180</v>
      </c>
      <c r="W3262">
        <v>2015</v>
      </c>
      <c r="X3262">
        <v>60</v>
      </c>
      <c r="AC3262" t="s">
        <v>51</v>
      </c>
      <c r="AD3262" t="s">
        <v>302</v>
      </c>
      <c r="AE3262" t="s">
        <v>46</v>
      </c>
      <c r="AG3262">
        <v>3</v>
      </c>
      <c r="AH3262">
        <v>8</v>
      </c>
      <c r="AI3262" t="s">
        <v>52</v>
      </c>
      <c r="AM3262">
        <v>0</v>
      </c>
      <c r="AO3262">
        <v>52</v>
      </c>
      <c r="AP3262" t="s">
        <v>80</v>
      </c>
    </row>
    <row r="3263" spans="1:42" customFormat="1">
      <c r="A3263">
        <v>274075</v>
      </c>
      <c r="B3263" t="s">
        <v>3459</v>
      </c>
      <c r="C3263" t="s">
        <v>4984</v>
      </c>
      <c r="D3263" s="22">
        <v>20131.75</v>
      </c>
      <c r="E3263" s="17">
        <v>42151</v>
      </c>
      <c r="F3263" s="18">
        <v>0.56649305555555551</v>
      </c>
      <c r="G3263" s="22">
        <v>0</v>
      </c>
      <c r="H3263">
        <v>0</v>
      </c>
      <c r="I3263" s="19" t="e">
        <f>I3262 + (D3263-G3263)</f>
        <v>#VALUE!</v>
      </c>
      <c r="N3263">
        <v>60</v>
      </c>
      <c r="O3263" t="s">
        <v>60</v>
      </c>
      <c r="P3263">
        <v>2</v>
      </c>
      <c r="R3263">
        <v>1449</v>
      </c>
      <c r="S3263" s="17">
        <v>42180</v>
      </c>
      <c r="T3263" s="17">
        <v>42180</v>
      </c>
      <c r="W3263">
        <v>2015</v>
      </c>
      <c r="X3263">
        <v>60</v>
      </c>
      <c r="AA3263">
        <v>274074</v>
      </c>
      <c r="AC3263" t="s">
        <v>51</v>
      </c>
      <c r="AD3263" t="s">
        <v>302</v>
      </c>
      <c r="AE3263" t="s">
        <v>46</v>
      </c>
      <c r="AG3263">
        <v>52</v>
      </c>
      <c r="AH3263">
        <v>8</v>
      </c>
      <c r="AI3263" t="s">
        <v>52</v>
      </c>
      <c r="AM3263">
        <v>0</v>
      </c>
      <c r="AP3263" t="s">
        <v>325</v>
      </c>
    </row>
    <row r="3264" spans="1:42" customFormat="1">
      <c r="A3264">
        <v>274793</v>
      </c>
      <c r="B3264" t="s">
        <v>494</v>
      </c>
      <c r="C3264" t="s">
        <v>494</v>
      </c>
      <c r="D3264" s="22">
        <v>0</v>
      </c>
      <c r="E3264" s="17">
        <v>42151</v>
      </c>
      <c r="F3264" s="18">
        <v>0.67300925925925925</v>
      </c>
      <c r="G3264" s="22">
        <v>1386</v>
      </c>
      <c r="H3264">
        <v>0</v>
      </c>
      <c r="I3264" s="19" t="e">
        <f>I3263 + (D3264-G3264)</f>
        <v>#VALUE!</v>
      </c>
      <c r="N3264">
        <v>7</v>
      </c>
      <c r="O3264" t="s">
        <v>44</v>
      </c>
      <c r="P3264">
        <v>2</v>
      </c>
      <c r="R3264">
        <v>1449</v>
      </c>
      <c r="S3264" s="17">
        <v>42185</v>
      </c>
      <c r="T3264" s="17">
        <v>42185</v>
      </c>
      <c r="W3264">
        <v>2015</v>
      </c>
      <c r="X3264">
        <v>7</v>
      </c>
      <c r="AC3264" t="s">
        <v>51</v>
      </c>
      <c r="AD3264" t="s">
        <v>302</v>
      </c>
      <c r="AE3264" t="s">
        <v>46</v>
      </c>
      <c r="AG3264">
        <v>46</v>
      </c>
      <c r="AH3264">
        <v>8</v>
      </c>
      <c r="AI3264" t="s">
        <v>52</v>
      </c>
      <c r="AM3264">
        <v>0</v>
      </c>
      <c r="AP3264" t="s">
        <v>122</v>
      </c>
    </row>
    <row r="3265" spans="1:42" customFormat="1">
      <c r="A3265">
        <v>274006</v>
      </c>
      <c r="B3265" t="s">
        <v>219</v>
      </c>
      <c r="C3265" t="s">
        <v>219</v>
      </c>
      <c r="D3265" s="22">
        <v>0</v>
      </c>
      <c r="E3265" s="17">
        <v>42151</v>
      </c>
      <c r="F3265" s="18">
        <v>0.69849537037037035</v>
      </c>
      <c r="G3265" s="22">
        <v>3610</v>
      </c>
      <c r="H3265">
        <v>0</v>
      </c>
      <c r="I3265" s="19" t="e">
        <f>I3264 + (D3265-G3265)</f>
        <v>#VALUE!</v>
      </c>
      <c r="N3265">
        <v>24</v>
      </c>
      <c r="O3265" t="s">
        <v>68</v>
      </c>
      <c r="P3265">
        <v>1</v>
      </c>
      <c r="R3265">
        <v>1449</v>
      </c>
      <c r="S3265" s="17">
        <v>42179</v>
      </c>
      <c r="T3265" s="17">
        <v>42179</v>
      </c>
      <c r="W3265">
        <v>2015</v>
      </c>
      <c r="X3265">
        <v>24</v>
      </c>
      <c r="AC3265" t="s">
        <v>51</v>
      </c>
      <c r="AD3265" t="s">
        <v>302</v>
      </c>
      <c r="AE3265" t="s">
        <v>46</v>
      </c>
      <c r="AG3265">
        <v>75</v>
      </c>
      <c r="AH3265">
        <v>8</v>
      </c>
      <c r="AI3265" t="s">
        <v>52</v>
      </c>
      <c r="AM3265">
        <v>0</v>
      </c>
      <c r="AO3265">
        <v>5</v>
      </c>
      <c r="AP3265" t="s">
        <v>321</v>
      </c>
    </row>
    <row r="3266" spans="1:42" customFormat="1">
      <c r="A3266">
        <v>274007</v>
      </c>
      <c r="B3266" t="s">
        <v>219</v>
      </c>
      <c r="C3266" t="s">
        <v>5022</v>
      </c>
      <c r="D3266" s="22">
        <v>3610</v>
      </c>
      <c r="E3266" s="17">
        <v>42151</v>
      </c>
      <c r="F3266" s="18">
        <v>0.69849537037037035</v>
      </c>
      <c r="G3266" s="22">
        <v>0</v>
      </c>
      <c r="H3266">
        <v>0</v>
      </c>
      <c r="I3266" s="19" t="e">
        <f>I3265 + (D3266-G3266)</f>
        <v>#VALUE!</v>
      </c>
      <c r="N3266">
        <v>24</v>
      </c>
      <c r="O3266" t="s">
        <v>68</v>
      </c>
      <c r="P3266">
        <v>1</v>
      </c>
      <c r="R3266">
        <v>1449</v>
      </c>
      <c r="S3266" s="17">
        <v>42179</v>
      </c>
      <c r="T3266" s="17">
        <v>42179</v>
      </c>
      <c r="W3266">
        <v>2015</v>
      </c>
      <c r="X3266">
        <v>24</v>
      </c>
      <c r="AA3266">
        <v>274006</v>
      </c>
      <c r="AC3266" t="s">
        <v>51</v>
      </c>
      <c r="AD3266" t="s">
        <v>302</v>
      </c>
      <c r="AE3266" t="s">
        <v>46</v>
      </c>
      <c r="AG3266">
        <v>5</v>
      </c>
      <c r="AH3266">
        <v>8</v>
      </c>
      <c r="AI3266" t="s">
        <v>52</v>
      </c>
      <c r="AM3266">
        <v>0</v>
      </c>
      <c r="AP3266" t="s">
        <v>312</v>
      </c>
    </row>
    <row r="3267" spans="1:42" customFormat="1">
      <c r="A3267">
        <v>274017</v>
      </c>
      <c r="B3267" t="s">
        <v>102</v>
      </c>
      <c r="C3267" t="s">
        <v>5023</v>
      </c>
      <c r="D3267" s="22">
        <v>10000</v>
      </c>
      <c r="E3267" s="17">
        <v>42151</v>
      </c>
      <c r="F3267" s="18">
        <v>0.73261574074074076</v>
      </c>
      <c r="G3267" s="22">
        <v>0</v>
      </c>
      <c r="H3267">
        <v>0</v>
      </c>
      <c r="I3267" s="19" t="e">
        <f>I3266 + (D3267-G3267)</f>
        <v>#VALUE!</v>
      </c>
      <c r="N3267">
        <v>24</v>
      </c>
      <c r="O3267" t="s">
        <v>68</v>
      </c>
      <c r="P3267">
        <v>2</v>
      </c>
      <c r="R3267">
        <v>1449</v>
      </c>
      <c r="S3267" s="17">
        <v>42179</v>
      </c>
      <c r="T3267" s="17">
        <v>42179</v>
      </c>
      <c r="W3267">
        <v>2015</v>
      </c>
      <c r="X3267">
        <v>24</v>
      </c>
      <c r="AC3267" t="s">
        <v>51</v>
      </c>
      <c r="AD3267" t="s">
        <v>302</v>
      </c>
      <c r="AE3267" t="s">
        <v>46</v>
      </c>
      <c r="AG3267">
        <v>26</v>
      </c>
      <c r="AH3267">
        <v>8</v>
      </c>
      <c r="AI3267" t="s">
        <v>52</v>
      </c>
      <c r="AM3267">
        <v>0</v>
      </c>
      <c r="AP3267" t="s">
        <v>501</v>
      </c>
    </row>
    <row r="3268" spans="1:42" customFormat="1">
      <c r="A3268">
        <v>276288</v>
      </c>
      <c r="B3268" t="s">
        <v>109</v>
      </c>
      <c r="C3268" t="s">
        <v>109</v>
      </c>
      <c r="D3268" s="22">
        <v>0</v>
      </c>
      <c r="E3268" s="17">
        <v>42152</v>
      </c>
      <c r="F3268" s="18">
        <v>0.40540509259259255</v>
      </c>
      <c r="G3268" s="22">
        <v>5172</v>
      </c>
      <c r="H3268">
        <v>0</v>
      </c>
      <c r="I3268" s="19" t="e">
        <f>I3267 + (D3268-G3268)</f>
        <v>#VALUE!</v>
      </c>
      <c r="N3268">
        <v>7</v>
      </c>
      <c r="O3268" t="s">
        <v>44</v>
      </c>
      <c r="P3268">
        <v>1</v>
      </c>
      <c r="R3268">
        <v>1449</v>
      </c>
      <c r="S3268" s="17">
        <v>42191</v>
      </c>
      <c r="T3268" s="17">
        <v>42191</v>
      </c>
      <c r="W3268">
        <v>2015</v>
      </c>
      <c r="X3268">
        <v>7</v>
      </c>
      <c r="AC3268" t="s">
        <v>51</v>
      </c>
      <c r="AD3268" t="s">
        <v>302</v>
      </c>
      <c r="AE3268" t="s">
        <v>46</v>
      </c>
      <c r="AG3268">
        <v>114</v>
      </c>
      <c r="AH3268">
        <v>9</v>
      </c>
      <c r="AI3268" t="s">
        <v>54</v>
      </c>
      <c r="AM3268">
        <v>0</v>
      </c>
      <c r="AP3268" t="s">
        <v>898</v>
      </c>
    </row>
    <row r="3269" spans="1:42" customFormat="1">
      <c r="A3269">
        <v>273007</v>
      </c>
      <c r="B3269" t="s">
        <v>219</v>
      </c>
      <c r="C3269" t="s">
        <v>219</v>
      </c>
      <c r="D3269" s="22">
        <v>0</v>
      </c>
      <c r="E3269" s="17">
        <v>42152</v>
      </c>
      <c r="F3269" s="18">
        <v>0.40929398148148149</v>
      </c>
      <c r="G3269" s="22">
        <v>9807.41</v>
      </c>
      <c r="H3269">
        <v>0</v>
      </c>
      <c r="I3269" s="19" t="e">
        <f>I3268 + (D3269-G3269)</f>
        <v>#VALUE!</v>
      </c>
      <c r="N3269">
        <v>24</v>
      </c>
      <c r="O3269" t="s">
        <v>68</v>
      </c>
      <c r="P3269">
        <v>1</v>
      </c>
      <c r="R3269">
        <v>1449</v>
      </c>
      <c r="S3269" s="17">
        <v>42167</v>
      </c>
      <c r="T3269" s="17">
        <v>42167</v>
      </c>
      <c r="W3269">
        <v>2015</v>
      </c>
      <c r="X3269">
        <v>24</v>
      </c>
      <c r="AC3269" t="s">
        <v>51</v>
      </c>
      <c r="AD3269" t="s">
        <v>302</v>
      </c>
      <c r="AE3269" t="s">
        <v>46</v>
      </c>
      <c r="AG3269">
        <v>33</v>
      </c>
      <c r="AH3269">
        <v>8</v>
      </c>
      <c r="AI3269" t="s">
        <v>52</v>
      </c>
      <c r="AM3269">
        <v>0</v>
      </c>
      <c r="AO3269">
        <v>120</v>
      </c>
      <c r="AP3269" t="s">
        <v>457</v>
      </c>
    </row>
    <row r="3270" spans="1:42" customFormat="1">
      <c r="A3270">
        <v>273009</v>
      </c>
      <c r="B3270" t="s">
        <v>219</v>
      </c>
      <c r="C3270" t="s">
        <v>5032</v>
      </c>
      <c r="D3270" s="22">
        <v>9807.41</v>
      </c>
      <c r="E3270" s="17">
        <v>42152</v>
      </c>
      <c r="F3270" s="18">
        <v>0.40929398148148149</v>
      </c>
      <c r="G3270" s="22">
        <v>0</v>
      </c>
      <c r="H3270">
        <v>0</v>
      </c>
      <c r="I3270" s="19" t="e">
        <f>I3269 + (D3270-G3270)</f>
        <v>#VALUE!</v>
      </c>
      <c r="N3270">
        <v>24</v>
      </c>
      <c r="O3270" t="s">
        <v>68</v>
      </c>
      <c r="P3270">
        <v>1</v>
      </c>
      <c r="R3270">
        <v>1449</v>
      </c>
      <c r="S3270" s="17">
        <v>42167</v>
      </c>
      <c r="T3270" s="17">
        <v>42167</v>
      </c>
      <c r="W3270">
        <v>2015</v>
      </c>
      <c r="X3270">
        <v>24</v>
      </c>
      <c r="AA3270">
        <v>273007</v>
      </c>
      <c r="AC3270" t="s">
        <v>51</v>
      </c>
      <c r="AD3270" t="s">
        <v>302</v>
      </c>
      <c r="AE3270" t="s">
        <v>46</v>
      </c>
      <c r="AG3270">
        <v>120</v>
      </c>
      <c r="AH3270">
        <v>8</v>
      </c>
      <c r="AI3270" t="s">
        <v>52</v>
      </c>
      <c r="AM3270">
        <v>0</v>
      </c>
      <c r="AP3270" t="s">
        <v>5033</v>
      </c>
    </row>
    <row r="3271" spans="1:42" customFormat="1">
      <c r="A3271">
        <v>271575</v>
      </c>
      <c r="B3271" t="s">
        <v>235</v>
      </c>
      <c r="C3271" t="s">
        <v>5100</v>
      </c>
      <c r="D3271" s="22">
        <v>10000</v>
      </c>
      <c r="E3271" s="17">
        <v>42152</v>
      </c>
      <c r="F3271" s="18">
        <v>0.4407638888888889</v>
      </c>
      <c r="G3271" s="22">
        <v>0</v>
      </c>
      <c r="H3271">
        <v>0</v>
      </c>
      <c r="I3271" s="19" t="e">
        <f>I3270 + (D3271-G3271)</f>
        <v>#VALUE!</v>
      </c>
      <c r="N3271">
        <v>24</v>
      </c>
      <c r="O3271" t="s">
        <v>68</v>
      </c>
      <c r="P3271">
        <v>1</v>
      </c>
      <c r="R3271">
        <v>1449</v>
      </c>
      <c r="S3271" s="17">
        <v>42157</v>
      </c>
      <c r="T3271" s="17">
        <v>42157</v>
      </c>
      <c r="W3271">
        <v>2015</v>
      </c>
      <c r="X3271">
        <v>24</v>
      </c>
      <c r="AC3271" t="s">
        <v>51</v>
      </c>
      <c r="AD3271" t="s">
        <v>302</v>
      </c>
      <c r="AE3271" t="s">
        <v>46</v>
      </c>
      <c r="AG3271">
        <v>26</v>
      </c>
      <c r="AH3271">
        <v>8</v>
      </c>
      <c r="AI3271" t="s">
        <v>52</v>
      </c>
      <c r="AM3271">
        <v>0</v>
      </c>
      <c r="AP3271" t="s">
        <v>501</v>
      </c>
    </row>
    <row r="3272" spans="1:42" customFormat="1">
      <c r="A3272">
        <v>271576</v>
      </c>
      <c r="B3272" t="s">
        <v>235</v>
      </c>
      <c r="C3272" t="s">
        <v>5100</v>
      </c>
      <c r="D3272" s="22">
        <v>8675.57</v>
      </c>
      <c r="E3272" s="17">
        <v>42152</v>
      </c>
      <c r="F3272" s="18">
        <v>0.44141203703703707</v>
      </c>
      <c r="G3272" s="22">
        <v>0</v>
      </c>
      <c r="H3272">
        <v>0</v>
      </c>
      <c r="I3272" s="19" t="e">
        <f>I3271 + (D3272-G3272)</f>
        <v>#VALUE!</v>
      </c>
      <c r="N3272">
        <v>24</v>
      </c>
      <c r="O3272" t="s">
        <v>68</v>
      </c>
      <c r="P3272">
        <v>1</v>
      </c>
      <c r="R3272">
        <v>1449</v>
      </c>
      <c r="S3272" s="17">
        <v>42157</v>
      </c>
      <c r="T3272" s="17">
        <v>42157</v>
      </c>
      <c r="W3272">
        <v>2015</v>
      </c>
      <c r="X3272">
        <v>24</v>
      </c>
      <c r="AC3272" t="s">
        <v>51</v>
      </c>
      <c r="AD3272" t="s">
        <v>302</v>
      </c>
      <c r="AE3272" t="s">
        <v>46</v>
      </c>
      <c r="AG3272">
        <v>26</v>
      </c>
      <c r="AH3272">
        <v>8</v>
      </c>
      <c r="AI3272" t="s">
        <v>52</v>
      </c>
      <c r="AM3272">
        <v>0</v>
      </c>
      <c r="AP3272" t="s">
        <v>501</v>
      </c>
    </row>
    <row r="3273" spans="1:42" customFormat="1">
      <c r="A3273">
        <v>271577</v>
      </c>
      <c r="B3273" t="s">
        <v>219</v>
      </c>
      <c r="C3273" t="s">
        <v>219</v>
      </c>
      <c r="D3273" s="22">
        <v>0</v>
      </c>
      <c r="E3273" s="17">
        <v>42152</v>
      </c>
      <c r="F3273" s="18">
        <v>0.44184027777777773</v>
      </c>
      <c r="G3273" s="22">
        <v>8700</v>
      </c>
      <c r="H3273">
        <v>0</v>
      </c>
      <c r="I3273" s="19" t="e">
        <f>I3272 + (D3273-G3273)</f>
        <v>#VALUE!</v>
      </c>
      <c r="N3273">
        <v>24</v>
      </c>
      <c r="O3273" t="s">
        <v>68</v>
      </c>
      <c r="P3273">
        <v>1</v>
      </c>
      <c r="R3273">
        <v>1449</v>
      </c>
      <c r="S3273" s="17">
        <v>42157</v>
      </c>
      <c r="T3273" s="17">
        <v>42157</v>
      </c>
      <c r="W3273">
        <v>2015</v>
      </c>
      <c r="X3273">
        <v>24</v>
      </c>
      <c r="AC3273" t="s">
        <v>51</v>
      </c>
      <c r="AD3273" t="s">
        <v>302</v>
      </c>
      <c r="AE3273" t="s">
        <v>46</v>
      </c>
      <c r="AG3273">
        <v>26</v>
      </c>
      <c r="AH3273">
        <v>8</v>
      </c>
      <c r="AI3273" t="s">
        <v>52</v>
      </c>
      <c r="AM3273">
        <v>0</v>
      </c>
      <c r="AO3273">
        <v>52</v>
      </c>
      <c r="AP3273" t="s">
        <v>501</v>
      </c>
    </row>
    <row r="3274" spans="1:42" customFormat="1">
      <c r="A3274">
        <v>271578</v>
      </c>
      <c r="B3274" t="s">
        <v>219</v>
      </c>
      <c r="C3274" t="s">
        <v>5101</v>
      </c>
      <c r="D3274" s="22">
        <v>8700</v>
      </c>
      <c r="E3274" s="17">
        <v>42152</v>
      </c>
      <c r="F3274" s="18">
        <v>0.44184027777777773</v>
      </c>
      <c r="G3274" s="22">
        <v>0</v>
      </c>
      <c r="H3274">
        <v>0</v>
      </c>
      <c r="I3274" s="19" t="e">
        <f>I3273 + (D3274-G3274)</f>
        <v>#VALUE!</v>
      </c>
      <c r="N3274">
        <v>24</v>
      </c>
      <c r="O3274" t="s">
        <v>68</v>
      </c>
      <c r="P3274">
        <v>1</v>
      </c>
      <c r="R3274">
        <v>1449</v>
      </c>
      <c r="S3274" s="17">
        <v>42157</v>
      </c>
      <c r="T3274" s="17">
        <v>42157</v>
      </c>
      <c r="W3274">
        <v>2015</v>
      </c>
      <c r="X3274">
        <v>24</v>
      </c>
      <c r="AA3274">
        <v>271577</v>
      </c>
      <c r="AC3274" t="s">
        <v>51</v>
      </c>
      <c r="AD3274" t="s">
        <v>302</v>
      </c>
      <c r="AE3274" t="s">
        <v>46</v>
      </c>
      <c r="AG3274">
        <v>52</v>
      </c>
      <c r="AH3274">
        <v>8</v>
      </c>
      <c r="AI3274" t="s">
        <v>52</v>
      </c>
      <c r="AM3274">
        <v>0</v>
      </c>
      <c r="AP3274" t="s">
        <v>325</v>
      </c>
    </row>
    <row r="3275" spans="1:42" customFormat="1">
      <c r="A3275">
        <v>271580</v>
      </c>
      <c r="B3275" t="s">
        <v>219</v>
      </c>
      <c r="C3275" t="s">
        <v>219</v>
      </c>
      <c r="D3275" s="22">
        <v>0</v>
      </c>
      <c r="E3275" s="17">
        <v>42152</v>
      </c>
      <c r="F3275" s="18">
        <v>0.4480555555555556</v>
      </c>
      <c r="G3275" s="22">
        <v>2000</v>
      </c>
      <c r="H3275">
        <v>0</v>
      </c>
      <c r="I3275" s="19" t="e">
        <f>I3274 + (D3275-G3275)</f>
        <v>#VALUE!</v>
      </c>
      <c r="N3275">
        <v>24</v>
      </c>
      <c r="O3275" t="s">
        <v>68</v>
      </c>
      <c r="P3275">
        <v>1</v>
      </c>
      <c r="R3275">
        <v>1449</v>
      </c>
      <c r="S3275" s="17">
        <v>42157</v>
      </c>
      <c r="T3275" s="17">
        <v>42157</v>
      </c>
      <c r="W3275">
        <v>2015</v>
      </c>
      <c r="X3275">
        <v>24</v>
      </c>
      <c r="AC3275" t="s">
        <v>51</v>
      </c>
      <c r="AD3275" t="s">
        <v>302</v>
      </c>
      <c r="AE3275" t="s">
        <v>46</v>
      </c>
      <c r="AG3275">
        <v>8</v>
      </c>
      <c r="AH3275">
        <v>8</v>
      </c>
      <c r="AI3275" t="s">
        <v>52</v>
      </c>
      <c r="AM3275">
        <v>0</v>
      </c>
      <c r="AO3275">
        <v>127</v>
      </c>
      <c r="AP3275" t="s">
        <v>1201</v>
      </c>
    </row>
    <row r="3276" spans="1:42" customFormat="1">
      <c r="A3276">
        <v>271581</v>
      </c>
      <c r="B3276" t="s">
        <v>219</v>
      </c>
      <c r="C3276" t="s">
        <v>5102</v>
      </c>
      <c r="D3276" s="22">
        <v>2000</v>
      </c>
      <c r="E3276" s="17">
        <v>42152</v>
      </c>
      <c r="F3276" s="18">
        <v>0.4480555555555556</v>
      </c>
      <c r="G3276" s="22">
        <v>0</v>
      </c>
      <c r="H3276">
        <v>0</v>
      </c>
      <c r="I3276" s="19" t="e">
        <f>I3275 + (D3276-G3276)</f>
        <v>#VALUE!</v>
      </c>
      <c r="N3276">
        <v>24</v>
      </c>
      <c r="O3276" t="s">
        <v>68</v>
      </c>
      <c r="P3276">
        <v>1</v>
      </c>
      <c r="R3276">
        <v>1449</v>
      </c>
      <c r="S3276" s="17">
        <v>42157</v>
      </c>
      <c r="T3276" s="17">
        <v>42157</v>
      </c>
      <c r="W3276">
        <v>2015</v>
      </c>
      <c r="X3276">
        <v>24</v>
      </c>
      <c r="AA3276">
        <v>271580</v>
      </c>
      <c r="AC3276" t="s">
        <v>51</v>
      </c>
      <c r="AD3276" t="s">
        <v>302</v>
      </c>
      <c r="AE3276" t="s">
        <v>46</v>
      </c>
      <c r="AG3276">
        <v>127</v>
      </c>
      <c r="AH3276">
        <v>8</v>
      </c>
      <c r="AI3276" t="s">
        <v>52</v>
      </c>
      <c r="AM3276">
        <v>0</v>
      </c>
      <c r="AP3276" t="s">
        <v>5103</v>
      </c>
    </row>
    <row r="3277" spans="1:42" customFormat="1">
      <c r="A3277">
        <v>271582</v>
      </c>
      <c r="B3277" t="s">
        <v>219</v>
      </c>
      <c r="C3277" t="s">
        <v>219</v>
      </c>
      <c r="D3277" s="22">
        <v>0</v>
      </c>
      <c r="E3277" s="17">
        <v>42152</v>
      </c>
      <c r="F3277" s="18">
        <v>0.44855324074074071</v>
      </c>
      <c r="G3277" s="22">
        <v>2050</v>
      </c>
      <c r="H3277">
        <v>0</v>
      </c>
      <c r="I3277" s="19" t="e">
        <f>I3276 + (D3277-G3277)</f>
        <v>#VALUE!</v>
      </c>
      <c r="N3277">
        <v>24</v>
      </c>
      <c r="O3277" t="s">
        <v>68</v>
      </c>
      <c r="P3277">
        <v>1</v>
      </c>
      <c r="R3277">
        <v>1449</v>
      </c>
      <c r="S3277" s="17">
        <v>42157</v>
      </c>
      <c r="T3277" s="17">
        <v>42157</v>
      </c>
      <c r="W3277">
        <v>2015</v>
      </c>
      <c r="X3277">
        <v>24</v>
      </c>
      <c r="AC3277" t="s">
        <v>51</v>
      </c>
      <c r="AD3277" t="s">
        <v>302</v>
      </c>
      <c r="AE3277" t="s">
        <v>46</v>
      </c>
      <c r="AG3277">
        <v>8</v>
      </c>
      <c r="AH3277">
        <v>8</v>
      </c>
      <c r="AI3277" t="s">
        <v>52</v>
      </c>
      <c r="AM3277">
        <v>0</v>
      </c>
      <c r="AO3277">
        <v>127</v>
      </c>
      <c r="AP3277" t="s">
        <v>1201</v>
      </c>
    </row>
    <row r="3278" spans="1:42" customFormat="1">
      <c r="A3278">
        <v>271583</v>
      </c>
      <c r="B3278" t="s">
        <v>219</v>
      </c>
      <c r="C3278" t="s">
        <v>5104</v>
      </c>
      <c r="D3278" s="22">
        <v>2050</v>
      </c>
      <c r="E3278" s="17">
        <v>42152</v>
      </c>
      <c r="F3278" s="18">
        <v>0.44855324074074071</v>
      </c>
      <c r="G3278" s="22">
        <v>0</v>
      </c>
      <c r="H3278">
        <v>0</v>
      </c>
      <c r="I3278" s="19" t="e">
        <f>I3277 + (D3278-G3278)</f>
        <v>#VALUE!</v>
      </c>
      <c r="N3278">
        <v>24</v>
      </c>
      <c r="O3278" t="s">
        <v>68</v>
      </c>
      <c r="P3278">
        <v>1</v>
      </c>
      <c r="R3278">
        <v>1449</v>
      </c>
      <c r="S3278" s="17">
        <v>42157</v>
      </c>
      <c r="T3278" s="17">
        <v>42157</v>
      </c>
      <c r="W3278">
        <v>2015</v>
      </c>
      <c r="X3278">
        <v>24</v>
      </c>
      <c r="AA3278">
        <v>271582</v>
      </c>
      <c r="AC3278" t="s">
        <v>51</v>
      </c>
      <c r="AD3278" t="s">
        <v>302</v>
      </c>
      <c r="AE3278" t="s">
        <v>46</v>
      </c>
      <c r="AG3278">
        <v>127</v>
      </c>
      <c r="AH3278">
        <v>8</v>
      </c>
      <c r="AI3278" t="s">
        <v>52</v>
      </c>
      <c r="AM3278">
        <v>0</v>
      </c>
      <c r="AP3278" t="s">
        <v>5103</v>
      </c>
    </row>
    <row r="3279" spans="1:42" customFormat="1">
      <c r="A3279">
        <v>271586</v>
      </c>
      <c r="B3279" t="s">
        <v>219</v>
      </c>
      <c r="C3279" t="s">
        <v>219</v>
      </c>
      <c r="D3279" s="22">
        <v>0</v>
      </c>
      <c r="E3279" s="17">
        <v>42152</v>
      </c>
      <c r="F3279" s="18">
        <v>0.45074074074074072</v>
      </c>
      <c r="G3279" s="22">
        <v>3200</v>
      </c>
      <c r="H3279">
        <v>0</v>
      </c>
      <c r="I3279" s="19" t="e">
        <f>I3278 + (D3279-G3279)</f>
        <v>#VALUE!</v>
      </c>
      <c r="N3279">
        <v>24</v>
      </c>
      <c r="O3279" t="s">
        <v>68</v>
      </c>
      <c r="P3279">
        <v>1</v>
      </c>
      <c r="R3279">
        <v>1449</v>
      </c>
      <c r="S3279" s="17">
        <v>42157</v>
      </c>
      <c r="T3279" s="17">
        <v>42157</v>
      </c>
      <c r="W3279">
        <v>2015</v>
      </c>
      <c r="X3279">
        <v>24</v>
      </c>
      <c r="AC3279" t="s">
        <v>51</v>
      </c>
      <c r="AD3279" t="s">
        <v>302</v>
      </c>
      <c r="AE3279" t="s">
        <v>46</v>
      </c>
      <c r="AG3279">
        <v>4</v>
      </c>
      <c r="AH3279">
        <v>8</v>
      </c>
      <c r="AI3279" t="s">
        <v>52</v>
      </c>
      <c r="AM3279">
        <v>0</v>
      </c>
      <c r="AO3279">
        <v>2</v>
      </c>
      <c r="AP3279" t="s">
        <v>389</v>
      </c>
    </row>
    <row r="3280" spans="1:42" customFormat="1">
      <c r="A3280">
        <v>271587</v>
      </c>
      <c r="B3280" t="s">
        <v>219</v>
      </c>
      <c r="C3280" t="s">
        <v>5105</v>
      </c>
      <c r="D3280" s="22">
        <v>3200</v>
      </c>
      <c r="E3280" s="17">
        <v>42152</v>
      </c>
      <c r="F3280" s="18">
        <v>0.45074074074074072</v>
      </c>
      <c r="G3280" s="22">
        <v>0</v>
      </c>
      <c r="H3280">
        <v>0</v>
      </c>
      <c r="I3280" s="19" t="e">
        <f>I3279 + (D3280-G3280)</f>
        <v>#VALUE!</v>
      </c>
      <c r="N3280">
        <v>24</v>
      </c>
      <c r="O3280" t="s">
        <v>68</v>
      </c>
      <c r="P3280">
        <v>1</v>
      </c>
      <c r="R3280">
        <v>1449</v>
      </c>
      <c r="S3280" s="17">
        <v>42157</v>
      </c>
      <c r="T3280" s="17">
        <v>42157</v>
      </c>
      <c r="W3280">
        <v>2015</v>
      </c>
      <c r="X3280">
        <v>24</v>
      </c>
      <c r="AA3280">
        <v>271586</v>
      </c>
      <c r="AC3280" t="s">
        <v>51</v>
      </c>
      <c r="AD3280" t="s">
        <v>302</v>
      </c>
      <c r="AE3280" t="s">
        <v>46</v>
      </c>
      <c r="AG3280">
        <v>2</v>
      </c>
      <c r="AH3280">
        <v>8</v>
      </c>
      <c r="AI3280" t="s">
        <v>52</v>
      </c>
      <c r="AM3280">
        <v>0</v>
      </c>
      <c r="AP3280" t="s">
        <v>2544</v>
      </c>
    </row>
    <row r="3281" spans="1:42" customFormat="1">
      <c r="A3281">
        <v>271588</v>
      </c>
      <c r="B3281" t="s">
        <v>219</v>
      </c>
      <c r="C3281" t="s">
        <v>219</v>
      </c>
      <c r="D3281" s="22">
        <v>0</v>
      </c>
      <c r="E3281" s="17">
        <v>42152</v>
      </c>
      <c r="F3281" s="18">
        <v>0.45098379629629631</v>
      </c>
      <c r="G3281" s="22">
        <v>800</v>
      </c>
      <c r="H3281">
        <v>0</v>
      </c>
      <c r="I3281" s="19" t="e">
        <f>I3280 + (D3281-G3281)</f>
        <v>#VALUE!</v>
      </c>
      <c r="N3281">
        <v>24</v>
      </c>
      <c r="O3281" t="s">
        <v>68</v>
      </c>
      <c r="P3281">
        <v>1</v>
      </c>
      <c r="R3281">
        <v>1449</v>
      </c>
      <c r="S3281" s="17">
        <v>42157</v>
      </c>
      <c r="T3281" s="17">
        <v>42157</v>
      </c>
      <c r="W3281">
        <v>2015</v>
      </c>
      <c r="X3281">
        <v>24</v>
      </c>
      <c r="AC3281" t="s">
        <v>51</v>
      </c>
      <c r="AD3281" t="s">
        <v>302</v>
      </c>
      <c r="AE3281" t="s">
        <v>46</v>
      </c>
      <c r="AG3281">
        <v>8</v>
      </c>
      <c r="AH3281">
        <v>8</v>
      </c>
      <c r="AI3281" t="s">
        <v>52</v>
      </c>
      <c r="AM3281">
        <v>0</v>
      </c>
      <c r="AO3281">
        <v>4</v>
      </c>
      <c r="AP3281" t="s">
        <v>1201</v>
      </c>
    </row>
    <row r="3282" spans="1:42" customFormat="1">
      <c r="A3282">
        <v>271589</v>
      </c>
      <c r="B3282" t="s">
        <v>219</v>
      </c>
      <c r="C3282" t="s">
        <v>5106</v>
      </c>
      <c r="D3282" s="22">
        <v>800</v>
      </c>
      <c r="E3282" s="17">
        <v>42152</v>
      </c>
      <c r="F3282" s="18">
        <v>0.45098379629629631</v>
      </c>
      <c r="G3282" s="22">
        <v>0</v>
      </c>
      <c r="H3282">
        <v>0</v>
      </c>
      <c r="I3282" s="19" t="e">
        <f>I3281 + (D3282-G3282)</f>
        <v>#VALUE!</v>
      </c>
      <c r="N3282">
        <v>24</v>
      </c>
      <c r="O3282" t="s">
        <v>68</v>
      </c>
      <c r="P3282">
        <v>1</v>
      </c>
      <c r="R3282">
        <v>1449</v>
      </c>
      <c r="S3282" s="17">
        <v>42157</v>
      </c>
      <c r="T3282" s="17">
        <v>42157</v>
      </c>
      <c r="W3282">
        <v>2015</v>
      </c>
      <c r="X3282">
        <v>24</v>
      </c>
      <c r="AA3282">
        <v>271588</v>
      </c>
      <c r="AC3282" t="s">
        <v>51</v>
      </c>
      <c r="AD3282" t="s">
        <v>302</v>
      </c>
      <c r="AE3282" t="s">
        <v>46</v>
      </c>
      <c r="AG3282">
        <v>4</v>
      </c>
      <c r="AH3282">
        <v>8</v>
      </c>
      <c r="AI3282" t="s">
        <v>52</v>
      </c>
      <c r="AM3282">
        <v>0</v>
      </c>
      <c r="AP3282" t="s">
        <v>389</v>
      </c>
    </row>
    <row r="3283" spans="1:42" customFormat="1">
      <c r="A3283">
        <v>271590</v>
      </c>
      <c r="B3283" t="s">
        <v>219</v>
      </c>
      <c r="C3283" t="s">
        <v>219</v>
      </c>
      <c r="D3283" s="22">
        <v>0</v>
      </c>
      <c r="E3283" s="17">
        <v>42152</v>
      </c>
      <c r="F3283" s="18">
        <v>0.45131944444444444</v>
      </c>
      <c r="G3283" s="22">
        <v>5750</v>
      </c>
      <c r="H3283">
        <v>0</v>
      </c>
      <c r="I3283" s="19" t="e">
        <f>I3282 + (D3283-G3283)</f>
        <v>#VALUE!</v>
      </c>
      <c r="N3283">
        <v>24</v>
      </c>
      <c r="O3283" t="s">
        <v>68</v>
      </c>
      <c r="P3283">
        <v>1</v>
      </c>
      <c r="R3283">
        <v>1449</v>
      </c>
      <c r="S3283" s="17">
        <v>42157</v>
      </c>
      <c r="T3283" s="17">
        <v>42157</v>
      </c>
      <c r="W3283">
        <v>2015</v>
      </c>
      <c r="X3283">
        <v>24</v>
      </c>
      <c r="AC3283" t="s">
        <v>51</v>
      </c>
      <c r="AD3283" t="s">
        <v>302</v>
      </c>
      <c r="AE3283" t="s">
        <v>46</v>
      </c>
      <c r="AG3283">
        <v>4</v>
      </c>
      <c r="AH3283">
        <v>8</v>
      </c>
      <c r="AI3283" t="s">
        <v>52</v>
      </c>
      <c r="AM3283">
        <v>0</v>
      </c>
      <c r="AO3283">
        <v>8</v>
      </c>
      <c r="AP3283" t="s">
        <v>389</v>
      </c>
    </row>
    <row r="3284" spans="1:42" customFormat="1">
      <c r="A3284">
        <v>271591</v>
      </c>
      <c r="B3284" t="s">
        <v>219</v>
      </c>
      <c r="C3284" t="s">
        <v>5107</v>
      </c>
      <c r="D3284" s="22">
        <v>5750</v>
      </c>
      <c r="E3284" s="17">
        <v>42152</v>
      </c>
      <c r="F3284" s="18">
        <v>0.45131944444444444</v>
      </c>
      <c r="G3284" s="22">
        <v>0</v>
      </c>
      <c r="H3284">
        <v>0</v>
      </c>
      <c r="I3284" s="19" t="e">
        <f>I3283 + (D3284-G3284)</f>
        <v>#VALUE!</v>
      </c>
      <c r="N3284">
        <v>24</v>
      </c>
      <c r="O3284" t="s">
        <v>68</v>
      </c>
      <c r="P3284">
        <v>1</v>
      </c>
      <c r="R3284">
        <v>1449</v>
      </c>
      <c r="S3284" s="17">
        <v>42157</v>
      </c>
      <c r="T3284" s="17">
        <v>42157</v>
      </c>
      <c r="W3284">
        <v>2015</v>
      </c>
      <c r="X3284">
        <v>24</v>
      </c>
      <c r="AA3284">
        <v>271590</v>
      </c>
      <c r="AC3284" t="s">
        <v>51</v>
      </c>
      <c r="AD3284" t="s">
        <v>302</v>
      </c>
      <c r="AE3284" t="s">
        <v>46</v>
      </c>
      <c r="AG3284">
        <v>8</v>
      </c>
      <c r="AH3284">
        <v>8</v>
      </c>
      <c r="AI3284" t="s">
        <v>52</v>
      </c>
      <c r="AM3284">
        <v>0</v>
      </c>
      <c r="AP3284" t="s">
        <v>1201</v>
      </c>
    </row>
    <row r="3285" spans="1:42" customFormat="1">
      <c r="A3285">
        <v>271592</v>
      </c>
      <c r="B3285" t="s">
        <v>219</v>
      </c>
      <c r="C3285" t="s">
        <v>219</v>
      </c>
      <c r="D3285" s="22">
        <v>0</v>
      </c>
      <c r="E3285" s="17">
        <v>42152</v>
      </c>
      <c r="F3285" s="18">
        <v>0.45164351851851853</v>
      </c>
      <c r="G3285" s="22">
        <v>2000</v>
      </c>
      <c r="H3285">
        <v>0</v>
      </c>
      <c r="I3285" s="19" t="e">
        <f>I3284 + (D3285-G3285)</f>
        <v>#VALUE!</v>
      </c>
      <c r="N3285">
        <v>24</v>
      </c>
      <c r="O3285" t="s">
        <v>68</v>
      </c>
      <c r="P3285">
        <v>1</v>
      </c>
      <c r="R3285">
        <v>1449</v>
      </c>
      <c r="S3285" s="17">
        <v>42157</v>
      </c>
      <c r="T3285" s="17">
        <v>42157</v>
      </c>
      <c r="W3285">
        <v>2015</v>
      </c>
      <c r="X3285">
        <v>24</v>
      </c>
      <c r="AC3285" t="s">
        <v>51</v>
      </c>
      <c r="AD3285" t="s">
        <v>302</v>
      </c>
      <c r="AE3285" t="s">
        <v>46</v>
      </c>
      <c r="AG3285">
        <v>8</v>
      </c>
      <c r="AH3285">
        <v>8</v>
      </c>
      <c r="AI3285" t="s">
        <v>52</v>
      </c>
      <c r="AM3285">
        <v>0</v>
      </c>
      <c r="AO3285">
        <v>2</v>
      </c>
      <c r="AP3285" t="s">
        <v>1201</v>
      </c>
    </row>
    <row r="3286" spans="1:42" customFormat="1">
      <c r="A3286">
        <v>271593</v>
      </c>
      <c r="B3286" t="s">
        <v>219</v>
      </c>
      <c r="C3286" t="s">
        <v>5108</v>
      </c>
      <c r="D3286" s="22">
        <v>2000</v>
      </c>
      <c r="E3286" s="17">
        <v>42152</v>
      </c>
      <c r="F3286" s="18">
        <v>0.45164351851851853</v>
      </c>
      <c r="G3286" s="22">
        <v>0</v>
      </c>
      <c r="H3286">
        <v>0</v>
      </c>
      <c r="I3286" s="19" t="e">
        <f>I3285 + (D3286-G3286)</f>
        <v>#VALUE!</v>
      </c>
      <c r="N3286">
        <v>24</v>
      </c>
      <c r="O3286" t="s">
        <v>68</v>
      </c>
      <c r="P3286">
        <v>1</v>
      </c>
      <c r="R3286">
        <v>1449</v>
      </c>
      <c r="S3286" s="17">
        <v>42157</v>
      </c>
      <c r="T3286" s="17">
        <v>42157</v>
      </c>
      <c r="W3286">
        <v>2015</v>
      </c>
      <c r="X3286">
        <v>24</v>
      </c>
      <c r="AA3286">
        <v>271592</v>
      </c>
      <c r="AC3286" t="s">
        <v>51</v>
      </c>
      <c r="AD3286" t="s">
        <v>302</v>
      </c>
      <c r="AE3286" t="s">
        <v>46</v>
      </c>
      <c r="AG3286">
        <v>2</v>
      </c>
      <c r="AH3286">
        <v>8</v>
      </c>
      <c r="AI3286" t="s">
        <v>52</v>
      </c>
      <c r="AM3286">
        <v>0</v>
      </c>
      <c r="AP3286" t="s">
        <v>2544</v>
      </c>
    </row>
    <row r="3287" spans="1:42" customFormat="1">
      <c r="A3287">
        <v>271644</v>
      </c>
      <c r="B3287" t="s">
        <v>219</v>
      </c>
      <c r="C3287" t="s">
        <v>219</v>
      </c>
      <c r="D3287" s="22">
        <v>0</v>
      </c>
      <c r="E3287" s="17">
        <v>42152</v>
      </c>
      <c r="F3287" s="18">
        <v>0.47008101851851852</v>
      </c>
      <c r="G3287" s="22">
        <v>7645.5</v>
      </c>
      <c r="H3287">
        <v>0</v>
      </c>
      <c r="I3287" s="19" t="e">
        <f>I3286 + (D3287-G3287)</f>
        <v>#VALUE!</v>
      </c>
      <c r="N3287">
        <v>24</v>
      </c>
      <c r="O3287" t="s">
        <v>68</v>
      </c>
      <c r="P3287">
        <v>1</v>
      </c>
      <c r="R3287">
        <v>1449</v>
      </c>
      <c r="S3287" s="17">
        <v>42157</v>
      </c>
      <c r="T3287" s="17">
        <v>42157</v>
      </c>
      <c r="W3287">
        <v>2015</v>
      </c>
      <c r="X3287">
        <v>24</v>
      </c>
      <c r="AC3287" t="s">
        <v>51</v>
      </c>
      <c r="AD3287" t="s">
        <v>302</v>
      </c>
      <c r="AE3287" t="s">
        <v>46</v>
      </c>
      <c r="AG3287">
        <v>102</v>
      </c>
      <c r="AH3287">
        <v>8</v>
      </c>
      <c r="AI3287" t="s">
        <v>52</v>
      </c>
      <c r="AM3287">
        <v>0</v>
      </c>
      <c r="AO3287">
        <v>52</v>
      </c>
      <c r="AP3287" t="s">
        <v>5113</v>
      </c>
    </row>
    <row r="3288" spans="1:42" customFormat="1">
      <c r="A3288">
        <v>271645</v>
      </c>
      <c r="B3288" t="s">
        <v>219</v>
      </c>
      <c r="C3288" t="s">
        <v>5114</v>
      </c>
      <c r="D3288" s="22">
        <v>7645.5</v>
      </c>
      <c r="E3288" s="17">
        <v>42152</v>
      </c>
      <c r="F3288" s="18">
        <v>0.47008101851851852</v>
      </c>
      <c r="G3288" s="22">
        <v>0</v>
      </c>
      <c r="H3288">
        <v>0</v>
      </c>
      <c r="I3288" s="19" t="e">
        <f>I3287 + (D3288-G3288)</f>
        <v>#VALUE!</v>
      </c>
      <c r="N3288">
        <v>24</v>
      </c>
      <c r="O3288" t="s">
        <v>68</v>
      </c>
      <c r="P3288">
        <v>1</v>
      </c>
      <c r="R3288">
        <v>1449</v>
      </c>
      <c r="S3288" s="17">
        <v>42157</v>
      </c>
      <c r="T3288" s="17">
        <v>42157</v>
      </c>
      <c r="W3288">
        <v>2015</v>
      </c>
      <c r="X3288">
        <v>24</v>
      </c>
      <c r="AA3288">
        <v>271644</v>
      </c>
      <c r="AC3288" t="s">
        <v>51</v>
      </c>
      <c r="AD3288" t="s">
        <v>302</v>
      </c>
      <c r="AE3288" t="s">
        <v>46</v>
      </c>
      <c r="AG3288">
        <v>52</v>
      </c>
      <c r="AH3288">
        <v>8</v>
      </c>
      <c r="AI3288" t="s">
        <v>52</v>
      </c>
      <c r="AM3288">
        <v>0</v>
      </c>
      <c r="AP3288" t="s">
        <v>325</v>
      </c>
    </row>
    <row r="3289" spans="1:42" customFormat="1">
      <c r="A3289">
        <v>276037</v>
      </c>
      <c r="B3289" t="s">
        <v>494</v>
      </c>
      <c r="C3289" t="s">
        <v>494</v>
      </c>
      <c r="D3289" s="22">
        <v>0</v>
      </c>
      <c r="E3289" s="17">
        <v>42152</v>
      </c>
      <c r="F3289" s="18">
        <v>0.53164351851851854</v>
      </c>
      <c r="G3289" s="22">
        <v>9807.41</v>
      </c>
      <c r="H3289">
        <v>0</v>
      </c>
      <c r="I3289" s="19" t="e">
        <f>I3288 + (D3289-G3289)</f>
        <v>#VALUE!</v>
      </c>
      <c r="N3289">
        <v>7</v>
      </c>
      <c r="O3289" t="s">
        <v>44</v>
      </c>
      <c r="P3289">
        <v>1</v>
      </c>
      <c r="R3289">
        <v>1449</v>
      </c>
      <c r="S3289" s="17">
        <v>42188</v>
      </c>
      <c r="T3289" s="17">
        <v>42188</v>
      </c>
      <c r="W3289">
        <v>2015</v>
      </c>
      <c r="X3289">
        <v>7</v>
      </c>
      <c r="AC3289" t="s">
        <v>51</v>
      </c>
      <c r="AD3289" t="s">
        <v>302</v>
      </c>
      <c r="AE3289" t="s">
        <v>46</v>
      </c>
      <c r="AG3289">
        <v>120</v>
      </c>
      <c r="AH3289">
        <v>8</v>
      </c>
      <c r="AI3289" t="s">
        <v>52</v>
      </c>
      <c r="AM3289">
        <v>0</v>
      </c>
      <c r="AP3289" t="s">
        <v>5033</v>
      </c>
    </row>
    <row r="3290" spans="1:42" customFormat="1">
      <c r="A3290">
        <v>271683</v>
      </c>
      <c r="B3290" t="s">
        <v>219</v>
      </c>
      <c r="C3290" t="s">
        <v>219</v>
      </c>
      <c r="D3290" s="22">
        <v>10000</v>
      </c>
      <c r="E3290" s="17">
        <v>42152</v>
      </c>
      <c r="F3290" s="18">
        <v>0.58065972222222217</v>
      </c>
      <c r="G3290" s="22">
        <v>0</v>
      </c>
      <c r="H3290">
        <v>0</v>
      </c>
      <c r="I3290" s="19" t="e">
        <f>I3289 + (D3290-G3290)</f>
        <v>#VALUE!</v>
      </c>
      <c r="N3290">
        <v>24</v>
      </c>
      <c r="O3290" t="s">
        <v>68</v>
      </c>
      <c r="P3290">
        <v>1</v>
      </c>
      <c r="R3290">
        <v>1449</v>
      </c>
      <c r="S3290" s="17">
        <v>42158</v>
      </c>
      <c r="T3290" s="17">
        <v>42180</v>
      </c>
      <c r="W3290">
        <v>2015</v>
      </c>
      <c r="X3290">
        <v>24</v>
      </c>
      <c r="AC3290" t="s">
        <v>51</v>
      </c>
      <c r="AD3290" t="s">
        <v>302</v>
      </c>
      <c r="AE3290" t="s">
        <v>46</v>
      </c>
      <c r="AG3290">
        <v>52</v>
      </c>
      <c r="AH3290">
        <v>8</v>
      </c>
      <c r="AI3290" t="s">
        <v>52</v>
      </c>
      <c r="AM3290">
        <v>0</v>
      </c>
      <c r="AO3290">
        <v>26</v>
      </c>
      <c r="AP3290" t="s">
        <v>325</v>
      </c>
    </row>
    <row r="3291" spans="1:42" customFormat="1">
      <c r="A3291">
        <v>274041</v>
      </c>
      <c r="B3291" t="s">
        <v>219</v>
      </c>
      <c r="C3291" t="s">
        <v>5125</v>
      </c>
      <c r="D3291" s="22">
        <v>0</v>
      </c>
      <c r="E3291" s="17">
        <v>42152</v>
      </c>
      <c r="F3291" s="18">
        <v>0.58065972222222217</v>
      </c>
      <c r="G3291" s="22">
        <v>10000</v>
      </c>
      <c r="H3291">
        <v>0</v>
      </c>
      <c r="I3291" s="19" t="e">
        <f>I3290 + (D3291-G3291)</f>
        <v>#VALUE!</v>
      </c>
      <c r="N3291">
        <v>24</v>
      </c>
      <c r="O3291" t="s">
        <v>68</v>
      </c>
      <c r="P3291">
        <v>1</v>
      </c>
      <c r="R3291">
        <v>1449</v>
      </c>
      <c r="S3291" s="17">
        <v>42180</v>
      </c>
      <c r="T3291" s="17">
        <v>42180</v>
      </c>
      <c r="W3291">
        <v>2015</v>
      </c>
      <c r="X3291">
        <v>24</v>
      </c>
      <c r="AA3291">
        <v>271683</v>
      </c>
      <c r="AC3291" t="s">
        <v>51</v>
      </c>
      <c r="AD3291" t="s">
        <v>302</v>
      </c>
      <c r="AE3291" t="s">
        <v>46</v>
      </c>
      <c r="AG3291">
        <v>26</v>
      </c>
      <c r="AH3291">
        <v>8</v>
      </c>
      <c r="AI3291" t="s">
        <v>52</v>
      </c>
      <c r="AM3291">
        <v>0</v>
      </c>
      <c r="AP3291" t="s">
        <v>501</v>
      </c>
    </row>
    <row r="3292" spans="1:42" customFormat="1">
      <c r="A3292">
        <v>276289</v>
      </c>
      <c r="B3292" t="s">
        <v>109</v>
      </c>
      <c r="C3292" t="s">
        <v>109</v>
      </c>
      <c r="D3292" s="22">
        <v>0</v>
      </c>
      <c r="E3292" s="17">
        <v>42153</v>
      </c>
      <c r="F3292" s="18">
        <v>0.40560185185185182</v>
      </c>
      <c r="G3292" s="22">
        <v>3448</v>
      </c>
      <c r="H3292">
        <v>0</v>
      </c>
      <c r="I3292" s="19" t="e">
        <f>I3291 + (D3292-G3292)</f>
        <v>#VALUE!</v>
      </c>
      <c r="N3292">
        <v>7</v>
      </c>
      <c r="O3292" t="s">
        <v>44</v>
      </c>
      <c r="P3292">
        <v>1</v>
      </c>
      <c r="R3292">
        <v>1449</v>
      </c>
      <c r="S3292" s="17">
        <v>42191</v>
      </c>
      <c r="T3292" s="17">
        <v>42191</v>
      </c>
      <c r="W3292">
        <v>2015</v>
      </c>
      <c r="X3292">
        <v>7</v>
      </c>
      <c r="AC3292" t="s">
        <v>51</v>
      </c>
      <c r="AD3292" t="s">
        <v>302</v>
      </c>
      <c r="AE3292" t="s">
        <v>46</v>
      </c>
      <c r="AG3292">
        <v>114</v>
      </c>
      <c r="AH3292">
        <v>9</v>
      </c>
      <c r="AI3292" t="s">
        <v>54</v>
      </c>
      <c r="AM3292">
        <v>0</v>
      </c>
      <c r="AP3292" t="s">
        <v>898</v>
      </c>
    </row>
    <row r="3293" spans="1:42" customFormat="1">
      <c r="A3293">
        <v>271598</v>
      </c>
      <c r="B3293" t="s">
        <v>219</v>
      </c>
      <c r="C3293" t="s">
        <v>219</v>
      </c>
      <c r="D3293" s="22">
        <v>0</v>
      </c>
      <c r="E3293" s="17">
        <v>42153</v>
      </c>
      <c r="F3293" s="18">
        <v>0.4526736111111111</v>
      </c>
      <c r="G3293" s="22">
        <v>47000</v>
      </c>
      <c r="H3293">
        <v>0</v>
      </c>
      <c r="I3293" s="19" t="e">
        <f>I3292 + (D3293-G3293)</f>
        <v>#VALUE!</v>
      </c>
      <c r="N3293">
        <v>24</v>
      </c>
      <c r="O3293" t="s">
        <v>68</v>
      </c>
      <c r="P3293">
        <v>1</v>
      </c>
      <c r="R3293">
        <v>1449</v>
      </c>
      <c r="S3293" s="17">
        <v>42157</v>
      </c>
      <c r="T3293" s="17">
        <v>42157</v>
      </c>
      <c r="W3293">
        <v>2015</v>
      </c>
      <c r="X3293">
        <v>24</v>
      </c>
      <c r="AC3293" t="s">
        <v>51</v>
      </c>
      <c r="AD3293" t="s">
        <v>302</v>
      </c>
      <c r="AE3293" t="s">
        <v>46</v>
      </c>
      <c r="AG3293">
        <v>2</v>
      </c>
      <c r="AH3293">
        <v>8</v>
      </c>
      <c r="AI3293" t="s">
        <v>52</v>
      </c>
      <c r="AM3293">
        <v>0</v>
      </c>
      <c r="AO3293">
        <v>4</v>
      </c>
      <c r="AP3293" t="s">
        <v>2544</v>
      </c>
    </row>
    <row r="3294" spans="1:42" customFormat="1">
      <c r="A3294">
        <v>271599</v>
      </c>
      <c r="B3294" t="s">
        <v>219</v>
      </c>
      <c r="C3294" t="s">
        <v>5467</v>
      </c>
      <c r="D3294" s="22">
        <v>47000</v>
      </c>
      <c r="E3294" s="17">
        <v>42153</v>
      </c>
      <c r="F3294" s="18">
        <v>0.4526736111111111</v>
      </c>
      <c r="G3294" s="22">
        <v>0</v>
      </c>
      <c r="H3294">
        <v>0</v>
      </c>
      <c r="I3294" s="19" t="e">
        <f>I3293 + (D3294-G3294)</f>
        <v>#VALUE!</v>
      </c>
      <c r="N3294">
        <v>24</v>
      </c>
      <c r="O3294" t="s">
        <v>68</v>
      </c>
      <c r="P3294">
        <v>1</v>
      </c>
      <c r="R3294">
        <v>1449</v>
      </c>
      <c r="S3294" s="17">
        <v>42157</v>
      </c>
      <c r="T3294" s="17">
        <v>42157</v>
      </c>
      <c r="W3294">
        <v>2015</v>
      </c>
      <c r="X3294">
        <v>24</v>
      </c>
      <c r="AA3294">
        <v>271598</v>
      </c>
      <c r="AC3294" t="s">
        <v>51</v>
      </c>
      <c r="AD3294" t="s">
        <v>302</v>
      </c>
      <c r="AE3294" t="s">
        <v>46</v>
      </c>
      <c r="AG3294">
        <v>4</v>
      </c>
      <c r="AH3294">
        <v>8</v>
      </c>
      <c r="AI3294" t="s">
        <v>52</v>
      </c>
      <c r="AM3294">
        <v>0</v>
      </c>
      <c r="AP3294" t="s">
        <v>389</v>
      </c>
    </row>
    <row r="3295" spans="1:42" customFormat="1">
      <c r="A3295">
        <v>271600</v>
      </c>
      <c r="B3295" t="s">
        <v>219</v>
      </c>
      <c r="C3295" t="s">
        <v>219</v>
      </c>
      <c r="D3295" s="22">
        <v>0</v>
      </c>
      <c r="E3295" s="17">
        <v>42153</v>
      </c>
      <c r="F3295" s="18">
        <v>0.45305555555555554</v>
      </c>
      <c r="G3295" s="22">
        <v>34000</v>
      </c>
      <c r="H3295">
        <v>0</v>
      </c>
      <c r="I3295" s="19" t="e">
        <f>I3294 + (D3295-G3295)</f>
        <v>#VALUE!</v>
      </c>
      <c r="N3295">
        <v>24</v>
      </c>
      <c r="O3295" t="s">
        <v>68</v>
      </c>
      <c r="P3295">
        <v>1</v>
      </c>
      <c r="R3295">
        <v>1449</v>
      </c>
      <c r="S3295" s="17">
        <v>42157</v>
      </c>
      <c r="T3295" s="17">
        <v>42157</v>
      </c>
      <c r="W3295">
        <v>2015</v>
      </c>
      <c r="X3295">
        <v>24</v>
      </c>
      <c r="AC3295" t="s">
        <v>51</v>
      </c>
      <c r="AD3295" t="s">
        <v>302</v>
      </c>
      <c r="AE3295" t="s">
        <v>46</v>
      </c>
      <c r="AG3295">
        <v>33</v>
      </c>
      <c r="AH3295">
        <v>8</v>
      </c>
      <c r="AI3295" t="s">
        <v>52</v>
      </c>
      <c r="AM3295">
        <v>0</v>
      </c>
      <c r="AO3295">
        <v>12</v>
      </c>
      <c r="AP3295" t="s">
        <v>457</v>
      </c>
    </row>
    <row r="3296" spans="1:42" customFormat="1">
      <c r="A3296">
        <v>271601</v>
      </c>
      <c r="B3296" t="s">
        <v>219</v>
      </c>
      <c r="C3296" t="s">
        <v>5468</v>
      </c>
      <c r="D3296" s="22">
        <v>34000</v>
      </c>
      <c r="E3296" s="17">
        <v>42153</v>
      </c>
      <c r="F3296" s="18">
        <v>0.45305555555555554</v>
      </c>
      <c r="G3296" s="22">
        <v>0</v>
      </c>
      <c r="H3296">
        <v>0</v>
      </c>
      <c r="I3296" s="19" t="e">
        <f>I3295 + (D3296-G3296)</f>
        <v>#VALUE!</v>
      </c>
      <c r="N3296">
        <v>24</v>
      </c>
      <c r="O3296" t="s">
        <v>68</v>
      </c>
      <c r="P3296">
        <v>1</v>
      </c>
      <c r="R3296">
        <v>1449</v>
      </c>
      <c r="S3296" s="17">
        <v>42157</v>
      </c>
      <c r="T3296" s="17">
        <v>42157</v>
      </c>
      <c r="W3296">
        <v>2015</v>
      </c>
      <c r="X3296">
        <v>24</v>
      </c>
      <c r="AA3296">
        <v>271600</v>
      </c>
      <c r="AC3296" t="s">
        <v>51</v>
      </c>
      <c r="AD3296" t="s">
        <v>302</v>
      </c>
      <c r="AE3296" t="s">
        <v>46</v>
      </c>
      <c r="AG3296">
        <v>12</v>
      </c>
      <c r="AH3296">
        <v>8</v>
      </c>
      <c r="AI3296" t="s">
        <v>52</v>
      </c>
      <c r="AM3296">
        <v>0</v>
      </c>
      <c r="AP3296" t="s">
        <v>392</v>
      </c>
    </row>
    <row r="3297" spans="1:42" customFormat="1">
      <c r="A3297">
        <v>271602</v>
      </c>
      <c r="B3297" t="s">
        <v>219</v>
      </c>
      <c r="C3297" t="s">
        <v>219</v>
      </c>
      <c r="D3297" s="22">
        <v>0</v>
      </c>
      <c r="E3297" s="17">
        <v>42153</v>
      </c>
      <c r="F3297" s="18">
        <v>0.45341435185185186</v>
      </c>
      <c r="G3297" s="22">
        <v>6000</v>
      </c>
      <c r="H3297">
        <v>0</v>
      </c>
      <c r="I3297" s="19" t="e">
        <f>I3296 + (D3297-G3297)</f>
        <v>#VALUE!</v>
      </c>
      <c r="N3297">
        <v>24</v>
      </c>
      <c r="O3297" t="s">
        <v>68</v>
      </c>
      <c r="P3297">
        <v>1</v>
      </c>
      <c r="R3297">
        <v>1449</v>
      </c>
      <c r="S3297" s="17">
        <v>42157</v>
      </c>
      <c r="T3297" s="17">
        <v>42157</v>
      </c>
      <c r="W3297">
        <v>2015</v>
      </c>
      <c r="X3297">
        <v>24</v>
      </c>
      <c r="AC3297" t="s">
        <v>51</v>
      </c>
      <c r="AD3297" t="s">
        <v>302</v>
      </c>
      <c r="AE3297" t="s">
        <v>46</v>
      </c>
      <c r="AG3297">
        <v>2</v>
      </c>
      <c r="AH3297">
        <v>8</v>
      </c>
      <c r="AI3297" t="s">
        <v>52</v>
      </c>
      <c r="AM3297">
        <v>0</v>
      </c>
      <c r="AO3297">
        <v>12</v>
      </c>
      <c r="AP3297" t="s">
        <v>2544</v>
      </c>
    </row>
    <row r="3298" spans="1:42" customFormat="1">
      <c r="A3298">
        <v>271603</v>
      </c>
      <c r="B3298" t="s">
        <v>219</v>
      </c>
      <c r="C3298" t="s">
        <v>5469</v>
      </c>
      <c r="D3298" s="22">
        <v>6000</v>
      </c>
      <c r="E3298" s="17">
        <v>42153</v>
      </c>
      <c r="F3298" s="18">
        <v>0.45341435185185186</v>
      </c>
      <c r="G3298" s="22">
        <v>0</v>
      </c>
      <c r="H3298">
        <v>0</v>
      </c>
      <c r="I3298" s="19" t="e">
        <f>I3297 + (D3298-G3298)</f>
        <v>#VALUE!</v>
      </c>
      <c r="N3298">
        <v>24</v>
      </c>
      <c r="O3298" t="s">
        <v>68</v>
      </c>
      <c r="P3298">
        <v>1</v>
      </c>
      <c r="R3298">
        <v>1449</v>
      </c>
      <c r="S3298" s="17">
        <v>42157</v>
      </c>
      <c r="T3298" s="17">
        <v>42157</v>
      </c>
      <c r="W3298">
        <v>2015</v>
      </c>
      <c r="X3298">
        <v>24</v>
      </c>
      <c r="AA3298">
        <v>271602</v>
      </c>
      <c r="AC3298" t="s">
        <v>51</v>
      </c>
      <c r="AD3298" t="s">
        <v>302</v>
      </c>
      <c r="AE3298" t="s">
        <v>46</v>
      </c>
      <c r="AG3298">
        <v>12</v>
      </c>
      <c r="AH3298">
        <v>8</v>
      </c>
      <c r="AI3298" t="s">
        <v>52</v>
      </c>
      <c r="AM3298">
        <v>0</v>
      </c>
      <c r="AP3298" t="s">
        <v>392</v>
      </c>
    </row>
    <row r="3299" spans="1:42" customFormat="1">
      <c r="A3299">
        <v>271604</v>
      </c>
      <c r="B3299" t="s">
        <v>219</v>
      </c>
      <c r="C3299" t="s">
        <v>219</v>
      </c>
      <c r="D3299" s="22">
        <v>0</v>
      </c>
      <c r="E3299" s="17">
        <v>42153</v>
      </c>
      <c r="F3299" s="18">
        <v>0.45368055555555559</v>
      </c>
      <c r="G3299" s="22">
        <v>10000</v>
      </c>
      <c r="H3299">
        <v>0</v>
      </c>
      <c r="I3299" s="19" t="e">
        <f>I3298 + (D3299-G3299)</f>
        <v>#VALUE!</v>
      </c>
      <c r="N3299">
        <v>24</v>
      </c>
      <c r="O3299" t="s">
        <v>68</v>
      </c>
      <c r="P3299">
        <v>1</v>
      </c>
      <c r="R3299">
        <v>1449</v>
      </c>
      <c r="S3299" s="17">
        <v>42157</v>
      </c>
      <c r="T3299" s="17">
        <v>42157</v>
      </c>
      <c r="W3299">
        <v>2015</v>
      </c>
      <c r="X3299">
        <v>24</v>
      </c>
      <c r="AC3299" t="s">
        <v>51</v>
      </c>
      <c r="AD3299" t="s">
        <v>302</v>
      </c>
      <c r="AE3299" t="s">
        <v>46</v>
      </c>
      <c r="AG3299">
        <v>5</v>
      </c>
      <c r="AH3299">
        <v>8</v>
      </c>
      <c r="AI3299" t="s">
        <v>52</v>
      </c>
      <c r="AM3299">
        <v>0</v>
      </c>
      <c r="AO3299">
        <v>8</v>
      </c>
      <c r="AP3299" t="s">
        <v>312</v>
      </c>
    </row>
    <row r="3300" spans="1:42" customFormat="1">
      <c r="A3300">
        <v>271605</v>
      </c>
      <c r="B3300" t="s">
        <v>219</v>
      </c>
      <c r="C3300" t="s">
        <v>5470</v>
      </c>
      <c r="D3300" s="22">
        <v>10000</v>
      </c>
      <c r="E3300" s="17">
        <v>42153</v>
      </c>
      <c r="F3300" s="18">
        <v>0.45368055555555559</v>
      </c>
      <c r="G3300" s="22">
        <v>0</v>
      </c>
      <c r="H3300">
        <v>0</v>
      </c>
      <c r="I3300" s="19" t="e">
        <f>I3299 + (D3300-G3300)</f>
        <v>#VALUE!</v>
      </c>
      <c r="N3300">
        <v>24</v>
      </c>
      <c r="O3300" t="s">
        <v>68</v>
      </c>
      <c r="P3300">
        <v>1</v>
      </c>
      <c r="R3300">
        <v>1449</v>
      </c>
      <c r="S3300" s="17">
        <v>42157</v>
      </c>
      <c r="T3300" s="17">
        <v>42157</v>
      </c>
      <c r="W3300">
        <v>2015</v>
      </c>
      <c r="X3300">
        <v>24</v>
      </c>
      <c r="AA3300">
        <v>271604</v>
      </c>
      <c r="AC3300" t="s">
        <v>51</v>
      </c>
      <c r="AD3300" t="s">
        <v>302</v>
      </c>
      <c r="AE3300" t="s">
        <v>46</v>
      </c>
      <c r="AG3300">
        <v>8</v>
      </c>
      <c r="AH3300">
        <v>8</v>
      </c>
      <c r="AI3300" t="s">
        <v>52</v>
      </c>
      <c r="AM3300">
        <v>0</v>
      </c>
      <c r="AP3300" t="s">
        <v>1201</v>
      </c>
    </row>
    <row r="3301" spans="1:42" customFormat="1">
      <c r="A3301">
        <v>271606</v>
      </c>
      <c r="B3301" t="s">
        <v>219</v>
      </c>
      <c r="C3301" t="s">
        <v>219</v>
      </c>
      <c r="D3301" s="22">
        <v>0</v>
      </c>
      <c r="E3301" s="17">
        <v>42153</v>
      </c>
      <c r="F3301" s="18">
        <v>0.45402777777777775</v>
      </c>
      <c r="G3301" s="22">
        <v>30000</v>
      </c>
      <c r="H3301">
        <v>0</v>
      </c>
      <c r="I3301" s="19" t="e">
        <f>I3300 + (D3301-G3301)</f>
        <v>#VALUE!</v>
      </c>
      <c r="N3301">
        <v>24</v>
      </c>
      <c r="O3301" t="s">
        <v>68</v>
      </c>
      <c r="P3301">
        <v>1</v>
      </c>
      <c r="R3301">
        <v>1449</v>
      </c>
      <c r="S3301" s="17">
        <v>42157</v>
      </c>
      <c r="T3301" s="17">
        <v>42157</v>
      </c>
      <c r="W3301">
        <v>2015</v>
      </c>
      <c r="X3301">
        <v>24</v>
      </c>
      <c r="AC3301" t="s">
        <v>51</v>
      </c>
      <c r="AD3301" t="s">
        <v>302</v>
      </c>
      <c r="AE3301" t="s">
        <v>46</v>
      </c>
      <c r="AG3301">
        <v>5</v>
      </c>
      <c r="AH3301">
        <v>8</v>
      </c>
      <c r="AI3301" t="s">
        <v>52</v>
      </c>
      <c r="AM3301">
        <v>0</v>
      </c>
      <c r="AO3301">
        <v>52</v>
      </c>
      <c r="AP3301" t="s">
        <v>312</v>
      </c>
    </row>
    <row r="3302" spans="1:42" customFormat="1">
      <c r="A3302">
        <v>271607</v>
      </c>
      <c r="B3302" t="s">
        <v>219</v>
      </c>
      <c r="C3302" t="s">
        <v>5471</v>
      </c>
      <c r="D3302" s="22">
        <v>30000</v>
      </c>
      <c r="E3302" s="17">
        <v>42153</v>
      </c>
      <c r="F3302" s="18">
        <v>0.45402777777777775</v>
      </c>
      <c r="G3302" s="22">
        <v>0</v>
      </c>
      <c r="H3302">
        <v>0</v>
      </c>
      <c r="I3302" s="19" t="e">
        <f>I3301 + (D3302-G3302)</f>
        <v>#VALUE!</v>
      </c>
      <c r="N3302">
        <v>24</v>
      </c>
      <c r="O3302" t="s">
        <v>68</v>
      </c>
      <c r="P3302">
        <v>1</v>
      </c>
      <c r="R3302">
        <v>1449</v>
      </c>
      <c r="S3302" s="17">
        <v>42157</v>
      </c>
      <c r="T3302" s="17">
        <v>42157</v>
      </c>
      <c r="W3302">
        <v>2015</v>
      </c>
      <c r="X3302">
        <v>24</v>
      </c>
      <c r="AA3302">
        <v>271606</v>
      </c>
      <c r="AC3302" t="s">
        <v>51</v>
      </c>
      <c r="AD3302" t="s">
        <v>302</v>
      </c>
      <c r="AE3302" t="s">
        <v>46</v>
      </c>
      <c r="AG3302">
        <v>52</v>
      </c>
      <c r="AH3302">
        <v>8</v>
      </c>
      <c r="AI3302" t="s">
        <v>52</v>
      </c>
      <c r="AM3302">
        <v>0</v>
      </c>
      <c r="AP3302" t="s">
        <v>325</v>
      </c>
    </row>
    <row r="3303" spans="1:42" customFormat="1">
      <c r="A3303">
        <v>271608</v>
      </c>
      <c r="B3303" t="s">
        <v>219</v>
      </c>
      <c r="C3303" t="s">
        <v>219</v>
      </c>
      <c r="D3303" s="22">
        <v>0</v>
      </c>
      <c r="E3303" s="17">
        <v>42153</v>
      </c>
      <c r="F3303" s="18">
        <v>0.45451388888888888</v>
      </c>
      <c r="G3303" s="22">
        <v>120000</v>
      </c>
      <c r="H3303">
        <v>0</v>
      </c>
      <c r="I3303" s="19" t="e">
        <f>I3302 + (D3303-G3303)</f>
        <v>#VALUE!</v>
      </c>
      <c r="N3303">
        <v>24</v>
      </c>
      <c r="O3303" t="s">
        <v>68</v>
      </c>
      <c r="P3303">
        <v>1</v>
      </c>
      <c r="R3303">
        <v>1449</v>
      </c>
      <c r="S3303" s="17">
        <v>42157</v>
      </c>
      <c r="T3303" s="17">
        <v>42157</v>
      </c>
      <c r="W3303">
        <v>2015</v>
      </c>
      <c r="X3303">
        <v>24</v>
      </c>
      <c r="AC3303" t="s">
        <v>51</v>
      </c>
      <c r="AD3303" t="s">
        <v>302</v>
      </c>
      <c r="AE3303" t="s">
        <v>46</v>
      </c>
      <c r="AG3303">
        <v>5</v>
      </c>
      <c r="AH3303">
        <v>8</v>
      </c>
      <c r="AI3303" t="s">
        <v>52</v>
      </c>
      <c r="AM3303">
        <v>0</v>
      </c>
      <c r="AO3303">
        <v>2</v>
      </c>
      <c r="AP3303" t="s">
        <v>312</v>
      </c>
    </row>
    <row r="3304" spans="1:42" customFormat="1">
      <c r="A3304">
        <v>271609</v>
      </c>
      <c r="B3304" t="s">
        <v>219</v>
      </c>
      <c r="C3304" t="s">
        <v>5472</v>
      </c>
      <c r="D3304" s="22">
        <v>120000</v>
      </c>
      <c r="E3304" s="17">
        <v>42153</v>
      </c>
      <c r="F3304" s="18">
        <v>0.45451388888888888</v>
      </c>
      <c r="G3304" s="22">
        <v>0</v>
      </c>
      <c r="H3304">
        <v>0</v>
      </c>
      <c r="I3304" s="19" t="e">
        <f>I3303 + (D3304-G3304)</f>
        <v>#VALUE!</v>
      </c>
      <c r="N3304">
        <v>24</v>
      </c>
      <c r="O3304" t="s">
        <v>68</v>
      </c>
      <c r="P3304">
        <v>1</v>
      </c>
      <c r="R3304">
        <v>1449</v>
      </c>
      <c r="S3304" s="17">
        <v>42157</v>
      </c>
      <c r="T3304" s="17">
        <v>42157</v>
      </c>
      <c r="W3304">
        <v>2015</v>
      </c>
      <c r="X3304">
        <v>24</v>
      </c>
      <c r="AA3304">
        <v>271608</v>
      </c>
      <c r="AC3304" t="s">
        <v>51</v>
      </c>
      <c r="AD3304" t="s">
        <v>302</v>
      </c>
      <c r="AE3304" t="s">
        <v>46</v>
      </c>
      <c r="AG3304">
        <v>2</v>
      </c>
      <c r="AH3304">
        <v>8</v>
      </c>
      <c r="AI3304" t="s">
        <v>52</v>
      </c>
      <c r="AM3304">
        <v>0</v>
      </c>
      <c r="AP3304" t="s">
        <v>2544</v>
      </c>
    </row>
    <row r="3305" spans="1:42" customFormat="1">
      <c r="A3305">
        <v>271610</v>
      </c>
      <c r="B3305" t="s">
        <v>219</v>
      </c>
      <c r="C3305" t="s">
        <v>219</v>
      </c>
      <c r="D3305" s="22">
        <v>0</v>
      </c>
      <c r="E3305" s="17">
        <v>42153</v>
      </c>
      <c r="F3305" s="18">
        <v>0.4548726851851852</v>
      </c>
      <c r="G3305" s="22">
        <v>10000</v>
      </c>
      <c r="H3305">
        <v>0</v>
      </c>
      <c r="I3305" s="19" t="e">
        <f>I3304 + (D3305-G3305)</f>
        <v>#VALUE!</v>
      </c>
      <c r="N3305">
        <v>24</v>
      </c>
      <c r="O3305" t="s">
        <v>68</v>
      </c>
      <c r="P3305">
        <v>1</v>
      </c>
      <c r="R3305">
        <v>1449</v>
      </c>
      <c r="S3305" s="17">
        <v>42157</v>
      </c>
      <c r="T3305" s="17">
        <v>42157</v>
      </c>
      <c r="W3305">
        <v>2015</v>
      </c>
      <c r="X3305">
        <v>24</v>
      </c>
      <c r="AC3305" t="s">
        <v>51</v>
      </c>
      <c r="AD3305" t="s">
        <v>302</v>
      </c>
      <c r="AE3305" t="s">
        <v>46</v>
      </c>
      <c r="AG3305">
        <v>5</v>
      </c>
      <c r="AH3305">
        <v>8</v>
      </c>
      <c r="AI3305" t="s">
        <v>52</v>
      </c>
      <c r="AM3305">
        <v>0</v>
      </c>
      <c r="AO3305">
        <v>12</v>
      </c>
      <c r="AP3305" t="s">
        <v>312</v>
      </c>
    </row>
    <row r="3306" spans="1:42" customFormat="1">
      <c r="A3306">
        <v>271611</v>
      </c>
      <c r="B3306" t="s">
        <v>219</v>
      </c>
      <c r="C3306" t="s">
        <v>5473</v>
      </c>
      <c r="D3306" s="22">
        <v>10000</v>
      </c>
      <c r="E3306" s="17">
        <v>42153</v>
      </c>
      <c r="F3306" s="18">
        <v>0.4548726851851852</v>
      </c>
      <c r="G3306" s="22">
        <v>0</v>
      </c>
      <c r="H3306">
        <v>0</v>
      </c>
      <c r="I3306" s="19" t="e">
        <f>I3305 + (D3306-G3306)</f>
        <v>#VALUE!</v>
      </c>
      <c r="N3306">
        <v>24</v>
      </c>
      <c r="O3306" t="s">
        <v>68</v>
      </c>
      <c r="P3306">
        <v>1</v>
      </c>
      <c r="R3306">
        <v>1449</v>
      </c>
      <c r="S3306" s="17">
        <v>42157</v>
      </c>
      <c r="T3306" s="17">
        <v>42157</v>
      </c>
      <c r="W3306">
        <v>2015</v>
      </c>
      <c r="X3306">
        <v>24</v>
      </c>
      <c r="AA3306">
        <v>271610</v>
      </c>
      <c r="AC3306" t="s">
        <v>51</v>
      </c>
      <c r="AD3306" t="s">
        <v>302</v>
      </c>
      <c r="AE3306" t="s">
        <v>46</v>
      </c>
      <c r="AG3306">
        <v>12</v>
      </c>
      <c r="AH3306">
        <v>8</v>
      </c>
      <c r="AI3306" t="s">
        <v>52</v>
      </c>
      <c r="AM3306">
        <v>0</v>
      </c>
      <c r="AP3306" t="s">
        <v>392</v>
      </c>
    </row>
    <row r="3307" spans="1:42" customFormat="1">
      <c r="A3307">
        <v>271615</v>
      </c>
      <c r="B3307" t="s">
        <v>219</v>
      </c>
      <c r="C3307" t="s">
        <v>5474</v>
      </c>
      <c r="D3307" s="22">
        <v>0</v>
      </c>
      <c r="E3307" s="17">
        <v>42153</v>
      </c>
      <c r="F3307" s="18">
        <v>0.4576157407407408</v>
      </c>
      <c r="G3307" s="22">
        <v>5700</v>
      </c>
      <c r="H3307">
        <v>0</v>
      </c>
      <c r="I3307" s="19" t="e">
        <f>I3306 + (D3307-G3307)</f>
        <v>#VALUE!</v>
      </c>
      <c r="N3307">
        <v>24</v>
      </c>
      <c r="O3307" t="s">
        <v>68</v>
      </c>
      <c r="P3307">
        <v>2</v>
      </c>
      <c r="R3307">
        <v>1449</v>
      </c>
      <c r="S3307" s="17">
        <v>42157</v>
      </c>
      <c r="T3307" s="17">
        <v>42157</v>
      </c>
      <c r="W3307">
        <v>2015</v>
      </c>
      <c r="X3307">
        <v>24</v>
      </c>
      <c r="AC3307" t="s">
        <v>51</v>
      </c>
      <c r="AD3307" t="s">
        <v>302</v>
      </c>
      <c r="AE3307" t="s">
        <v>46</v>
      </c>
      <c r="AG3307">
        <v>5</v>
      </c>
      <c r="AH3307">
        <v>8</v>
      </c>
      <c r="AI3307" t="s">
        <v>52</v>
      </c>
      <c r="AM3307">
        <v>0</v>
      </c>
      <c r="AO3307">
        <v>56</v>
      </c>
      <c r="AP3307" t="s">
        <v>312</v>
      </c>
    </row>
    <row r="3308" spans="1:42" customFormat="1">
      <c r="A3308">
        <v>271616</v>
      </c>
      <c r="B3308" t="s">
        <v>219</v>
      </c>
      <c r="C3308" t="s">
        <v>5475</v>
      </c>
      <c r="D3308" s="22">
        <v>5700</v>
      </c>
      <c r="E3308" s="17">
        <v>42153</v>
      </c>
      <c r="F3308" s="18">
        <v>0.4576157407407408</v>
      </c>
      <c r="G3308" s="22">
        <v>0</v>
      </c>
      <c r="H3308">
        <v>0</v>
      </c>
      <c r="I3308" s="19" t="e">
        <f>I3307 + (D3308-G3308)</f>
        <v>#VALUE!</v>
      </c>
      <c r="N3308">
        <v>24</v>
      </c>
      <c r="O3308" t="s">
        <v>68</v>
      </c>
      <c r="P3308">
        <v>2</v>
      </c>
      <c r="R3308">
        <v>1449</v>
      </c>
      <c r="S3308" s="17">
        <v>42157</v>
      </c>
      <c r="T3308" s="17">
        <v>42157</v>
      </c>
      <c r="W3308">
        <v>2015</v>
      </c>
      <c r="X3308">
        <v>24</v>
      </c>
      <c r="AA3308">
        <v>271615</v>
      </c>
      <c r="AC3308" t="s">
        <v>51</v>
      </c>
      <c r="AD3308" t="s">
        <v>302</v>
      </c>
      <c r="AE3308" t="s">
        <v>46</v>
      </c>
      <c r="AG3308">
        <v>56</v>
      </c>
      <c r="AH3308">
        <v>8</v>
      </c>
      <c r="AI3308" t="s">
        <v>52</v>
      </c>
      <c r="AM3308">
        <v>0</v>
      </c>
      <c r="AP3308" t="s">
        <v>59</v>
      </c>
    </row>
    <row r="3309" spans="1:42" customFormat="1">
      <c r="A3309">
        <v>274008</v>
      </c>
      <c r="B3309" t="s">
        <v>219</v>
      </c>
      <c r="C3309" t="s">
        <v>219</v>
      </c>
      <c r="D3309" s="22">
        <v>0</v>
      </c>
      <c r="E3309" s="17">
        <v>42153</v>
      </c>
      <c r="F3309" s="18">
        <v>0.70108796296296294</v>
      </c>
      <c r="G3309" s="22">
        <v>20000</v>
      </c>
      <c r="H3309">
        <v>0</v>
      </c>
      <c r="I3309" s="19" t="e">
        <f>I3308 + (D3309-G3309)</f>
        <v>#VALUE!</v>
      </c>
      <c r="N3309">
        <v>24</v>
      </c>
      <c r="O3309" t="s">
        <v>68</v>
      </c>
      <c r="P3309">
        <v>1</v>
      </c>
      <c r="R3309">
        <v>1449</v>
      </c>
      <c r="S3309" s="17">
        <v>42179</v>
      </c>
      <c r="T3309" s="17">
        <v>42179</v>
      </c>
      <c r="W3309">
        <v>2015</v>
      </c>
      <c r="X3309">
        <v>24</v>
      </c>
      <c r="AC3309" t="s">
        <v>51</v>
      </c>
      <c r="AD3309" t="s">
        <v>302</v>
      </c>
      <c r="AE3309" t="s">
        <v>46</v>
      </c>
      <c r="AG3309">
        <v>5</v>
      </c>
      <c r="AH3309">
        <v>8</v>
      </c>
      <c r="AI3309" t="s">
        <v>52</v>
      </c>
      <c r="AM3309">
        <v>0</v>
      </c>
      <c r="AP3309" t="s">
        <v>312</v>
      </c>
    </row>
    <row r="3310" spans="1:42" customFormat="1">
      <c r="A3310">
        <v>275625</v>
      </c>
      <c r="B3310" t="s">
        <v>494</v>
      </c>
      <c r="C3310" t="s">
        <v>494</v>
      </c>
      <c r="D3310" s="22">
        <v>89537.63</v>
      </c>
      <c r="E3310" s="17">
        <v>42155</v>
      </c>
      <c r="F3310" s="18">
        <v>0.58755787037037044</v>
      </c>
      <c r="G3310" s="22">
        <v>0</v>
      </c>
      <c r="H3310">
        <v>0</v>
      </c>
      <c r="I3310" s="19" t="e">
        <f>I3309 + (D3310-G3310)</f>
        <v>#VALUE!</v>
      </c>
      <c r="N3310">
        <v>7</v>
      </c>
      <c r="O3310" t="s">
        <v>44</v>
      </c>
      <c r="P3310">
        <v>1</v>
      </c>
      <c r="R3310">
        <v>1471</v>
      </c>
      <c r="S3310" s="17">
        <v>42187</v>
      </c>
      <c r="T3310" s="17">
        <v>42187</v>
      </c>
      <c r="W3310">
        <v>2015</v>
      </c>
      <c r="X3310">
        <v>7</v>
      </c>
      <c r="AC3310" t="s">
        <v>109</v>
      </c>
      <c r="AD3310" t="s">
        <v>302</v>
      </c>
      <c r="AE3310" t="s">
        <v>46</v>
      </c>
      <c r="AG3310">
        <v>77</v>
      </c>
      <c r="AH3310">
        <v>9</v>
      </c>
      <c r="AI3310" t="s">
        <v>54</v>
      </c>
      <c r="AM3310">
        <v>0</v>
      </c>
      <c r="AP3310" t="s">
        <v>427</v>
      </c>
    </row>
    <row r="3311" spans="1:42" customFormat="1">
      <c r="A3311">
        <v>274778</v>
      </c>
      <c r="B3311" t="s">
        <v>494</v>
      </c>
      <c r="C3311" t="s">
        <v>494</v>
      </c>
      <c r="D3311" s="22">
        <v>0</v>
      </c>
      <c r="E3311" s="17">
        <v>42155</v>
      </c>
      <c r="F3311" s="18">
        <v>0.6651273148148148</v>
      </c>
      <c r="G3311" s="22">
        <v>7227.06</v>
      </c>
      <c r="H3311">
        <v>0</v>
      </c>
      <c r="I3311" s="19" t="e">
        <f>I3310 + (D3311-G3311)</f>
        <v>#VALUE!</v>
      </c>
      <c r="N3311">
        <v>7</v>
      </c>
      <c r="O3311" t="s">
        <v>44</v>
      </c>
      <c r="P3311">
        <v>1</v>
      </c>
      <c r="R3311">
        <v>1449</v>
      </c>
      <c r="S3311" s="17">
        <v>42185</v>
      </c>
      <c r="T3311" s="17">
        <v>42185</v>
      </c>
      <c r="W3311">
        <v>2015</v>
      </c>
      <c r="X3311">
        <v>7</v>
      </c>
      <c r="AC3311" t="s">
        <v>51</v>
      </c>
      <c r="AD3311" t="s">
        <v>302</v>
      </c>
      <c r="AE3311" t="s">
        <v>46</v>
      </c>
      <c r="AG3311">
        <v>35</v>
      </c>
      <c r="AH3311">
        <v>8</v>
      </c>
      <c r="AI3311" t="s">
        <v>52</v>
      </c>
      <c r="AM3311">
        <v>0</v>
      </c>
      <c r="AP3311" t="s">
        <v>2537</v>
      </c>
    </row>
    <row r="3312" spans="1:42" customFormat="1">
      <c r="A3312">
        <v>275050</v>
      </c>
      <c r="B3312" t="s">
        <v>494</v>
      </c>
      <c r="C3312" t="s">
        <v>494</v>
      </c>
      <c r="D3312" s="22">
        <v>27000</v>
      </c>
      <c r="E3312" s="17">
        <v>42155</v>
      </c>
      <c r="F3312" s="18">
        <v>0.70062500000000005</v>
      </c>
      <c r="G3312" s="22">
        <v>0</v>
      </c>
      <c r="H3312">
        <v>0</v>
      </c>
      <c r="I3312" s="19" t="e">
        <f>I3311 + (D3312-G3312)</f>
        <v>#VALUE!</v>
      </c>
      <c r="N3312">
        <v>7</v>
      </c>
      <c r="O3312" t="s">
        <v>44</v>
      </c>
      <c r="P3312">
        <v>2</v>
      </c>
      <c r="R3312">
        <v>1471</v>
      </c>
      <c r="S3312" s="17">
        <v>42186</v>
      </c>
      <c r="T3312" s="17">
        <v>42186</v>
      </c>
      <c r="W3312">
        <v>2015</v>
      </c>
      <c r="X3312">
        <v>7</v>
      </c>
      <c r="AC3312" t="s">
        <v>109</v>
      </c>
      <c r="AD3312" t="s">
        <v>302</v>
      </c>
      <c r="AE3312" t="s">
        <v>46</v>
      </c>
      <c r="AG3312">
        <v>57</v>
      </c>
      <c r="AH3312">
        <v>8</v>
      </c>
      <c r="AI3312" t="s">
        <v>52</v>
      </c>
      <c r="AM3312">
        <v>0</v>
      </c>
      <c r="AP3312" t="s">
        <v>48</v>
      </c>
    </row>
    <row r="3313" spans="1:42" customFormat="1">
      <c r="A3313">
        <v>275100</v>
      </c>
      <c r="B3313" t="s">
        <v>494</v>
      </c>
      <c r="C3313" t="s">
        <v>494</v>
      </c>
      <c r="D3313" s="22">
        <v>20349.490000000002</v>
      </c>
      <c r="E3313" s="17">
        <v>42155</v>
      </c>
      <c r="F3313" s="18">
        <v>0.71865740740740736</v>
      </c>
      <c r="G3313" s="22">
        <v>0</v>
      </c>
      <c r="H3313">
        <v>0</v>
      </c>
      <c r="I3313" s="19" t="e">
        <f>I3312 + (D3313-G3313)</f>
        <v>#VALUE!</v>
      </c>
      <c r="N3313">
        <v>7</v>
      </c>
      <c r="O3313" t="s">
        <v>44</v>
      </c>
      <c r="P3313">
        <v>1</v>
      </c>
      <c r="R3313">
        <v>1449</v>
      </c>
      <c r="S3313" s="17">
        <v>42186</v>
      </c>
      <c r="T3313" s="17">
        <v>42186</v>
      </c>
      <c r="W3313">
        <v>2015</v>
      </c>
      <c r="X3313">
        <v>7</v>
      </c>
      <c r="AC3313" t="s">
        <v>51</v>
      </c>
      <c r="AD3313" t="s">
        <v>302</v>
      </c>
      <c r="AE3313" t="s">
        <v>46</v>
      </c>
      <c r="AG3313">
        <v>75</v>
      </c>
      <c r="AH3313">
        <v>8</v>
      </c>
      <c r="AI3313" t="s">
        <v>52</v>
      </c>
      <c r="AM3313">
        <v>0</v>
      </c>
      <c r="AP3313" t="s">
        <v>321</v>
      </c>
    </row>
    <row r="3314" spans="1:42" customFormat="1">
      <c r="A3314">
        <v>274836</v>
      </c>
      <c r="B3314" t="s">
        <v>494</v>
      </c>
      <c r="C3314" t="s">
        <v>494</v>
      </c>
      <c r="D3314" s="22">
        <v>0</v>
      </c>
      <c r="E3314" s="17">
        <v>42155</v>
      </c>
      <c r="F3314" s="18">
        <v>0.74523148148148144</v>
      </c>
      <c r="G3314" s="22">
        <v>38269.06</v>
      </c>
      <c r="H3314">
        <v>0</v>
      </c>
      <c r="I3314" s="19" t="e">
        <f>I3313 + (D3314-G3314)</f>
        <v>#VALUE!</v>
      </c>
      <c r="N3314">
        <v>7</v>
      </c>
      <c r="O3314" t="s">
        <v>44</v>
      </c>
      <c r="P3314">
        <v>1</v>
      </c>
      <c r="R3314">
        <v>1449</v>
      </c>
      <c r="S3314" s="17">
        <v>42185</v>
      </c>
      <c r="T3314" s="17">
        <v>42188</v>
      </c>
      <c r="W3314">
        <v>2015</v>
      </c>
      <c r="X3314">
        <v>7</v>
      </c>
      <c r="AC3314" t="s">
        <v>51</v>
      </c>
      <c r="AD3314" t="s">
        <v>302</v>
      </c>
      <c r="AE3314" t="s">
        <v>46</v>
      </c>
      <c r="AG3314">
        <v>56</v>
      </c>
      <c r="AH3314">
        <v>8</v>
      </c>
      <c r="AI3314" t="s">
        <v>52</v>
      </c>
      <c r="AM3314">
        <v>0</v>
      </c>
      <c r="AP3314" t="s">
        <v>59</v>
      </c>
    </row>
    <row r="3315" spans="1:42" customFormat="1">
      <c r="A3315">
        <v>274853</v>
      </c>
      <c r="B3315" t="s">
        <v>494</v>
      </c>
      <c r="C3315" t="s">
        <v>494</v>
      </c>
      <c r="D3315" s="22">
        <v>457140.92</v>
      </c>
      <c r="E3315" s="17">
        <v>42155</v>
      </c>
      <c r="F3315" s="18">
        <v>0.79078703703703701</v>
      </c>
      <c r="G3315" s="22">
        <v>0</v>
      </c>
      <c r="H3315">
        <v>0</v>
      </c>
      <c r="I3315" s="19" t="e">
        <f>I3314 + (D3315-G3315)</f>
        <v>#VALUE!</v>
      </c>
      <c r="N3315">
        <v>7</v>
      </c>
      <c r="O3315" t="s">
        <v>44</v>
      </c>
      <c r="P3315">
        <v>2</v>
      </c>
      <c r="R3315">
        <v>1471</v>
      </c>
      <c r="S3315" s="17">
        <v>42185</v>
      </c>
      <c r="T3315" s="17">
        <v>42185</v>
      </c>
      <c r="W3315">
        <v>2015</v>
      </c>
      <c r="X3315">
        <v>7</v>
      </c>
      <c r="AC3315" t="s">
        <v>109</v>
      </c>
      <c r="AD3315" t="s">
        <v>302</v>
      </c>
      <c r="AE3315" t="s">
        <v>46</v>
      </c>
      <c r="AG3315">
        <v>3</v>
      </c>
      <c r="AH3315">
        <v>8</v>
      </c>
      <c r="AI3315" t="s">
        <v>52</v>
      </c>
      <c r="AM3315">
        <v>0</v>
      </c>
      <c r="AP3315" t="s">
        <v>80</v>
      </c>
    </row>
    <row r="3316" spans="1:42" customFormat="1">
      <c r="A3316">
        <v>274085</v>
      </c>
      <c r="B3316" t="s">
        <v>102</v>
      </c>
      <c r="C3316" t="s">
        <v>3049</v>
      </c>
      <c r="D3316" s="22">
        <v>0</v>
      </c>
      <c r="E3316" s="17">
        <v>42137</v>
      </c>
      <c r="F3316" s="18">
        <v>0.58680555555555558</v>
      </c>
      <c r="G3316" s="22">
        <v>22791</v>
      </c>
      <c r="H3316">
        <v>0</v>
      </c>
      <c r="I3316" s="19" t="e">
        <f>I3315 + (D3316-G3316)</f>
        <v>#VALUE!</v>
      </c>
      <c r="N3316">
        <v>60</v>
      </c>
      <c r="O3316" t="s">
        <v>60</v>
      </c>
      <c r="P3316">
        <v>1</v>
      </c>
      <c r="R3316">
        <v>1533</v>
      </c>
      <c r="S3316" s="17">
        <v>42180</v>
      </c>
      <c r="T3316" s="17">
        <v>42180</v>
      </c>
      <c r="W3316">
        <v>2015</v>
      </c>
      <c r="X3316">
        <v>60</v>
      </c>
      <c r="AC3316" t="s">
        <v>247</v>
      </c>
      <c r="AD3316" t="s">
        <v>301</v>
      </c>
      <c r="AE3316" t="s">
        <v>46</v>
      </c>
      <c r="AG3316">
        <v>52</v>
      </c>
      <c r="AH3316">
        <v>2</v>
      </c>
      <c r="AI3316" t="s">
        <v>50</v>
      </c>
      <c r="AM3316">
        <v>0</v>
      </c>
      <c r="AP3316" t="s">
        <v>325</v>
      </c>
    </row>
    <row r="3317" spans="1:42" customFormat="1">
      <c r="A3317">
        <v>274084</v>
      </c>
      <c r="B3317" t="s">
        <v>4828</v>
      </c>
      <c r="C3317" t="s">
        <v>4829</v>
      </c>
      <c r="D3317" s="22">
        <v>0</v>
      </c>
      <c r="E3317" s="17">
        <v>42150</v>
      </c>
      <c r="F3317" s="18">
        <v>0.58666666666666667</v>
      </c>
      <c r="G3317" s="22">
        <v>22791</v>
      </c>
      <c r="H3317">
        <v>0</v>
      </c>
      <c r="I3317" s="19" t="e">
        <f>I3316 + (D3317-G3317)</f>
        <v>#VALUE!</v>
      </c>
      <c r="M3317">
        <v>122363</v>
      </c>
      <c r="N3317">
        <v>60</v>
      </c>
      <c r="O3317" t="s">
        <v>60</v>
      </c>
      <c r="P3317">
        <v>1</v>
      </c>
      <c r="R3317">
        <v>1533</v>
      </c>
      <c r="S3317" s="17">
        <v>42180</v>
      </c>
      <c r="T3317" s="17">
        <v>42180</v>
      </c>
      <c r="W3317">
        <v>2015</v>
      </c>
      <c r="X3317">
        <v>60</v>
      </c>
      <c r="AC3317" t="s">
        <v>247</v>
      </c>
      <c r="AD3317" t="s">
        <v>301</v>
      </c>
      <c r="AE3317" t="s">
        <v>46</v>
      </c>
      <c r="AG3317">
        <v>52</v>
      </c>
      <c r="AH3317">
        <v>2</v>
      </c>
      <c r="AI3317" t="s">
        <v>50</v>
      </c>
      <c r="AK3317">
        <v>0</v>
      </c>
      <c r="AM3317">
        <v>0</v>
      </c>
      <c r="AP3317" t="s">
        <v>325</v>
      </c>
    </row>
    <row r="3318" spans="1:42" customFormat="1">
      <c r="A3318">
        <v>268584</v>
      </c>
      <c r="B3318" t="s">
        <v>1581</v>
      </c>
      <c r="C3318" t="s">
        <v>1582</v>
      </c>
      <c r="D3318" s="22">
        <v>0</v>
      </c>
      <c r="E3318" s="17">
        <v>42129</v>
      </c>
      <c r="F3318" s="18">
        <v>0.70437500000000008</v>
      </c>
      <c r="G3318" s="22">
        <v>6000</v>
      </c>
      <c r="H3318">
        <v>0</v>
      </c>
      <c r="I3318" s="19" t="e">
        <f>I3317 + (D3318-G3318)</f>
        <v>#VALUE!</v>
      </c>
      <c r="M3318">
        <v>122365</v>
      </c>
      <c r="N3318">
        <v>60</v>
      </c>
      <c r="O3318" t="s">
        <v>60</v>
      </c>
      <c r="P3318">
        <v>1</v>
      </c>
      <c r="R3318">
        <v>1527</v>
      </c>
      <c r="S3318" s="17">
        <v>42130</v>
      </c>
      <c r="T3318" s="17">
        <v>42130</v>
      </c>
      <c r="W3318">
        <v>2015</v>
      </c>
      <c r="X3318">
        <v>60</v>
      </c>
      <c r="AC3318" t="s">
        <v>117</v>
      </c>
      <c r="AD3318" t="s">
        <v>301</v>
      </c>
      <c r="AE3318" t="s">
        <v>46</v>
      </c>
      <c r="AG3318">
        <v>52</v>
      </c>
      <c r="AH3318">
        <v>2</v>
      </c>
      <c r="AI3318" t="s">
        <v>50</v>
      </c>
      <c r="AK3318">
        <v>0</v>
      </c>
      <c r="AM3318">
        <v>0</v>
      </c>
      <c r="AP3318" t="s">
        <v>325</v>
      </c>
    </row>
    <row r="3319" spans="1:42" customFormat="1">
      <c r="A3319">
        <v>270796</v>
      </c>
      <c r="B3319" t="s">
        <v>3851</v>
      </c>
      <c r="C3319" t="s">
        <v>3852</v>
      </c>
      <c r="D3319" s="22">
        <v>0</v>
      </c>
      <c r="E3319" s="17">
        <v>42144</v>
      </c>
      <c r="F3319" s="18">
        <v>0.54372685185185188</v>
      </c>
      <c r="G3319" s="22">
        <v>2212</v>
      </c>
      <c r="H3319">
        <v>0</v>
      </c>
      <c r="I3319" s="19" t="e">
        <f>I3318 + (D3319-G3319)</f>
        <v>#VALUE!</v>
      </c>
      <c r="M3319">
        <v>110565</v>
      </c>
      <c r="N3319">
        <v>24</v>
      </c>
      <c r="O3319" t="s">
        <v>68</v>
      </c>
      <c r="P3319">
        <v>1</v>
      </c>
      <c r="R3319">
        <v>1527</v>
      </c>
      <c r="S3319" s="17">
        <v>42146</v>
      </c>
      <c r="T3319" s="17">
        <v>42146</v>
      </c>
      <c r="W3319">
        <v>2015</v>
      </c>
      <c r="X3319">
        <v>24</v>
      </c>
      <c r="AC3319" t="s">
        <v>117</v>
      </c>
      <c r="AD3319" t="s">
        <v>301</v>
      </c>
      <c r="AE3319" t="s">
        <v>46</v>
      </c>
      <c r="AG3319">
        <v>52</v>
      </c>
      <c r="AH3319">
        <v>2</v>
      </c>
      <c r="AI3319" t="s">
        <v>50</v>
      </c>
      <c r="AK3319">
        <v>0</v>
      </c>
      <c r="AM3319">
        <v>0</v>
      </c>
      <c r="AP3319" t="s">
        <v>325</v>
      </c>
    </row>
    <row r="3320" spans="1:42" customFormat="1">
      <c r="A3320">
        <v>271246</v>
      </c>
      <c r="B3320" t="s">
        <v>4762</v>
      </c>
      <c r="C3320" t="s">
        <v>4763</v>
      </c>
      <c r="D3320" s="22">
        <v>0</v>
      </c>
      <c r="E3320" s="17">
        <v>42150</v>
      </c>
      <c r="F3320" s="18">
        <v>0.44087962962962962</v>
      </c>
      <c r="G3320" s="22">
        <v>99</v>
      </c>
      <c r="H3320">
        <v>0</v>
      </c>
      <c r="I3320" s="19" t="e">
        <f>I3319 + (D3320-G3320)</f>
        <v>#VALUE!</v>
      </c>
      <c r="M3320">
        <v>124256</v>
      </c>
      <c r="N3320">
        <v>24</v>
      </c>
      <c r="O3320" t="s">
        <v>68</v>
      </c>
      <c r="P3320">
        <v>1</v>
      </c>
      <c r="R3320">
        <v>1527</v>
      </c>
      <c r="S3320" s="17">
        <v>42151</v>
      </c>
      <c r="T3320" s="17">
        <v>42151</v>
      </c>
      <c r="W3320">
        <v>2015</v>
      </c>
      <c r="X3320">
        <v>24</v>
      </c>
      <c r="AC3320" t="s">
        <v>117</v>
      </c>
      <c r="AD3320" t="s">
        <v>301</v>
      </c>
      <c r="AE3320" t="s">
        <v>46</v>
      </c>
      <c r="AG3320">
        <v>56</v>
      </c>
      <c r="AH3320">
        <v>1</v>
      </c>
      <c r="AI3320" t="s">
        <v>58</v>
      </c>
      <c r="AK3320">
        <v>0</v>
      </c>
      <c r="AM3320">
        <v>0</v>
      </c>
      <c r="AP3320" t="s">
        <v>59</v>
      </c>
    </row>
    <row r="3321" spans="1:42" customFormat="1">
      <c r="A3321">
        <v>271693</v>
      </c>
      <c r="B3321" t="s">
        <v>5132</v>
      </c>
      <c r="C3321" t="s">
        <v>5133</v>
      </c>
      <c r="D3321" s="22">
        <v>0</v>
      </c>
      <c r="E3321" s="17">
        <v>42152</v>
      </c>
      <c r="F3321" s="18">
        <v>0.5860995370370371</v>
      </c>
      <c r="G3321" s="22">
        <v>18704</v>
      </c>
      <c r="H3321">
        <v>0</v>
      </c>
      <c r="I3321" s="19" t="e">
        <f>I3320 + (D3321-G3321)</f>
        <v>#VALUE!</v>
      </c>
      <c r="M3321">
        <v>115028</v>
      </c>
      <c r="N3321">
        <v>24</v>
      </c>
      <c r="O3321" t="s">
        <v>68</v>
      </c>
      <c r="P3321">
        <v>1</v>
      </c>
      <c r="R3321">
        <v>1527</v>
      </c>
      <c r="S3321" s="17">
        <v>42158</v>
      </c>
      <c r="T3321" s="17">
        <v>42158</v>
      </c>
      <c r="W3321">
        <v>2015</v>
      </c>
      <c r="X3321">
        <v>24</v>
      </c>
      <c r="AC3321" t="s">
        <v>117</v>
      </c>
      <c r="AD3321" t="s">
        <v>301</v>
      </c>
      <c r="AE3321" t="s">
        <v>46</v>
      </c>
      <c r="AG3321">
        <v>52</v>
      </c>
      <c r="AH3321">
        <v>2</v>
      </c>
      <c r="AI3321" t="s">
        <v>50</v>
      </c>
      <c r="AK3321">
        <v>0</v>
      </c>
      <c r="AM3321">
        <v>0</v>
      </c>
      <c r="AP3321" t="s">
        <v>325</v>
      </c>
    </row>
    <row r="3322" spans="1:42" customFormat="1">
      <c r="A3322">
        <v>270077</v>
      </c>
      <c r="B3322" t="s">
        <v>2747</v>
      </c>
      <c r="C3322" t="s">
        <v>2748</v>
      </c>
      <c r="D3322" s="22">
        <v>0</v>
      </c>
      <c r="E3322" s="17">
        <v>42135</v>
      </c>
      <c r="F3322" s="18">
        <v>0.68582175925925926</v>
      </c>
      <c r="G3322" s="22">
        <v>1500</v>
      </c>
      <c r="H3322">
        <v>0</v>
      </c>
      <c r="I3322" s="19" t="e">
        <f>I3321 + (D3322-G3322)</f>
        <v>#VALUE!</v>
      </c>
      <c r="M3322">
        <v>123266</v>
      </c>
      <c r="N3322">
        <v>24</v>
      </c>
      <c r="O3322" t="s">
        <v>68</v>
      </c>
      <c r="P3322">
        <v>1</v>
      </c>
      <c r="R3322">
        <v>1609</v>
      </c>
      <c r="S3322" s="17">
        <v>42139</v>
      </c>
      <c r="T3322" s="17">
        <v>42139</v>
      </c>
      <c r="W3322">
        <v>2015</v>
      </c>
      <c r="X3322">
        <v>24</v>
      </c>
      <c r="AC3322" t="s">
        <v>2749</v>
      </c>
      <c r="AD3322" t="s">
        <v>301</v>
      </c>
      <c r="AE3322" t="s">
        <v>46</v>
      </c>
      <c r="AG3322">
        <v>52</v>
      </c>
      <c r="AH3322">
        <v>2</v>
      </c>
      <c r="AI3322" t="s">
        <v>50</v>
      </c>
      <c r="AK3322">
        <v>0</v>
      </c>
      <c r="AM3322">
        <v>0</v>
      </c>
      <c r="AP3322" t="s">
        <v>325</v>
      </c>
    </row>
    <row r="3323" spans="1:42" customFormat="1">
      <c r="A3323">
        <v>270268</v>
      </c>
      <c r="B3323">
        <v>123575</v>
      </c>
      <c r="C3323" t="s">
        <v>3576</v>
      </c>
      <c r="D3323" s="22">
        <v>0</v>
      </c>
      <c r="E3323" s="17">
        <v>42142</v>
      </c>
      <c r="F3323" s="18">
        <v>0.68803240740740745</v>
      </c>
      <c r="G3323" s="22">
        <v>98.02</v>
      </c>
      <c r="H3323">
        <v>0</v>
      </c>
      <c r="I3323" s="19" t="e">
        <f>I3322 + (D3323-G3323)</f>
        <v>#VALUE!</v>
      </c>
      <c r="M3323">
        <v>123575</v>
      </c>
      <c r="N3323">
        <v>24</v>
      </c>
      <c r="O3323" t="s">
        <v>68</v>
      </c>
      <c r="P3323">
        <v>1</v>
      </c>
      <c r="R3323">
        <v>1531</v>
      </c>
      <c r="S3323" s="17">
        <v>42142</v>
      </c>
      <c r="T3323" s="17">
        <v>42142</v>
      </c>
      <c r="W3323">
        <v>2015</v>
      </c>
      <c r="X3323">
        <v>24</v>
      </c>
      <c r="AC3323" t="s">
        <v>291</v>
      </c>
      <c r="AD3323" t="s">
        <v>301</v>
      </c>
      <c r="AE3323" t="s">
        <v>46</v>
      </c>
      <c r="AG3323">
        <v>4</v>
      </c>
      <c r="AH3323">
        <v>9</v>
      </c>
      <c r="AI3323" t="s">
        <v>54</v>
      </c>
      <c r="AK3323">
        <v>0</v>
      </c>
      <c r="AM3323">
        <v>0</v>
      </c>
      <c r="AP3323" t="s">
        <v>389</v>
      </c>
    </row>
    <row r="3324" spans="1:42" customFormat="1">
      <c r="A3324">
        <v>273093</v>
      </c>
      <c r="B3324" t="s">
        <v>4495</v>
      </c>
      <c r="C3324" t="s">
        <v>4496</v>
      </c>
      <c r="D3324" s="22">
        <v>0</v>
      </c>
      <c r="E3324" s="17">
        <v>42146</v>
      </c>
      <c r="F3324" s="18">
        <v>0.75745370370370368</v>
      </c>
      <c r="G3324" s="22">
        <v>950</v>
      </c>
      <c r="H3324">
        <v>0</v>
      </c>
      <c r="I3324" s="19" t="e">
        <f>I3323 + (D3324-G3324)</f>
        <v>#VALUE!</v>
      </c>
      <c r="M3324">
        <v>124274</v>
      </c>
      <c r="N3324">
        <v>24</v>
      </c>
      <c r="O3324" t="s">
        <v>68</v>
      </c>
      <c r="P3324">
        <v>2</v>
      </c>
      <c r="R3324">
        <v>1587</v>
      </c>
      <c r="S3324" s="17">
        <v>42170</v>
      </c>
      <c r="T3324" s="17">
        <v>42170</v>
      </c>
      <c r="W3324">
        <v>2015</v>
      </c>
      <c r="X3324">
        <v>24</v>
      </c>
      <c r="AC3324" t="s">
        <v>4497</v>
      </c>
      <c r="AD3324" t="s">
        <v>301</v>
      </c>
      <c r="AE3324" t="s">
        <v>46</v>
      </c>
      <c r="AG3324">
        <v>2</v>
      </c>
      <c r="AH3324">
        <v>2</v>
      </c>
      <c r="AI3324" t="s">
        <v>50</v>
      </c>
      <c r="AK3324">
        <v>0</v>
      </c>
      <c r="AM3324">
        <v>0</v>
      </c>
      <c r="AP3324" t="s">
        <v>2544</v>
      </c>
    </row>
    <row r="3325" spans="1:42" customFormat="1">
      <c r="A3325">
        <v>270390</v>
      </c>
      <c r="B3325" t="s">
        <v>2520</v>
      </c>
      <c r="C3325" t="s">
        <v>2521</v>
      </c>
      <c r="D3325" s="22">
        <v>0</v>
      </c>
      <c r="E3325" s="17">
        <v>42135</v>
      </c>
      <c r="F3325" s="18">
        <v>0.4425115740740741</v>
      </c>
      <c r="G3325" s="22">
        <v>28052.5</v>
      </c>
      <c r="H3325">
        <v>0</v>
      </c>
      <c r="I3325" s="19" t="e">
        <f>I3324 + (D3325-G3325)</f>
        <v>#VALUE!</v>
      </c>
      <c r="M3325">
        <v>123644</v>
      </c>
      <c r="N3325">
        <v>24</v>
      </c>
      <c r="O3325" t="s">
        <v>68</v>
      </c>
      <c r="P3325">
        <v>1</v>
      </c>
      <c r="R3325">
        <v>1532</v>
      </c>
      <c r="S3325" s="17">
        <v>42144</v>
      </c>
      <c r="T3325" s="17">
        <v>42144</v>
      </c>
      <c r="W3325">
        <v>2015</v>
      </c>
      <c r="X3325">
        <v>24</v>
      </c>
      <c r="AC3325" t="s">
        <v>137</v>
      </c>
      <c r="AD3325" t="s">
        <v>301</v>
      </c>
      <c r="AE3325" t="s">
        <v>46</v>
      </c>
      <c r="AG3325">
        <v>52</v>
      </c>
      <c r="AH3325">
        <v>2</v>
      </c>
      <c r="AI3325" t="s">
        <v>50</v>
      </c>
      <c r="AK3325">
        <v>0</v>
      </c>
      <c r="AM3325">
        <v>0</v>
      </c>
      <c r="AP3325" t="s">
        <v>325</v>
      </c>
    </row>
    <row r="3326" spans="1:42" customFormat="1">
      <c r="A3326">
        <v>270075</v>
      </c>
      <c r="B3326" t="s">
        <v>2745</v>
      </c>
      <c r="C3326" t="s">
        <v>2746</v>
      </c>
      <c r="D3326" s="22">
        <v>0</v>
      </c>
      <c r="E3326" s="17">
        <v>42135</v>
      </c>
      <c r="F3326" s="18">
        <v>0.68504629629629632</v>
      </c>
      <c r="G3326" s="22">
        <v>15378</v>
      </c>
      <c r="H3326">
        <v>0</v>
      </c>
      <c r="I3326" s="19" t="e">
        <f>I3325 + (D3326-G3326)</f>
        <v>#VALUE!</v>
      </c>
      <c r="M3326">
        <v>122366</v>
      </c>
      <c r="N3326">
        <v>24</v>
      </c>
      <c r="O3326" t="s">
        <v>68</v>
      </c>
      <c r="P3326">
        <v>1</v>
      </c>
      <c r="R3326">
        <v>1532</v>
      </c>
      <c r="S3326" s="17">
        <v>42139</v>
      </c>
      <c r="T3326" s="17">
        <v>42139</v>
      </c>
      <c r="W3326">
        <v>2015</v>
      </c>
      <c r="X3326">
        <v>24</v>
      </c>
      <c r="AC3326" t="s">
        <v>137</v>
      </c>
      <c r="AD3326" t="s">
        <v>301</v>
      </c>
      <c r="AE3326" t="s">
        <v>46</v>
      </c>
      <c r="AG3326">
        <v>52</v>
      </c>
      <c r="AH3326">
        <v>2</v>
      </c>
      <c r="AI3326" t="s">
        <v>50</v>
      </c>
      <c r="AK3326">
        <v>0</v>
      </c>
      <c r="AM3326">
        <v>0</v>
      </c>
      <c r="AP3326" t="s">
        <v>325</v>
      </c>
    </row>
    <row r="3327" spans="1:42" customFormat="1">
      <c r="A3327">
        <v>270392</v>
      </c>
      <c r="B3327" t="s">
        <v>2884</v>
      </c>
      <c r="C3327" t="s">
        <v>2885</v>
      </c>
      <c r="D3327" s="22">
        <v>0</v>
      </c>
      <c r="E3327" s="17">
        <v>42136</v>
      </c>
      <c r="F3327" s="18">
        <v>0.4432638888888889</v>
      </c>
      <c r="G3327" s="22">
        <v>5985</v>
      </c>
      <c r="H3327">
        <v>0</v>
      </c>
      <c r="I3327" s="19" t="e">
        <f>I3326 + (D3327-G3327)</f>
        <v>#VALUE!</v>
      </c>
      <c r="M3327">
        <v>123647</v>
      </c>
      <c r="N3327">
        <v>24</v>
      </c>
      <c r="O3327" t="s">
        <v>68</v>
      </c>
      <c r="P3327">
        <v>1</v>
      </c>
      <c r="R3327">
        <v>1532</v>
      </c>
      <c r="S3327" s="17">
        <v>42144</v>
      </c>
      <c r="T3327" s="17">
        <v>42144</v>
      </c>
      <c r="W3327">
        <v>2015</v>
      </c>
      <c r="X3327">
        <v>24</v>
      </c>
      <c r="AC3327" t="s">
        <v>137</v>
      </c>
      <c r="AD3327" t="s">
        <v>301</v>
      </c>
      <c r="AE3327" t="s">
        <v>46</v>
      </c>
      <c r="AG3327">
        <v>52</v>
      </c>
      <c r="AH3327">
        <v>2</v>
      </c>
      <c r="AI3327" t="s">
        <v>50</v>
      </c>
      <c r="AK3327">
        <v>0</v>
      </c>
      <c r="AM3327">
        <v>0</v>
      </c>
      <c r="AP3327" t="s">
        <v>325</v>
      </c>
    </row>
    <row r="3328" spans="1:42" customFormat="1">
      <c r="A3328">
        <v>270393</v>
      </c>
      <c r="B3328" t="s">
        <v>2886</v>
      </c>
      <c r="C3328" t="s">
        <v>2887</v>
      </c>
      <c r="D3328" s="22">
        <v>0</v>
      </c>
      <c r="E3328" s="17">
        <v>42136</v>
      </c>
      <c r="F3328" s="18">
        <v>0.44349537037037035</v>
      </c>
      <c r="G3328" s="22">
        <v>5670</v>
      </c>
      <c r="H3328">
        <v>0</v>
      </c>
      <c r="I3328" s="19" t="e">
        <f>I3327 + (D3328-G3328)</f>
        <v>#VALUE!</v>
      </c>
      <c r="M3328">
        <v>123646</v>
      </c>
      <c r="N3328">
        <v>24</v>
      </c>
      <c r="O3328" t="s">
        <v>68</v>
      </c>
      <c r="P3328">
        <v>1</v>
      </c>
      <c r="R3328">
        <v>1532</v>
      </c>
      <c r="S3328" s="17">
        <v>42144</v>
      </c>
      <c r="T3328" s="17">
        <v>42144</v>
      </c>
      <c r="W3328">
        <v>2015</v>
      </c>
      <c r="X3328">
        <v>24</v>
      </c>
      <c r="AC3328" t="s">
        <v>137</v>
      </c>
      <c r="AD3328" t="s">
        <v>301</v>
      </c>
      <c r="AE3328" t="s">
        <v>46</v>
      </c>
      <c r="AG3328">
        <v>52</v>
      </c>
      <c r="AH3328">
        <v>2</v>
      </c>
      <c r="AI3328" t="s">
        <v>50</v>
      </c>
      <c r="AK3328">
        <v>0</v>
      </c>
      <c r="AM3328">
        <v>0</v>
      </c>
      <c r="AP3328" t="s">
        <v>325</v>
      </c>
    </row>
    <row r="3329" spans="1:45" customFormat="1">
      <c r="A3329">
        <v>270394</v>
      </c>
      <c r="B3329" t="s">
        <v>2888</v>
      </c>
      <c r="C3329" t="s">
        <v>2889</v>
      </c>
      <c r="D3329" s="22">
        <v>0</v>
      </c>
      <c r="E3329" s="17">
        <v>42136</v>
      </c>
      <c r="F3329" s="18">
        <v>0.44369212962962962</v>
      </c>
      <c r="G3329" s="22">
        <v>4410</v>
      </c>
      <c r="H3329">
        <v>0</v>
      </c>
      <c r="I3329" s="19" t="e">
        <f>I3328 + (D3329-G3329)</f>
        <v>#VALUE!</v>
      </c>
      <c r="M3329">
        <v>123650</v>
      </c>
      <c r="N3329">
        <v>24</v>
      </c>
      <c r="O3329" t="s">
        <v>68</v>
      </c>
      <c r="P3329">
        <v>1</v>
      </c>
      <c r="R3329">
        <v>1532</v>
      </c>
      <c r="S3329" s="17">
        <v>42144</v>
      </c>
      <c r="T3329" s="17">
        <v>42144</v>
      </c>
      <c r="W3329">
        <v>2015</v>
      </c>
      <c r="X3329">
        <v>24</v>
      </c>
      <c r="AC3329" t="s">
        <v>137</v>
      </c>
      <c r="AD3329" t="s">
        <v>301</v>
      </c>
      <c r="AE3329" t="s">
        <v>46</v>
      </c>
      <c r="AG3329">
        <v>52</v>
      </c>
      <c r="AH3329">
        <v>2</v>
      </c>
      <c r="AI3329" t="s">
        <v>50</v>
      </c>
      <c r="AK3329">
        <v>0</v>
      </c>
      <c r="AM3329">
        <v>0</v>
      </c>
      <c r="AP3329" t="s">
        <v>325</v>
      </c>
    </row>
    <row r="3330" spans="1:45" customFormat="1">
      <c r="A3330">
        <v>270395</v>
      </c>
      <c r="B3330" t="s">
        <v>2890</v>
      </c>
      <c r="C3330" t="s">
        <v>2891</v>
      </c>
      <c r="D3330" s="22">
        <v>0</v>
      </c>
      <c r="E3330" s="17">
        <v>42136</v>
      </c>
      <c r="F3330" s="18">
        <v>0.44395833333333329</v>
      </c>
      <c r="G3330" s="22">
        <v>38461.5</v>
      </c>
      <c r="H3330">
        <v>0</v>
      </c>
      <c r="I3330" s="19" t="e">
        <f>I3329 + (D3330-G3330)</f>
        <v>#VALUE!</v>
      </c>
      <c r="M3330">
        <v>123648</v>
      </c>
      <c r="N3330">
        <v>24</v>
      </c>
      <c r="O3330" t="s">
        <v>68</v>
      </c>
      <c r="P3330">
        <v>1</v>
      </c>
      <c r="R3330">
        <v>1532</v>
      </c>
      <c r="S3330" s="17">
        <v>42144</v>
      </c>
      <c r="T3330" s="17">
        <v>42144</v>
      </c>
      <c r="W3330">
        <v>2015</v>
      </c>
      <c r="X3330">
        <v>24</v>
      </c>
      <c r="AC3330" t="s">
        <v>137</v>
      </c>
      <c r="AD3330" t="s">
        <v>301</v>
      </c>
      <c r="AE3330" t="s">
        <v>46</v>
      </c>
      <c r="AG3330">
        <v>52</v>
      </c>
      <c r="AH3330">
        <v>2</v>
      </c>
      <c r="AI3330" t="s">
        <v>50</v>
      </c>
      <c r="AK3330">
        <v>0</v>
      </c>
      <c r="AM3330">
        <v>0</v>
      </c>
      <c r="AP3330" t="s">
        <v>325</v>
      </c>
    </row>
    <row r="3331" spans="1:45" customFormat="1">
      <c r="A3331">
        <v>270403</v>
      </c>
      <c r="B3331" t="s">
        <v>2973</v>
      </c>
      <c r="C3331" t="s">
        <v>2974</v>
      </c>
      <c r="D3331" s="22">
        <v>0</v>
      </c>
      <c r="E3331" s="17">
        <v>42137</v>
      </c>
      <c r="F3331" s="18">
        <v>0.45028935185185182</v>
      </c>
      <c r="G3331" s="22">
        <v>6300</v>
      </c>
      <c r="H3331">
        <v>0</v>
      </c>
      <c r="I3331" s="19" t="e">
        <f>I3330 + (D3331-G3331)</f>
        <v>#VALUE!</v>
      </c>
      <c r="M3331">
        <v>123645</v>
      </c>
      <c r="N3331">
        <v>24</v>
      </c>
      <c r="O3331" t="s">
        <v>68</v>
      </c>
      <c r="P3331">
        <v>1</v>
      </c>
      <c r="R3331">
        <v>1532</v>
      </c>
      <c r="S3331" s="17">
        <v>42144</v>
      </c>
      <c r="T3331" s="17">
        <v>42144</v>
      </c>
      <c r="W3331">
        <v>2015</v>
      </c>
      <c r="X3331">
        <v>24</v>
      </c>
      <c r="AC3331" t="s">
        <v>137</v>
      </c>
      <c r="AD3331" t="s">
        <v>301</v>
      </c>
      <c r="AE3331" t="s">
        <v>46</v>
      </c>
      <c r="AG3331">
        <v>52</v>
      </c>
      <c r="AH3331">
        <v>2</v>
      </c>
      <c r="AI3331" t="s">
        <v>50</v>
      </c>
      <c r="AK3331">
        <v>0</v>
      </c>
      <c r="AM3331">
        <v>0</v>
      </c>
      <c r="AP3331" t="s">
        <v>325</v>
      </c>
    </row>
    <row r="3332" spans="1:45" customFormat="1">
      <c r="A3332">
        <v>270404</v>
      </c>
      <c r="B3332" t="s">
        <v>2975</v>
      </c>
      <c r="C3332" t="s">
        <v>2976</v>
      </c>
      <c r="D3332" s="22">
        <v>0</v>
      </c>
      <c r="E3332" s="17">
        <v>42137</v>
      </c>
      <c r="F3332" s="18">
        <v>0.45046296296296301</v>
      </c>
      <c r="G3332" s="22">
        <v>4000</v>
      </c>
      <c r="H3332">
        <v>0</v>
      </c>
      <c r="I3332" s="19" t="e">
        <f>I3331 + (D3332-G3332)</f>
        <v>#VALUE!</v>
      </c>
      <c r="M3332">
        <v>123649</v>
      </c>
      <c r="N3332">
        <v>24</v>
      </c>
      <c r="O3332" t="s">
        <v>68</v>
      </c>
      <c r="P3332">
        <v>1</v>
      </c>
      <c r="R3332">
        <v>1532</v>
      </c>
      <c r="S3332" s="17">
        <v>42144</v>
      </c>
      <c r="T3332" s="17">
        <v>42144</v>
      </c>
      <c r="W3332">
        <v>2015</v>
      </c>
      <c r="X3332">
        <v>24</v>
      </c>
      <c r="AC3332" t="s">
        <v>137</v>
      </c>
      <c r="AD3332" t="s">
        <v>301</v>
      </c>
      <c r="AE3332" t="s">
        <v>46</v>
      </c>
      <c r="AG3332">
        <v>52</v>
      </c>
      <c r="AH3332">
        <v>2</v>
      </c>
      <c r="AI3332" t="s">
        <v>50</v>
      </c>
      <c r="AK3332">
        <v>0</v>
      </c>
      <c r="AM3332">
        <v>0</v>
      </c>
      <c r="AP3332" t="s">
        <v>325</v>
      </c>
    </row>
    <row r="3333" spans="1:45" customFormat="1">
      <c r="A3333" s="5"/>
      <c r="B3333" s="5"/>
      <c r="C3333" s="10" t="s">
        <v>307</v>
      </c>
      <c r="D3333" s="21">
        <v>-2443537.4200002253</v>
      </c>
      <c r="E3333" s="5"/>
      <c r="F3333" s="5"/>
      <c r="G3333" s="24"/>
      <c r="H3333" s="5"/>
      <c r="I3333" s="7">
        <f>D3333</f>
        <v>-2443537.4200002253</v>
      </c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10" t="s">
        <v>307</v>
      </c>
      <c r="AE3333" s="5"/>
      <c r="AF3333" s="5"/>
      <c r="AG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5"/>
    </row>
    <row r="3334" spans="1:45">
      <c r="E3334" s="3"/>
      <c r="F3334" s="4"/>
      <c r="S3334" s="3"/>
      <c r="T3334" s="3"/>
    </row>
    <row r="3335" spans="1:45">
      <c r="E3335" s="3"/>
      <c r="F3335" s="4"/>
      <c r="S3335" s="3"/>
      <c r="T3335" s="3"/>
    </row>
    <row r="3336" spans="1:45">
      <c r="E3336" s="3"/>
      <c r="F3336" s="4"/>
      <c r="S3336" s="3"/>
      <c r="T3336" s="3"/>
    </row>
    <row r="3337" spans="1:45">
      <c r="E3337" s="3"/>
      <c r="F3337" s="4"/>
      <c r="S3337" s="3"/>
      <c r="T3337" s="3"/>
    </row>
    <row r="3338" spans="1:45">
      <c r="E3338" s="3"/>
      <c r="F3338" s="4"/>
      <c r="S3338" s="3"/>
      <c r="T3338" s="3"/>
    </row>
    <row r="3339" spans="1:45">
      <c r="E3339" s="3"/>
      <c r="F3339" s="4"/>
      <c r="S3339" s="3"/>
      <c r="T3339" s="3"/>
    </row>
    <row r="3340" spans="1:45">
      <c r="E3340" s="3"/>
      <c r="F3340" s="4"/>
      <c r="S3340" s="3"/>
      <c r="T3340" s="3"/>
    </row>
    <row r="3341" spans="1:45">
      <c r="E3341" s="3"/>
      <c r="F3341" s="4"/>
      <c r="S3341" s="3"/>
      <c r="T3341" s="3"/>
    </row>
    <row r="3342" spans="1:45">
      <c r="E3342" s="3"/>
      <c r="F3342" s="4"/>
      <c r="S3342" s="3"/>
      <c r="T3342" s="3"/>
    </row>
    <row r="3343" spans="1:45">
      <c r="E3343" s="3"/>
      <c r="F3343" s="4"/>
      <c r="S3343" s="3"/>
      <c r="T3343" s="3"/>
    </row>
    <row r="3344" spans="1:45">
      <c r="E3344" s="3"/>
      <c r="F3344" s="4"/>
      <c r="S3344" s="3"/>
      <c r="T3344" s="3"/>
    </row>
    <row r="3345" spans="5:20">
      <c r="E3345" s="3"/>
      <c r="F3345" s="4"/>
      <c r="S3345" s="3"/>
      <c r="T3345" s="3"/>
    </row>
    <row r="3346" spans="5:20">
      <c r="E3346" s="3"/>
      <c r="F3346" s="4"/>
      <c r="S3346" s="3"/>
      <c r="T3346" s="3"/>
    </row>
    <row r="3347" spans="5:20">
      <c r="E3347" s="3"/>
      <c r="F3347" s="4"/>
      <c r="S3347" s="3"/>
      <c r="T3347" s="3"/>
    </row>
    <row r="3348" spans="5:20">
      <c r="E3348" s="3"/>
      <c r="F3348" s="4"/>
      <c r="S3348" s="3"/>
      <c r="T3348" s="3"/>
    </row>
    <row r="3349" spans="5:20">
      <c r="E3349" s="3"/>
      <c r="F3349" s="4"/>
      <c r="S3349" s="3"/>
      <c r="T3349" s="3"/>
    </row>
    <row r="3350" spans="5:20">
      <c r="E3350" s="3"/>
      <c r="F3350" s="4"/>
      <c r="S3350" s="3"/>
      <c r="T3350" s="3"/>
    </row>
    <row r="3351" spans="5:20">
      <c r="E3351" s="3"/>
      <c r="F3351" s="4"/>
      <c r="S3351" s="3"/>
      <c r="T3351" s="3"/>
    </row>
    <row r="3352" spans="5:20">
      <c r="E3352" s="3"/>
      <c r="F3352" s="4"/>
      <c r="S3352" s="3"/>
      <c r="T3352" s="3"/>
    </row>
    <row r="3353" spans="5:20">
      <c r="E3353" s="3"/>
      <c r="F3353" s="4"/>
      <c r="S3353" s="3"/>
      <c r="T3353" s="3"/>
    </row>
    <row r="3354" spans="5:20">
      <c r="E3354" s="3"/>
      <c r="F3354" s="4"/>
      <c r="S3354" s="3"/>
      <c r="T3354" s="3"/>
    </row>
    <row r="3355" spans="5:20">
      <c r="E3355" s="3"/>
      <c r="F3355" s="4"/>
      <c r="S3355" s="3"/>
      <c r="T3355" s="3"/>
    </row>
    <row r="3356" spans="5:20">
      <c r="E3356" s="3"/>
      <c r="F3356" s="4"/>
      <c r="S3356" s="3"/>
      <c r="T3356" s="3"/>
    </row>
    <row r="3357" spans="5:20">
      <c r="E3357" s="3"/>
      <c r="F3357" s="4"/>
      <c r="S3357" s="3"/>
      <c r="T3357" s="3"/>
    </row>
    <row r="3358" spans="5:20">
      <c r="E3358" s="3"/>
      <c r="F3358" s="4"/>
      <c r="S3358" s="3"/>
      <c r="T3358" s="3"/>
    </row>
    <row r="3359" spans="5:20">
      <c r="E3359" s="3"/>
      <c r="F3359" s="4"/>
      <c r="S3359" s="3"/>
      <c r="T3359" s="3"/>
    </row>
    <row r="3360" spans="5:20">
      <c r="E3360" s="3"/>
      <c r="F3360" s="4"/>
      <c r="S3360" s="3"/>
      <c r="T3360" s="3"/>
    </row>
    <row r="3361" spans="5:20">
      <c r="E3361" s="3"/>
      <c r="F3361" s="4"/>
      <c r="S3361" s="3"/>
      <c r="T3361" s="3"/>
    </row>
    <row r="3362" spans="5:20">
      <c r="E3362" s="3"/>
      <c r="F3362" s="4"/>
      <c r="S3362" s="3"/>
      <c r="T3362" s="3"/>
    </row>
    <row r="3363" spans="5:20">
      <c r="E3363" s="3"/>
      <c r="F3363" s="4"/>
      <c r="S3363" s="3"/>
      <c r="T3363" s="3"/>
    </row>
    <row r="3364" spans="5:20">
      <c r="E3364" s="3"/>
      <c r="F3364" s="4"/>
      <c r="S3364" s="3"/>
      <c r="T3364" s="3"/>
    </row>
    <row r="3365" spans="5:20">
      <c r="E3365" s="3"/>
      <c r="F3365" s="4"/>
      <c r="S3365" s="3"/>
      <c r="T3365" s="3"/>
    </row>
    <row r="3366" spans="5:20">
      <c r="E3366" s="3"/>
      <c r="F3366" s="4"/>
      <c r="S3366" s="3"/>
      <c r="T3366" s="3"/>
    </row>
    <row r="3367" spans="5:20">
      <c r="E3367" s="3"/>
      <c r="F3367" s="4"/>
      <c r="S3367" s="3"/>
      <c r="T3367" s="3"/>
    </row>
    <row r="3368" spans="5:20">
      <c r="E3368" s="3"/>
      <c r="F3368" s="4"/>
      <c r="S3368" s="3"/>
      <c r="T3368" s="3"/>
    </row>
    <row r="3369" spans="5:20">
      <c r="E3369" s="3"/>
      <c r="F3369" s="4"/>
      <c r="S3369" s="3"/>
      <c r="T3369" s="3"/>
    </row>
    <row r="3370" spans="5:20">
      <c r="E3370" s="3"/>
      <c r="F3370" s="4"/>
      <c r="S3370" s="3"/>
      <c r="T3370" s="3"/>
    </row>
    <row r="3371" spans="5:20">
      <c r="E3371" s="3"/>
      <c r="F3371" s="4"/>
      <c r="S3371" s="3"/>
      <c r="T3371" s="3"/>
    </row>
    <row r="3372" spans="5:20">
      <c r="E3372" s="3"/>
      <c r="F3372" s="4"/>
      <c r="S3372" s="3"/>
      <c r="T3372" s="3"/>
    </row>
    <row r="3373" spans="5:20">
      <c r="E3373" s="3"/>
      <c r="F3373" s="4"/>
      <c r="S3373" s="3"/>
      <c r="T3373" s="3"/>
    </row>
    <row r="3374" spans="5:20">
      <c r="E3374" s="3"/>
      <c r="F3374" s="4"/>
      <c r="S3374" s="3"/>
      <c r="T3374" s="3"/>
    </row>
    <row r="3375" spans="5:20">
      <c r="E3375" s="3"/>
      <c r="F3375" s="4"/>
      <c r="S3375" s="3"/>
      <c r="T3375" s="3"/>
    </row>
    <row r="3376" spans="5:20">
      <c r="E3376" s="3"/>
      <c r="F3376" s="4"/>
      <c r="S3376" s="3"/>
      <c r="T3376" s="3"/>
    </row>
    <row r="3377" spans="5:20">
      <c r="E3377" s="3"/>
      <c r="F3377" s="4"/>
      <c r="S3377" s="3"/>
      <c r="T3377" s="3"/>
    </row>
    <row r="3378" spans="5:20">
      <c r="E3378" s="3"/>
      <c r="F3378" s="4"/>
      <c r="S3378" s="3"/>
      <c r="T3378" s="3"/>
    </row>
    <row r="3379" spans="5:20">
      <c r="E3379" s="3"/>
      <c r="F3379" s="4"/>
      <c r="S3379" s="3"/>
      <c r="T3379" s="3"/>
    </row>
    <row r="3380" spans="5:20">
      <c r="E3380" s="3"/>
      <c r="F3380" s="4"/>
      <c r="S3380" s="3"/>
      <c r="T3380" s="3"/>
    </row>
    <row r="3381" spans="5:20">
      <c r="E3381" s="3"/>
      <c r="F3381" s="4"/>
      <c r="S3381" s="3"/>
      <c r="T3381" s="3"/>
    </row>
    <row r="3382" spans="5:20">
      <c r="E3382" s="3"/>
      <c r="F3382" s="4"/>
      <c r="S3382" s="3"/>
      <c r="T3382" s="3"/>
    </row>
    <row r="3383" spans="5:20">
      <c r="E3383" s="3"/>
      <c r="F3383" s="4"/>
      <c r="S3383" s="3"/>
      <c r="T3383" s="3"/>
    </row>
    <row r="3384" spans="5:20">
      <c r="E3384" s="3"/>
      <c r="F3384" s="4"/>
      <c r="S3384" s="3"/>
      <c r="T3384" s="3"/>
    </row>
    <row r="3385" spans="5:20">
      <c r="E3385" s="3"/>
      <c r="F3385" s="4"/>
      <c r="S3385" s="3"/>
      <c r="T3385" s="3"/>
    </row>
    <row r="3386" spans="5:20">
      <c r="E3386" s="3"/>
      <c r="F3386" s="4"/>
      <c r="S3386" s="3"/>
      <c r="T3386" s="3"/>
    </row>
    <row r="3387" spans="5:20">
      <c r="E3387" s="3"/>
      <c r="F3387" s="4"/>
      <c r="S3387" s="3"/>
      <c r="T3387" s="3"/>
    </row>
    <row r="3388" spans="5:20">
      <c r="E3388" s="3"/>
      <c r="F3388" s="4"/>
      <c r="S3388" s="3"/>
      <c r="T3388" s="3"/>
    </row>
    <row r="3389" spans="5:20">
      <c r="E3389" s="3"/>
      <c r="F3389" s="4"/>
      <c r="S3389" s="3"/>
      <c r="T3389" s="3"/>
    </row>
    <row r="3390" spans="5:20">
      <c r="E3390" s="3"/>
      <c r="F3390" s="4"/>
      <c r="S3390" s="3"/>
      <c r="T3390" s="3"/>
    </row>
    <row r="3391" spans="5:20">
      <c r="E3391" s="3"/>
      <c r="F3391" s="4"/>
      <c r="S3391" s="3"/>
      <c r="T3391" s="3"/>
    </row>
    <row r="3392" spans="5:20">
      <c r="E3392" s="3"/>
      <c r="F3392" s="4"/>
      <c r="S3392" s="3"/>
      <c r="T3392" s="3"/>
    </row>
    <row r="3393" spans="5:20">
      <c r="E3393" s="3"/>
      <c r="F3393" s="4"/>
      <c r="S3393" s="3"/>
      <c r="T3393" s="3"/>
    </row>
    <row r="3394" spans="5:20">
      <c r="E3394" s="3"/>
      <c r="F3394" s="4"/>
      <c r="S3394" s="3"/>
      <c r="T3394" s="3"/>
    </row>
    <row r="3395" spans="5:20">
      <c r="E3395" s="3"/>
      <c r="F3395" s="4"/>
      <c r="S3395" s="3"/>
      <c r="T3395" s="3"/>
    </row>
    <row r="3396" spans="5:20">
      <c r="E3396" s="3"/>
      <c r="F3396" s="4"/>
      <c r="S3396" s="3"/>
      <c r="T3396" s="3"/>
    </row>
    <row r="3397" spans="5:20">
      <c r="E3397" s="3"/>
      <c r="F3397" s="4"/>
      <c r="S3397" s="3"/>
      <c r="T3397" s="3"/>
    </row>
    <row r="3398" spans="5:20">
      <c r="E3398" s="3"/>
      <c r="F3398" s="4"/>
      <c r="S3398" s="3"/>
      <c r="T3398" s="3"/>
    </row>
    <row r="3399" spans="5:20">
      <c r="E3399" s="3"/>
      <c r="F3399" s="4"/>
      <c r="S3399" s="3"/>
      <c r="T3399" s="3"/>
    </row>
    <row r="3400" spans="5:20">
      <c r="E3400" s="3"/>
      <c r="F3400" s="4"/>
      <c r="S3400" s="3"/>
      <c r="T3400" s="3"/>
    </row>
    <row r="3401" spans="5:20">
      <c r="E3401" s="3"/>
      <c r="F3401" s="4"/>
      <c r="S3401" s="3"/>
      <c r="T3401" s="3"/>
    </row>
    <row r="3402" spans="5:20">
      <c r="E3402" s="3"/>
      <c r="F3402" s="4"/>
      <c r="S3402" s="3"/>
      <c r="T3402" s="3"/>
    </row>
    <row r="3403" spans="5:20">
      <c r="E3403" s="3"/>
      <c r="F3403" s="4"/>
      <c r="S3403" s="3"/>
      <c r="T3403" s="3"/>
    </row>
    <row r="3404" spans="5:20">
      <c r="E3404" s="3"/>
      <c r="F3404" s="4"/>
      <c r="S3404" s="3"/>
      <c r="T3404" s="3"/>
    </row>
    <row r="3405" spans="5:20">
      <c r="E3405" s="3"/>
      <c r="F3405" s="4"/>
      <c r="S3405" s="3"/>
      <c r="T3405" s="3"/>
    </row>
    <row r="3406" spans="5:20">
      <c r="E3406" s="3"/>
      <c r="F3406" s="4"/>
      <c r="S3406" s="3"/>
      <c r="T3406" s="3"/>
    </row>
    <row r="3407" spans="5:20">
      <c r="E3407" s="3"/>
      <c r="F3407" s="4"/>
      <c r="S3407" s="3"/>
      <c r="T3407" s="3"/>
    </row>
    <row r="3408" spans="5:20">
      <c r="E3408" s="3"/>
      <c r="F3408" s="4"/>
      <c r="S3408" s="3"/>
      <c r="T3408" s="3"/>
    </row>
    <row r="3409" spans="5:20">
      <c r="E3409" s="3"/>
      <c r="F3409" s="4"/>
      <c r="S3409" s="3"/>
      <c r="T3409" s="3"/>
    </row>
    <row r="3410" spans="5:20">
      <c r="E3410" s="3"/>
      <c r="F3410" s="4"/>
      <c r="S3410" s="3"/>
      <c r="T3410" s="3"/>
    </row>
    <row r="3411" spans="5:20">
      <c r="E3411" s="3"/>
      <c r="F3411" s="4"/>
      <c r="S3411" s="3"/>
      <c r="T3411" s="3"/>
    </row>
    <row r="3412" spans="5:20">
      <c r="E3412" s="3"/>
      <c r="F3412" s="4"/>
      <c r="S3412" s="3"/>
      <c r="T3412" s="3"/>
    </row>
    <row r="3413" spans="5:20">
      <c r="E3413" s="3"/>
      <c r="F3413" s="4"/>
      <c r="S3413" s="3"/>
      <c r="T3413" s="3"/>
    </row>
    <row r="3414" spans="5:20">
      <c r="E3414" s="3"/>
      <c r="F3414" s="4"/>
      <c r="S3414" s="3"/>
      <c r="T3414" s="3"/>
    </row>
    <row r="3415" spans="5:20">
      <c r="E3415" s="3"/>
      <c r="F3415" s="4"/>
      <c r="S3415" s="3"/>
      <c r="T3415" s="3"/>
    </row>
    <row r="3416" spans="5:20">
      <c r="E3416" s="3"/>
      <c r="F3416" s="4"/>
      <c r="S3416" s="3"/>
      <c r="T3416" s="3"/>
    </row>
    <row r="3417" spans="5:20">
      <c r="E3417" s="3"/>
      <c r="F3417" s="4"/>
      <c r="S3417" s="3"/>
      <c r="T3417" s="3"/>
    </row>
    <row r="3418" spans="5:20">
      <c r="E3418" s="3"/>
      <c r="F3418" s="4"/>
      <c r="S3418" s="3"/>
      <c r="T3418" s="3"/>
    </row>
    <row r="3419" spans="5:20">
      <c r="E3419" s="3"/>
      <c r="F3419" s="4"/>
      <c r="S3419" s="3"/>
      <c r="T3419" s="3"/>
    </row>
    <row r="3420" spans="5:20">
      <c r="E3420" s="3"/>
      <c r="F3420" s="4"/>
      <c r="S3420" s="3"/>
      <c r="T3420" s="3"/>
    </row>
    <row r="3421" spans="5:20">
      <c r="E3421" s="3"/>
      <c r="F3421" s="4"/>
      <c r="S3421" s="3"/>
      <c r="T3421" s="3"/>
    </row>
    <row r="3422" spans="5:20">
      <c r="E3422" s="3"/>
      <c r="F3422" s="4"/>
      <c r="S3422" s="3"/>
      <c r="T3422" s="3"/>
    </row>
    <row r="3423" spans="5:20">
      <c r="E3423" s="3"/>
      <c r="F3423" s="4"/>
      <c r="S3423" s="3"/>
      <c r="T3423" s="3"/>
    </row>
    <row r="3424" spans="5:20">
      <c r="E3424" s="3"/>
      <c r="F3424" s="4"/>
      <c r="S3424" s="3"/>
      <c r="T3424" s="3"/>
    </row>
    <row r="3425" spans="5:20">
      <c r="E3425" s="3"/>
      <c r="F3425" s="4"/>
      <c r="S3425" s="3"/>
      <c r="T3425" s="3"/>
    </row>
    <row r="3426" spans="5:20">
      <c r="E3426" s="3"/>
      <c r="F3426" s="4"/>
      <c r="S3426" s="3"/>
      <c r="T3426" s="3"/>
    </row>
    <row r="3427" spans="5:20">
      <c r="E3427" s="3"/>
      <c r="F3427" s="4"/>
      <c r="S3427" s="3"/>
      <c r="T3427" s="3"/>
    </row>
    <row r="3428" spans="5:20">
      <c r="E3428" s="3"/>
      <c r="F3428" s="4"/>
      <c r="S3428" s="3"/>
      <c r="T3428" s="3"/>
    </row>
    <row r="3429" spans="5:20">
      <c r="E3429" s="3"/>
      <c r="F3429" s="4"/>
      <c r="S3429" s="3"/>
      <c r="T3429" s="3"/>
    </row>
    <row r="3430" spans="5:20">
      <c r="E3430" s="3"/>
      <c r="F3430" s="4"/>
      <c r="S3430" s="3"/>
      <c r="T3430" s="3"/>
    </row>
    <row r="3431" spans="5:20">
      <c r="E3431" s="3"/>
      <c r="F3431" s="4"/>
      <c r="S3431" s="3"/>
      <c r="T3431" s="3"/>
    </row>
    <row r="3432" spans="5:20">
      <c r="E3432" s="3"/>
      <c r="F3432" s="4"/>
      <c r="S3432" s="3"/>
      <c r="T3432" s="3"/>
    </row>
    <row r="3433" spans="5:20">
      <c r="E3433" s="3"/>
      <c r="F3433" s="4"/>
      <c r="S3433" s="3"/>
      <c r="T3433" s="3"/>
    </row>
    <row r="3434" spans="5:20">
      <c r="E3434" s="3"/>
      <c r="F3434" s="4"/>
      <c r="S3434" s="3"/>
      <c r="T3434" s="3"/>
    </row>
    <row r="3435" spans="5:20">
      <c r="E3435" s="3"/>
      <c r="F3435" s="4"/>
      <c r="S3435" s="3"/>
      <c r="T3435" s="3"/>
    </row>
    <row r="3436" spans="5:20">
      <c r="E3436" s="3"/>
      <c r="F3436" s="4"/>
      <c r="S3436" s="3"/>
      <c r="T3436" s="3"/>
    </row>
    <row r="3437" spans="5:20">
      <c r="E3437" s="3"/>
      <c r="F3437" s="4"/>
      <c r="S3437" s="3"/>
      <c r="T3437" s="3"/>
    </row>
    <row r="3438" spans="5:20">
      <c r="E3438" s="3"/>
      <c r="F3438" s="4"/>
      <c r="S3438" s="3"/>
      <c r="T3438" s="3"/>
    </row>
    <row r="3439" spans="5:20">
      <c r="E3439" s="3"/>
      <c r="F3439" s="4"/>
      <c r="S3439" s="3"/>
      <c r="T3439" s="3"/>
    </row>
    <row r="3440" spans="5:20">
      <c r="E3440" s="3"/>
      <c r="F3440" s="4"/>
      <c r="S3440" s="3"/>
      <c r="T3440" s="3"/>
    </row>
    <row r="3441" spans="5:20">
      <c r="E3441" s="3"/>
      <c r="F3441" s="4"/>
      <c r="S3441" s="3"/>
      <c r="T3441" s="3"/>
    </row>
    <row r="3442" spans="5:20">
      <c r="E3442" s="3"/>
      <c r="F3442" s="4"/>
      <c r="S3442" s="3"/>
      <c r="T3442" s="3"/>
    </row>
    <row r="3443" spans="5:20">
      <c r="E3443" s="3"/>
      <c r="F3443" s="4"/>
      <c r="S3443" s="3"/>
      <c r="T3443" s="3"/>
    </row>
    <row r="3444" spans="5:20">
      <c r="E3444" s="3"/>
      <c r="F3444" s="4"/>
      <c r="S3444" s="3"/>
      <c r="T3444" s="3"/>
    </row>
    <row r="3445" spans="5:20">
      <c r="E3445" s="3"/>
      <c r="F3445" s="4"/>
      <c r="S3445" s="3"/>
      <c r="T3445" s="3"/>
    </row>
    <row r="3446" spans="5:20">
      <c r="E3446" s="3"/>
      <c r="F3446" s="4"/>
      <c r="S3446" s="3"/>
      <c r="T3446" s="3"/>
    </row>
    <row r="3447" spans="5:20">
      <c r="E3447" s="3"/>
      <c r="F3447" s="4"/>
      <c r="S3447" s="3"/>
      <c r="T3447" s="3"/>
    </row>
    <row r="3448" spans="5:20">
      <c r="E3448" s="3"/>
      <c r="F3448" s="4"/>
      <c r="S3448" s="3"/>
      <c r="T3448" s="3"/>
    </row>
    <row r="3449" spans="5:20">
      <c r="E3449" s="3"/>
      <c r="F3449" s="4"/>
      <c r="S3449" s="3"/>
      <c r="T3449" s="3"/>
    </row>
    <row r="3450" spans="5:20">
      <c r="E3450" s="3"/>
      <c r="F3450" s="4"/>
      <c r="S3450" s="3"/>
      <c r="T3450" s="3"/>
    </row>
    <row r="3451" spans="5:20">
      <c r="E3451" s="3"/>
      <c r="F3451" s="4"/>
      <c r="S3451" s="3"/>
      <c r="T3451" s="3"/>
    </row>
    <row r="3452" spans="5:20">
      <c r="E3452" s="3"/>
      <c r="F3452" s="4"/>
      <c r="S3452" s="3"/>
      <c r="T3452" s="3"/>
    </row>
    <row r="3453" spans="5:20">
      <c r="E3453" s="3"/>
      <c r="F3453" s="4"/>
      <c r="S3453" s="3"/>
      <c r="T3453" s="3"/>
    </row>
    <row r="3454" spans="5:20">
      <c r="E3454" s="3"/>
      <c r="F3454" s="4"/>
      <c r="S3454" s="3"/>
      <c r="T3454" s="3"/>
    </row>
    <row r="3455" spans="5:20">
      <c r="E3455" s="3"/>
      <c r="F3455" s="4"/>
      <c r="S3455" s="3"/>
      <c r="T3455" s="3"/>
    </row>
    <row r="3456" spans="5:20">
      <c r="E3456" s="3"/>
      <c r="F3456" s="4"/>
      <c r="S3456" s="3"/>
      <c r="T3456" s="3"/>
    </row>
    <row r="3457" spans="5:20">
      <c r="E3457" s="3"/>
      <c r="F3457" s="4"/>
      <c r="S3457" s="3"/>
      <c r="T3457" s="3"/>
    </row>
    <row r="3458" spans="5:20">
      <c r="E3458" s="3"/>
      <c r="F3458" s="4"/>
      <c r="S3458" s="3"/>
      <c r="T3458" s="3"/>
    </row>
    <row r="3459" spans="5:20">
      <c r="E3459" s="3"/>
      <c r="F3459" s="4"/>
      <c r="S3459" s="3"/>
      <c r="T3459" s="3"/>
    </row>
    <row r="3460" spans="5:20">
      <c r="E3460" s="3"/>
      <c r="F3460" s="4"/>
      <c r="S3460" s="3"/>
      <c r="T3460" s="3"/>
    </row>
    <row r="3461" spans="5:20">
      <c r="E3461" s="3"/>
      <c r="F3461" s="4"/>
      <c r="S3461" s="3"/>
      <c r="T3461" s="3"/>
    </row>
    <row r="3462" spans="5:20">
      <c r="E3462" s="3"/>
      <c r="F3462" s="4"/>
      <c r="S3462" s="3"/>
      <c r="T3462" s="3"/>
    </row>
    <row r="3463" spans="5:20">
      <c r="E3463" s="3"/>
      <c r="F3463" s="4"/>
      <c r="S3463" s="3"/>
      <c r="T3463" s="3"/>
    </row>
    <row r="3464" spans="5:20">
      <c r="E3464" s="3"/>
      <c r="F3464" s="4"/>
      <c r="S3464" s="3"/>
      <c r="T3464" s="3"/>
    </row>
    <row r="3465" spans="5:20">
      <c r="E3465" s="3"/>
      <c r="F3465" s="4"/>
      <c r="S3465" s="3"/>
      <c r="T3465" s="3"/>
    </row>
    <row r="3466" spans="5:20">
      <c r="E3466" s="3"/>
      <c r="F3466" s="4"/>
      <c r="S3466" s="3"/>
      <c r="T3466" s="3"/>
    </row>
    <row r="3467" spans="5:20">
      <c r="E3467" s="3"/>
      <c r="F3467" s="4"/>
      <c r="S3467" s="3"/>
      <c r="T3467" s="3"/>
    </row>
    <row r="3468" spans="5:20">
      <c r="E3468" s="3"/>
      <c r="F3468" s="4"/>
      <c r="S3468" s="3"/>
      <c r="T3468" s="3"/>
    </row>
    <row r="3469" spans="5:20">
      <c r="E3469" s="3"/>
      <c r="F3469" s="4"/>
      <c r="S3469" s="3"/>
      <c r="T3469" s="3"/>
    </row>
    <row r="3470" spans="5:20">
      <c r="E3470" s="3"/>
      <c r="F3470" s="4"/>
      <c r="S3470" s="3"/>
      <c r="T3470" s="3"/>
    </row>
    <row r="3471" spans="5:20">
      <c r="E3471" s="3"/>
      <c r="F3471" s="4"/>
      <c r="S3471" s="3"/>
      <c r="T3471" s="3"/>
    </row>
    <row r="3472" spans="5:20">
      <c r="E3472" s="3"/>
      <c r="F3472" s="4"/>
      <c r="S3472" s="3"/>
      <c r="T3472" s="3"/>
    </row>
    <row r="3473" spans="5:20">
      <c r="E3473" s="3"/>
      <c r="F3473" s="4"/>
      <c r="S3473" s="3"/>
      <c r="T3473" s="3"/>
    </row>
    <row r="3474" spans="5:20">
      <c r="E3474" s="3"/>
      <c r="F3474" s="4"/>
      <c r="S3474" s="3"/>
      <c r="T3474" s="3"/>
    </row>
    <row r="3475" spans="5:20">
      <c r="E3475" s="3"/>
      <c r="F3475" s="4"/>
      <c r="S3475" s="3"/>
      <c r="T3475" s="3"/>
    </row>
    <row r="3476" spans="5:20">
      <c r="E3476" s="3"/>
      <c r="F3476" s="4"/>
      <c r="S3476" s="3"/>
      <c r="T3476" s="3"/>
    </row>
    <row r="3477" spans="5:20">
      <c r="E3477" s="3"/>
      <c r="F3477" s="4"/>
      <c r="S3477" s="3"/>
      <c r="T3477" s="3"/>
    </row>
    <row r="3478" spans="5:20">
      <c r="E3478" s="3"/>
      <c r="F3478" s="4"/>
      <c r="S3478" s="3"/>
      <c r="T3478" s="3"/>
    </row>
    <row r="3479" spans="5:20">
      <c r="E3479" s="3"/>
      <c r="F3479" s="4"/>
      <c r="S3479" s="3"/>
      <c r="T3479" s="3"/>
    </row>
    <row r="3480" spans="5:20">
      <c r="E3480" s="3"/>
      <c r="F3480" s="4"/>
      <c r="S3480" s="3"/>
      <c r="T3480" s="3"/>
    </row>
    <row r="3481" spans="5:20">
      <c r="E3481" s="3"/>
      <c r="F3481" s="4"/>
      <c r="S3481" s="3"/>
      <c r="T3481" s="3"/>
    </row>
    <row r="3482" spans="5:20">
      <c r="E3482" s="3"/>
      <c r="F3482" s="4"/>
      <c r="S3482" s="3"/>
      <c r="T3482" s="3"/>
    </row>
    <row r="3483" spans="5:20">
      <c r="E3483" s="3"/>
      <c r="F3483" s="4"/>
      <c r="S3483" s="3"/>
      <c r="T3483" s="3"/>
    </row>
    <row r="3484" spans="5:20">
      <c r="E3484" s="3"/>
      <c r="F3484" s="4"/>
      <c r="S3484" s="3"/>
      <c r="T3484" s="3"/>
    </row>
    <row r="3485" spans="5:20">
      <c r="E3485" s="3"/>
      <c r="F3485" s="4"/>
      <c r="S3485" s="3"/>
      <c r="T3485" s="3"/>
    </row>
    <row r="3486" spans="5:20">
      <c r="E3486" s="3"/>
      <c r="F3486" s="4"/>
      <c r="S3486" s="3"/>
      <c r="T3486" s="3"/>
    </row>
    <row r="3487" spans="5:20">
      <c r="E3487" s="3"/>
      <c r="F3487" s="4"/>
      <c r="S3487" s="3"/>
      <c r="T3487" s="3"/>
    </row>
    <row r="3488" spans="5:20">
      <c r="E3488" s="3"/>
      <c r="F3488" s="4"/>
      <c r="S3488" s="3"/>
      <c r="T3488" s="3"/>
    </row>
    <row r="3489" spans="5:20">
      <c r="E3489" s="3"/>
      <c r="F3489" s="4"/>
      <c r="S3489" s="3"/>
      <c r="T3489" s="3"/>
    </row>
    <row r="3490" spans="5:20">
      <c r="E3490" s="3"/>
      <c r="F3490" s="4"/>
      <c r="S3490" s="3"/>
      <c r="T3490" s="3"/>
    </row>
    <row r="3491" spans="5:20">
      <c r="E3491" s="3"/>
      <c r="F3491" s="4"/>
      <c r="S3491" s="3"/>
      <c r="T3491" s="3"/>
    </row>
    <row r="3492" spans="5:20">
      <c r="E3492" s="3"/>
      <c r="F3492" s="4"/>
      <c r="S3492" s="3"/>
      <c r="T3492" s="3"/>
    </row>
    <row r="3493" spans="5:20">
      <c r="E3493" s="3"/>
      <c r="F3493" s="4"/>
      <c r="S3493" s="3"/>
      <c r="T3493" s="3"/>
    </row>
    <row r="3494" spans="5:20">
      <c r="E3494" s="3"/>
      <c r="F3494" s="4"/>
      <c r="S3494" s="3"/>
      <c r="T3494" s="3"/>
    </row>
    <row r="3495" spans="5:20">
      <c r="E3495" s="3"/>
      <c r="F3495" s="4"/>
      <c r="S3495" s="3"/>
      <c r="T3495" s="3"/>
    </row>
    <row r="3496" spans="5:20">
      <c r="E3496" s="3"/>
      <c r="F3496" s="4"/>
      <c r="S3496" s="3"/>
      <c r="T3496" s="3"/>
    </row>
    <row r="3497" spans="5:20">
      <c r="E3497" s="3"/>
      <c r="F3497" s="4"/>
      <c r="S3497" s="3"/>
      <c r="T3497" s="3"/>
    </row>
    <row r="3498" spans="5:20">
      <c r="E3498" s="3"/>
      <c r="F3498" s="4"/>
      <c r="S3498" s="3"/>
      <c r="T3498" s="3"/>
    </row>
    <row r="3499" spans="5:20">
      <c r="E3499" s="3"/>
      <c r="F3499" s="4"/>
      <c r="S3499" s="3"/>
      <c r="T3499" s="3"/>
    </row>
    <row r="3500" spans="5:20">
      <c r="E3500" s="3"/>
      <c r="F3500" s="4"/>
      <c r="S3500" s="3"/>
      <c r="T3500" s="3"/>
    </row>
    <row r="3501" spans="5:20">
      <c r="E3501" s="3"/>
      <c r="F3501" s="4"/>
      <c r="S3501" s="3"/>
      <c r="T3501" s="3"/>
    </row>
    <row r="3502" spans="5:20">
      <c r="E3502" s="3"/>
      <c r="F3502" s="4"/>
      <c r="S3502" s="3"/>
      <c r="T3502" s="3"/>
    </row>
    <row r="3503" spans="5:20">
      <c r="E3503" s="3"/>
      <c r="F3503" s="4"/>
      <c r="S3503" s="3"/>
      <c r="T3503" s="3"/>
    </row>
    <row r="3504" spans="5:20">
      <c r="E3504" s="3"/>
      <c r="F3504" s="4"/>
      <c r="S3504" s="3"/>
      <c r="T3504" s="3"/>
    </row>
    <row r="3505" spans="5:20">
      <c r="E3505" s="3"/>
      <c r="F3505" s="4"/>
      <c r="S3505" s="3"/>
      <c r="T3505" s="3"/>
    </row>
    <row r="3506" spans="5:20">
      <c r="E3506" s="3"/>
      <c r="F3506" s="4"/>
      <c r="S3506" s="3"/>
      <c r="T3506" s="3"/>
    </row>
    <row r="3507" spans="5:20">
      <c r="E3507" s="3"/>
      <c r="F3507" s="4"/>
      <c r="S3507" s="3"/>
      <c r="T3507" s="3"/>
    </row>
    <row r="3508" spans="5:20">
      <c r="E3508" s="3"/>
      <c r="F3508" s="4"/>
      <c r="S3508" s="3"/>
      <c r="T3508" s="3"/>
    </row>
    <row r="3509" spans="5:20">
      <c r="E3509" s="3"/>
      <c r="F3509" s="4"/>
      <c r="S3509" s="3"/>
      <c r="T3509" s="3"/>
    </row>
    <row r="3510" spans="5:20">
      <c r="E3510" s="3"/>
      <c r="F3510" s="4"/>
      <c r="S3510" s="3"/>
      <c r="T3510" s="3"/>
    </row>
    <row r="3511" spans="5:20">
      <c r="E3511" s="3"/>
      <c r="F3511" s="4"/>
      <c r="S3511" s="3"/>
      <c r="T3511" s="3"/>
    </row>
    <row r="3512" spans="5:20">
      <c r="E3512" s="3"/>
      <c r="F3512" s="4"/>
      <c r="S3512" s="3"/>
      <c r="T3512" s="3"/>
    </row>
    <row r="3513" spans="5:20">
      <c r="E3513" s="3"/>
      <c r="F3513" s="4"/>
      <c r="S3513" s="3"/>
      <c r="T3513" s="3"/>
    </row>
    <row r="3514" spans="5:20">
      <c r="E3514" s="3"/>
      <c r="F3514" s="4"/>
      <c r="S3514" s="3"/>
      <c r="T3514" s="3"/>
    </row>
    <row r="3515" spans="5:20">
      <c r="E3515" s="3"/>
      <c r="F3515" s="4"/>
      <c r="S3515" s="3"/>
      <c r="T3515" s="3"/>
    </row>
    <row r="3516" spans="5:20">
      <c r="E3516" s="3"/>
      <c r="F3516" s="4"/>
      <c r="S3516" s="3"/>
      <c r="T3516" s="3"/>
    </row>
    <row r="3517" spans="5:20">
      <c r="E3517" s="3"/>
      <c r="F3517" s="4"/>
      <c r="S3517" s="3"/>
      <c r="T3517" s="3"/>
    </row>
    <row r="3518" spans="5:20">
      <c r="E3518" s="3"/>
      <c r="F3518" s="4"/>
      <c r="S3518" s="3"/>
      <c r="T3518" s="3"/>
    </row>
    <row r="3519" spans="5:20">
      <c r="E3519" s="3"/>
      <c r="F3519" s="4"/>
      <c r="S3519" s="3"/>
      <c r="T3519" s="3"/>
    </row>
    <row r="3520" spans="5:20">
      <c r="E3520" s="3"/>
      <c r="F3520" s="4"/>
      <c r="S3520" s="3"/>
      <c r="T3520" s="3"/>
    </row>
    <row r="3521" spans="5:20">
      <c r="E3521" s="3"/>
      <c r="F3521" s="4"/>
      <c r="S3521" s="3"/>
      <c r="T3521" s="3"/>
    </row>
    <row r="3522" spans="5:20">
      <c r="E3522" s="3"/>
      <c r="F3522" s="4"/>
      <c r="S3522" s="3"/>
      <c r="T3522" s="3"/>
    </row>
    <row r="3523" spans="5:20">
      <c r="E3523" s="3"/>
      <c r="F3523" s="4"/>
      <c r="S3523" s="3"/>
      <c r="T3523" s="3"/>
    </row>
    <row r="3524" spans="5:20">
      <c r="E3524" s="3"/>
      <c r="F3524" s="4"/>
      <c r="S3524" s="3"/>
      <c r="T3524" s="3"/>
    </row>
    <row r="3525" spans="5:20">
      <c r="E3525" s="3"/>
      <c r="F3525" s="4"/>
      <c r="S3525" s="3"/>
      <c r="T3525" s="3"/>
    </row>
    <row r="3526" spans="5:20">
      <c r="E3526" s="3"/>
      <c r="F3526" s="4"/>
      <c r="S3526" s="3"/>
      <c r="T3526" s="3"/>
    </row>
    <row r="3527" spans="5:20">
      <c r="E3527" s="3"/>
      <c r="F3527" s="4"/>
      <c r="S3527" s="3"/>
      <c r="T3527" s="3"/>
    </row>
    <row r="3528" spans="5:20">
      <c r="E3528" s="3"/>
      <c r="F3528" s="4"/>
      <c r="S3528" s="3"/>
      <c r="T3528" s="3"/>
    </row>
    <row r="3529" spans="5:20">
      <c r="E3529" s="3"/>
      <c r="F3529" s="4"/>
      <c r="S3529" s="3"/>
      <c r="T3529" s="3"/>
    </row>
    <row r="3530" spans="5:20">
      <c r="E3530" s="3"/>
      <c r="F3530" s="4"/>
      <c r="S3530" s="3"/>
      <c r="T3530" s="3"/>
    </row>
    <row r="3531" spans="5:20">
      <c r="E3531" s="3"/>
      <c r="F3531" s="4"/>
      <c r="S3531" s="3"/>
      <c r="T3531" s="3"/>
    </row>
    <row r="3532" spans="5:20">
      <c r="E3532" s="3"/>
      <c r="F3532" s="4"/>
      <c r="S3532" s="3"/>
      <c r="T3532" s="3"/>
    </row>
    <row r="3533" spans="5:20">
      <c r="E3533" s="3"/>
      <c r="F3533" s="4"/>
      <c r="S3533" s="3"/>
      <c r="T3533" s="3"/>
    </row>
    <row r="3534" spans="5:20">
      <c r="E3534" s="3"/>
      <c r="F3534" s="4"/>
      <c r="S3534" s="3"/>
      <c r="T3534" s="3"/>
    </row>
    <row r="3535" spans="5:20">
      <c r="E3535" s="3"/>
      <c r="F3535" s="4"/>
      <c r="S3535" s="3"/>
      <c r="T3535" s="3"/>
    </row>
    <row r="3536" spans="5:20">
      <c r="E3536" s="3"/>
      <c r="F3536" s="4"/>
      <c r="S3536" s="3"/>
      <c r="T3536" s="3"/>
    </row>
    <row r="3537" spans="5:20">
      <c r="E3537" s="3"/>
      <c r="F3537" s="4"/>
      <c r="S3537" s="3"/>
      <c r="T3537" s="3"/>
    </row>
    <row r="3538" spans="5:20">
      <c r="E3538" s="3"/>
      <c r="F3538" s="4"/>
      <c r="S3538" s="3"/>
      <c r="T3538" s="3"/>
    </row>
    <row r="3539" spans="5:20">
      <c r="E3539" s="3"/>
      <c r="F3539" s="4"/>
      <c r="S3539" s="3"/>
      <c r="T3539" s="3"/>
    </row>
    <row r="3540" spans="5:20">
      <c r="E3540" s="3"/>
      <c r="F3540" s="4"/>
      <c r="S3540" s="3"/>
      <c r="T3540" s="3"/>
    </row>
    <row r="3541" spans="5:20">
      <c r="E3541" s="3"/>
      <c r="F3541" s="4"/>
      <c r="S3541" s="3"/>
      <c r="T3541" s="3"/>
    </row>
    <row r="3542" spans="5:20">
      <c r="E3542" s="3"/>
      <c r="F3542" s="4"/>
      <c r="S3542" s="3"/>
      <c r="T3542" s="3"/>
    </row>
    <row r="3543" spans="5:20">
      <c r="E3543" s="3"/>
      <c r="F3543" s="4"/>
      <c r="S3543" s="3"/>
      <c r="T3543" s="3"/>
    </row>
    <row r="3544" spans="5:20">
      <c r="E3544" s="3"/>
      <c r="F3544" s="4"/>
      <c r="S3544" s="3"/>
      <c r="T3544" s="3"/>
    </row>
    <row r="3545" spans="5:20">
      <c r="E3545" s="3"/>
      <c r="F3545" s="4"/>
      <c r="S3545" s="3"/>
      <c r="T3545" s="3"/>
    </row>
    <row r="3546" spans="5:20">
      <c r="E3546" s="3"/>
      <c r="F3546" s="4"/>
      <c r="S3546" s="3"/>
      <c r="T3546" s="3"/>
    </row>
    <row r="3547" spans="5:20">
      <c r="E3547" s="3"/>
      <c r="F3547" s="4"/>
      <c r="S3547" s="3"/>
      <c r="T3547" s="3"/>
    </row>
    <row r="3548" spans="5:20">
      <c r="E3548" s="3"/>
      <c r="F3548" s="4"/>
      <c r="S3548" s="3"/>
      <c r="T3548" s="3"/>
    </row>
    <row r="3549" spans="5:20">
      <c r="E3549" s="3"/>
      <c r="F3549" s="4"/>
      <c r="S3549" s="3"/>
      <c r="T3549" s="3"/>
    </row>
    <row r="3550" spans="5:20">
      <c r="E3550" s="3"/>
      <c r="F3550" s="4"/>
      <c r="S3550" s="3"/>
      <c r="T3550" s="3"/>
    </row>
    <row r="3551" spans="5:20">
      <c r="E3551" s="3"/>
      <c r="F3551" s="4"/>
      <c r="S3551" s="3"/>
      <c r="T3551" s="3"/>
    </row>
    <row r="3552" spans="5:20">
      <c r="E3552" s="3"/>
      <c r="F3552" s="4"/>
      <c r="S3552" s="3"/>
      <c r="T3552" s="3"/>
    </row>
    <row r="3553" spans="5:20">
      <c r="E3553" s="3"/>
      <c r="F3553" s="4"/>
      <c r="S3553" s="3"/>
      <c r="T3553" s="3"/>
    </row>
    <row r="3554" spans="5:20">
      <c r="E3554" s="3"/>
      <c r="F3554" s="4"/>
      <c r="S3554" s="3"/>
      <c r="T3554" s="3"/>
    </row>
    <row r="3555" spans="5:20">
      <c r="E3555" s="3"/>
      <c r="F3555" s="4"/>
      <c r="S3555" s="3"/>
      <c r="T3555" s="3"/>
    </row>
    <row r="3556" spans="5:20">
      <c r="E3556" s="3"/>
      <c r="F3556" s="4"/>
      <c r="S3556" s="3"/>
      <c r="T3556" s="3"/>
    </row>
    <row r="3557" spans="5:20">
      <c r="E3557" s="3"/>
      <c r="F3557" s="4"/>
      <c r="S3557" s="3"/>
      <c r="T3557" s="3"/>
    </row>
    <row r="3558" spans="5:20">
      <c r="E3558" s="3"/>
      <c r="F3558" s="4"/>
      <c r="S3558" s="3"/>
      <c r="T3558" s="3"/>
    </row>
    <row r="3559" spans="5:20">
      <c r="E3559" s="3"/>
      <c r="F3559" s="4"/>
      <c r="S3559" s="3"/>
      <c r="T3559" s="3"/>
    </row>
    <row r="3560" spans="5:20">
      <c r="E3560" s="3"/>
      <c r="F3560" s="4"/>
      <c r="S3560" s="3"/>
      <c r="T3560" s="3"/>
    </row>
    <row r="3561" spans="5:20">
      <c r="E3561" s="3"/>
      <c r="F3561" s="4"/>
      <c r="S3561" s="3"/>
      <c r="T3561" s="3"/>
    </row>
    <row r="3562" spans="5:20">
      <c r="E3562" s="3"/>
      <c r="F3562" s="4"/>
      <c r="S3562" s="3"/>
      <c r="T3562" s="3"/>
    </row>
    <row r="3563" spans="5:20">
      <c r="E3563" s="3"/>
      <c r="F3563" s="4"/>
      <c r="S3563" s="3"/>
      <c r="T3563" s="3"/>
    </row>
    <row r="3564" spans="5:20">
      <c r="E3564" s="3"/>
      <c r="F3564" s="4"/>
      <c r="S3564" s="3"/>
      <c r="T3564" s="3"/>
    </row>
    <row r="3565" spans="5:20">
      <c r="E3565" s="3"/>
      <c r="F3565" s="4"/>
      <c r="S3565" s="3"/>
      <c r="T3565" s="3"/>
    </row>
    <row r="3566" spans="5:20">
      <c r="E3566" s="3"/>
      <c r="F3566" s="4"/>
      <c r="S3566" s="3"/>
      <c r="T3566" s="3"/>
    </row>
    <row r="3567" spans="5:20">
      <c r="E3567" s="3"/>
      <c r="F3567" s="4"/>
      <c r="S3567" s="3"/>
      <c r="T3567" s="3"/>
    </row>
    <row r="3568" spans="5:20">
      <c r="E3568" s="3"/>
      <c r="F3568" s="4"/>
      <c r="S3568" s="3"/>
      <c r="T3568" s="3"/>
    </row>
    <row r="3569" spans="5:20">
      <c r="E3569" s="3"/>
      <c r="F3569" s="4"/>
      <c r="S3569" s="3"/>
      <c r="T3569" s="3"/>
    </row>
    <row r="3570" spans="5:20">
      <c r="E3570" s="3"/>
      <c r="F3570" s="4"/>
      <c r="S3570" s="3"/>
      <c r="T3570" s="3"/>
    </row>
    <row r="3571" spans="5:20">
      <c r="E3571" s="3"/>
      <c r="F3571" s="4"/>
      <c r="S3571" s="3"/>
      <c r="T3571" s="3"/>
    </row>
    <row r="3572" spans="5:20">
      <c r="E3572" s="3"/>
      <c r="F3572" s="4"/>
      <c r="S3572" s="3"/>
      <c r="T3572" s="3"/>
    </row>
    <row r="3573" spans="5:20">
      <c r="E3573" s="3"/>
      <c r="F3573" s="4"/>
      <c r="S3573" s="3"/>
      <c r="T3573" s="3"/>
    </row>
    <row r="3574" spans="5:20">
      <c r="E3574" s="3"/>
      <c r="F3574" s="4"/>
      <c r="S3574" s="3"/>
      <c r="T3574" s="3"/>
    </row>
    <row r="3575" spans="5:20">
      <c r="E3575" s="3"/>
      <c r="F3575" s="4"/>
      <c r="S3575" s="3"/>
      <c r="T3575" s="3"/>
    </row>
    <row r="3576" spans="5:20">
      <c r="E3576" s="3"/>
      <c r="F3576" s="4"/>
      <c r="S3576" s="3"/>
      <c r="T3576" s="3"/>
    </row>
    <row r="3577" spans="5:20">
      <c r="E3577" s="3"/>
      <c r="F3577" s="4"/>
      <c r="S3577" s="3"/>
      <c r="T3577" s="3"/>
    </row>
    <row r="3578" spans="5:20">
      <c r="E3578" s="3"/>
      <c r="F3578" s="4"/>
      <c r="S3578" s="3"/>
      <c r="T3578" s="3"/>
    </row>
    <row r="3579" spans="5:20">
      <c r="E3579" s="3"/>
      <c r="F3579" s="4"/>
      <c r="S3579" s="3"/>
      <c r="T3579" s="3"/>
    </row>
    <row r="3580" spans="5:20">
      <c r="E3580" s="3"/>
      <c r="F3580" s="4"/>
      <c r="S3580" s="3"/>
      <c r="T3580" s="3"/>
    </row>
    <row r="3581" spans="5:20">
      <c r="E3581" s="3"/>
      <c r="F3581" s="4"/>
      <c r="S3581" s="3"/>
      <c r="T3581" s="3"/>
    </row>
    <row r="3582" spans="5:20">
      <c r="E3582" s="3"/>
      <c r="F3582" s="4"/>
      <c r="S3582" s="3"/>
      <c r="T3582" s="3"/>
    </row>
    <row r="3583" spans="5:20">
      <c r="E3583" s="3"/>
      <c r="F3583" s="4"/>
      <c r="S3583" s="3"/>
      <c r="T3583" s="3"/>
    </row>
    <row r="3584" spans="5:20">
      <c r="E3584" s="3"/>
      <c r="F3584" s="4"/>
      <c r="S3584" s="3"/>
      <c r="T3584" s="3"/>
    </row>
    <row r="3585" spans="5:20">
      <c r="E3585" s="3"/>
      <c r="F3585" s="4"/>
      <c r="S3585" s="3"/>
      <c r="T3585" s="3"/>
    </row>
    <row r="3586" spans="5:20">
      <c r="E3586" s="3"/>
      <c r="F3586" s="4"/>
      <c r="S3586" s="3"/>
      <c r="T3586" s="3"/>
    </row>
    <row r="3587" spans="5:20">
      <c r="E3587" s="3"/>
      <c r="F3587" s="4"/>
      <c r="S3587" s="3"/>
      <c r="T3587" s="3"/>
    </row>
    <row r="3588" spans="5:20">
      <c r="E3588" s="3"/>
      <c r="F3588" s="4"/>
      <c r="S3588" s="3"/>
      <c r="T3588" s="3"/>
    </row>
    <row r="3589" spans="5:20">
      <c r="E3589" s="3"/>
      <c r="F3589" s="4"/>
      <c r="S3589" s="3"/>
      <c r="T3589" s="3"/>
    </row>
    <row r="3590" spans="5:20">
      <c r="E3590" s="3"/>
      <c r="F3590" s="4"/>
      <c r="S3590" s="3"/>
      <c r="T3590" s="3"/>
    </row>
    <row r="3591" spans="5:20">
      <c r="E3591" s="3"/>
      <c r="F3591" s="4"/>
      <c r="S3591" s="3"/>
      <c r="T3591" s="3"/>
    </row>
    <row r="3592" spans="5:20">
      <c r="E3592" s="3"/>
      <c r="F3592" s="4"/>
      <c r="S3592" s="3"/>
      <c r="T3592" s="3"/>
    </row>
    <row r="3593" spans="5:20">
      <c r="E3593" s="3"/>
      <c r="F3593" s="4"/>
      <c r="S3593" s="3"/>
      <c r="T3593" s="3"/>
    </row>
    <row r="3594" spans="5:20">
      <c r="E3594" s="3"/>
      <c r="F3594" s="4"/>
      <c r="S3594" s="3"/>
      <c r="T3594" s="3"/>
    </row>
    <row r="3595" spans="5:20">
      <c r="E3595" s="3"/>
      <c r="F3595" s="4"/>
      <c r="S3595" s="3"/>
      <c r="T3595" s="3"/>
    </row>
    <row r="3596" spans="5:20">
      <c r="E3596" s="3"/>
      <c r="F3596" s="4"/>
      <c r="S3596" s="3"/>
      <c r="T3596" s="3"/>
    </row>
    <row r="3597" spans="5:20">
      <c r="E3597" s="3"/>
      <c r="F3597" s="4"/>
      <c r="S3597" s="3"/>
      <c r="T3597" s="3"/>
    </row>
    <row r="3598" spans="5:20">
      <c r="E3598" s="3"/>
      <c r="F3598" s="4"/>
      <c r="S3598" s="3"/>
      <c r="T3598" s="3"/>
    </row>
    <row r="3599" spans="5:20">
      <c r="E3599" s="3"/>
      <c r="F3599" s="4"/>
      <c r="S3599" s="3"/>
      <c r="T3599" s="3"/>
    </row>
    <row r="3600" spans="5:20">
      <c r="E3600" s="3"/>
      <c r="F3600" s="4"/>
      <c r="S3600" s="3"/>
      <c r="T3600" s="3"/>
    </row>
    <row r="3601" spans="5:20">
      <c r="E3601" s="3"/>
      <c r="F3601" s="4"/>
      <c r="S3601" s="3"/>
      <c r="T3601" s="3"/>
    </row>
    <row r="3602" spans="5:20">
      <c r="E3602" s="3"/>
      <c r="F3602" s="4"/>
      <c r="S3602" s="3"/>
      <c r="T3602" s="3"/>
    </row>
    <row r="3603" spans="5:20">
      <c r="E3603" s="3"/>
      <c r="F3603" s="4"/>
      <c r="S3603" s="3"/>
      <c r="T3603" s="3"/>
    </row>
    <row r="3604" spans="5:20">
      <c r="E3604" s="3"/>
      <c r="F3604" s="4"/>
      <c r="S3604" s="3"/>
      <c r="T3604" s="3"/>
    </row>
    <row r="3605" spans="5:20">
      <c r="E3605" s="3"/>
      <c r="F3605" s="4"/>
      <c r="S3605" s="3"/>
      <c r="T3605" s="3"/>
    </row>
    <row r="3606" spans="5:20">
      <c r="E3606" s="3"/>
      <c r="F3606" s="4"/>
      <c r="S3606" s="3"/>
      <c r="T3606" s="3"/>
    </row>
    <row r="3607" spans="5:20">
      <c r="E3607" s="3"/>
      <c r="F3607" s="4"/>
      <c r="S3607" s="3"/>
      <c r="T3607" s="3"/>
    </row>
    <row r="3608" spans="5:20">
      <c r="E3608" s="3"/>
      <c r="F3608" s="4"/>
      <c r="S3608" s="3"/>
      <c r="T3608" s="3"/>
    </row>
    <row r="3609" spans="5:20">
      <c r="E3609" s="3"/>
      <c r="F3609" s="4"/>
      <c r="S3609" s="3"/>
      <c r="T3609" s="3"/>
    </row>
    <row r="3610" spans="5:20">
      <c r="E3610" s="3"/>
      <c r="F3610" s="4"/>
      <c r="S3610" s="3"/>
      <c r="T3610" s="3"/>
    </row>
    <row r="3611" spans="5:20">
      <c r="E3611" s="3"/>
      <c r="F3611" s="4"/>
      <c r="S3611" s="3"/>
      <c r="T3611" s="3"/>
    </row>
    <row r="3612" spans="5:20">
      <c r="E3612" s="3"/>
      <c r="F3612" s="4"/>
      <c r="S3612" s="3"/>
      <c r="T3612" s="3"/>
    </row>
    <row r="3613" spans="5:20">
      <c r="E3613" s="3"/>
      <c r="F3613" s="4"/>
      <c r="S3613" s="3"/>
      <c r="T3613" s="3"/>
    </row>
    <row r="3614" spans="5:20">
      <c r="E3614" s="3"/>
      <c r="F3614" s="4"/>
      <c r="S3614" s="3"/>
      <c r="T3614" s="3"/>
    </row>
    <row r="3615" spans="5:20">
      <c r="E3615" s="3"/>
      <c r="F3615" s="4"/>
      <c r="S3615" s="3"/>
      <c r="T3615" s="3"/>
    </row>
    <row r="3616" spans="5:20">
      <c r="E3616" s="3"/>
      <c r="F3616" s="4"/>
      <c r="S3616" s="3"/>
      <c r="T3616" s="3"/>
    </row>
    <row r="3617" spans="5:20">
      <c r="E3617" s="3"/>
      <c r="F3617" s="4"/>
      <c r="S3617" s="3"/>
      <c r="T3617" s="3"/>
    </row>
    <row r="3618" spans="5:20">
      <c r="E3618" s="3"/>
      <c r="F3618" s="4"/>
      <c r="S3618" s="3"/>
      <c r="T3618" s="3"/>
    </row>
    <row r="3619" spans="5:20">
      <c r="E3619" s="3"/>
      <c r="F3619" s="4"/>
      <c r="S3619" s="3"/>
      <c r="T3619" s="3"/>
    </row>
    <row r="3620" spans="5:20">
      <c r="E3620" s="3"/>
      <c r="F3620" s="4"/>
      <c r="S3620" s="3"/>
      <c r="T3620" s="3"/>
    </row>
    <row r="3621" spans="5:20">
      <c r="E3621" s="3"/>
      <c r="F3621" s="4"/>
      <c r="S3621" s="3"/>
      <c r="T3621" s="3"/>
    </row>
    <row r="3622" spans="5:20">
      <c r="E3622" s="3"/>
      <c r="F3622" s="4"/>
      <c r="S3622" s="3"/>
      <c r="T3622" s="3"/>
    </row>
    <row r="3623" spans="5:20">
      <c r="E3623" s="3"/>
      <c r="F3623" s="4"/>
      <c r="S3623" s="3"/>
      <c r="T3623" s="3"/>
    </row>
    <row r="3624" spans="5:20">
      <c r="E3624" s="3"/>
      <c r="F3624" s="4"/>
      <c r="S3624" s="3"/>
      <c r="T3624" s="3"/>
    </row>
    <row r="3625" spans="5:20">
      <c r="E3625" s="3"/>
      <c r="F3625" s="4"/>
      <c r="S3625" s="3"/>
      <c r="T3625" s="3"/>
    </row>
    <row r="3626" spans="5:20">
      <c r="E3626" s="3"/>
      <c r="F3626" s="4"/>
      <c r="S3626" s="3"/>
      <c r="T3626" s="3"/>
    </row>
    <row r="3627" spans="5:20">
      <c r="E3627" s="3"/>
      <c r="F3627" s="4"/>
      <c r="S3627" s="3"/>
      <c r="T3627" s="3"/>
    </row>
    <row r="3628" spans="5:20">
      <c r="E3628" s="3"/>
      <c r="F3628" s="4"/>
      <c r="S3628" s="3"/>
      <c r="T3628" s="3"/>
    </row>
    <row r="3629" spans="5:20">
      <c r="E3629" s="3"/>
      <c r="F3629" s="4"/>
      <c r="S3629" s="3"/>
      <c r="T3629" s="3"/>
    </row>
    <row r="3630" spans="5:20">
      <c r="E3630" s="3"/>
      <c r="F3630" s="4"/>
      <c r="S3630" s="3"/>
      <c r="T3630" s="3"/>
    </row>
    <row r="3631" spans="5:20">
      <c r="E3631" s="3"/>
      <c r="F3631" s="4"/>
      <c r="S3631" s="3"/>
      <c r="T3631" s="3"/>
    </row>
    <row r="3632" spans="5:20">
      <c r="E3632" s="3"/>
      <c r="F3632" s="4"/>
      <c r="S3632" s="3"/>
      <c r="T3632" s="3"/>
    </row>
    <row r="3633" spans="5:20">
      <c r="E3633" s="3"/>
      <c r="F3633" s="4"/>
      <c r="S3633" s="3"/>
      <c r="T3633" s="3"/>
    </row>
    <row r="3634" spans="5:20">
      <c r="E3634" s="3"/>
      <c r="F3634" s="4"/>
      <c r="S3634" s="3"/>
      <c r="T3634" s="3"/>
    </row>
    <row r="3635" spans="5:20">
      <c r="E3635" s="3"/>
      <c r="F3635" s="4"/>
      <c r="S3635" s="3"/>
      <c r="T3635" s="3"/>
    </row>
    <row r="3636" spans="5:20">
      <c r="E3636" s="3"/>
      <c r="F3636" s="4"/>
      <c r="S3636" s="3"/>
      <c r="T3636" s="3"/>
    </row>
    <row r="3637" spans="5:20">
      <c r="E3637" s="3"/>
      <c r="F3637" s="4"/>
      <c r="S3637" s="3"/>
      <c r="T3637" s="3"/>
    </row>
    <row r="3638" spans="5:20">
      <c r="E3638" s="3"/>
      <c r="F3638" s="4"/>
      <c r="S3638" s="3"/>
      <c r="T3638" s="3"/>
    </row>
    <row r="3639" spans="5:20">
      <c r="E3639" s="3"/>
      <c r="F3639" s="4"/>
      <c r="S3639" s="3"/>
      <c r="T3639" s="3"/>
    </row>
    <row r="3640" spans="5:20">
      <c r="E3640" s="3"/>
      <c r="F3640" s="4"/>
      <c r="S3640" s="3"/>
      <c r="T3640" s="3"/>
    </row>
    <row r="3641" spans="5:20">
      <c r="E3641" s="3"/>
      <c r="F3641" s="4"/>
      <c r="S3641" s="3"/>
      <c r="T3641" s="3"/>
    </row>
    <row r="3642" spans="5:20">
      <c r="E3642" s="3"/>
      <c r="F3642" s="4"/>
      <c r="S3642" s="3"/>
      <c r="T3642" s="3"/>
    </row>
    <row r="3643" spans="5:20">
      <c r="E3643" s="3"/>
      <c r="F3643" s="4"/>
      <c r="S3643" s="3"/>
      <c r="T3643" s="3"/>
    </row>
    <row r="3644" spans="5:20">
      <c r="E3644" s="3"/>
      <c r="F3644" s="4"/>
      <c r="S3644" s="3"/>
      <c r="T3644" s="3"/>
    </row>
    <row r="3645" spans="5:20">
      <c r="E3645" s="3"/>
      <c r="F3645" s="4"/>
      <c r="S3645" s="3"/>
      <c r="T3645" s="3"/>
    </row>
    <row r="3646" spans="5:20">
      <c r="E3646" s="3"/>
      <c r="F3646" s="4"/>
      <c r="S3646" s="3"/>
      <c r="T3646" s="3"/>
    </row>
    <row r="3647" spans="5:20">
      <c r="E3647" s="3"/>
      <c r="F3647" s="4"/>
      <c r="S3647" s="3"/>
      <c r="T3647" s="3"/>
    </row>
    <row r="3648" spans="5:20">
      <c r="E3648" s="3"/>
      <c r="F3648" s="4"/>
      <c r="S3648" s="3"/>
      <c r="T3648" s="3"/>
    </row>
    <row r="3649" spans="5:20">
      <c r="E3649" s="3"/>
      <c r="F3649" s="4"/>
      <c r="S3649" s="3"/>
      <c r="T3649" s="3"/>
    </row>
    <row r="3650" spans="5:20">
      <c r="E3650" s="3"/>
      <c r="F3650" s="4"/>
      <c r="S3650" s="3"/>
      <c r="T3650" s="3"/>
    </row>
    <row r="3651" spans="5:20">
      <c r="E3651" s="3"/>
      <c r="F3651" s="4"/>
      <c r="S3651" s="3"/>
      <c r="T3651" s="3"/>
    </row>
    <row r="3652" spans="5:20">
      <c r="E3652" s="3"/>
      <c r="F3652" s="4"/>
      <c r="S3652" s="3"/>
      <c r="T3652" s="3"/>
    </row>
    <row r="3653" spans="5:20">
      <c r="E3653" s="3"/>
      <c r="F3653" s="4"/>
      <c r="S3653" s="3"/>
      <c r="T3653" s="3"/>
    </row>
    <row r="3654" spans="5:20">
      <c r="E3654" s="3"/>
      <c r="F3654" s="4"/>
      <c r="S3654" s="3"/>
      <c r="T3654" s="3"/>
    </row>
    <row r="3655" spans="5:20">
      <c r="E3655" s="3"/>
      <c r="F3655" s="4"/>
      <c r="S3655" s="3"/>
      <c r="T3655" s="3"/>
    </row>
    <row r="3656" spans="5:20">
      <c r="E3656" s="3"/>
      <c r="F3656" s="4"/>
      <c r="S3656" s="3"/>
      <c r="T3656" s="3"/>
    </row>
    <row r="3657" spans="5:20">
      <c r="E3657" s="3"/>
      <c r="F3657" s="4"/>
      <c r="S3657" s="3"/>
      <c r="T3657" s="3"/>
    </row>
    <row r="3658" spans="5:20">
      <c r="E3658" s="3"/>
      <c r="F3658" s="4"/>
      <c r="S3658" s="3"/>
      <c r="T3658" s="3"/>
    </row>
    <row r="3659" spans="5:20">
      <c r="E3659" s="3"/>
      <c r="F3659" s="4"/>
      <c r="S3659" s="3"/>
      <c r="T3659" s="3"/>
    </row>
    <row r="3660" spans="5:20">
      <c r="E3660" s="3"/>
      <c r="F3660" s="4"/>
      <c r="S3660" s="3"/>
      <c r="T3660" s="3"/>
    </row>
    <row r="3661" spans="5:20">
      <c r="E3661" s="3"/>
      <c r="F3661" s="4"/>
      <c r="S3661" s="3"/>
      <c r="T3661" s="3"/>
    </row>
    <row r="3662" spans="5:20">
      <c r="E3662" s="3"/>
      <c r="F3662" s="4"/>
      <c r="S3662" s="3"/>
      <c r="T3662" s="3"/>
    </row>
    <row r="3663" spans="5:20">
      <c r="E3663" s="3"/>
      <c r="F3663" s="4"/>
      <c r="S3663" s="3"/>
      <c r="T3663" s="3"/>
    </row>
    <row r="3664" spans="5:20">
      <c r="E3664" s="3"/>
      <c r="F3664" s="4"/>
      <c r="S3664" s="3"/>
      <c r="T3664" s="3"/>
    </row>
    <row r="3665" spans="5:20">
      <c r="E3665" s="3"/>
      <c r="F3665" s="4"/>
      <c r="S3665" s="3"/>
      <c r="T3665" s="3"/>
    </row>
    <row r="3666" spans="5:20">
      <c r="E3666" s="3"/>
      <c r="F3666" s="4"/>
      <c r="S3666" s="3"/>
      <c r="T3666" s="3"/>
    </row>
    <row r="3667" spans="5:20">
      <c r="E3667" s="3"/>
      <c r="F3667" s="4"/>
      <c r="S3667" s="3"/>
      <c r="T3667" s="3"/>
    </row>
    <row r="3668" spans="5:20">
      <c r="E3668" s="3"/>
      <c r="F3668" s="4"/>
      <c r="S3668" s="3"/>
      <c r="T3668" s="3"/>
    </row>
    <row r="3669" spans="5:20">
      <c r="E3669" s="3"/>
      <c r="F3669" s="4"/>
      <c r="S3669" s="3"/>
      <c r="T3669" s="3"/>
    </row>
    <row r="3670" spans="5:20">
      <c r="E3670" s="3"/>
      <c r="F3670" s="4"/>
      <c r="S3670" s="3"/>
      <c r="T3670" s="3"/>
    </row>
    <row r="3671" spans="5:20">
      <c r="E3671" s="3"/>
      <c r="F3671" s="4"/>
      <c r="S3671" s="3"/>
      <c r="T3671" s="3"/>
    </row>
    <row r="3672" spans="5:20">
      <c r="E3672" s="3"/>
      <c r="F3672" s="4"/>
      <c r="S3672" s="3"/>
      <c r="T3672" s="3"/>
    </row>
    <row r="3673" spans="5:20">
      <c r="E3673" s="3"/>
      <c r="F3673" s="4"/>
      <c r="S3673" s="3"/>
      <c r="T3673" s="3"/>
    </row>
    <row r="3674" spans="5:20">
      <c r="E3674" s="3"/>
      <c r="F3674" s="4"/>
      <c r="S3674" s="3"/>
      <c r="T3674" s="3"/>
    </row>
    <row r="3675" spans="5:20">
      <c r="E3675" s="3"/>
      <c r="F3675" s="4"/>
      <c r="S3675" s="3"/>
      <c r="T3675" s="3"/>
    </row>
    <row r="3676" spans="5:20">
      <c r="E3676" s="3"/>
      <c r="F3676" s="4"/>
      <c r="S3676" s="3"/>
      <c r="T3676" s="3"/>
    </row>
    <row r="3677" spans="5:20">
      <c r="E3677" s="3"/>
      <c r="F3677" s="4"/>
      <c r="S3677" s="3"/>
      <c r="T3677" s="3"/>
    </row>
    <row r="3678" spans="5:20">
      <c r="E3678" s="3"/>
      <c r="F3678" s="4"/>
      <c r="S3678" s="3"/>
      <c r="T3678" s="3"/>
    </row>
    <row r="3679" spans="5:20">
      <c r="E3679" s="3"/>
      <c r="F3679" s="4"/>
      <c r="S3679" s="3"/>
      <c r="T3679" s="3"/>
    </row>
    <row r="3680" spans="5:20">
      <c r="E3680" s="3"/>
      <c r="F3680" s="4"/>
      <c r="S3680" s="3"/>
      <c r="T3680" s="3"/>
    </row>
    <row r="3681" spans="5:20">
      <c r="E3681" s="3"/>
      <c r="F3681" s="4"/>
      <c r="S3681" s="3"/>
      <c r="T3681" s="3"/>
    </row>
    <row r="3682" spans="5:20">
      <c r="E3682" s="3"/>
      <c r="F3682" s="4"/>
      <c r="S3682" s="3"/>
      <c r="T3682" s="3"/>
    </row>
    <row r="3683" spans="5:20">
      <c r="E3683" s="3"/>
      <c r="F3683" s="4"/>
      <c r="S3683" s="3"/>
      <c r="T3683" s="3"/>
    </row>
    <row r="3684" spans="5:20">
      <c r="E3684" s="3"/>
      <c r="F3684" s="4"/>
      <c r="S3684" s="3"/>
      <c r="T3684" s="3"/>
    </row>
    <row r="3685" spans="5:20">
      <c r="E3685" s="3"/>
      <c r="F3685" s="4"/>
      <c r="S3685" s="3"/>
      <c r="T3685" s="3"/>
    </row>
    <row r="3686" spans="5:20">
      <c r="E3686" s="3"/>
      <c r="F3686" s="4"/>
      <c r="S3686" s="3"/>
      <c r="T3686" s="3"/>
    </row>
    <row r="3687" spans="5:20">
      <c r="E3687" s="3"/>
      <c r="F3687" s="4"/>
      <c r="S3687" s="3"/>
      <c r="T3687" s="3"/>
    </row>
    <row r="3688" spans="5:20">
      <c r="E3688" s="3"/>
      <c r="F3688" s="4"/>
      <c r="S3688" s="3"/>
      <c r="T3688" s="3"/>
    </row>
    <row r="3689" spans="5:20">
      <c r="E3689" s="3"/>
      <c r="F3689" s="4"/>
      <c r="S3689" s="3"/>
      <c r="T3689" s="3"/>
    </row>
    <row r="3690" spans="5:20">
      <c r="E3690" s="3"/>
      <c r="F3690" s="4"/>
      <c r="S3690" s="3"/>
      <c r="T3690" s="3"/>
    </row>
    <row r="3691" spans="5:20">
      <c r="E3691" s="3"/>
      <c r="F3691" s="4"/>
      <c r="S3691" s="3"/>
      <c r="T3691" s="3"/>
    </row>
    <row r="3692" spans="5:20">
      <c r="E3692" s="3"/>
      <c r="F3692" s="4"/>
      <c r="S3692" s="3"/>
      <c r="T3692" s="3"/>
    </row>
    <row r="3693" spans="5:20">
      <c r="E3693" s="3"/>
      <c r="F3693" s="4"/>
      <c r="S3693" s="3"/>
      <c r="T3693" s="3"/>
    </row>
    <row r="3694" spans="5:20">
      <c r="E3694" s="3"/>
      <c r="F3694" s="4"/>
      <c r="S3694" s="3"/>
      <c r="T3694" s="3"/>
    </row>
    <row r="3695" spans="5:20">
      <c r="E3695" s="3"/>
      <c r="F3695" s="4"/>
      <c r="S3695" s="3"/>
      <c r="T3695" s="3"/>
    </row>
    <row r="3696" spans="5:20">
      <c r="E3696" s="3"/>
      <c r="F3696" s="4"/>
      <c r="S3696" s="3"/>
      <c r="T3696" s="3"/>
    </row>
    <row r="3697" spans="5:20">
      <c r="E3697" s="3"/>
      <c r="F3697" s="4"/>
      <c r="S3697" s="3"/>
      <c r="T3697" s="3"/>
    </row>
    <row r="3698" spans="5:20">
      <c r="E3698" s="3"/>
      <c r="F3698" s="4"/>
      <c r="S3698" s="3"/>
      <c r="T3698" s="3"/>
    </row>
    <row r="3699" spans="5:20">
      <c r="E3699" s="3"/>
      <c r="F3699" s="4"/>
      <c r="S3699" s="3"/>
      <c r="T3699" s="3"/>
    </row>
    <row r="3700" spans="5:20">
      <c r="E3700" s="3"/>
      <c r="F3700" s="4"/>
      <c r="S3700" s="3"/>
      <c r="T3700" s="3"/>
    </row>
    <row r="3701" spans="5:20">
      <c r="E3701" s="3"/>
      <c r="F3701" s="4"/>
      <c r="S3701" s="3"/>
      <c r="T3701" s="3"/>
    </row>
    <row r="3702" spans="5:20">
      <c r="E3702" s="3"/>
      <c r="F3702" s="4"/>
      <c r="S3702" s="3"/>
      <c r="T3702" s="3"/>
    </row>
    <row r="3703" spans="5:20">
      <c r="E3703" s="3"/>
      <c r="F3703" s="4"/>
      <c r="S3703" s="3"/>
      <c r="T3703" s="3"/>
    </row>
    <row r="3704" spans="5:20">
      <c r="E3704" s="3"/>
      <c r="F3704" s="4"/>
      <c r="S3704" s="3"/>
      <c r="T3704" s="3"/>
    </row>
    <row r="3705" spans="5:20">
      <c r="E3705" s="3"/>
      <c r="F3705" s="4"/>
      <c r="S3705" s="3"/>
      <c r="T3705" s="3"/>
    </row>
    <row r="3706" spans="5:20">
      <c r="E3706" s="3"/>
      <c r="F3706" s="4"/>
      <c r="S3706" s="3"/>
      <c r="T3706" s="3"/>
    </row>
    <row r="3707" spans="5:20">
      <c r="E3707" s="3"/>
      <c r="F3707" s="4"/>
      <c r="S3707" s="3"/>
      <c r="T3707" s="3"/>
    </row>
    <row r="3708" spans="5:20">
      <c r="E3708" s="3"/>
      <c r="F3708" s="4"/>
      <c r="S3708" s="3"/>
      <c r="T3708" s="3"/>
    </row>
    <row r="3709" spans="5:20">
      <c r="E3709" s="3"/>
      <c r="F3709" s="4"/>
      <c r="S3709" s="3"/>
      <c r="T3709" s="3"/>
    </row>
    <row r="3710" spans="5:20">
      <c r="E3710" s="3"/>
      <c r="F3710" s="4"/>
      <c r="S3710" s="3"/>
      <c r="T3710" s="3"/>
    </row>
    <row r="3711" spans="5:20">
      <c r="E3711" s="3"/>
      <c r="F3711" s="4"/>
      <c r="S3711" s="3"/>
      <c r="T3711" s="3"/>
    </row>
    <row r="3712" spans="5:20">
      <c r="E3712" s="3"/>
      <c r="F3712" s="4"/>
      <c r="S3712" s="3"/>
      <c r="T3712" s="3"/>
    </row>
    <row r="3713" spans="5:20">
      <c r="E3713" s="3"/>
      <c r="F3713" s="4"/>
      <c r="S3713" s="3"/>
      <c r="T3713" s="3"/>
    </row>
    <row r="3714" spans="5:20">
      <c r="E3714" s="3"/>
      <c r="F3714" s="4"/>
      <c r="S3714" s="3"/>
      <c r="T3714" s="3"/>
    </row>
    <row r="3715" spans="5:20">
      <c r="E3715" s="3"/>
      <c r="F3715" s="4"/>
      <c r="S3715" s="3"/>
      <c r="T3715" s="3"/>
    </row>
    <row r="3716" spans="5:20">
      <c r="E3716" s="3"/>
      <c r="F3716" s="4"/>
      <c r="S3716" s="3"/>
      <c r="T3716" s="3"/>
    </row>
    <row r="3717" spans="5:20">
      <c r="E3717" s="3"/>
      <c r="F3717" s="4"/>
      <c r="S3717" s="3"/>
      <c r="T3717" s="3"/>
    </row>
    <row r="3718" spans="5:20">
      <c r="E3718" s="3"/>
      <c r="F3718" s="4"/>
      <c r="S3718" s="3"/>
      <c r="T3718" s="3"/>
    </row>
    <row r="3719" spans="5:20">
      <c r="E3719" s="3"/>
      <c r="F3719" s="4"/>
      <c r="S3719" s="3"/>
      <c r="T3719" s="3"/>
    </row>
    <row r="3720" spans="5:20">
      <c r="E3720" s="3"/>
      <c r="F3720" s="4"/>
      <c r="S3720" s="3"/>
      <c r="T3720" s="3"/>
    </row>
    <row r="3721" spans="5:20">
      <c r="E3721" s="3"/>
      <c r="F3721" s="4"/>
      <c r="S3721" s="3"/>
      <c r="T3721" s="3"/>
    </row>
    <row r="3722" spans="5:20">
      <c r="E3722" s="3"/>
      <c r="F3722" s="4"/>
      <c r="S3722" s="3"/>
      <c r="T3722" s="3"/>
    </row>
    <row r="3723" spans="5:20">
      <c r="E3723" s="3"/>
      <c r="F3723" s="4"/>
      <c r="S3723" s="3"/>
      <c r="T3723" s="3"/>
    </row>
    <row r="3724" spans="5:20">
      <c r="E3724" s="3"/>
      <c r="F3724" s="4"/>
      <c r="S3724" s="3"/>
      <c r="T3724" s="3"/>
    </row>
    <row r="3725" spans="5:20">
      <c r="E3725" s="3"/>
      <c r="F3725" s="4"/>
      <c r="S3725" s="3"/>
      <c r="T3725" s="3"/>
    </row>
    <row r="3726" spans="5:20">
      <c r="E3726" s="3"/>
      <c r="F3726" s="4"/>
      <c r="S3726" s="3"/>
      <c r="T3726" s="3"/>
    </row>
    <row r="3727" spans="5:20">
      <c r="E3727" s="3"/>
      <c r="F3727" s="4"/>
      <c r="S3727" s="3"/>
      <c r="T3727" s="3"/>
    </row>
    <row r="3728" spans="5:20">
      <c r="E3728" s="3"/>
      <c r="F3728" s="4"/>
      <c r="S3728" s="3"/>
      <c r="T3728" s="3"/>
    </row>
    <row r="3729" spans="5:20">
      <c r="E3729" s="3"/>
      <c r="F3729" s="4"/>
      <c r="S3729" s="3"/>
      <c r="T3729" s="3"/>
    </row>
    <row r="3730" spans="5:20">
      <c r="E3730" s="3"/>
      <c r="F3730" s="4"/>
      <c r="S3730" s="3"/>
      <c r="T3730" s="3"/>
    </row>
    <row r="3731" spans="5:20">
      <c r="E3731" s="3"/>
      <c r="F3731" s="4"/>
      <c r="S3731" s="3"/>
      <c r="T3731" s="3"/>
    </row>
    <row r="3732" spans="5:20">
      <c r="E3732" s="3"/>
      <c r="F3732" s="4"/>
      <c r="S3732" s="3"/>
      <c r="T3732" s="3"/>
    </row>
    <row r="3733" spans="5:20">
      <c r="E3733" s="3"/>
      <c r="F3733" s="4"/>
      <c r="S3733" s="3"/>
      <c r="T3733" s="3"/>
    </row>
    <row r="3734" spans="5:20">
      <c r="E3734" s="3"/>
      <c r="F3734" s="4"/>
      <c r="S3734" s="3"/>
      <c r="T3734" s="3"/>
    </row>
    <row r="3735" spans="5:20">
      <c r="E3735" s="3"/>
      <c r="F3735" s="4"/>
      <c r="S3735" s="3"/>
      <c r="T3735" s="3"/>
    </row>
    <row r="3736" spans="5:20">
      <c r="E3736" s="3"/>
      <c r="F3736" s="4"/>
      <c r="S3736" s="3"/>
      <c r="T3736" s="3"/>
    </row>
    <row r="3737" spans="5:20">
      <c r="E3737" s="3"/>
      <c r="F3737" s="4"/>
      <c r="S3737" s="3"/>
      <c r="T3737" s="3"/>
    </row>
    <row r="3738" spans="5:20">
      <c r="E3738" s="3"/>
      <c r="F3738" s="4"/>
      <c r="S3738" s="3"/>
      <c r="T3738" s="3"/>
    </row>
    <row r="3739" spans="5:20">
      <c r="E3739" s="3"/>
      <c r="F3739" s="4"/>
      <c r="S3739" s="3"/>
      <c r="T3739" s="3"/>
    </row>
    <row r="3740" spans="5:20">
      <c r="E3740" s="3"/>
      <c r="F3740" s="4"/>
      <c r="S3740" s="3"/>
      <c r="T3740" s="3"/>
    </row>
    <row r="3741" spans="5:20">
      <c r="E3741" s="3"/>
      <c r="F3741" s="4"/>
      <c r="S3741" s="3"/>
      <c r="T3741" s="3"/>
    </row>
    <row r="3742" spans="5:20">
      <c r="E3742" s="3"/>
      <c r="F3742" s="4"/>
      <c r="S3742" s="3"/>
      <c r="T3742" s="3"/>
    </row>
    <row r="3743" spans="5:20">
      <c r="E3743" s="3"/>
      <c r="F3743" s="4"/>
      <c r="S3743" s="3"/>
      <c r="T3743" s="3"/>
    </row>
    <row r="3744" spans="5:20">
      <c r="E3744" s="3"/>
      <c r="F3744" s="4"/>
      <c r="S3744" s="3"/>
      <c r="T3744" s="3"/>
    </row>
    <row r="3745" spans="5:20">
      <c r="E3745" s="3"/>
      <c r="F3745" s="4"/>
      <c r="S3745" s="3"/>
      <c r="T3745" s="3"/>
    </row>
    <row r="3746" spans="5:20">
      <c r="E3746" s="3"/>
      <c r="F3746" s="4"/>
      <c r="S3746" s="3"/>
      <c r="T3746" s="3"/>
    </row>
    <row r="3747" spans="5:20">
      <c r="E3747" s="3"/>
      <c r="F3747" s="4"/>
      <c r="S3747" s="3"/>
      <c r="T3747" s="3"/>
    </row>
    <row r="3748" spans="5:20">
      <c r="E3748" s="3"/>
      <c r="F3748" s="4"/>
      <c r="S3748" s="3"/>
      <c r="T3748" s="3"/>
    </row>
    <row r="3749" spans="5:20">
      <c r="E3749" s="3"/>
      <c r="F3749" s="4"/>
      <c r="S3749" s="3"/>
      <c r="T3749" s="3"/>
    </row>
    <row r="3750" spans="5:20">
      <c r="E3750" s="3"/>
      <c r="F3750" s="4"/>
      <c r="S3750" s="3"/>
      <c r="T3750" s="3"/>
    </row>
    <row r="3751" spans="5:20">
      <c r="E3751" s="3"/>
      <c r="F3751" s="4"/>
      <c r="S3751" s="3"/>
      <c r="T3751" s="3"/>
    </row>
    <row r="3752" spans="5:20">
      <c r="E3752" s="3"/>
      <c r="F3752" s="4"/>
      <c r="S3752" s="3"/>
      <c r="T3752" s="3"/>
    </row>
    <row r="3753" spans="5:20">
      <c r="E3753" s="3"/>
      <c r="F3753" s="4"/>
      <c r="S3753" s="3"/>
      <c r="T3753" s="3"/>
    </row>
    <row r="3754" spans="5:20">
      <c r="E3754" s="3"/>
      <c r="F3754" s="4"/>
      <c r="S3754" s="3"/>
      <c r="T3754" s="3"/>
    </row>
    <row r="3755" spans="5:20">
      <c r="E3755" s="3"/>
      <c r="F3755" s="4"/>
      <c r="S3755" s="3"/>
      <c r="T3755" s="3"/>
    </row>
    <row r="3756" spans="5:20">
      <c r="E3756" s="3"/>
      <c r="F3756" s="4"/>
      <c r="S3756" s="3"/>
      <c r="T3756" s="3"/>
    </row>
    <row r="3757" spans="5:20">
      <c r="E3757" s="3"/>
      <c r="F3757" s="4"/>
      <c r="S3757" s="3"/>
      <c r="T3757" s="3"/>
    </row>
    <row r="3758" spans="5:20">
      <c r="E3758" s="3"/>
      <c r="F3758" s="4"/>
      <c r="S3758" s="3"/>
      <c r="T3758" s="3"/>
    </row>
    <row r="3759" spans="5:20">
      <c r="E3759" s="3"/>
      <c r="F3759" s="4"/>
      <c r="S3759" s="3"/>
      <c r="T3759" s="3"/>
    </row>
    <row r="3760" spans="5:20">
      <c r="E3760" s="3"/>
      <c r="F3760" s="4"/>
      <c r="S3760" s="3"/>
      <c r="T3760" s="3"/>
    </row>
    <row r="3761" spans="5:20">
      <c r="E3761" s="3"/>
      <c r="F3761" s="4"/>
      <c r="S3761" s="3"/>
      <c r="T3761" s="3"/>
    </row>
    <row r="3762" spans="5:20">
      <c r="E3762" s="3"/>
      <c r="F3762" s="4"/>
      <c r="S3762" s="3"/>
      <c r="T3762" s="3"/>
    </row>
    <row r="3763" spans="5:20">
      <c r="E3763" s="3"/>
      <c r="F3763" s="4"/>
      <c r="S3763" s="3"/>
      <c r="T3763" s="3"/>
    </row>
    <row r="3764" spans="5:20">
      <c r="E3764" s="3"/>
      <c r="F3764" s="4"/>
      <c r="S3764" s="3"/>
      <c r="T3764" s="3"/>
    </row>
    <row r="3765" spans="5:20">
      <c r="E3765" s="3"/>
      <c r="F3765" s="4"/>
      <c r="S3765" s="3"/>
      <c r="T3765" s="3"/>
    </row>
    <row r="3766" spans="5:20">
      <c r="E3766" s="3"/>
      <c r="F3766" s="4"/>
      <c r="S3766" s="3"/>
      <c r="T3766" s="3"/>
    </row>
    <row r="3767" spans="5:20">
      <c r="E3767" s="3"/>
      <c r="F3767" s="4"/>
      <c r="S3767" s="3"/>
      <c r="T3767" s="3"/>
    </row>
    <row r="3768" spans="5:20">
      <c r="E3768" s="3"/>
      <c r="F3768" s="4"/>
      <c r="S3768" s="3"/>
      <c r="T3768" s="3"/>
    </row>
    <row r="3769" spans="5:20">
      <c r="E3769" s="3"/>
      <c r="F3769" s="4"/>
      <c r="S3769" s="3"/>
      <c r="T3769" s="3"/>
    </row>
    <row r="3770" spans="5:20">
      <c r="E3770" s="3"/>
      <c r="F3770" s="4"/>
      <c r="S3770" s="3"/>
      <c r="T3770" s="3"/>
    </row>
    <row r="3771" spans="5:20">
      <c r="E3771" s="3"/>
      <c r="F3771" s="4"/>
      <c r="S3771" s="3"/>
      <c r="T3771" s="3"/>
    </row>
    <row r="3772" spans="5:20">
      <c r="E3772" s="3"/>
      <c r="F3772" s="4"/>
      <c r="S3772" s="3"/>
      <c r="T3772" s="3"/>
    </row>
    <row r="3773" spans="5:20">
      <c r="E3773" s="3"/>
      <c r="F3773" s="4"/>
      <c r="S3773" s="3"/>
      <c r="T3773" s="3"/>
    </row>
    <row r="3774" spans="5:20">
      <c r="E3774" s="3"/>
      <c r="F3774" s="4"/>
      <c r="S3774" s="3"/>
      <c r="T3774" s="3"/>
    </row>
    <row r="3775" spans="5:20">
      <c r="E3775" s="3"/>
      <c r="F3775" s="4"/>
      <c r="S3775" s="3"/>
      <c r="T3775" s="3"/>
    </row>
    <row r="3776" spans="5:20">
      <c r="E3776" s="3"/>
      <c r="F3776" s="4"/>
      <c r="S3776" s="3"/>
      <c r="T3776" s="3"/>
    </row>
    <row r="3777" spans="5:20">
      <c r="E3777" s="3"/>
      <c r="F3777" s="4"/>
      <c r="S3777" s="3"/>
      <c r="T3777" s="3"/>
    </row>
    <row r="3778" spans="5:20">
      <c r="E3778" s="3"/>
      <c r="F3778" s="4"/>
      <c r="S3778" s="3"/>
      <c r="T3778" s="3"/>
    </row>
    <row r="3779" spans="5:20">
      <c r="E3779" s="3"/>
      <c r="F3779" s="4"/>
      <c r="S3779" s="3"/>
      <c r="T3779" s="3"/>
    </row>
    <row r="3780" spans="5:20">
      <c r="E3780" s="3"/>
      <c r="F3780" s="4"/>
      <c r="S3780" s="3"/>
      <c r="T3780" s="3"/>
    </row>
    <row r="3781" spans="5:20">
      <c r="E3781" s="3"/>
      <c r="F3781" s="4"/>
      <c r="S3781" s="3"/>
      <c r="T3781" s="3"/>
    </row>
    <row r="3782" spans="5:20">
      <c r="E3782" s="3"/>
      <c r="F3782" s="4"/>
      <c r="S3782" s="3"/>
      <c r="T3782" s="3"/>
    </row>
    <row r="3783" spans="5:20">
      <c r="E3783" s="3"/>
      <c r="F3783" s="4"/>
      <c r="S3783" s="3"/>
      <c r="T3783" s="3"/>
    </row>
    <row r="3784" spans="5:20">
      <c r="E3784" s="3"/>
      <c r="F3784" s="4"/>
      <c r="S3784" s="3"/>
      <c r="T3784" s="3"/>
    </row>
    <row r="3785" spans="5:20">
      <c r="E3785" s="3"/>
      <c r="F3785" s="4"/>
      <c r="S3785" s="3"/>
      <c r="T3785" s="3"/>
    </row>
    <row r="3786" spans="5:20">
      <c r="E3786" s="3"/>
      <c r="F3786" s="4"/>
      <c r="S3786" s="3"/>
      <c r="T3786" s="3"/>
    </row>
    <row r="3787" spans="5:20">
      <c r="E3787" s="3"/>
      <c r="F3787" s="4"/>
      <c r="S3787" s="3"/>
      <c r="T3787" s="3"/>
    </row>
    <row r="3788" spans="5:20">
      <c r="E3788" s="3"/>
      <c r="F3788" s="4"/>
      <c r="S3788" s="3"/>
      <c r="T3788" s="3"/>
    </row>
    <row r="3789" spans="5:20">
      <c r="E3789" s="3"/>
      <c r="F3789" s="4"/>
      <c r="S3789" s="3"/>
      <c r="T3789" s="3"/>
    </row>
    <row r="3790" spans="5:20">
      <c r="E3790" s="3"/>
      <c r="F3790" s="4"/>
      <c r="S3790" s="3"/>
      <c r="T3790" s="3"/>
    </row>
    <row r="3791" spans="5:20">
      <c r="E3791" s="3"/>
      <c r="F3791" s="4"/>
      <c r="S3791" s="3"/>
      <c r="T3791" s="3"/>
    </row>
    <row r="3792" spans="5:20">
      <c r="E3792" s="3"/>
      <c r="F3792" s="4"/>
      <c r="S3792" s="3"/>
      <c r="T3792" s="3"/>
    </row>
    <row r="3793" spans="5:20">
      <c r="E3793" s="3"/>
      <c r="F3793" s="4"/>
      <c r="S3793" s="3"/>
      <c r="T3793" s="3"/>
    </row>
    <row r="3794" spans="5:20">
      <c r="E3794" s="3"/>
      <c r="F3794" s="4"/>
      <c r="S3794" s="3"/>
      <c r="T3794" s="3"/>
    </row>
    <row r="3795" spans="5:20">
      <c r="E3795" s="3"/>
      <c r="F3795" s="4"/>
      <c r="S3795" s="3"/>
      <c r="T3795" s="3"/>
    </row>
    <row r="3796" spans="5:20">
      <c r="E3796" s="3"/>
      <c r="F3796" s="4"/>
      <c r="S3796" s="3"/>
      <c r="T3796" s="3"/>
    </row>
    <row r="3797" spans="5:20">
      <c r="E3797" s="3"/>
      <c r="F3797" s="4"/>
      <c r="S3797" s="3"/>
      <c r="T3797" s="3"/>
    </row>
    <row r="3798" spans="5:20">
      <c r="E3798" s="3"/>
      <c r="F3798" s="4"/>
      <c r="S3798" s="3"/>
      <c r="T3798" s="3"/>
    </row>
    <row r="3799" spans="5:20">
      <c r="E3799" s="3"/>
      <c r="F3799" s="4"/>
      <c r="S3799" s="3"/>
      <c r="T3799" s="3"/>
    </row>
    <row r="3800" spans="5:20">
      <c r="E3800" s="3"/>
      <c r="F3800" s="4"/>
      <c r="S3800" s="3"/>
      <c r="T3800" s="3"/>
    </row>
    <row r="3801" spans="5:20">
      <c r="E3801" s="3"/>
      <c r="F3801" s="4"/>
      <c r="S3801" s="3"/>
      <c r="T3801" s="3"/>
    </row>
    <row r="3802" spans="5:20">
      <c r="E3802" s="3"/>
      <c r="F3802" s="4"/>
      <c r="S3802" s="3"/>
      <c r="T3802" s="3"/>
    </row>
    <row r="3803" spans="5:20">
      <c r="E3803" s="3"/>
      <c r="F3803" s="4"/>
      <c r="S3803" s="3"/>
      <c r="T3803" s="3"/>
    </row>
    <row r="3804" spans="5:20">
      <c r="E3804" s="3"/>
      <c r="F3804" s="4"/>
      <c r="S3804" s="3"/>
      <c r="T3804" s="3"/>
    </row>
    <row r="3805" spans="5:20">
      <c r="E3805" s="3"/>
      <c r="F3805" s="4"/>
      <c r="S3805" s="3"/>
      <c r="T3805" s="3"/>
    </row>
    <row r="3806" spans="5:20">
      <c r="E3806" s="3"/>
      <c r="F3806" s="4"/>
      <c r="S3806" s="3"/>
      <c r="T3806" s="3"/>
    </row>
    <row r="3807" spans="5:20">
      <c r="E3807" s="3"/>
      <c r="F3807" s="4"/>
      <c r="S3807" s="3"/>
      <c r="T3807" s="3"/>
    </row>
    <row r="3808" spans="5:20">
      <c r="E3808" s="3"/>
      <c r="F3808" s="4"/>
      <c r="S3808" s="3"/>
      <c r="T3808" s="3"/>
    </row>
    <row r="3809" spans="5:20">
      <c r="E3809" s="3"/>
      <c r="F3809" s="4"/>
      <c r="S3809" s="3"/>
      <c r="T3809" s="3"/>
    </row>
    <row r="3810" spans="5:20">
      <c r="E3810" s="3"/>
      <c r="F3810" s="4"/>
      <c r="S3810" s="3"/>
      <c r="T3810" s="3"/>
    </row>
    <row r="3811" spans="5:20">
      <c r="E3811" s="3"/>
      <c r="F3811" s="4"/>
      <c r="S3811" s="3"/>
      <c r="T3811" s="3"/>
    </row>
    <row r="3812" spans="5:20">
      <c r="E3812" s="3"/>
      <c r="F3812" s="4"/>
      <c r="S3812" s="3"/>
      <c r="T3812" s="3"/>
    </row>
    <row r="3813" spans="5:20">
      <c r="E3813" s="3"/>
      <c r="F3813" s="4"/>
      <c r="S3813" s="3"/>
      <c r="T3813" s="3"/>
    </row>
    <row r="3814" spans="5:20">
      <c r="E3814" s="3"/>
      <c r="F3814" s="4"/>
      <c r="S3814" s="3"/>
      <c r="T3814" s="3"/>
    </row>
    <row r="3815" spans="5:20">
      <c r="E3815" s="3"/>
      <c r="F3815" s="4"/>
      <c r="S3815" s="3"/>
      <c r="T3815" s="3"/>
    </row>
    <row r="3816" spans="5:20">
      <c r="E3816" s="3"/>
      <c r="F3816" s="4"/>
      <c r="S3816" s="3"/>
      <c r="T3816" s="3"/>
    </row>
    <row r="3817" spans="5:20">
      <c r="E3817" s="3"/>
      <c r="F3817" s="4"/>
      <c r="S3817" s="3"/>
      <c r="T3817" s="3"/>
    </row>
    <row r="3818" spans="5:20">
      <c r="E3818" s="3"/>
      <c r="F3818" s="4"/>
      <c r="S3818" s="3"/>
      <c r="T3818" s="3"/>
    </row>
    <row r="3819" spans="5:20">
      <c r="E3819" s="3"/>
      <c r="F3819" s="4"/>
      <c r="S3819" s="3"/>
      <c r="T3819" s="3"/>
    </row>
    <row r="3820" spans="5:20">
      <c r="E3820" s="3"/>
      <c r="F3820" s="4"/>
      <c r="S3820" s="3"/>
      <c r="T3820" s="3"/>
    </row>
    <row r="3821" spans="5:20">
      <c r="E3821" s="3"/>
      <c r="F3821" s="4"/>
      <c r="S3821" s="3"/>
      <c r="T3821" s="3"/>
    </row>
    <row r="3822" spans="5:20">
      <c r="E3822" s="3"/>
      <c r="F3822" s="4"/>
      <c r="S3822" s="3"/>
      <c r="T3822" s="3"/>
    </row>
    <row r="3823" spans="5:20">
      <c r="E3823" s="3"/>
      <c r="F3823" s="4"/>
      <c r="S3823" s="3"/>
      <c r="T3823" s="3"/>
    </row>
    <row r="3824" spans="5:20">
      <c r="E3824" s="3"/>
      <c r="F3824" s="4"/>
      <c r="S3824" s="3"/>
      <c r="T3824" s="3"/>
    </row>
    <row r="3825" spans="5:20">
      <c r="E3825" s="3"/>
      <c r="F3825" s="4"/>
      <c r="S3825" s="3"/>
      <c r="T3825" s="3"/>
    </row>
    <row r="3826" spans="5:20">
      <c r="E3826" s="3"/>
      <c r="F3826" s="4"/>
      <c r="S3826" s="3"/>
      <c r="T3826" s="3"/>
    </row>
    <row r="3827" spans="5:20">
      <c r="E3827" s="3"/>
      <c r="F3827" s="4"/>
      <c r="S3827" s="3"/>
      <c r="T3827" s="3"/>
    </row>
    <row r="3828" spans="5:20">
      <c r="E3828" s="3"/>
      <c r="F3828" s="4"/>
      <c r="S3828" s="3"/>
      <c r="T3828" s="3"/>
    </row>
    <row r="3829" spans="5:20">
      <c r="E3829" s="3"/>
      <c r="F3829" s="4"/>
      <c r="S3829" s="3"/>
      <c r="T3829" s="3"/>
    </row>
    <row r="3830" spans="5:20">
      <c r="E3830" s="3"/>
      <c r="F3830" s="4"/>
      <c r="S3830" s="3"/>
      <c r="T3830" s="3"/>
    </row>
    <row r="3831" spans="5:20">
      <c r="E3831" s="3"/>
      <c r="F3831" s="4"/>
      <c r="S3831" s="3"/>
      <c r="T3831" s="3"/>
    </row>
    <row r="3832" spans="5:20">
      <c r="E3832" s="3"/>
      <c r="F3832" s="4"/>
      <c r="S3832" s="3"/>
      <c r="T3832" s="3"/>
    </row>
    <row r="3833" spans="5:20">
      <c r="E3833" s="3"/>
      <c r="F3833" s="4"/>
      <c r="S3833" s="3"/>
      <c r="T3833" s="3"/>
    </row>
    <row r="3834" spans="5:20">
      <c r="E3834" s="3"/>
      <c r="F3834" s="4"/>
      <c r="S3834" s="3"/>
      <c r="T3834" s="3"/>
    </row>
    <row r="3835" spans="5:20">
      <c r="E3835" s="3"/>
      <c r="F3835" s="4"/>
      <c r="S3835" s="3"/>
      <c r="T3835" s="3"/>
    </row>
    <row r="3836" spans="5:20">
      <c r="E3836" s="3"/>
      <c r="F3836" s="4"/>
      <c r="S3836" s="3"/>
      <c r="T3836" s="3"/>
    </row>
    <row r="3837" spans="5:20">
      <c r="E3837" s="3"/>
      <c r="F3837" s="4"/>
      <c r="S3837" s="3"/>
      <c r="T3837" s="3"/>
    </row>
    <row r="3838" spans="5:20">
      <c r="E3838" s="3"/>
      <c r="F3838" s="4"/>
      <c r="S3838" s="3"/>
      <c r="T3838" s="3"/>
    </row>
    <row r="3839" spans="5:20">
      <c r="E3839" s="3"/>
      <c r="F3839" s="4"/>
      <c r="S3839" s="3"/>
      <c r="T3839" s="3"/>
    </row>
    <row r="3840" spans="5:20">
      <c r="E3840" s="3"/>
      <c r="F3840" s="4"/>
      <c r="S3840" s="3"/>
      <c r="T3840" s="3"/>
    </row>
    <row r="3841" spans="5:20">
      <c r="E3841" s="3"/>
      <c r="F3841" s="4"/>
      <c r="S3841" s="3"/>
      <c r="T3841" s="3"/>
    </row>
    <row r="3842" spans="5:20">
      <c r="E3842" s="3"/>
      <c r="F3842" s="4"/>
      <c r="S3842" s="3"/>
      <c r="T3842" s="3"/>
    </row>
    <row r="3843" spans="5:20">
      <c r="E3843" s="3"/>
      <c r="F3843" s="4"/>
      <c r="S3843" s="3"/>
      <c r="T3843" s="3"/>
    </row>
    <row r="3844" spans="5:20">
      <c r="E3844" s="3"/>
      <c r="F3844" s="4"/>
      <c r="S3844" s="3"/>
      <c r="T3844" s="3"/>
    </row>
    <row r="3845" spans="5:20">
      <c r="E3845" s="3"/>
      <c r="F3845" s="4"/>
      <c r="S3845" s="3"/>
      <c r="T3845" s="3"/>
    </row>
    <row r="3846" spans="5:20">
      <c r="E3846" s="3"/>
      <c r="F3846" s="4"/>
      <c r="S3846" s="3"/>
      <c r="T3846" s="3"/>
    </row>
    <row r="3847" spans="5:20">
      <c r="E3847" s="3"/>
      <c r="F3847" s="4"/>
      <c r="S3847" s="3"/>
      <c r="T3847" s="3"/>
    </row>
    <row r="3848" spans="5:20">
      <c r="E3848" s="3"/>
      <c r="F3848" s="4"/>
      <c r="S3848" s="3"/>
      <c r="T3848" s="3"/>
    </row>
    <row r="3849" spans="5:20">
      <c r="E3849" s="3"/>
      <c r="F3849" s="4"/>
      <c r="S3849" s="3"/>
      <c r="T3849" s="3"/>
    </row>
    <row r="3850" spans="5:20">
      <c r="E3850" s="3"/>
      <c r="F3850" s="4"/>
      <c r="S3850" s="3"/>
      <c r="T3850" s="3"/>
    </row>
    <row r="3851" spans="5:20">
      <c r="E3851" s="3"/>
      <c r="F3851" s="4"/>
      <c r="S3851" s="3"/>
      <c r="T3851" s="3"/>
    </row>
    <row r="3852" spans="5:20">
      <c r="E3852" s="3"/>
      <c r="F3852" s="4"/>
      <c r="S3852" s="3"/>
      <c r="T3852" s="3"/>
    </row>
    <row r="3853" spans="5:20">
      <c r="E3853" s="3"/>
      <c r="F3853" s="4"/>
      <c r="S3853" s="3"/>
      <c r="T3853" s="3"/>
    </row>
    <row r="3854" spans="5:20">
      <c r="E3854" s="3"/>
      <c r="F3854" s="4"/>
      <c r="S3854" s="3"/>
      <c r="T3854" s="3"/>
    </row>
    <row r="3855" spans="5:20">
      <c r="E3855" s="3"/>
      <c r="F3855" s="4"/>
      <c r="S3855" s="3"/>
      <c r="T3855" s="3"/>
    </row>
    <row r="3856" spans="5:20">
      <c r="E3856" s="3"/>
      <c r="F3856" s="4"/>
      <c r="S3856" s="3"/>
      <c r="T3856" s="3"/>
    </row>
    <row r="3857" spans="5:20">
      <c r="E3857" s="3"/>
      <c r="F3857" s="4"/>
      <c r="S3857" s="3"/>
      <c r="T3857" s="3"/>
    </row>
    <row r="3858" spans="5:20">
      <c r="E3858" s="3"/>
      <c r="F3858" s="4"/>
      <c r="S3858" s="3"/>
      <c r="T3858" s="3"/>
    </row>
    <row r="3859" spans="5:20">
      <c r="E3859" s="3"/>
      <c r="F3859" s="4"/>
      <c r="S3859" s="3"/>
      <c r="T3859" s="3"/>
    </row>
    <row r="3860" spans="5:20">
      <c r="E3860" s="3"/>
      <c r="F3860" s="4"/>
      <c r="S3860" s="3"/>
      <c r="T3860" s="3"/>
    </row>
    <row r="3861" spans="5:20">
      <c r="E3861" s="3"/>
      <c r="F3861" s="4"/>
      <c r="S3861" s="3"/>
      <c r="T3861" s="3"/>
    </row>
    <row r="3862" spans="5:20">
      <c r="E3862" s="3"/>
      <c r="F3862" s="4"/>
      <c r="S3862" s="3"/>
      <c r="T3862" s="3"/>
    </row>
    <row r="3863" spans="5:20">
      <c r="E3863" s="3"/>
      <c r="F3863" s="4"/>
      <c r="S3863" s="3"/>
      <c r="T3863" s="3"/>
    </row>
    <row r="3864" spans="5:20">
      <c r="E3864" s="3"/>
      <c r="F3864" s="4"/>
      <c r="S3864" s="3"/>
      <c r="T3864" s="3"/>
    </row>
    <row r="3865" spans="5:20">
      <c r="E3865" s="3"/>
      <c r="F3865" s="4"/>
      <c r="S3865" s="3"/>
      <c r="T3865" s="3"/>
    </row>
    <row r="3866" spans="5:20">
      <c r="E3866" s="3"/>
      <c r="F3866" s="4"/>
      <c r="S3866" s="3"/>
      <c r="T3866" s="3"/>
    </row>
    <row r="3867" spans="5:20">
      <c r="E3867" s="3"/>
      <c r="F3867" s="4"/>
      <c r="S3867" s="3"/>
      <c r="T3867" s="3"/>
    </row>
    <row r="3868" spans="5:20">
      <c r="E3868" s="3"/>
      <c r="F3868" s="4"/>
      <c r="S3868" s="3"/>
      <c r="T3868" s="3"/>
    </row>
    <row r="3869" spans="5:20">
      <c r="E3869" s="3"/>
      <c r="F3869" s="4"/>
      <c r="S3869" s="3"/>
      <c r="T3869" s="3"/>
    </row>
    <row r="3870" spans="5:20">
      <c r="E3870" s="3"/>
      <c r="F3870" s="4"/>
      <c r="S3870" s="3"/>
      <c r="T3870" s="3"/>
    </row>
    <row r="3871" spans="5:20">
      <c r="E3871" s="3"/>
      <c r="F3871" s="4"/>
      <c r="S3871" s="3"/>
      <c r="T3871" s="3"/>
    </row>
    <row r="3872" spans="5:20">
      <c r="E3872" s="3"/>
      <c r="F3872" s="4"/>
      <c r="S3872" s="3"/>
      <c r="T3872" s="3"/>
    </row>
    <row r="3873" spans="5:20">
      <c r="E3873" s="3"/>
      <c r="F3873" s="4"/>
      <c r="S3873" s="3"/>
      <c r="T3873" s="3"/>
    </row>
    <row r="3874" spans="5:20">
      <c r="E3874" s="3"/>
      <c r="F3874" s="4"/>
      <c r="S3874" s="3"/>
      <c r="T3874" s="3"/>
    </row>
    <row r="3875" spans="5:20">
      <c r="E3875" s="3"/>
      <c r="F3875" s="4"/>
      <c r="S3875" s="3"/>
      <c r="T3875" s="3"/>
    </row>
    <row r="3876" spans="5:20">
      <c r="E3876" s="3"/>
      <c r="F3876" s="4"/>
      <c r="S3876" s="3"/>
      <c r="T3876" s="3"/>
    </row>
    <row r="3877" spans="5:20">
      <c r="E3877" s="3"/>
      <c r="F3877" s="4"/>
      <c r="S3877" s="3"/>
      <c r="T3877" s="3"/>
    </row>
    <row r="3878" spans="5:20">
      <c r="E3878" s="3"/>
      <c r="F3878" s="4"/>
      <c r="S3878" s="3"/>
      <c r="T3878" s="3"/>
    </row>
    <row r="3879" spans="5:20">
      <c r="E3879" s="3"/>
      <c r="F3879" s="4"/>
      <c r="S3879" s="3"/>
      <c r="T3879" s="3"/>
    </row>
    <row r="3880" spans="5:20">
      <c r="E3880" s="3"/>
      <c r="F3880" s="4"/>
      <c r="S3880" s="3"/>
      <c r="T3880" s="3"/>
    </row>
    <row r="3881" spans="5:20">
      <c r="E3881" s="3"/>
      <c r="F3881" s="4"/>
      <c r="S3881" s="3"/>
      <c r="T3881" s="3"/>
    </row>
    <row r="3882" spans="5:20">
      <c r="E3882" s="3"/>
      <c r="F3882" s="4"/>
      <c r="S3882" s="3"/>
      <c r="T3882" s="3"/>
    </row>
    <row r="3883" spans="5:20">
      <c r="E3883" s="3"/>
      <c r="F3883" s="4"/>
      <c r="S3883" s="3"/>
      <c r="T3883" s="3"/>
    </row>
    <row r="3884" spans="5:20">
      <c r="E3884" s="3"/>
      <c r="F3884" s="4"/>
      <c r="S3884" s="3"/>
      <c r="T3884" s="3"/>
    </row>
    <row r="3885" spans="5:20">
      <c r="E3885" s="3"/>
      <c r="F3885" s="4"/>
      <c r="S3885" s="3"/>
      <c r="T3885" s="3"/>
    </row>
    <row r="3886" spans="5:20">
      <c r="E3886" s="3"/>
      <c r="F3886" s="4"/>
      <c r="S3886" s="3"/>
      <c r="T3886" s="3"/>
    </row>
    <row r="3887" spans="5:20">
      <c r="E3887" s="3"/>
      <c r="F3887" s="4"/>
      <c r="S3887" s="3"/>
      <c r="T3887" s="3"/>
    </row>
    <row r="3888" spans="5:20">
      <c r="E3888" s="3"/>
      <c r="F3888" s="4"/>
      <c r="S3888" s="3"/>
      <c r="T3888" s="3"/>
    </row>
    <row r="3889" spans="5:20">
      <c r="E3889" s="3"/>
      <c r="F3889" s="4"/>
      <c r="S3889" s="3"/>
      <c r="T3889" s="3"/>
    </row>
    <row r="3890" spans="5:20">
      <c r="E3890" s="3"/>
      <c r="F3890" s="4"/>
      <c r="S3890" s="3"/>
      <c r="T3890" s="3"/>
    </row>
    <row r="3891" spans="5:20">
      <c r="E3891" s="3"/>
      <c r="F3891" s="4"/>
      <c r="S3891" s="3"/>
      <c r="T3891" s="3"/>
    </row>
    <row r="3892" spans="5:20">
      <c r="E3892" s="3"/>
      <c r="F3892" s="4"/>
      <c r="S3892" s="3"/>
      <c r="T3892" s="3"/>
    </row>
    <row r="3893" spans="5:20">
      <c r="E3893" s="3"/>
      <c r="F3893" s="4"/>
      <c r="S3893" s="3"/>
      <c r="T3893" s="3"/>
    </row>
    <row r="3894" spans="5:20">
      <c r="E3894" s="3"/>
      <c r="F3894" s="4"/>
      <c r="S3894" s="3"/>
      <c r="T3894" s="3"/>
    </row>
    <row r="3895" spans="5:20">
      <c r="E3895" s="3"/>
      <c r="F3895" s="4"/>
      <c r="S3895" s="3"/>
      <c r="T3895" s="3"/>
    </row>
    <row r="3896" spans="5:20">
      <c r="E3896" s="3"/>
      <c r="F3896" s="4"/>
      <c r="S3896" s="3"/>
      <c r="T3896" s="3"/>
    </row>
    <row r="3897" spans="5:20">
      <c r="E3897" s="3"/>
      <c r="F3897" s="4"/>
      <c r="S3897" s="3"/>
      <c r="T3897" s="3"/>
    </row>
    <row r="3898" spans="5:20">
      <c r="E3898" s="3"/>
      <c r="F3898" s="4"/>
      <c r="S3898" s="3"/>
      <c r="T3898" s="3"/>
    </row>
    <row r="3899" spans="5:20">
      <c r="E3899" s="3"/>
      <c r="F3899" s="4"/>
      <c r="S3899" s="3"/>
      <c r="T3899" s="3"/>
    </row>
    <row r="3900" spans="5:20">
      <c r="E3900" s="3"/>
      <c r="F3900" s="4"/>
      <c r="S3900" s="3"/>
      <c r="T3900" s="3"/>
    </row>
    <row r="3901" spans="5:20">
      <c r="E3901" s="3"/>
      <c r="F3901" s="4"/>
      <c r="S3901" s="3"/>
      <c r="T3901" s="3"/>
    </row>
    <row r="3902" spans="5:20">
      <c r="E3902" s="3"/>
      <c r="F3902" s="4"/>
      <c r="S3902" s="3"/>
      <c r="T3902" s="3"/>
    </row>
    <row r="3903" spans="5:20">
      <c r="E3903" s="3"/>
      <c r="F3903" s="4"/>
      <c r="S3903" s="3"/>
      <c r="T3903" s="3"/>
    </row>
    <row r="3904" spans="5:20">
      <c r="E3904" s="3"/>
      <c r="F3904" s="4"/>
      <c r="S3904" s="3"/>
      <c r="T3904" s="3"/>
    </row>
    <row r="3905" spans="5:20">
      <c r="E3905" s="3"/>
      <c r="F3905" s="4"/>
      <c r="S3905" s="3"/>
      <c r="T3905" s="3"/>
    </row>
    <row r="3906" spans="5:20">
      <c r="E3906" s="3"/>
      <c r="F3906" s="4"/>
      <c r="S3906" s="3"/>
      <c r="T3906" s="3"/>
    </row>
    <row r="3907" spans="5:20">
      <c r="E3907" s="3"/>
      <c r="F3907" s="4"/>
      <c r="S3907" s="3"/>
      <c r="T3907" s="3"/>
    </row>
    <row r="3908" spans="5:20">
      <c r="E3908" s="3"/>
      <c r="F3908" s="4"/>
      <c r="S3908" s="3"/>
      <c r="T3908" s="3"/>
    </row>
    <row r="3909" spans="5:20">
      <c r="E3909" s="3"/>
      <c r="F3909" s="4"/>
      <c r="S3909" s="3"/>
      <c r="T3909" s="3"/>
    </row>
    <row r="3910" spans="5:20">
      <c r="E3910" s="3"/>
      <c r="F3910" s="4"/>
      <c r="S3910" s="3"/>
      <c r="T3910" s="3"/>
    </row>
    <row r="3911" spans="5:20">
      <c r="E3911" s="3"/>
      <c r="F3911" s="4"/>
      <c r="S3911" s="3"/>
      <c r="T3911" s="3"/>
    </row>
    <row r="3912" spans="5:20">
      <c r="E3912" s="3"/>
      <c r="F3912" s="4"/>
      <c r="S3912" s="3"/>
      <c r="T3912" s="3"/>
    </row>
    <row r="3913" spans="5:20">
      <c r="E3913" s="3"/>
      <c r="F3913" s="4"/>
      <c r="S3913" s="3"/>
      <c r="T3913" s="3"/>
    </row>
    <row r="3914" spans="5:20">
      <c r="E3914" s="3"/>
      <c r="F3914" s="4"/>
      <c r="S3914" s="3"/>
      <c r="T3914" s="3"/>
    </row>
    <row r="3915" spans="5:20">
      <c r="E3915" s="3"/>
      <c r="F3915" s="4"/>
      <c r="S3915" s="3"/>
      <c r="T3915" s="3"/>
    </row>
    <row r="3916" spans="5:20">
      <c r="E3916" s="3"/>
      <c r="F3916" s="4"/>
      <c r="S3916" s="3"/>
      <c r="T3916" s="3"/>
    </row>
    <row r="3917" spans="5:20">
      <c r="E3917" s="3"/>
      <c r="F3917" s="4"/>
      <c r="S3917" s="3"/>
      <c r="T3917" s="3"/>
    </row>
    <row r="3918" spans="5:20">
      <c r="E3918" s="3"/>
      <c r="F3918" s="4"/>
      <c r="S3918" s="3"/>
      <c r="T3918" s="3"/>
    </row>
    <row r="3919" spans="5:20">
      <c r="E3919" s="3"/>
      <c r="F3919" s="4"/>
      <c r="S3919" s="3"/>
      <c r="T3919" s="3"/>
    </row>
    <row r="3920" spans="5:20">
      <c r="E3920" s="3"/>
      <c r="F3920" s="4"/>
      <c r="S3920" s="3"/>
      <c r="T3920" s="3"/>
    </row>
    <row r="3921" spans="5:20">
      <c r="E3921" s="3"/>
      <c r="F3921" s="4"/>
      <c r="S3921" s="3"/>
      <c r="T3921" s="3"/>
    </row>
    <row r="3922" spans="5:20">
      <c r="E3922" s="3"/>
      <c r="F3922" s="4"/>
      <c r="S3922" s="3"/>
      <c r="T3922" s="3"/>
    </row>
    <row r="3923" spans="5:20">
      <c r="E3923" s="3"/>
      <c r="F3923" s="4"/>
      <c r="S3923" s="3"/>
      <c r="T3923" s="3"/>
    </row>
    <row r="3924" spans="5:20">
      <c r="E3924" s="3"/>
      <c r="F3924" s="4"/>
      <c r="S3924" s="3"/>
      <c r="T3924" s="3"/>
    </row>
    <row r="3925" spans="5:20">
      <c r="E3925" s="3"/>
      <c r="F3925" s="4"/>
      <c r="S3925" s="3"/>
      <c r="T3925" s="3"/>
    </row>
    <row r="3926" spans="5:20">
      <c r="E3926" s="3"/>
      <c r="F3926" s="4"/>
      <c r="S3926" s="3"/>
      <c r="T3926" s="3"/>
    </row>
    <row r="3927" spans="5:20">
      <c r="E3927" s="3"/>
      <c r="F3927" s="4"/>
      <c r="S3927" s="3"/>
      <c r="T3927" s="3"/>
    </row>
    <row r="3928" spans="5:20">
      <c r="E3928" s="3"/>
      <c r="F3928" s="4"/>
      <c r="S3928" s="3"/>
      <c r="T3928" s="3"/>
    </row>
    <row r="3929" spans="5:20">
      <c r="E3929" s="3"/>
      <c r="F3929" s="4"/>
      <c r="S3929" s="3"/>
      <c r="T3929" s="3"/>
    </row>
    <row r="3930" spans="5:20">
      <c r="E3930" s="3"/>
      <c r="F3930" s="4"/>
      <c r="S3930" s="3"/>
      <c r="T3930" s="3"/>
    </row>
    <row r="3931" spans="5:20">
      <c r="E3931" s="3"/>
      <c r="F3931" s="4"/>
      <c r="S3931" s="3"/>
      <c r="T3931" s="3"/>
    </row>
    <row r="3932" spans="5:20">
      <c r="E3932" s="3"/>
      <c r="F3932" s="4"/>
      <c r="S3932" s="3"/>
      <c r="T3932" s="3"/>
    </row>
    <row r="3933" spans="5:20">
      <c r="E3933" s="3"/>
      <c r="F3933" s="4"/>
      <c r="S3933" s="3"/>
      <c r="T3933" s="3"/>
    </row>
    <row r="3934" spans="5:20">
      <c r="E3934" s="3"/>
      <c r="F3934" s="4"/>
      <c r="S3934" s="3"/>
      <c r="T3934" s="3"/>
    </row>
    <row r="3935" spans="5:20">
      <c r="E3935" s="3"/>
      <c r="F3935" s="4"/>
      <c r="S3935" s="3"/>
      <c r="T3935" s="3"/>
    </row>
    <row r="3936" spans="5:20">
      <c r="E3936" s="3"/>
      <c r="F3936" s="4"/>
      <c r="S3936" s="3"/>
      <c r="T3936" s="3"/>
    </row>
    <row r="3937" spans="5:20">
      <c r="E3937" s="3"/>
      <c r="F3937" s="4"/>
      <c r="S3937" s="3"/>
      <c r="T3937" s="3"/>
    </row>
    <row r="3938" spans="5:20">
      <c r="E3938" s="3"/>
      <c r="F3938" s="4"/>
      <c r="S3938" s="3"/>
      <c r="T3938" s="3"/>
    </row>
    <row r="3939" spans="5:20">
      <c r="E3939" s="3"/>
      <c r="F3939" s="4"/>
      <c r="S3939" s="3"/>
      <c r="T3939" s="3"/>
    </row>
    <row r="3940" spans="5:20">
      <c r="E3940" s="3"/>
      <c r="F3940" s="4"/>
      <c r="S3940" s="3"/>
      <c r="T3940" s="3"/>
    </row>
    <row r="3941" spans="5:20">
      <c r="E3941" s="3"/>
      <c r="F3941" s="4"/>
      <c r="S3941" s="3"/>
      <c r="T3941" s="3"/>
    </row>
    <row r="3942" spans="5:20">
      <c r="E3942" s="3"/>
      <c r="F3942" s="4"/>
      <c r="S3942" s="3"/>
      <c r="T3942" s="3"/>
    </row>
    <row r="3943" spans="5:20">
      <c r="E3943" s="3"/>
      <c r="F3943" s="4"/>
      <c r="S3943" s="3"/>
      <c r="T3943" s="3"/>
    </row>
    <row r="3944" spans="5:20">
      <c r="E3944" s="3"/>
      <c r="F3944" s="4"/>
      <c r="S3944" s="3"/>
      <c r="T3944" s="3"/>
    </row>
    <row r="3945" spans="5:20">
      <c r="E3945" s="3"/>
      <c r="F3945" s="4"/>
      <c r="S3945" s="3"/>
      <c r="T3945" s="3"/>
    </row>
    <row r="3946" spans="5:20">
      <c r="E3946" s="3"/>
      <c r="F3946" s="4"/>
      <c r="S3946" s="3"/>
      <c r="T3946" s="3"/>
    </row>
    <row r="3947" spans="5:20">
      <c r="E3947" s="3"/>
      <c r="F3947" s="4"/>
      <c r="S3947" s="3"/>
      <c r="T3947" s="3"/>
    </row>
    <row r="3948" spans="5:20">
      <c r="E3948" s="3"/>
      <c r="F3948" s="4"/>
      <c r="S3948" s="3"/>
      <c r="T3948" s="3"/>
    </row>
    <row r="3949" spans="5:20">
      <c r="E3949" s="3"/>
      <c r="F3949" s="4"/>
      <c r="S3949" s="3"/>
      <c r="T3949" s="3"/>
    </row>
    <row r="3950" spans="5:20">
      <c r="E3950" s="3"/>
      <c r="F3950" s="4"/>
      <c r="S3950" s="3"/>
      <c r="T3950" s="3"/>
    </row>
    <row r="3951" spans="5:20">
      <c r="E3951" s="3"/>
      <c r="F3951" s="4"/>
      <c r="S3951" s="3"/>
      <c r="T3951" s="3"/>
    </row>
    <row r="3952" spans="5:20">
      <c r="E3952" s="3"/>
      <c r="F3952" s="4"/>
      <c r="S3952" s="3"/>
      <c r="T3952" s="3"/>
    </row>
    <row r="3953" spans="5:20">
      <c r="E3953" s="3"/>
      <c r="F3953" s="4"/>
      <c r="S3953" s="3"/>
      <c r="T3953" s="3"/>
    </row>
    <row r="3954" spans="5:20">
      <c r="E3954" s="3"/>
      <c r="F3954" s="4"/>
      <c r="S3954" s="3"/>
      <c r="T3954" s="3"/>
    </row>
    <row r="3955" spans="5:20">
      <c r="E3955" s="3"/>
      <c r="F3955" s="4"/>
      <c r="S3955" s="3"/>
      <c r="T3955" s="3"/>
    </row>
    <row r="3956" spans="5:20">
      <c r="E3956" s="3"/>
      <c r="F3956" s="4"/>
      <c r="S3956" s="3"/>
      <c r="T3956" s="3"/>
    </row>
    <row r="3957" spans="5:20">
      <c r="E3957" s="3"/>
      <c r="F3957" s="4"/>
      <c r="S3957" s="3"/>
      <c r="T3957" s="3"/>
    </row>
    <row r="3958" spans="5:20">
      <c r="E3958" s="3"/>
      <c r="F3958" s="4"/>
      <c r="S3958" s="3"/>
      <c r="T3958" s="3"/>
    </row>
    <row r="3959" spans="5:20">
      <c r="E3959" s="3"/>
      <c r="F3959" s="4"/>
      <c r="S3959" s="3"/>
      <c r="T3959" s="3"/>
    </row>
    <row r="3960" spans="5:20">
      <c r="E3960" s="3"/>
      <c r="F3960" s="4"/>
      <c r="S3960" s="3"/>
      <c r="T3960" s="3"/>
    </row>
    <row r="3961" spans="5:20">
      <c r="E3961" s="3"/>
      <c r="F3961" s="4"/>
      <c r="S3961" s="3"/>
      <c r="T3961" s="3"/>
    </row>
    <row r="3962" spans="5:20">
      <c r="E3962" s="3"/>
      <c r="F3962" s="4"/>
      <c r="S3962" s="3"/>
      <c r="T3962" s="3"/>
    </row>
    <row r="3963" spans="5:20">
      <c r="E3963" s="3"/>
      <c r="F3963" s="4"/>
      <c r="S3963" s="3"/>
      <c r="T3963" s="3"/>
    </row>
    <row r="3964" spans="5:20">
      <c r="E3964" s="3"/>
      <c r="F3964" s="4"/>
      <c r="S3964" s="3"/>
      <c r="T3964" s="3"/>
    </row>
    <row r="3965" spans="5:20">
      <c r="E3965" s="3"/>
      <c r="F3965" s="4"/>
      <c r="S3965" s="3"/>
      <c r="T3965" s="3"/>
    </row>
    <row r="3966" spans="5:20">
      <c r="E3966" s="3"/>
      <c r="F3966" s="4"/>
      <c r="S3966" s="3"/>
      <c r="T3966" s="3"/>
    </row>
    <row r="3967" spans="5:20">
      <c r="E3967" s="3"/>
      <c r="F3967" s="4"/>
      <c r="S3967" s="3"/>
      <c r="T3967" s="3"/>
    </row>
    <row r="3968" spans="5:20">
      <c r="E3968" s="3"/>
      <c r="F3968" s="4"/>
      <c r="S3968" s="3"/>
      <c r="T3968" s="3"/>
    </row>
    <row r="3969" spans="5:20">
      <c r="E3969" s="3"/>
      <c r="F3969" s="4"/>
      <c r="S3969" s="3"/>
      <c r="T3969" s="3"/>
    </row>
    <row r="3970" spans="5:20">
      <c r="E3970" s="3"/>
      <c r="F3970" s="4"/>
      <c r="S3970" s="3"/>
      <c r="T3970" s="3"/>
    </row>
    <row r="3971" spans="5:20">
      <c r="E3971" s="3"/>
      <c r="F3971" s="4"/>
      <c r="S3971" s="3"/>
      <c r="T3971" s="3"/>
    </row>
    <row r="3972" spans="5:20">
      <c r="E3972" s="3"/>
      <c r="F3972" s="4"/>
      <c r="S3972" s="3"/>
      <c r="T3972" s="3"/>
    </row>
    <row r="3973" spans="5:20">
      <c r="E3973" s="3"/>
      <c r="F3973" s="4"/>
      <c r="S3973" s="3"/>
      <c r="T3973" s="3"/>
    </row>
    <row r="3974" spans="5:20">
      <c r="E3974" s="3"/>
      <c r="F3974" s="4"/>
      <c r="S3974" s="3"/>
      <c r="T3974" s="3"/>
    </row>
    <row r="3975" spans="5:20">
      <c r="E3975" s="3"/>
      <c r="F3975" s="4"/>
      <c r="S3975" s="3"/>
      <c r="T3975" s="3"/>
    </row>
    <row r="3976" spans="5:20">
      <c r="E3976" s="3"/>
      <c r="F3976" s="4"/>
      <c r="S3976" s="3"/>
      <c r="T3976" s="3"/>
    </row>
    <row r="3977" spans="5:20">
      <c r="E3977" s="3"/>
      <c r="F3977" s="4"/>
      <c r="S3977" s="3"/>
      <c r="T3977" s="3"/>
    </row>
    <row r="3978" spans="5:20">
      <c r="E3978" s="3"/>
      <c r="F3978" s="4"/>
      <c r="S3978" s="3"/>
      <c r="T3978" s="3"/>
    </row>
    <row r="3979" spans="5:20">
      <c r="E3979" s="3"/>
      <c r="F3979" s="4"/>
      <c r="S3979" s="3"/>
      <c r="T3979" s="3"/>
    </row>
    <row r="3980" spans="5:20">
      <c r="E3980" s="3"/>
      <c r="F3980" s="4"/>
      <c r="S3980" s="3"/>
      <c r="T3980" s="3"/>
    </row>
    <row r="3981" spans="5:20">
      <c r="E3981" s="3"/>
      <c r="F3981" s="4"/>
      <c r="S3981" s="3"/>
      <c r="T3981" s="3"/>
    </row>
    <row r="3982" spans="5:20">
      <c r="E3982" s="3"/>
      <c r="F3982" s="4"/>
      <c r="S3982" s="3"/>
      <c r="T3982" s="3"/>
    </row>
    <row r="3983" spans="5:20">
      <c r="E3983" s="3"/>
      <c r="F3983" s="4"/>
      <c r="S3983" s="3"/>
      <c r="T3983" s="3"/>
    </row>
    <row r="3984" spans="5:20">
      <c r="E3984" s="3"/>
      <c r="F3984" s="4"/>
      <c r="S3984" s="3"/>
      <c r="T3984" s="3"/>
    </row>
    <row r="3985" spans="5:20">
      <c r="E3985" s="3"/>
      <c r="F3985" s="4"/>
      <c r="S3985" s="3"/>
      <c r="T3985" s="3"/>
    </row>
    <row r="3986" spans="5:20">
      <c r="E3986" s="3"/>
      <c r="F3986" s="4"/>
      <c r="S3986" s="3"/>
      <c r="T3986" s="3"/>
    </row>
    <row r="3987" spans="5:20">
      <c r="E3987" s="3"/>
      <c r="F3987" s="4"/>
      <c r="S3987" s="3"/>
      <c r="T3987" s="3"/>
    </row>
    <row r="3988" spans="5:20">
      <c r="E3988" s="3"/>
      <c r="F3988" s="4"/>
      <c r="S3988" s="3"/>
      <c r="T3988" s="3"/>
    </row>
    <row r="3989" spans="5:20">
      <c r="E3989" s="3"/>
      <c r="F3989" s="4"/>
      <c r="S3989" s="3"/>
      <c r="T3989" s="3"/>
    </row>
    <row r="3990" spans="5:20">
      <c r="E3990" s="3"/>
      <c r="F3990" s="4"/>
      <c r="S3990" s="3"/>
      <c r="T3990" s="3"/>
    </row>
    <row r="3991" spans="5:20">
      <c r="E3991" s="3"/>
      <c r="F3991" s="4"/>
      <c r="S3991" s="3"/>
      <c r="T3991" s="3"/>
    </row>
    <row r="3992" spans="5:20">
      <c r="E3992" s="3"/>
      <c r="F3992" s="4"/>
      <c r="S3992" s="3"/>
      <c r="T3992" s="3"/>
    </row>
    <row r="3993" spans="5:20">
      <c r="E3993" s="3"/>
      <c r="F3993" s="4"/>
      <c r="S3993" s="3"/>
      <c r="T3993" s="3"/>
    </row>
    <row r="3994" spans="5:20">
      <c r="E3994" s="3"/>
      <c r="F3994" s="4"/>
      <c r="S3994" s="3"/>
      <c r="T3994" s="3"/>
    </row>
    <row r="3995" spans="5:20">
      <c r="E3995" s="3"/>
      <c r="F3995" s="4"/>
      <c r="S3995" s="3"/>
      <c r="T3995" s="3"/>
    </row>
    <row r="3996" spans="5:20">
      <c r="E3996" s="3"/>
      <c r="F3996" s="4"/>
      <c r="S3996" s="3"/>
      <c r="T3996" s="3"/>
    </row>
    <row r="3997" spans="5:20">
      <c r="E3997" s="3"/>
      <c r="F3997" s="4"/>
      <c r="S3997" s="3"/>
      <c r="T3997" s="3"/>
    </row>
    <row r="3998" spans="5:20">
      <c r="E3998" s="3"/>
      <c r="F3998" s="4"/>
      <c r="S3998" s="3"/>
      <c r="T3998" s="3"/>
    </row>
    <row r="3999" spans="5:20">
      <c r="E3999" s="3"/>
      <c r="F3999" s="4"/>
      <c r="S3999" s="3"/>
      <c r="T3999" s="3"/>
    </row>
    <row r="4000" spans="5:20">
      <c r="E4000" s="3"/>
      <c r="F4000" s="4"/>
      <c r="S4000" s="3"/>
      <c r="T4000" s="3"/>
    </row>
    <row r="4001" spans="5:20">
      <c r="E4001" s="3"/>
      <c r="F4001" s="4"/>
      <c r="S4001" s="3"/>
      <c r="T4001" s="3"/>
    </row>
    <row r="4002" spans="5:20">
      <c r="E4002" s="3"/>
      <c r="F4002" s="4"/>
      <c r="S4002" s="3"/>
      <c r="T4002" s="3"/>
    </row>
    <row r="4003" spans="5:20">
      <c r="E4003" s="3"/>
      <c r="F4003" s="4"/>
      <c r="S4003" s="3"/>
      <c r="T4003" s="3"/>
    </row>
    <row r="4004" spans="5:20">
      <c r="E4004" s="3"/>
      <c r="F4004" s="4"/>
      <c r="S4004" s="3"/>
      <c r="T4004" s="3"/>
    </row>
    <row r="4005" spans="5:20">
      <c r="E4005" s="3"/>
      <c r="F4005" s="4"/>
      <c r="S4005" s="3"/>
      <c r="T4005" s="3"/>
    </row>
    <row r="4006" spans="5:20">
      <c r="E4006" s="3"/>
      <c r="F4006" s="4"/>
      <c r="S4006" s="3"/>
      <c r="T4006" s="3"/>
    </row>
    <row r="4007" spans="5:20">
      <c r="E4007" s="3"/>
      <c r="F4007" s="4"/>
      <c r="S4007" s="3"/>
      <c r="T4007" s="3"/>
    </row>
    <row r="4008" spans="5:20">
      <c r="E4008" s="3"/>
      <c r="F4008" s="4"/>
      <c r="S4008" s="3"/>
      <c r="T4008" s="3"/>
    </row>
    <row r="4009" spans="5:20">
      <c r="E4009" s="3"/>
      <c r="F4009" s="4"/>
      <c r="S4009" s="3"/>
      <c r="T4009" s="3"/>
    </row>
    <row r="4010" spans="5:20">
      <c r="E4010" s="3"/>
      <c r="F4010" s="4"/>
      <c r="S4010" s="3"/>
      <c r="T4010" s="3"/>
    </row>
    <row r="4011" spans="5:20">
      <c r="E4011" s="3"/>
      <c r="F4011" s="4"/>
      <c r="S4011" s="3"/>
      <c r="T4011" s="3"/>
    </row>
    <row r="4012" spans="5:20">
      <c r="E4012" s="3"/>
      <c r="F4012" s="4"/>
      <c r="S4012" s="3"/>
      <c r="T4012" s="3"/>
    </row>
    <row r="4013" spans="5:20">
      <c r="E4013" s="3"/>
      <c r="F4013" s="4"/>
      <c r="S4013" s="3"/>
      <c r="T4013" s="3"/>
    </row>
    <row r="4014" spans="5:20">
      <c r="E4014" s="3"/>
      <c r="F4014" s="4"/>
      <c r="S4014" s="3"/>
      <c r="T4014" s="3"/>
    </row>
    <row r="4015" spans="5:20">
      <c r="E4015" s="3"/>
      <c r="F4015" s="4"/>
      <c r="S4015" s="3"/>
      <c r="T4015" s="3"/>
    </row>
    <row r="4016" spans="5:20">
      <c r="E4016" s="3"/>
      <c r="F4016" s="4"/>
      <c r="S4016" s="3"/>
      <c r="T4016" s="3"/>
    </row>
    <row r="4017" spans="5:20">
      <c r="E4017" s="3"/>
      <c r="F4017" s="4"/>
      <c r="S4017" s="3"/>
      <c r="T4017" s="3"/>
    </row>
    <row r="4018" spans="5:20">
      <c r="E4018" s="3"/>
      <c r="F4018" s="4"/>
      <c r="S4018" s="3"/>
      <c r="T4018" s="3"/>
    </row>
    <row r="4019" spans="5:20">
      <c r="E4019" s="3"/>
      <c r="F4019" s="4"/>
      <c r="S4019" s="3"/>
      <c r="T4019" s="3"/>
    </row>
    <row r="4020" spans="5:20">
      <c r="E4020" s="3"/>
      <c r="F4020" s="4"/>
      <c r="S4020" s="3"/>
      <c r="T4020" s="3"/>
    </row>
    <row r="4021" spans="5:20">
      <c r="E4021" s="3"/>
      <c r="F4021" s="4"/>
      <c r="S4021" s="3"/>
      <c r="T4021" s="3"/>
    </row>
    <row r="4022" spans="5:20">
      <c r="E4022" s="3"/>
      <c r="F4022" s="4"/>
      <c r="S4022" s="3"/>
      <c r="T4022" s="3"/>
    </row>
    <row r="4023" spans="5:20">
      <c r="E4023" s="3"/>
      <c r="F4023" s="4"/>
      <c r="S4023" s="3"/>
      <c r="T4023" s="3"/>
    </row>
    <row r="4024" spans="5:20">
      <c r="E4024" s="3"/>
      <c r="F4024" s="4"/>
      <c r="S4024" s="3"/>
      <c r="T4024" s="3"/>
    </row>
    <row r="4025" spans="5:20">
      <c r="E4025" s="3"/>
      <c r="F4025" s="4"/>
      <c r="S4025" s="3"/>
      <c r="T4025" s="3"/>
    </row>
    <row r="4026" spans="5:20">
      <c r="E4026" s="3"/>
      <c r="F4026" s="4"/>
      <c r="S4026" s="3"/>
      <c r="T4026" s="3"/>
    </row>
    <row r="4027" spans="5:20">
      <c r="E4027" s="3"/>
      <c r="F4027" s="4"/>
      <c r="S4027" s="3"/>
      <c r="T4027" s="3"/>
    </row>
    <row r="4028" spans="5:20">
      <c r="E4028" s="3"/>
      <c r="F4028" s="4"/>
      <c r="S4028" s="3"/>
      <c r="T4028" s="3"/>
    </row>
    <row r="4029" spans="5:20">
      <c r="E4029" s="3"/>
      <c r="F4029" s="4"/>
      <c r="S4029" s="3"/>
      <c r="T4029" s="3"/>
    </row>
    <row r="4030" spans="5:20">
      <c r="E4030" s="3"/>
      <c r="F4030" s="4"/>
      <c r="S4030" s="3"/>
      <c r="T4030" s="3"/>
    </row>
    <row r="4031" spans="5:20">
      <c r="E4031" s="3"/>
      <c r="F4031" s="4"/>
      <c r="S4031" s="3"/>
      <c r="T4031" s="3"/>
    </row>
    <row r="4032" spans="5:20">
      <c r="E4032" s="3"/>
      <c r="F4032" s="4"/>
      <c r="S4032" s="3"/>
      <c r="T4032" s="3"/>
    </row>
    <row r="4033" spans="5:20">
      <c r="E4033" s="3"/>
      <c r="F4033" s="4"/>
      <c r="S4033" s="3"/>
      <c r="T4033" s="3"/>
    </row>
    <row r="4034" spans="5:20">
      <c r="E4034" s="3"/>
      <c r="F4034" s="4"/>
      <c r="S4034" s="3"/>
      <c r="T4034" s="3"/>
    </row>
    <row r="4035" spans="5:20">
      <c r="E4035" s="3"/>
      <c r="F4035" s="4"/>
      <c r="S4035" s="3"/>
      <c r="T4035" s="3"/>
    </row>
    <row r="4036" spans="5:20">
      <c r="E4036" s="3"/>
      <c r="F4036" s="4"/>
      <c r="S4036" s="3"/>
      <c r="T4036" s="3"/>
    </row>
    <row r="4037" spans="5:20">
      <c r="E4037" s="3"/>
      <c r="F4037" s="4"/>
      <c r="S4037" s="3"/>
      <c r="T4037" s="3"/>
    </row>
    <row r="4038" spans="5:20">
      <c r="E4038" s="3"/>
      <c r="F4038" s="4"/>
      <c r="S4038" s="3"/>
      <c r="T4038" s="3"/>
    </row>
    <row r="4039" spans="5:20">
      <c r="E4039" s="3"/>
      <c r="F4039" s="4"/>
      <c r="S4039" s="3"/>
      <c r="T4039" s="3"/>
    </row>
    <row r="4040" spans="5:20">
      <c r="E4040" s="3"/>
      <c r="F4040" s="4"/>
      <c r="S4040" s="3"/>
      <c r="T4040" s="3"/>
    </row>
    <row r="4041" spans="5:20">
      <c r="E4041" s="3"/>
      <c r="F4041" s="4"/>
      <c r="S4041" s="3"/>
      <c r="T4041" s="3"/>
    </row>
    <row r="4042" spans="5:20">
      <c r="E4042" s="3"/>
      <c r="F4042" s="4"/>
      <c r="S4042" s="3"/>
      <c r="T4042" s="3"/>
    </row>
    <row r="4043" spans="5:20">
      <c r="E4043" s="3"/>
      <c r="F4043" s="4"/>
      <c r="S4043" s="3"/>
      <c r="T4043" s="3"/>
    </row>
    <row r="4044" spans="5:20">
      <c r="E4044" s="3"/>
      <c r="F4044" s="4"/>
      <c r="S4044" s="3"/>
      <c r="T4044" s="3"/>
    </row>
    <row r="4045" spans="5:20">
      <c r="E4045" s="3"/>
      <c r="F4045" s="4"/>
      <c r="S4045" s="3"/>
      <c r="T4045" s="3"/>
    </row>
    <row r="4046" spans="5:20">
      <c r="E4046" s="3"/>
      <c r="F4046" s="4"/>
      <c r="S4046" s="3"/>
      <c r="T4046" s="3"/>
    </row>
    <row r="4047" spans="5:20">
      <c r="E4047" s="3"/>
      <c r="F4047" s="4"/>
      <c r="S4047" s="3"/>
      <c r="T4047" s="3"/>
    </row>
    <row r="4048" spans="5:20">
      <c r="E4048" s="3"/>
      <c r="F4048" s="4"/>
      <c r="S4048" s="3"/>
      <c r="T4048" s="3"/>
    </row>
    <row r="4049" spans="5:20">
      <c r="E4049" s="3"/>
      <c r="F4049" s="4"/>
      <c r="S4049" s="3"/>
      <c r="T4049" s="3"/>
    </row>
    <row r="4050" spans="5:20">
      <c r="E4050" s="3"/>
      <c r="F4050" s="4"/>
      <c r="S4050" s="3"/>
      <c r="T4050" s="3"/>
    </row>
    <row r="4051" spans="5:20">
      <c r="E4051" s="3"/>
      <c r="F4051" s="4"/>
      <c r="S4051" s="3"/>
      <c r="T4051" s="3"/>
    </row>
    <row r="4052" spans="5:20">
      <c r="E4052" s="3"/>
      <c r="F4052" s="4"/>
      <c r="S4052" s="3"/>
      <c r="T4052" s="3"/>
    </row>
    <row r="4053" spans="5:20">
      <c r="E4053" s="3"/>
      <c r="F4053" s="4"/>
      <c r="S4053" s="3"/>
      <c r="T4053" s="3"/>
    </row>
    <row r="4054" spans="5:20">
      <c r="E4054" s="3"/>
      <c r="F4054" s="4"/>
      <c r="S4054" s="3"/>
      <c r="T4054" s="3"/>
    </row>
    <row r="4055" spans="5:20">
      <c r="E4055" s="3"/>
      <c r="F4055" s="4"/>
      <c r="S4055" s="3"/>
      <c r="T4055" s="3"/>
    </row>
    <row r="4056" spans="5:20">
      <c r="E4056" s="3"/>
      <c r="F4056" s="4"/>
      <c r="S4056" s="3"/>
      <c r="T4056" s="3"/>
    </row>
    <row r="4057" spans="5:20">
      <c r="E4057" s="3"/>
      <c r="F4057" s="4"/>
      <c r="S4057" s="3"/>
      <c r="T4057" s="3"/>
    </row>
    <row r="4058" spans="5:20">
      <c r="E4058" s="3"/>
      <c r="F4058" s="4"/>
      <c r="S4058" s="3"/>
      <c r="T4058" s="3"/>
    </row>
    <row r="4059" spans="5:20">
      <c r="E4059" s="3"/>
      <c r="F4059" s="4"/>
      <c r="S4059" s="3"/>
      <c r="T4059" s="3"/>
    </row>
    <row r="4060" spans="5:20">
      <c r="E4060" s="3"/>
      <c r="F4060" s="4"/>
      <c r="S4060" s="3"/>
      <c r="T4060" s="3"/>
    </row>
    <row r="4061" spans="5:20">
      <c r="E4061" s="3"/>
      <c r="F4061" s="4"/>
      <c r="S4061" s="3"/>
      <c r="T4061" s="3"/>
    </row>
    <row r="4062" spans="5:20">
      <c r="E4062" s="3"/>
      <c r="F4062" s="4"/>
      <c r="S4062" s="3"/>
      <c r="T4062" s="3"/>
    </row>
    <row r="4063" spans="5:20">
      <c r="E4063" s="3"/>
      <c r="F4063" s="4"/>
      <c r="S4063" s="3"/>
      <c r="T4063" s="3"/>
    </row>
    <row r="4064" spans="5:20">
      <c r="E4064" s="3"/>
      <c r="F4064" s="4"/>
      <c r="S4064" s="3"/>
      <c r="T4064" s="3"/>
    </row>
    <row r="4065" spans="5:20">
      <c r="E4065" s="3"/>
      <c r="F4065" s="4"/>
      <c r="S4065" s="3"/>
      <c r="T4065" s="3"/>
    </row>
    <row r="4066" spans="5:20">
      <c r="E4066" s="3"/>
      <c r="F4066" s="4"/>
      <c r="S4066" s="3"/>
      <c r="T4066" s="3"/>
    </row>
    <row r="4067" spans="5:20">
      <c r="E4067" s="3"/>
      <c r="F4067" s="4"/>
      <c r="S4067" s="3"/>
      <c r="T4067" s="3"/>
    </row>
    <row r="4068" spans="5:20">
      <c r="E4068" s="3"/>
      <c r="F4068" s="4"/>
      <c r="S4068" s="3"/>
      <c r="T4068" s="3"/>
    </row>
    <row r="4069" spans="5:20">
      <c r="E4069" s="3"/>
      <c r="F4069" s="4"/>
      <c r="S4069" s="3"/>
      <c r="T4069" s="3"/>
    </row>
    <row r="4070" spans="5:20">
      <c r="E4070" s="3"/>
      <c r="F4070" s="4"/>
      <c r="S4070" s="3"/>
      <c r="T4070" s="3"/>
    </row>
    <row r="4071" spans="5:20">
      <c r="E4071" s="3"/>
      <c r="F4071" s="4"/>
      <c r="S4071" s="3"/>
      <c r="T4071" s="3"/>
    </row>
    <row r="4072" spans="5:20">
      <c r="E4072" s="3"/>
      <c r="F4072" s="4"/>
      <c r="S4072" s="3"/>
      <c r="T4072" s="3"/>
    </row>
    <row r="4073" spans="5:20">
      <c r="E4073" s="3"/>
      <c r="F4073" s="4"/>
      <c r="S4073" s="3"/>
      <c r="T4073" s="3"/>
    </row>
    <row r="4074" spans="5:20">
      <c r="E4074" s="3"/>
      <c r="F4074" s="4"/>
      <c r="S4074" s="3"/>
      <c r="T4074" s="3"/>
    </row>
    <row r="4075" spans="5:20">
      <c r="E4075" s="3"/>
      <c r="F4075" s="4"/>
      <c r="S4075" s="3"/>
      <c r="T4075" s="3"/>
    </row>
    <row r="4076" spans="5:20">
      <c r="E4076" s="3"/>
      <c r="F4076" s="4"/>
      <c r="S4076" s="3"/>
      <c r="T4076" s="3"/>
    </row>
    <row r="4077" spans="5:20">
      <c r="E4077" s="3"/>
      <c r="F4077" s="4"/>
      <c r="S4077" s="3"/>
      <c r="T4077" s="3"/>
    </row>
    <row r="4078" spans="5:20">
      <c r="E4078" s="3"/>
      <c r="F4078" s="4"/>
      <c r="S4078" s="3"/>
      <c r="T4078" s="3"/>
    </row>
    <row r="4079" spans="5:20">
      <c r="E4079" s="3"/>
      <c r="F4079" s="4"/>
      <c r="S4079" s="3"/>
      <c r="T4079" s="3"/>
    </row>
    <row r="4080" spans="5:20">
      <c r="E4080" s="3"/>
      <c r="F4080" s="4"/>
      <c r="S4080" s="3"/>
      <c r="T4080" s="3"/>
    </row>
    <row r="4081" spans="5:20">
      <c r="E4081" s="3"/>
      <c r="F4081" s="4"/>
      <c r="S4081" s="3"/>
      <c r="T4081" s="3"/>
    </row>
    <row r="4082" spans="5:20">
      <c r="E4082" s="3"/>
      <c r="F4082" s="4"/>
      <c r="S4082" s="3"/>
      <c r="T4082" s="3"/>
    </row>
    <row r="4083" spans="5:20">
      <c r="E4083" s="3"/>
      <c r="F4083" s="4"/>
      <c r="S4083" s="3"/>
      <c r="T4083" s="3"/>
    </row>
    <row r="4084" spans="5:20">
      <c r="E4084" s="3"/>
      <c r="F4084" s="4"/>
      <c r="S4084" s="3"/>
      <c r="T4084" s="3"/>
    </row>
    <row r="4085" spans="5:20">
      <c r="E4085" s="3"/>
      <c r="F4085" s="4"/>
      <c r="S4085" s="3"/>
      <c r="T4085" s="3"/>
    </row>
    <row r="4086" spans="5:20">
      <c r="E4086" s="3"/>
      <c r="F4086" s="4"/>
      <c r="S4086" s="3"/>
      <c r="T4086" s="3"/>
    </row>
    <row r="4087" spans="5:20">
      <c r="E4087" s="3"/>
      <c r="F4087" s="4"/>
      <c r="S4087" s="3"/>
      <c r="T4087" s="3"/>
    </row>
    <row r="4088" spans="5:20">
      <c r="E4088" s="3"/>
      <c r="F4088" s="4"/>
      <c r="S4088" s="3"/>
      <c r="T4088" s="3"/>
    </row>
    <row r="4089" spans="5:20">
      <c r="E4089" s="3"/>
      <c r="F4089" s="4"/>
      <c r="S4089" s="3"/>
      <c r="T4089" s="3"/>
    </row>
    <row r="4090" spans="5:20">
      <c r="E4090" s="3"/>
      <c r="F4090" s="4"/>
      <c r="S4090" s="3"/>
      <c r="T4090" s="3"/>
    </row>
    <row r="4091" spans="5:20">
      <c r="E4091" s="3"/>
      <c r="F4091" s="4"/>
      <c r="S4091" s="3"/>
      <c r="T4091" s="3"/>
    </row>
    <row r="4092" spans="5:20">
      <c r="E4092" s="3"/>
      <c r="F4092" s="4"/>
      <c r="S4092" s="3"/>
      <c r="T4092" s="3"/>
    </row>
    <row r="4093" spans="5:20">
      <c r="E4093" s="3"/>
      <c r="F4093" s="4"/>
      <c r="S4093" s="3"/>
      <c r="T4093" s="3"/>
    </row>
    <row r="4094" spans="5:20">
      <c r="E4094" s="3"/>
      <c r="F4094" s="4"/>
      <c r="S4094" s="3"/>
      <c r="T4094" s="3"/>
    </row>
    <row r="4095" spans="5:20">
      <c r="E4095" s="3"/>
      <c r="F4095" s="4"/>
      <c r="S4095" s="3"/>
      <c r="T4095" s="3"/>
    </row>
    <row r="4096" spans="5:20">
      <c r="E4096" s="3"/>
      <c r="F4096" s="4"/>
      <c r="S4096" s="3"/>
      <c r="T4096" s="3"/>
    </row>
    <row r="4097" spans="5:20">
      <c r="E4097" s="3"/>
      <c r="F4097" s="4"/>
      <c r="S4097" s="3"/>
      <c r="T4097" s="3"/>
    </row>
    <row r="4098" spans="5:20">
      <c r="E4098" s="3"/>
      <c r="F4098" s="4"/>
      <c r="S4098" s="3"/>
      <c r="T4098" s="3"/>
    </row>
    <row r="4099" spans="5:20">
      <c r="E4099" s="3"/>
      <c r="F4099" s="4"/>
      <c r="S4099" s="3"/>
      <c r="T4099" s="3"/>
    </row>
    <row r="4100" spans="5:20">
      <c r="E4100" s="3"/>
      <c r="F4100" s="4"/>
      <c r="S4100" s="3"/>
      <c r="T4100" s="3"/>
    </row>
    <row r="4101" spans="5:20">
      <c r="E4101" s="3"/>
      <c r="F4101" s="4"/>
      <c r="S4101" s="3"/>
      <c r="T4101" s="3"/>
    </row>
    <row r="4102" spans="5:20">
      <c r="E4102" s="3"/>
      <c r="F4102" s="4"/>
      <c r="S4102" s="3"/>
      <c r="T4102" s="3"/>
    </row>
    <row r="4103" spans="5:20">
      <c r="E4103" s="3"/>
      <c r="F4103" s="4"/>
      <c r="S4103" s="3"/>
      <c r="T4103" s="3"/>
    </row>
    <row r="4104" spans="5:20">
      <c r="E4104" s="3"/>
      <c r="F4104" s="4"/>
      <c r="S4104" s="3"/>
      <c r="T4104" s="3"/>
    </row>
    <row r="4105" spans="5:20">
      <c r="E4105" s="3"/>
      <c r="F4105" s="4"/>
      <c r="S4105" s="3"/>
      <c r="T4105" s="3"/>
    </row>
    <row r="4106" spans="5:20">
      <c r="E4106" s="3"/>
      <c r="F4106" s="4"/>
      <c r="S4106" s="3"/>
      <c r="T4106" s="3"/>
    </row>
    <row r="4107" spans="5:20">
      <c r="E4107" s="3"/>
      <c r="F4107" s="4"/>
      <c r="S4107" s="3"/>
      <c r="T4107" s="3"/>
    </row>
    <row r="4108" spans="5:20">
      <c r="E4108" s="3"/>
      <c r="F4108" s="4"/>
      <c r="S4108" s="3"/>
      <c r="T4108" s="3"/>
    </row>
    <row r="4109" spans="5:20">
      <c r="E4109" s="3"/>
      <c r="F4109" s="4"/>
      <c r="S4109" s="3"/>
      <c r="T4109" s="3"/>
    </row>
    <row r="4110" spans="5:20">
      <c r="E4110" s="3"/>
      <c r="F4110" s="4"/>
      <c r="S4110" s="3"/>
      <c r="T4110" s="3"/>
    </row>
    <row r="4111" spans="5:20">
      <c r="E4111" s="3"/>
      <c r="F4111" s="4"/>
      <c r="S4111" s="3"/>
      <c r="T4111" s="3"/>
    </row>
    <row r="4112" spans="5:20">
      <c r="E4112" s="3"/>
      <c r="F4112" s="4"/>
      <c r="S4112" s="3"/>
      <c r="T4112" s="3"/>
    </row>
    <row r="4113" spans="5:20">
      <c r="E4113" s="3"/>
      <c r="F4113" s="4"/>
      <c r="S4113" s="3"/>
      <c r="T4113" s="3"/>
    </row>
    <row r="4114" spans="5:20">
      <c r="E4114" s="3"/>
      <c r="F4114" s="4"/>
      <c r="S4114" s="3"/>
      <c r="T4114" s="3"/>
    </row>
    <row r="4115" spans="5:20">
      <c r="E4115" s="3"/>
      <c r="F4115" s="4"/>
      <c r="S4115" s="3"/>
      <c r="T4115" s="3"/>
    </row>
    <row r="4116" spans="5:20">
      <c r="E4116" s="3"/>
      <c r="F4116" s="4"/>
      <c r="S4116" s="3"/>
      <c r="T4116" s="3"/>
    </row>
    <row r="4117" spans="5:20">
      <c r="E4117" s="3"/>
      <c r="F4117" s="4"/>
      <c r="S4117" s="3"/>
      <c r="T4117" s="3"/>
    </row>
    <row r="4118" spans="5:20">
      <c r="E4118" s="3"/>
      <c r="F4118" s="4"/>
      <c r="S4118" s="3"/>
      <c r="T4118" s="3"/>
    </row>
    <row r="4119" spans="5:20">
      <c r="E4119" s="3"/>
      <c r="F4119" s="4"/>
      <c r="S4119" s="3"/>
      <c r="T4119" s="3"/>
    </row>
    <row r="4120" spans="5:20">
      <c r="E4120" s="3"/>
      <c r="F4120" s="4"/>
      <c r="S4120" s="3"/>
      <c r="T4120" s="3"/>
    </row>
    <row r="4121" spans="5:20">
      <c r="E4121" s="3"/>
      <c r="F4121" s="4"/>
      <c r="S4121" s="3"/>
      <c r="T4121" s="3"/>
    </row>
    <row r="4122" spans="5:20">
      <c r="E4122" s="3"/>
      <c r="F4122" s="4"/>
      <c r="S4122" s="3"/>
      <c r="T4122" s="3"/>
    </row>
    <row r="4123" spans="5:20">
      <c r="E4123" s="3"/>
      <c r="F4123" s="4"/>
      <c r="S4123" s="3"/>
      <c r="T4123" s="3"/>
    </row>
    <row r="4124" spans="5:20">
      <c r="E4124" s="3"/>
      <c r="F4124" s="4"/>
      <c r="S4124" s="3"/>
      <c r="T4124" s="3"/>
    </row>
    <row r="4125" spans="5:20">
      <c r="E4125" s="3"/>
      <c r="F4125" s="4"/>
      <c r="S4125" s="3"/>
      <c r="T4125" s="3"/>
    </row>
    <row r="4126" spans="5:20">
      <c r="E4126" s="3"/>
      <c r="F4126" s="4"/>
      <c r="S4126" s="3"/>
      <c r="T4126" s="3"/>
    </row>
    <row r="4127" spans="5:20">
      <c r="E4127" s="3"/>
      <c r="F4127" s="4"/>
      <c r="S4127" s="3"/>
      <c r="T4127" s="3"/>
    </row>
    <row r="4128" spans="5:20">
      <c r="E4128" s="3"/>
      <c r="F4128" s="4"/>
      <c r="S4128" s="3"/>
      <c r="T4128" s="3"/>
    </row>
    <row r="4129" spans="5:20">
      <c r="E4129" s="3"/>
      <c r="F4129" s="4"/>
      <c r="S4129" s="3"/>
      <c r="T4129" s="3"/>
    </row>
    <row r="4130" spans="5:20">
      <c r="E4130" s="3"/>
      <c r="F4130" s="4"/>
      <c r="S4130" s="3"/>
      <c r="T4130" s="3"/>
    </row>
    <row r="4131" spans="5:20">
      <c r="E4131" s="3"/>
      <c r="F4131" s="4"/>
      <c r="S4131" s="3"/>
      <c r="T4131" s="3"/>
    </row>
    <row r="4132" spans="5:20">
      <c r="E4132" s="3"/>
      <c r="F4132" s="4"/>
      <c r="S4132" s="3"/>
      <c r="T4132" s="3"/>
    </row>
    <row r="4133" spans="5:20">
      <c r="E4133" s="3"/>
      <c r="F4133" s="4"/>
      <c r="S4133" s="3"/>
      <c r="T4133" s="3"/>
    </row>
    <row r="4134" spans="5:20">
      <c r="E4134" s="3"/>
      <c r="F4134" s="4"/>
      <c r="S4134" s="3"/>
      <c r="T4134" s="3"/>
    </row>
    <row r="4135" spans="5:20">
      <c r="E4135" s="3"/>
      <c r="F4135" s="4"/>
      <c r="S4135" s="3"/>
      <c r="T4135" s="3"/>
    </row>
    <row r="4136" spans="5:20">
      <c r="E4136" s="3"/>
      <c r="F4136" s="4"/>
      <c r="S4136" s="3"/>
      <c r="T4136" s="3"/>
    </row>
    <row r="4137" spans="5:20">
      <c r="E4137" s="3"/>
      <c r="F4137" s="4"/>
      <c r="S4137" s="3"/>
      <c r="T4137" s="3"/>
    </row>
    <row r="4138" spans="5:20">
      <c r="E4138" s="3"/>
      <c r="F4138" s="4"/>
      <c r="S4138" s="3"/>
      <c r="T4138" s="3"/>
    </row>
    <row r="4139" spans="5:20">
      <c r="E4139" s="3"/>
      <c r="F4139" s="4"/>
      <c r="S4139" s="3"/>
      <c r="T4139" s="3"/>
    </row>
    <row r="4140" spans="5:20">
      <c r="E4140" s="3"/>
      <c r="F4140" s="4"/>
      <c r="S4140" s="3"/>
      <c r="T4140" s="3"/>
    </row>
    <row r="4141" spans="5:20">
      <c r="E4141" s="3"/>
      <c r="F4141" s="4"/>
      <c r="S4141" s="3"/>
      <c r="T4141" s="3"/>
    </row>
    <row r="4142" spans="5:20">
      <c r="E4142" s="3"/>
      <c r="F4142" s="4"/>
      <c r="S4142" s="3"/>
      <c r="T4142" s="3"/>
    </row>
    <row r="4143" spans="5:20">
      <c r="E4143" s="3"/>
      <c r="F4143" s="4"/>
      <c r="S4143" s="3"/>
      <c r="T4143" s="3"/>
    </row>
    <row r="4144" spans="5:20">
      <c r="E4144" s="3"/>
      <c r="F4144" s="4"/>
      <c r="S4144" s="3"/>
      <c r="T4144" s="3"/>
    </row>
    <row r="4145" spans="5:20">
      <c r="E4145" s="3"/>
      <c r="F4145" s="4"/>
      <c r="S4145" s="3"/>
      <c r="T4145" s="3"/>
    </row>
    <row r="4146" spans="5:20">
      <c r="E4146" s="3"/>
      <c r="F4146" s="4"/>
      <c r="S4146" s="3"/>
      <c r="T4146" s="3"/>
    </row>
    <row r="4147" spans="5:20">
      <c r="E4147" s="3"/>
      <c r="F4147" s="4"/>
      <c r="S4147" s="3"/>
      <c r="T4147" s="3"/>
    </row>
    <row r="4148" spans="5:20">
      <c r="E4148" s="3"/>
      <c r="F4148" s="4"/>
      <c r="S4148" s="3"/>
      <c r="T4148" s="3"/>
    </row>
    <row r="4149" spans="5:20">
      <c r="E4149" s="3"/>
      <c r="F4149" s="4"/>
      <c r="S4149" s="3"/>
      <c r="T4149" s="3"/>
    </row>
    <row r="4150" spans="5:20">
      <c r="E4150" s="3"/>
      <c r="F4150" s="4"/>
      <c r="S4150" s="3"/>
      <c r="T4150" s="3"/>
    </row>
    <row r="4151" spans="5:20">
      <c r="E4151" s="3"/>
      <c r="F4151" s="4"/>
      <c r="S4151" s="3"/>
      <c r="T4151" s="3"/>
    </row>
    <row r="4152" spans="5:20">
      <c r="E4152" s="3"/>
      <c r="F4152" s="4"/>
      <c r="S4152" s="3"/>
      <c r="T4152" s="3"/>
    </row>
    <row r="4153" spans="5:20">
      <c r="E4153" s="3"/>
      <c r="F4153" s="4"/>
      <c r="S4153" s="3"/>
      <c r="T4153" s="3"/>
    </row>
    <row r="4154" spans="5:20">
      <c r="E4154" s="3"/>
      <c r="F4154" s="4"/>
      <c r="S4154" s="3"/>
      <c r="T4154" s="3"/>
    </row>
    <row r="4155" spans="5:20">
      <c r="E4155" s="3"/>
      <c r="F4155" s="4"/>
      <c r="S4155" s="3"/>
      <c r="T4155" s="3"/>
    </row>
    <row r="4156" spans="5:20">
      <c r="E4156" s="3"/>
      <c r="F4156" s="4"/>
      <c r="S4156" s="3"/>
      <c r="T4156" s="3"/>
    </row>
    <row r="4157" spans="5:20">
      <c r="E4157" s="3"/>
      <c r="F4157" s="4"/>
      <c r="S4157" s="3"/>
      <c r="T4157" s="3"/>
    </row>
    <row r="4158" spans="5:20">
      <c r="E4158" s="3"/>
      <c r="F4158" s="4"/>
      <c r="S4158" s="3"/>
      <c r="T4158" s="3"/>
    </row>
    <row r="4159" spans="5:20">
      <c r="E4159" s="3"/>
      <c r="F4159" s="4"/>
      <c r="S4159" s="3"/>
      <c r="T4159" s="3"/>
    </row>
    <row r="4160" spans="5:20">
      <c r="E4160" s="3"/>
      <c r="F4160" s="4"/>
      <c r="S4160" s="3"/>
      <c r="T4160" s="3"/>
    </row>
    <row r="4161" spans="5:20">
      <c r="E4161" s="3"/>
      <c r="F4161" s="4"/>
      <c r="S4161" s="3"/>
      <c r="T4161" s="3"/>
    </row>
    <row r="4162" spans="5:20">
      <c r="E4162" s="3"/>
      <c r="F4162" s="4"/>
      <c r="S4162" s="3"/>
      <c r="T4162" s="3"/>
    </row>
    <row r="4163" spans="5:20">
      <c r="E4163" s="3"/>
      <c r="F4163" s="4"/>
      <c r="S4163" s="3"/>
      <c r="T4163" s="3"/>
    </row>
    <row r="4164" spans="5:20">
      <c r="E4164" s="3"/>
      <c r="F4164" s="4"/>
      <c r="S4164" s="3"/>
      <c r="T4164" s="3"/>
    </row>
    <row r="4165" spans="5:20">
      <c r="E4165" s="3"/>
      <c r="F4165" s="4"/>
      <c r="S4165" s="3"/>
      <c r="T4165" s="3"/>
    </row>
    <row r="4166" spans="5:20">
      <c r="E4166" s="3"/>
      <c r="F4166" s="4"/>
      <c r="S4166" s="3"/>
      <c r="T4166" s="3"/>
    </row>
    <row r="4167" spans="5:20">
      <c r="E4167" s="3"/>
      <c r="F4167" s="4"/>
      <c r="S4167" s="3"/>
      <c r="T4167" s="3"/>
    </row>
    <row r="4168" spans="5:20">
      <c r="E4168" s="3"/>
      <c r="F4168" s="4"/>
      <c r="S4168" s="3"/>
      <c r="T4168" s="3"/>
    </row>
    <row r="4169" spans="5:20">
      <c r="E4169" s="3"/>
      <c r="F4169" s="4"/>
      <c r="S4169" s="3"/>
      <c r="T4169" s="3"/>
    </row>
    <row r="4170" spans="5:20">
      <c r="E4170" s="3"/>
      <c r="F4170" s="4"/>
      <c r="S4170" s="3"/>
      <c r="T4170" s="3"/>
    </row>
    <row r="4171" spans="5:20">
      <c r="E4171" s="3"/>
      <c r="F4171" s="4"/>
      <c r="S4171" s="3"/>
      <c r="T4171" s="3"/>
    </row>
    <row r="4172" spans="5:20">
      <c r="E4172" s="3"/>
      <c r="F4172" s="4"/>
      <c r="S4172" s="3"/>
      <c r="T4172" s="3"/>
    </row>
    <row r="4173" spans="5:20">
      <c r="E4173" s="3"/>
      <c r="F4173" s="4"/>
      <c r="S4173" s="3"/>
      <c r="T4173" s="3"/>
    </row>
    <row r="4174" spans="5:20">
      <c r="E4174" s="3"/>
      <c r="F4174" s="4"/>
      <c r="S4174" s="3"/>
      <c r="T4174" s="3"/>
    </row>
    <row r="4175" spans="5:20">
      <c r="E4175" s="3"/>
      <c r="F4175" s="4"/>
      <c r="S4175" s="3"/>
      <c r="T4175" s="3"/>
    </row>
    <row r="4176" spans="5:20">
      <c r="E4176" s="3"/>
      <c r="F4176" s="4"/>
      <c r="S4176" s="3"/>
      <c r="T4176" s="3"/>
    </row>
    <row r="4177" spans="5:20">
      <c r="E4177" s="3"/>
      <c r="F4177" s="4"/>
      <c r="S4177" s="3"/>
      <c r="T4177" s="3"/>
    </row>
    <row r="4178" spans="5:20">
      <c r="E4178" s="3"/>
      <c r="F4178" s="4"/>
      <c r="S4178" s="3"/>
      <c r="T4178" s="3"/>
    </row>
    <row r="4179" spans="5:20">
      <c r="E4179" s="3"/>
      <c r="F4179" s="4"/>
      <c r="S4179" s="3"/>
      <c r="T4179" s="3"/>
    </row>
    <row r="4180" spans="5:20">
      <c r="E4180" s="3"/>
      <c r="F4180" s="4"/>
      <c r="S4180" s="3"/>
      <c r="T4180" s="3"/>
    </row>
    <row r="4181" spans="5:20">
      <c r="E4181" s="3"/>
      <c r="F4181" s="4"/>
      <c r="S4181" s="3"/>
      <c r="T4181" s="3"/>
    </row>
    <row r="4182" spans="5:20">
      <c r="E4182" s="3"/>
      <c r="F4182" s="4"/>
      <c r="S4182" s="3"/>
      <c r="T4182" s="3"/>
    </row>
    <row r="4183" spans="5:20">
      <c r="E4183" s="3"/>
      <c r="F4183" s="4"/>
      <c r="S4183" s="3"/>
      <c r="T4183" s="3"/>
    </row>
    <row r="4184" spans="5:20">
      <c r="E4184" s="3"/>
      <c r="F4184" s="4"/>
      <c r="S4184" s="3"/>
      <c r="T4184" s="3"/>
    </row>
    <row r="4185" spans="5:20">
      <c r="E4185" s="3"/>
      <c r="F4185" s="4"/>
      <c r="S4185" s="3"/>
      <c r="T4185" s="3"/>
    </row>
    <row r="4186" spans="5:20">
      <c r="E4186" s="3"/>
      <c r="F4186" s="4"/>
      <c r="S4186" s="3"/>
      <c r="T4186" s="3"/>
    </row>
    <row r="4187" spans="5:20">
      <c r="E4187" s="3"/>
      <c r="F4187" s="4"/>
      <c r="S4187" s="3"/>
      <c r="T4187" s="3"/>
    </row>
    <row r="4188" spans="5:20">
      <c r="E4188" s="3"/>
      <c r="F4188" s="4"/>
      <c r="S4188" s="3"/>
      <c r="T4188" s="3"/>
    </row>
    <row r="4189" spans="5:20">
      <c r="E4189" s="3"/>
      <c r="F4189" s="4"/>
      <c r="S4189" s="3"/>
      <c r="T4189" s="3"/>
    </row>
    <row r="4190" spans="5:20">
      <c r="E4190" s="3"/>
      <c r="F4190" s="4"/>
      <c r="S4190" s="3"/>
      <c r="T4190" s="3"/>
    </row>
    <row r="4191" spans="5:20">
      <c r="E4191" s="3"/>
      <c r="F4191" s="4"/>
      <c r="S4191" s="3"/>
      <c r="T4191" s="3"/>
    </row>
    <row r="4192" spans="5:20">
      <c r="E4192" s="3"/>
      <c r="F4192" s="4"/>
      <c r="S4192" s="3"/>
      <c r="T4192" s="3"/>
    </row>
    <row r="4193" spans="5:20">
      <c r="E4193" s="3"/>
      <c r="F4193" s="4"/>
      <c r="S4193" s="3"/>
      <c r="T4193" s="3"/>
    </row>
    <row r="4194" spans="5:20">
      <c r="E4194" s="3"/>
      <c r="F4194" s="4"/>
      <c r="S4194" s="3"/>
      <c r="T4194" s="3"/>
    </row>
    <row r="4195" spans="5:20">
      <c r="E4195" s="3"/>
      <c r="F4195" s="4"/>
      <c r="S4195" s="3"/>
      <c r="T4195" s="3"/>
    </row>
    <row r="4196" spans="5:20">
      <c r="E4196" s="3"/>
      <c r="F4196" s="4"/>
      <c r="S4196" s="3"/>
      <c r="T4196" s="3"/>
    </row>
    <row r="4197" spans="5:20">
      <c r="E4197" s="3"/>
      <c r="F4197" s="4"/>
      <c r="S4197" s="3"/>
      <c r="T4197" s="3"/>
    </row>
    <row r="4198" spans="5:20">
      <c r="E4198" s="3"/>
      <c r="F4198" s="4"/>
      <c r="S4198" s="3"/>
      <c r="T4198" s="3"/>
    </row>
    <row r="4199" spans="5:20">
      <c r="E4199" s="3"/>
      <c r="F4199" s="4"/>
      <c r="S4199" s="3"/>
      <c r="T4199" s="3"/>
    </row>
    <row r="4200" spans="5:20">
      <c r="E4200" s="3"/>
      <c r="F4200" s="4"/>
      <c r="S4200" s="3"/>
      <c r="T4200" s="3"/>
    </row>
    <row r="4201" spans="5:20">
      <c r="E4201" s="3"/>
      <c r="F4201" s="4"/>
      <c r="S4201" s="3"/>
      <c r="T4201" s="3"/>
    </row>
    <row r="4202" spans="5:20">
      <c r="E4202" s="3"/>
      <c r="F4202" s="4"/>
      <c r="S4202" s="3"/>
      <c r="T4202" s="3"/>
    </row>
    <row r="4203" spans="5:20">
      <c r="E4203" s="3"/>
      <c r="F4203" s="4"/>
      <c r="S4203" s="3"/>
      <c r="T4203" s="3"/>
    </row>
    <row r="4204" spans="5:20">
      <c r="E4204" s="3"/>
      <c r="F4204" s="4"/>
      <c r="S4204" s="3"/>
      <c r="T4204" s="3"/>
    </row>
    <row r="4205" spans="5:20">
      <c r="E4205" s="3"/>
      <c r="F4205" s="4"/>
      <c r="S4205" s="3"/>
      <c r="T4205" s="3"/>
    </row>
    <row r="4206" spans="5:20">
      <c r="E4206" s="3"/>
      <c r="F4206" s="4"/>
      <c r="S4206" s="3"/>
      <c r="T4206" s="3"/>
    </row>
    <row r="4207" spans="5:20">
      <c r="E4207" s="3"/>
      <c r="F4207" s="4"/>
      <c r="S4207" s="3"/>
      <c r="T4207" s="3"/>
    </row>
    <row r="4208" spans="5:20">
      <c r="E4208" s="3"/>
      <c r="F4208" s="4"/>
      <c r="S4208" s="3"/>
      <c r="T4208" s="3"/>
    </row>
    <row r="4209" spans="5:20">
      <c r="E4209" s="3"/>
      <c r="F4209" s="4"/>
      <c r="S4209" s="3"/>
      <c r="T4209" s="3"/>
    </row>
    <row r="4210" spans="5:20">
      <c r="E4210" s="3"/>
      <c r="F4210" s="4"/>
      <c r="S4210" s="3"/>
      <c r="T4210" s="3"/>
    </row>
    <row r="4211" spans="5:20">
      <c r="E4211" s="3"/>
      <c r="F4211" s="4"/>
      <c r="S4211" s="3"/>
      <c r="T4211" s="3"/>
    </row>
    <row r="4212" spans="5:20">
      <c r="E4212" s="3"/>
      <c r="F4212" s="4"/>
      <c r="S4212" s="3"/>
      <c r="T4212" s="3"/>
    </row>
    <row r="4213" spans="5:20">
      <c r="E4213" s="3"/>
      <c r="F4213" s="4"/>
      <c r="S4213" s="3"/>
      <c r="T4213" s="3"/>
    </row>
    <row r="4214" spans="5:20">
      <c r="E4214" s="3"/>
      <c r="F4214" s="4"/>
      <c r="S4214" s="3"/>
      <c r="T4214" s="3"/>
    </row>
    <row r="4215" spans="5:20">
      <c r="E4215" s="3"/>
      <c r="F4215" s="4"/>
      <c r="S4215" s="3"/>
      <c r="T4215" s="3"/>
    </row>
    <row r="4216" spans="5:20">
      <c r="E4216" s="3"/>
      <c r="F4216" s="4"/>
      <c r="S4216" s="3"/>
      <c r="T4216" s="3"/>
    </row>
    <row r="4217" spans="5:20">
      <c r="E4217" s="3"/>
      <c r="F4217" s="4"/>
      <c r="S4217" s="3"/>
      <c r="T4217" s="3"/>
    </row>
    <row r="4218" spans="5:20">
      <c r="E4218" s="3"/>
      <c r="F4218" s="4"/>
      <c r="S4218" s="3"/>
      <c r="T4218" s="3"/>
    </row>
    <row r="4219" spans="5:20">
      <c r="E4219" s="3"/>
      <c r="F4219" s="4"/>
      <c r="S4219" s="3"/>
      <c r="T4219" s="3"/>
    </row>
    <row r="4220" spans="5:20">
      <c r="E4220" s="3"/>
      <c r="F4220" s="4"/>
      <c r="S4220" s="3"/>
      <c r="T4220" s="3"/>
    </row>
    <row r="4221" spans="5:20">
      <c r="E4221" s="3"/>
      <c r="F4221" s="4"/>
      <c r="S4221" s="3"/>
      <c r="T4221" s="3"/>
    </row>
    <row r="4222" spans="5:20">
      <c r="E4222" s="3"/>
      <c r="F4222" s="4"/>
      <c r="S4222" s="3"/>
      <c r="T4222" s="3"/>
    </row>
    <row r="4223" spans="5:20">
      <c r="E4223" s="3"/>
      <c r="F4223" s="4"/>
      <c r="S4223" s="3"/>
      <c r="T4223" s="3"/>
    </row>
    <row r="4224" spans="5:20">
      <c r="E4224" s="3"/>
      <c r="F4224" s="4"/>
      <c r="S4224" s="3"/>
      <c r="T4224" s="3"/>
    </row>
    <row r="4225" spans="5:20">
      <c r="E4225" s="3"/>
      <c r="F4225" s="4"/>
      <c r="S4225" s="3"/>
      <c r="T4225" s="3"/>
    </row>
    <row r="4226" spans="5:20">
      <c r="E4226" s="3"/>
      <c r="F4226" s="4"/>
      <c r="S4226" s="3"/>
      <c r="T4226" s="3"/>
    </row>
    <row r="4227" spans="5:20">
      <c r="E4227" s="3"/>
      <c r="F4227" s="4"/>
      <c r="S4227" s="3"/>
      <c r="T4227" s="3"/>
    </row>
    <row r="4228" spans="5:20">
      <c r="E4228" s="3"/>
      <c r="F4228" s="4"/>
      <c r="S4228" s="3"/>
      <c r="T4228" s="3"/>
    </row>
    <row r="4229" spans="5:20">
      <c r="E4229" s="3"/>
      <c r="F4229" s="4"/>
      <c r="S4229" s="3"/>
      <c r="T4229" s="3"/>
    </row>
    <row r="4230" spans="5:20">
      <c r="E4230" s="3"/>
      <c r="F4230" s="4"/>
      <c r="S4230" s="3"/>
      <c r="T4230" s="3"/>
    </row>
    <row r="4231" spans="5:20">
      <c r="E4231" s="3"/>
      <c r="F4231" s="4"/>
      <c r="S4231" s="3"/>
      <c r="T4231" s="3"/>
    </row>
    <row r="4232" spans="5:20">
      <c r="E4232" s="3"/>
      <c r="F4232" s="4"/>
      <c r="S4232" s="3"/>
      <c r="T4232" s="3"/>
    </row>
    <row r="4233" spans="5:20">
      <c r="E4233" s="3"/>
      <c r="F4233" s="4"/>
      <c r="S4233" s="3"/>
      <c r="T4233" s="3"/>
    </row>
    <row r="4234" spans="5:20">
      <c r="E4234" s="3"/>
      <c r="F4234" s="4"/>
      <c r="S4234" s="3"/>
      <c r="T4234" s="3"/>
    </row>
    <row r="4235" spans="5:20">
      <c r="E4235" s="3"/>
      <c r="F4235" s="4"/>
      <c r="S4235" s="3"/>
      <c r="T4235" s="3"/>
    </row>
    <row r="4236" spans="5:20">
      <c r="E4236" s="3"/>
      <c r="F4236" s="4"/>
      <c r="S4236" s="3"/>
      <c r="T4236" s="3"/>
    </row>
    <row r="4237" spans="5:20">
      <c r="E4237" s="3"/>
      <c r="F4237" s="4"/>
      <c r="S4237" s="3"/>
      <c r="T4237" s="3"/>
    </row>
    <row r="4238" spans="5:20">
      <c r="E4238" s="3"/>
      <c r="F4238" s="4"/>
      <c r="S4238" s="3"/>
      <c r="T4238" s="3"/>
    </row>
    <row r="4239" spans="5:20">
      <c r="E4239" s="3"/>
      <c r="F4239" s="4"/>
      <c r="S4239" s="3"/>
      <c r="T4239" s="3"/>
    </row>
    <row r="4240" spans="5:20">
      <c r="E4240" s="3"/>
      <c r="F4240" s="4"/>
      <c r="S4240" s="3"/>
      <c r="T4240" s="3"/>
    </row>
    <row r="4241" spans="5:20">
      <c r="E4241" s="3"/>
      <c r="F4241" s="4"/>
      <c r="S4241" s="3"/>
      <c r="T4241" s="3"/>
    </row>
    <row r="4242" spans="5:20">
      <c r="E4242" s="3"/>
      <c r="F4242" s="4"/>
      <c r="S4242" s="3"/>
      <c r="T4242" s="3"/>
    </row>
    <row r="4243" spans="5:20">
      <c r="E4243" s="3"/>
      <c r="F4243" s="4"/>
      <c r="S4243" s="3"/>
      <c r="T4243" s="3"/>
    </row>
    <row r="4244" spans="5:20">
      <c r="E4244" s="3"/>
      <c r="F4244" s="4"/>
      <c r="S4244" s="3"/>
      <c r="T4244" s="3"/>
    </row>
    <row r="4245" spans="5:20">
      <c r="E4245" s="3"/>
      <c r="F4245" s="4"/>
      <c r="S4245" s="3"/>
      <c r="T4245" s="3"/>
    </row>
    <row r="4246" spans="5:20">
      <c r="E4246" s="3"/>
      <c r="F4246" s="4"/>
      <c r="S4246" s="3"/>
      <c r="T4246" s="3"/>
    </row>
    <row r="4247" spans="5:20">
      <c r="E4247" s="3"/>
      <c r="F4247" s="4"/>
      <c r="S4247" s="3"/>
      <c r="T4247" s="3"/>
    </row>
    <row r="4248" spans="5:20">
      <c r="E4248" s="3"/>
      <c r="F4248" s="4"/>
      <c r="S4248" s="3"/>
      <c r="T4248" s="3"/>
    </row>
    <row r="4249" spans="5:20">
      <c r="E4249" s="3"/>
      <c r="F4249" s="4"/>
      <c r="S4249" s="3"/>
      <c r="T4249" s="3"/>
    </row>
    <row r="4250" spans="5:20">
      <c r="E4250" s="3"/>
      <c r="F4250" s="4"/>
      <c r="S4250" s="3"/>
      <c r="T4250" s="3"/>
    </row>
    <row r="4251" spans="5:20">
      <c r="E4251" s="3"/>
      <c r="F4251" s="4"/>
      <c r="S4251" s="3"/>
      <c r="T4251" s="3"/>
    </row>
    <row r="4252" spans="5:20">
      <c r="E4252" s="3"/>
      <c r="F4252" s="4"/>
      <c r="S4252" s="3"/>
      <c r="T4252" s="3"/>
    </row>
    <row r="4253" spans="5:20">
      <c r="E4253" s="3"/>
      <c r="F4253" s="4"/>
      <c r="S4253" s="3"/>
      <c r="T4253" s="3"/>
    </row>
    <row r="4254" spans="5:20">
      <c r="E4254" s="3"/>
      <c r="F4254" s="4"/>
      <c r="S4254" s="3"/>
      <c r="T4254" s="3"/>
    </row>
    <row r="4255" spans="5:20">
      <c r="E4255" s="3"/>
      <c r="F4255" s="4"/>
      <c r="S4255" s="3"/>
      <c r="T4255" s="3"/>
    </row>
    <row r="4256" spans="5:20">
      <c r="E4256" s="3"/>
      <c r="F4256" s="4"/>
      <c r="S4256" s="3"/>
      <c r="T4256" s="3"/>
    </row>
    <row r="4257" spans="5:20">
      <c r="E4257" s="3"/>
      <c r="F4257" s="4"/>
      <c r="S4257" s="3"/>
      <c r="T4257" s="3"/>
    </row>
    <row r="4258" spans="5:20">
      <c r="E4258" s="3"/>
      <c r="F4258" s="4"/>
      <c r="S4258" s="3"/>
      <c r="T4258" s="3"/>
    </row>
    <row r="4259" spans="5:20">
      <c r="E4259" s="3"/>
      <c r="F4259" s="4"/>
      <c r="S4259" s="3"/>
      <c r="T4259" s="3"/>
    </row>
    <row r="4260" spans="5:20">
      <c r="E4260" s="3"/>
      <c r="F4260" s="4"/>
      <c r="S4260" s="3"/>
      <c r="T4260" s="3"/>
    </row>
    <row r="4261" spans="5:20">
      <c r="E4261" s="3"/>
      <c r="F4261" s="4"/>
      <c r="S4261" s="3"/>
      <c r="T4261" s="3"/>
    </row>
    <row r="4262" spans="5:20">
      <c r="E4262" s="3"/>
      <c r="F4262" s="4"/>
      <c r="S4262" s="3"/>
      <c r="T4262" s="3"/>
    </row>
    <row r="4263" spans="5:20">
      <c r="E4263" s="3"/>
      <c r="F4263" s="4"/>
      <c r="S4263" s="3"/>
      <c r="T4263" s="3"/>
    </row>
    <row r="4264" spans="5:20">
      <c r="E4264" s="3"/>
      <c r="F4264" s="4"/>
      <c r="S4264" s="3"/>
      <c r="T4264" s="3"/>
    </row>
    <row r="4265" spans="5:20">
      <c r="E4265" s="3"/>
      <c r="F4265" s="4"/>
      <c r="S4265" s="3"/>
      <c r="T4265" s="3"/>
    </row>
    <row r="4266" spans="5:20">
      <c r="E4266" s="3"/>
      <c r="F4266" s="4"/>
      <c r="S4266" s="3"/>
      <c r="T4266" s="3"/>
    </row>
    <row r="4267" spans="5:20">
      <c r="E4267" s="3"/>
      <c r="F4267" s="4"/>
      <c r="S4267" s="3"/>
      <c r="T4267" s="3"/>
    </row>
    <row r="4268" spans="5:20">
      <c r="E4268" s="3"/>
      <c r="F4268" s="4"/>
      <c r="S4268" s="3"/>
      <c r="T4268" s="3"/>
    </row>
    <row r="4269" spans="5:20">
      <c r="E4269" s="3"/>
      <c r="F4269" s="4"/>
      <c r="S4269" s="3"/>
      <c r="T4269" s="3"/>
    </row>
    <row r="4270" spans="5:20">
      <c r="E4270" s="3"/>
      <c r="F4270" s="4"/>
      <c r="S4270" s="3"/>
      <c r="T4270" s="3"/>
    </row>
    <row r="4271" spans="5:20">
      <c r="E4271" s="3"/>
      <c r="F4271" s="4"/>
      <c r="S4271" s="3"/>
      <c r="T4271" s="3"/>
    </row>
    <row r="4272" spans="5:20">
      <c r="E4272" s="3"/>
      <c r="F4272" s="4"/>
      <c r="S4272" s="3"/>
      <c r="T4272" s="3"/>
    </row>
    <row r="4273" spans="5:20">
      <c r="E4273" s="3"/>
      <c r="F4273" s="4"/>
      <c r="S4273" s="3"/>
      <c r="T4273" s="3"/>
    </row>
    <row r="4274" spans="5:20">
      <c r="E4274" s="3"/>
      <c r="F4274" s="4"/>
      <c r="S4274" s="3"/>
      <c r="T4274" s="3"/>
    </row>
    <row r="4275" spans="5:20">
      <c r="E4275" s="3"/>
      <c r="F4275" s="4"/>
      <c r="S4275" s="3"/>
      <c r="T4275" s="3"/>
    </row>
    <row r="4276" spans="5:20">
      <c r="E4276" s="3"/>
      <c r="F4276" s="4"/>
      <c r="S4276" s="3"/>
      <c r="T4276" s="3"/>
    </row>
    <row r="4277" spans="5:20">
      <c r="E4277" s="3"/>
      <c r="F4277" s="4"/>
      <c r="S4277" s="3"/>
      <c r="T4277" s="3"/>
    </row>
    <row r="4278" spans="5:20">
      <c r="E4278" s="3"/>
      <c r="F4278" s="4"/>
      <c r="S4278" s="3"/>
      <c r="T4278" s="3"/>
    </row>
    <row r="4279" spans="5:20">
      <c r="E4279" s="3"/>
      <c r="F4279" s="4"/>
      <c r="S4279" s="3"/>
      <c r="T4279" s="3"/>
    </row>
    <row r="4280" spans="5:20">
      <c r="E4280" s="3"/>
      <c r="F4280" s="4"/>
      <c r="S4280" s="3"/>
      <c r="T4280" s="3"/>
    </row>
    <row r="4281" spans="5:20">
      <c r="E4281" s="3"/>
      <c r="F4281" s="4"/>
      <c r="S4281" s="3"/>
      <c r="T4281" s="3"/>
    </row>
    <row r="4282" spans="5:20">
      <c r="E4282" s="3"/>
      <c r="F4282" s="4"/>
      <c r="S4282" s="3"/>
      <c r="T4282" s="3"/>
    </row>
    <row r="4283" spans="5:20">
      <c r="E4283" s="3"/>
      <c r="F4283" s="4"/>
      <c r="S4283" s="3"/>
      <c r="T4283" s="3"/>
    </row>
    <row r="4284" spans="5:20">
      <c r="E4284" s="3"/>
      <c r="F4284" s="4"/>
      <c r="S4284" s="3"/>
      <c r="T4284" s="3"/>
    </row>
    <row r="4285" spans="5:20">
      <c r="E4285" s="3"/>
      <c r="F4285" s="4"/>
      <c r="S4285" s="3"/>
      <c r="T4285" s="3"/>
    </row>
    <row r="4286" spans="5:20">
      <c r="E4286" s="3"/>
      <c r="F4286" s="4"/>
      <c r="S4286" s="3"/>
      <c r="T4286" s="3"/>
    </row>
    <row r="4287" spans="5:20">
      <c r="E4287" s="3"/>
      <c r="F4287" s="4"/>
      <c r="S4287" s="3"/>
      <c r="T4287" s="3"/>
    </row>
    <row r="4288" spans="5:20">
      <c r="E4288" s="3"/>
      <c r="F4288" s="4"/>
      <c r="S4288" s="3"/>
      <c r="T4288" s="3"/>
    </row>
    <row r="4289" spans="5:20">
      <c r="E4289" s="3"/>
      <c r="F4289" s="4"/>
      <c r="S4289" s="3"/>
      <c r="T4289" s="3"/>
    </row>
    <row r="4290" spans="5:20">
      <c r="E4290" s="3"/>
      <c r="F4290" s="4"/>
      <c r="S4290" s="3"/>
      <c r="T4290" s="3"/>
    </row>
    <row r="4291" spans="5:20">
      <c r="E4291" s="3"/>
      <c r="F4291" s="4"/>
      <c r="S4291" s="3"/>
      <c r="T4291" s="3"/>
    </row>
    <row r="4292" spans="5:20">
      <c r="E4292" s="3"/>
      <c r="F4292" s="4"/>
      <c r="S4292" s="3"/>
      <c r="T4292" s="3"/>
    </row>
    <row r="4293" spans="5:20">
      <c r="E4293" s="3"/>
      <c r="F4293" s="4"/>
      <c r="S4293" s="3"/>
      <c r="T4293" s="3"/>
    </row>
    <row r="4294" spans="5:20">
      <c r="E4294" s="3"/>
      <c r="F4294" s="4"/>
      <c r="S4294" s="3"/>
      <c r="T4294" s="3"/>
    </row>
    <row r="4295" spans="5:20">
      <c r="E4295" s="3"/>
      <c r="F4295" s="4"/>
      <c r="S4295" s="3"/>
      <c r="T4295" s="3"/>
    </row>
    <row r="4296" spans="5:20">
      <c r="E4296" s="3"/>
      <c r="F4296" s="4"/>
      <c r="S4296" s="3"/>
      <c r="T4296" s="3"/>
    </row>
    <row r="4297" spans="5:20">
      <c r="E4297" s="3"/>
      <c r="F4297" s="4"/>
      <c r="S4297" s="3"/>
      <c r="T4297" s="3"/>
    </row>
    <row r="4298" spans="5:20">
      <c r="E4298" s="3"/>
      <c r="F4298" s="4"/>
      <c r="S4298" s="3"/>
      <c r="T4298" s="3"/>
    </row>
    <row r="4299" spans="5:20">
      <c r="E4299" s="3"/>
      <c r="F4299" s="4"/>
      <c r="S4299" s="3"/>
      <c r="T4299" s="3"/>
    </row>
    <row r="4300" spans="5:20">
      <c r="E4300" s="3"/>
      <c r="F4300" s="4"/>
      <c r="S4300" s="3"/>
      <c r="T4300" s="3"/>
    </row>
    <row r="4301" spans="5:20">
      <c r="E4301" s="3"/>
      <c r="F4301" s="4"/>
      <c r="S4301" s="3"/>
      <c r="T4301" s="3"/>
    </row>
    <row r="4302" spans="5:20">
      <c r="E4302" s="3"/>
      <c r="F4302" s="4"/>
      <c r="S4302" s="3"/>
      <c r="T4302" s="3"/>
    </row>
    <row r="4303" spans="5:20">
      <c r="E4303" s="3"/>
      <c r="F4303" s="4"/>
      <c r="S4303" s="3"/>
      <c r="T4303" s="3"/>
    </row>
    <row r="4304" spans="5:20">
      <c r="E4304" s="3"/>
      <c r="F4304" s="4"/>
      <c r="S4304" s="3"/>
      <c r="T4304" s="3"/>
    </row>
    <row r="4305" spans="5:20">
      <c r="E4305" s="3"/>
      <c r="F4305" s="4"/>
      <c r="S4305" s="3"/>
      <c r="T4305" s="3"/>
    </row>
    <row r="4306" spans="5:20">
      <c r="E4306" s="3"/>
      <c r="F4306" s="4"/>
      <c r="S4306" s="3"/>
      <c r="T4306" s="3"/>
    </row>
    <row r="4307" spans="5:20">
      <c r="E4307" s="3"/>
      <c r="F4307" s="4"/>
      <c r="S4307" s="3"/>
      <c r="T4307" s="3"/>
    </row>
    <row r="4308" spans="5:20">
      <c r="E4308" s="3"/>
      <c r="F4308" s="4"/>
      <c r="S4308" s="3"/>
      <c r="T4308" s="3"/>
    </row>
    <row r="4309" spans="5:20">
      <c r="E4309" s="3"/>
      <c r="F4309" s="4"/>
      <c r="S4309" s="3"/>
      <c r="T4309" s="3"/>
    </row>
    <row r="4310" spans="5:20">
      <c r="E4310" s="3"/>
      <c r="F4310" s="4"/>
      <c r="S4310" s="3"/>
      <c r="T4310" s="3"/>
    </row>
    <row r="4311" spans="5:20">
      <c r="E4311" s="3"/>
      <c r="F4311" s="4"/>
      <c r="S4311" s="3"/>
      <c r="T4311" s="3"/>
    </row>
    <row r="4312" spans="5:20">
      <c r="E4312" s="3"/>
      <c r="F4312" s="4"/>
      <c r="S4312" s="3"/>
      <c r="T4312" s="3"/>
    </row>
    <row r="4313" spans="5:20">
      <c r="E4313" s="3"/>
      <c r="F4313" s="4"/>
      <c r="S4313" s="3"/>
      <c r="T4313" s="3"/>
    </row>
    <row r="4314" spans="5:20">
      <c r="E4314" s="3"/>
      <c r="F4314" s="4"/>
      <c r="S4314" s="3"/>
      <c r="T4314" s="3"/>
    </row>
    <row r="4315" spans="5:20">
      <c r="E4315" s="3"/>
      <c r="F4315" s="4"/>
      <c r="S4315" s="3"/>
      <c r="T4315" s="3"/>
    </row>
    <row r="4316" spans="5:20">
      <c r="E4316" s="3"/>
      <c r="F4316" s="4"/>
      <c r="S4316" s="3"/>
      <c r="T4316" s="3"/>
    </row>
    <row r="4317" spans="5:20">
      <c r="E4317" s="3"/>
      <c r="F4317" s="4"/>
      <c r="S4317" s="3"/>
      <c r="T4317" s="3"/>
    </row>
    <row r="4318" spans="5:20">
      <c r="E4318" s="3"/>
      <c r="F4318" s="4"/>
      <c r="S4318" s="3"/>
      <c r="T4318" s="3"/>
    </row>
    <row r="4319" spans="5:20">
      <c r="E4319" s="3"/>
      <c r="F4319" s="4"/>
      <c r="S4319" s="3"/>
      <c r="T4319" s="3"/>
    </row>
    <row r="4320" spans="5:20">
      <c r="E4320" s="3"/>
      <c r="F4320" s="4"/>
      <c r="S4320" s="3"/>
      <c r="T4320" s="3"/>
    </row>
    <row r="4321" spans="5:20">
      <c r="E4321" s="3"/>
      <c r="F4321" s="4"/>
      <c r="S4321" s="3"/>
      <c r="T4321" s="3"/>
    </row>
    <row r="4322" spans="5:20">
      <c r="E4322" s="3"/>
      <c r="F4322" s="4"/>
      <c r="S4322" s="3"/>
      <c r="T4322" s="3"/>
    </row>
    <row r="4323" spans="5:20">
      <c r="E4323" s="3"/>
      <c r="F4323" s="4"/>
      <c r="S4323" s="3"/>
      <c r="T4323" s="3"/>
    </row>
    <row r="4324" spans="5:20">
      <c r="E4324" s="3"/>
      <c r="F4324" s="4"/>
      <c r="S4324" s="3"/>
      <c r="T4324" s="3"/>
    </row>
    <row r="4325" spans="5:20">
      <c r="E4325" s="3"/>
      <c r="F4325" s="4"/>
      <c r="S4325" s="3"/>
      <c r="T4325" s="3"/>
    </row>
    <row r="4326" spans="5:20">
      <c r="E4326" s="3"/>
      <c r="F4326" s="4"/>
      <c r="S4326" s="3"/>
      <c r="T4326" s="3"/>
    </row>
    <row r="4327" spans="5:20">
      <c r="E4327" s="3"/>
      <c r="F4327" s="4"/>
      <c r="S4327" s="3"/>
      <c r="T4327" s="3"/>
    </row>
    <row r="4328" spans="5:20">
      <c r="E4328" s="3"/>
      <c r="F4328" s="4"/>
      <c r="S4328" s="3"/>
      <c r="T4328" s="3"/>
    </row>
    <row r="4329" spans="5:20">
      <c r="E4329" s="3"/>
      <c r="F4329" s="4"/>
      <c r="S4329" s="3"/>
      <c r="T4329" s="3"/>
    </row>
    <row r="4330" spans="5:20">
      <c r="E4330" s="3"/>
      <c r="F4330" s="4"/>
      <c r="S4330" s="3"/>
      <c r="T4330" s="3"/>
    </row>
    <row r="4331" spans="5:20">
      <c r="E4331" s="3"/>
      <c r="F4331" s="4"/>
      <c r="S4331" s="3"/>
      <c r="T4331" s="3"/>
    </row>
    <row r="4332" spans="5:20">
      <c r="E4332" s="3"/>
      <c r="F4332" s="4"/>
      <c r="S4332" s="3"/>
      <c r="T4332" s="3"/>
    </row>
    <row r="4333" spans="5:20">
      <c r="E4333" s="3"/>
      <c r="F4333" s="4"/>
      <c r="S4333" s="3"/>
      <c r="T4333" s="3"/>
    </row>
    <row r="4334" spans="5:20">
      <c r="E4334" s="3"/>
      <c r="F4334" s="4"/>
      <c r="S4334" s="3"/>
      <c r="T4334" s="3"/>
    </row>
    <row r="4335" spans="5:20">
      <c r="E4335" s="3"/>
      <c r="F4335" s="4"/>
      <c r="S4335" s="3"/>
      <c r="T4335" s="3"/>
    </row>
    <row r="4336" spans="5:20">
      <c r="E4336" s="3"/>
      <c r="F4336" s="4"/>
      <c r="S4336" s="3"/>
      <c r="T4336" s="3"/>
    </row>
    <row r="4337" spans="5:20">
      <c r="E4337" s="3"/>
      <c r="F4337" s="4"/>
      <c r="S4337" s="3"/>
      <c r="T4337" s="3"/>
    </row>
    <row r="4338" spans="5:20">
      <c r="E4338" s="3"/>
      <c r="F4338" s="4"/>
      <c r="S4338" s="3"/>
      <c r="T4338" s="3"/>
    </row>
    <row r="4339" spans="5:20">
      <c r="E4339" s="3"/>
      <c r="F4339" s="4"/>
      <c r="S4339" s="3"/>
      <c r="T4339" s="3"/>
    </row>
    <row r="4340" spans="5:20">
      <c r="E4340" s="3"/>
      <c r="F4340" s="4"/>
      <c r="S4340" s="3"/>
      <c r="T4340" s="3"/>
    </row>
    <row r="4341" spans="5:20">
      <c r="E4341" s="3"/>
      <c r="F4341" s="4"/>
      <c r="S4341" s="3"/>
      <c r="T4341" s="3"/>
    </row>
    <row r="4342" spans="5:20">
      <c r="E4342" s="3"/>
      <c r="F4342" s="4"/>
      <c r="S4342" s="3"/>
      <c r="T4342" s="3"/>
    </row>
    <row r="4343" spans="5:20">
      <c r="E4343" s="3"/>
      <c r="F4343" s="4"/>
      <c r="S4343" s="3"/>
      <c r="T4343" s="3"/>
    </row>
    <row r="4344" spans="5:20">
      <c r="E4344" s="3"/>
      <c r="F4344" s="4"/>
      <c r="S4344" s="3"/>
      <c r="T4344" s="3"/>
    </row>
    <row r="4345" spans="5:20">
      <c r="E4345" s="3"/>
      <c r="F4345" s="4"/>
      <c r="S4345" s="3"/>
      <c r="T4345" s="3"/>
    </row>
    <row r="4346" spans="5:20">
      <c r="E4346" s="3"/>
      <c r="F4346" s="4"/>
      <c r="S4346" s="3"/>
      <c r="T4346" s="3"/>
    </row>
    <row r="4347" spans="5:20">
      <c r="E4347" s="3"/>
      <c r="F4347" s="4"/>
      <c r="S4347" s="3"/>
      <c r="T4347" s="3"/>
    </row>
    <row r="4348" spans="5:20">
      <c r="E4348" s="3"/>
      <c r="F4348" s="4"/>
      <c r="S4348" s="3"/>
      <c r="T4348" s="3"/>
    </row>
    <row r="4349" spans="5:20">
      <c r="E4349" s="3"/>
      <c r="F4349" s="4"/>
      <c r="S4349" s="3"/>
      <c r="T4349" s="3"/>
    </row>
    <row r="4350" spans="5:20">
      <c r="E4350" s="3"/>
      <c r="F4350" s="4"/>
      <c r="S4350" s="3"/>
      <c r="T4350" s="3"/>
    </row>
    <row r="4351" spans="5:20">
      <c r="E4351" s="3"/>
      <c r="F4351" s="4"/>
      <c r="S4351" s="3"/>
      <c r="T4351" s="3"/>
    </row>
    <row r="4352" spans="5:20">
      <c r="E4352" s="3"/>
      <c r="F4352" s="4"/>
      <c r="S4352" s="3"/>
      <c r="T4352" s="3"/>
    </row>
    <row r="4353" spans="5:20">
      <c r="E4353" s="3"/>
      <c r="F4353" s="4"/>
      <c r="S4353" s="3"/>
      <c r="T4353" s="3"/>
    </row>
    <row r="4354" spans="5:20">
      <c r="E4354" s="3"/>
      <c r="F4354" s="4"/>
      <c r="S4354" s="3"/>
      <c r="T4354" s="3"/>
    </row>
    <row r="4355" spans="5:20">
      <c r="E4355" s="3"/>
      <c r="F4355" s="4"/>
      <c r="S4355" s="3"/>
      <c r="T4355" s="3"/>
    </row>
    <row r="4356" spans="5:20">
      <c r="E4356" s="3"/>
      <c r="F4356" s="4"/>
      <c r="S4356" s="3"/>
      <c r="T4356" s="3"/>
    </row>
    <row r="4357" spans="5:20">
      <c r="E4357" s="3"/>
      <c r="F4357" s="4"/>
      <c r="S4357" s="3"/>
      <c r="T4357" s="3"/>
    </row>
    <row r="4358" spans="5:20">
      <c r="E4358" s="3"/>
      <c r="F4358" s="4"/>
      <c r="S4358" s="3"/>
      <c r="T4358" s="3"/>
    </row>
    <row r="4359" spans="5:20">
      <c r="E4359" s="3"/>
      <c r="F4359" s="4"/>
      <c r="S4359" s="3"/>
      <c r="T4359" s="3"/>
    </row>
    <row r="4360" spans="5:20">
      <c r="E4360" s="3"/>
      <c r="F4360" s="4"/>
      <c r="S4360" s="3"/>
      <c r="T4360" s="3"/>
    </row>
    <row r="4361" spans="5:20">
      <c r="E4361" s="3"/>
      <c r="F4361" s="4"/>
      <c r="S4361" s="3"/>
      <c r="T4361" s="3"/>
    </row>
    <row r="4362" spans="5:20">
      <c r="E4362" s="3"/>
      <c r="F4362" s="4"/>
      <c r="S4362" s="3"/>
      <c r="T4362" s="3"/>
    </row>
    <row r="4363" spans="5:20">
      <c r="E4363" s="3"/>
      <c r="F4363" s="4"/>
      <c r="S4363" s="3"/>
      <c r="T4363" s="3"/>
    </row>
    <row r="4364" spans="5:20">
      <c r="E4364" s="3"/>
      <c r="F4364" s="4"/>
      <c r="S4364" s="3"/>
      <c r="T4364" s="3"/>
    </row>
    <row r="4365" spans="5:20">
      <c r="E4365" s="3"/>
      <c r="F4365" s="4"/>
      <c r="S4365" s="3"/>
      <c r="T4365" s="3"/>
    </row>
    <row r="4366" spans="5:20">
      <c r="E4366" s="3"/>
      <c r="F4366" s="4"/>
      <c r="S4366" s="3"/>
      <c r="T4366" s="3"/>
    </row>
    <row r="4367" spans="5:20">
      <c r="E4367" s="3"/>
      <c r="F4367" s="4"/>
      <c r="S4367" s="3"/>
      <c r="T4367" s="3"/>
    </row>
    <row r="4368" spans="5:20">
      <c r="E4368" s="3"/>
      <c r="F4368" s="4"/>
      <c r="S4368" s="3"/>
      <c r="T4368" s="3"/>
    </row>
    <row r="4369" spans="5:20">
      <c r="E4369" s="3"/>
      <c r="F4369" s="4"/>
      <c r="S4369" s="3"/>
      <c r="T4369" s="3"/>
    </row>
    <row r="4370" spans="5:20">
      <c r="E4370" s="3"/>
      <c r="F4370" s="4"/>
      <c r="S4370" s="3"/>
      <c r="T4370" s="3"/>
    </row>
    <row r="4371" spans="5:20">
      <c r="E4371" s="3"/>
      <c r="F4371" s="4"/>
      <c r="S4371" s="3"/>
      <c r="T4371" s="3"/>
    </row>
    <row r="4372" spans="5:20">
      <c r="E4372" s="3"/>
      <c r="F4372" s="4"/>
      <c r="S4372" s="3"/>
      <c r="T4372" s="3"/>
    </row>
    <row r="4373" spans="5:20">
      <c r="E4373" s="3"/>
      <c r="F4373" s="4"/>
      <c r="S4373" s="3"/>
      <c r="T4373" s="3"/>
    </row>
    <row r="4374" spans="5:20">
      <c r="E4374" s="3"/>
      <c r="F4374" s="4"/>
      <c r="S4374" s="3"/>
      <c r="T4374" s="3"/>
    </row>
    <row r="4375" spans="5:20">
      <c r="E4375" s="3"/>
      <c r="F4375" s="4"/>
      <c r="S4375" s="3"/>
      <c r="T4375" s="3"/>
    </row>
    <row r="4376" spans="5:20">
      <c r="E4376" s="3"/>
      <c r="F4376" s="4"/>
      <c r="S4376" s="3"/>
      <c r="T4376" s="3"/>
    </row>
    <row r="4377" spans="5:20">
      <c r="E4377" s="3"/>
      <c r="F4377" s="4"/>
      <c r="S4377" s="3"/>
      <c r="T4377" s="3"/>
    </row>
    <row r="4378" spans="5:20">
      <c r="E4378" s="3"/>
      <c r="F4378" s="4"/>
      <c r="S4378" s="3"/>
      <c r="T4378" s="3"/>
    </row>
    <row r="4379" spans="5:20">
      <c r="E4379" s="3"/>
      <c r="F4379" s="4"/>
      <c r="S4379" s="3"/>
      <c r="T4379" s="3"/>
    </row>
    <row r="4380" spans="5:20">
      <c r="E4380" s="3"/>
      <c r="F4380" s="4"/>
      <c r="S4380" s="3"/>
      <c r="T4380" s="3"/>
    </row>
    <row r="4381" spans="5:20">
      <c r="E4381" s="3"/>
      <c r="F4381" s="4"/>
      <c r="S4381" s="3"/>
      <c r="T4381" s="3"/>
    </row>
    <row r="4382" spans="5:20">
      <c r="E4382" s="3"/>
      <c r="F4382" s="4"/>
      <c r="S4382" s="3"/>
      <c r="T4382" s="3"/>
    </row>
    <row r="4383" spans="5:20">
      <c r="E4383" s="3"/>
      <c r="F4383" s="4"/>
      <c r="S4383" s="3"/>
      <c r="T4383" s="3"/>
    </row>
    <row r="4384" spans="5:20">
      <c r="E4384" s="3"/>
      <c r="F4384" s="4"/>
      <c r="S4384" s="3"/>
      <c r="T4384" s="3"/>
    </row>
    <row r="4385" spans="5:20">
      <c r="E4385" s="3"/>
      <c r="F4385" s="4"/>
      <c r="S4385" s="3"/>
      <c r="T4385" s="3"/>
    </row>
    <row r="4386" spans="5:20">
      <c r="E4386" s="3"/>
      <c r="F4386" s="4"/>
      <c r="S4386" s="3"/>
      <c r="T4386" s="3"/>
    </row>
    <row r="4387" spans="5:20">
      <c r="E4387" s="3"/>
      <c r="F4387" s="4"/>
      <c r="S4387" s="3"/>
      <c r="T4387" s="3"/>
    </row>
    <row r="4388" spans="5:20">
      <c r="E4388" s="3"/>
      <c r="F4388" s="4"/>
      <c r="S4388" s="3"/>
      <c r="T4388" s="3"/>
    </row>
    <row r="4389" spans="5:20">
      <c r="E4389" s="3"/>
      <c r="F4389" s="4"/>
      <c r="S4389" s="3"/>
      <c r="T4389" s="3"/>
    </row>
    <row r="4390" spans="5:20">
      <c r="E4390" s="3"/>
      <c r="F4390" s="4"/>
      <c r="S4390" s="3"/>
      <c r="T4390" s="3"/>
    </row>
    <row r="4391" spans="5:20">
      <c r="E4391" s="3"/>
      <c r="F4391" s="4"/>
      <c r="S4391" s="3"/>
      <c r="T4391" s="3"/>
    </row>
    <row r="4392" spans="5:20">
      <c r="E4392" s="3"/>
      <c r="F4392" s="4"/>
      <c r="S4392" s="3"/>
      <c r="T4392" s="3"/>
    </row>
    <row r="4393" spans="5:20">
      <c r="E4393" s="3"/>
      <c r="F4393" s="4"/>
      <c r="S4393" s="3"/>
      <c r="T4393" s="3"/>
    </row>
    <row r="4394" spans="5:20">
      <c r="E4394" s="3"/>
      <c r="F4394" s="4"/>
      <c r="S4394" s="3"/>
      <c r="T4394" s="3"/>
    </row>
    <row r="4395" spans="5:20">
      <c r="E4395" s="3"/>
      <c r="F4395" s="4"/>
      <c r="S4395" s="3"/>
      <c r="T4395" s="3"/>
    </row>
    <row r="4396" spans="5:20">
      <c r="E4396" s="3"/>
      <c r="F4396" s="4"/>
      <c r="S4396" s="3"/>
      <c r="T4396" s="3"/>
    </row>
    <row r="4397" spans="5:20">
      <c r="E4397" s="3"/>
      <c r="F4397" s="4"/>
      <c r="S4397" s="3"/>
      <c r="T4397" s="3"/>
    </row>
    <row r="4398" spans="5:20">
      <c r="E4398" s="3"/>
      <c r="F4398" s="4"/>
      <c r="S4398" s="3"/>
      <c r="T4398" s="3"/>
    </row>
    <row r="4399" spans="5:20">
      <c r="E4399" s="3"/>
      <c r="F4399" s="4"/>
      <c r="S4399" s="3"/>
      <c r="T4399" s="3"/>
    </row>
    <row r="4400" spans="5:20">
      <c r="E4400" s="3"/>
      <c r="F4400" s="4"/>
      <c r="S4400" s="3"/>
      <c r="T4400" s="3"/>
    </row>
    <row r="4401" spans="5:20">
      <c r="E4401" s="3"/>
      <c r="F4401" s="4"/>
      <c r="S4401" s="3"/>
      <c r="T4401" s="3"/>
    </row>
    <row r="4402" spans="5:20">
      <c r="E4402" s="3"/>
      <c r="F4402" s="4"/>
      <c r="S4402" s="3"/>
      <c r="T4402" s="3"/>
    </row>
    <row r="4403" spans="5:20">
      <c r="E4403" s="3"/>
      <c r="F4403" s="4"/>
      <c r="S4403" s="3"/>
      <c r="T4403" s="3"/>
    </row>
    <row r="4404" spans="5:20">
      <c r="E4404" s="3"/>
      <c r="F4404" s="4"/>
      <c r="S4404" s="3"/>
      <c r="T4404" s="3"/>
    </row>
    <row r="4405" spans="5:20">
      <c r="E4405" s="3"/>
      <c r="F4405" s="4"/>
      <c r="S4405" s="3"/>
      <c r="T4405" s="3"/>
    </row>
    <row r="4406" spans="5:20">
      <c r="E4406" s="3"/>
      <c r="F4406" s="4"/>
      <c r="S4406" s="3"/>
      <c r="T4406" s="3"/>
    </row>
    <row r="4407" spans="5:20">
      <c r="E4407" s="3"/>
      <c r="F4407" s="4"/>
      <c r="S4407" s="3"/>
      <c r="T4407" s="3"/>
    </row>
    <row r="4408" spans="5:20">
      <c r="E4408" s="3"/>
      <c r="F4408" s="4"/>
      <c r="S4408" s="3"/>
      <c r="T4408" s="3"/>
    </row>
    <row r="4409" spans="5:20">
      <c r="E4409" s="3"/>
      <c r="F4409" s="4"/>
      <c r="S4409" s="3"/>
      <c r="T4409" s="3"/>
    </row>
    <row r="4410" spans="5:20">
      <c r="E4410" s="3"/>
      <c r="F4410" s="4"/>
      <c r="S4410" s="3"/>
      <c r="T4410" s="3"/>
    </row>
    <row r="4411" spans="5:20">
      <c r="E4411" s="3"/>
      <c r="F4411" s="4"/>
      <c r="S4411" s="3"/>
      <c r="T4411" s="3"/>
    </row>
    <row r="4412" spans="5:20">
      <c r="E4412" s="3"/>
      <c r="F4412" s="4"/>
      <c r="S4412" s="3"/>
      <c r="T4412" s="3"/>
    </row>
    <row r="4413" spans="5:20">
      <c r="E4413" s="3"/>
      <c r="F4413" s="4"/>
      <c r="S4413" s="3"/>
      <c r="T4413" s="3"/>
    </row>
    <row r="4414" spans="5:20">
      <c r="E4414" s="3"/>
      <c r="F4414" s="4"/>
      <c r="S4414" s="3"/>
      <c r="T4414" s="3"/>
    </row>
    <row r="4415" spans="5:20">
      <c r="E4415" s="3"/>
      <c r="F4415" s="4"/>
      <c r="S4415" s="3"/>
      <c r="T4415" s="3"/>
    </row>
    <row r="4416" spans="5:20">
      <c r="E4416" s="3"/>
      <c r="F4416" s="4"/>
      <c r="S4416" s="3"/>
      <c r="T4416" s="3"/>
    </row>
    <row r="4417" spans="5:20">
      <c r="E4417" s="3"/>
      <c r="F4417" s="4"/>
      <c r="S4417" s="3"/>
      <c r="T4417" s="3"/>
    </row>
    <row r="4418" spans="5:20">
      <c r="E4418" s="3"/>
      <c r="F4418" s="4"/>
      <c r="S4418" s="3"/>
      <c r="T4418" s="3"/>
    </row>
    <row r="4419" spans="5:20">
      <c r="E4419" s="3"/>
      <c r="F4419" s="4"/>
      <c r="S4419" s="3"/>
      <c r="T4419" s="3"/>
    </row>
    <row r="4420" spans="5:20">
      <c r="E4420" s="3"/>
      <c r="F4420" s="4"/>
      <c r="S4420" s="3"/>
      <c r="T4420" s="3"/>
    </row>
    <row r="4421" spans="5:20">
      <c r="E4421" s="3"/>
      <c r="F4421" s="4"/>
      <c r="S4421" s="3"/>
      <c r="T4421" s="3"/>
    </row>
    <row r="4422" spans="5:20">
      <c r="E4422" s="3"/>
      <c r="F4422" s="4"/>
      <c r="S4422" s="3"/>
      <c r="T4422" s="3"/>
    </row>
    <row r="4423" spans="5:20">
      <c r="E4423" s="3"/>
      <c r="F4423" s="4"/>
      <c r="S4423" s="3"/>
      <c r="T4423" s="3"/>
    </row>
    <row r="4424" spans="5:20">
      <c r="E4424" s="3"/>
      <c r="F4424" s="4"/>
      <c r="S4424" s="3"/>
      <c r="T4424" s="3"/>
    </row>
    <row r="4425" spans="5:20">
      <c r="E4425" s="3"/>
      <c r="F4425" s="4"/>
      <c r="S4425" s="3"/>
      <c r="T4425" s="3"/>
    </row>
    <row r="4426" spans="5:20">
      <c r="E4426" s="3"/>
      <c r="F4426" s="4"/>
      <c r="S4426" s="3"/>
      <c r="T4426" s="3"/>
    </row>
    <row r="4427" spans="5:20">
      <c r="E4427" s="3"/>
      <c r="F4427" s="4"/>
      <c r="S4427" s="3"/>
      <c r="T4427" s="3"/>
    </row>
    <row r="4428" spans="5:20">
      <c r="E4428" s="3"/>
      <c r="F4428" s="4"/>
      <c r="S4428" s="3"/>
      <c r="T4428" s="3"/>
    </row>
    <row r="4429" spans="5:20">
      <c r="E4429" s="3"/>
      <c r="F4429" s="4"/>
      <c r="S4429" s="3"/>
      <c r="T4429" s="3"/>
    </row>
    <row r="4430" spans="5:20">
      <c r="E4430" s="3"/>
      <c r="F4430" s="4"/>
      <c r="S4430" s="3"/>
      <c r="T4430" s="3"/>
    </row>
    <row r="4431" spans="5:20">
      <c r="E4431" s="3"/>
      <c r="F4431" s="4"/>
      <c r="S4431" s="3"/>
      <c r="T4431" s="3"/>
    </row>
    <row r="4432" spans="5:20">
      <c r="E4432" s="3"/>
      <c r="F4432" s="4"/>
      <c r="S4432" s="3"/>
      <c r="T4432" s="3"/>
    </row>
    <row r="4433" spans="5:20">
      <c r="E4433" s="3"/>
      <c r="F4433" s="4"/>
      <c r="S4433" s="3"/>
      <c r="T4433" s="3"/>
    </row>
    <row r="4434" spans="5:20">
      <c r="E4434" s="3"/>
      <c r="F4434" s="4"/>
      <c r="S4434" s="3"/>
      <c r="T4434" s="3"/>
    </row>
    <row r="4435" spans="5:20">
      <c r="E4435" s="3"/>
      <c r="F4435" s="4"/>
      <c r="S4435" s="3"/>
      <c r="T4435" s="3"/>
    </row>
    <row r="4436" spans="5:20">
      <c r="E4436" s="3"/>
      <c r="F4436" s="4"/>
      <c r="S4436" s="3"/>
      <c r="T4436" s="3"/>
    </row>
    <row r="4437" spans="5:20">
      <c r="E4437" s="3"/>
      <c r="F4437" s="4"/>
      <c r="S4437" s="3"/>
      <c r="T4437" s="3"/>
    </row>
    <row r="4438" spans="5:20">
      <c r="E4438" s="3"/>
      <c r="F4438" s="4"/>
      <c r="S4438" s="3"/>
      <c r="T4438" s="3"/>
    </row>
    <row r="4439" spans="5:20">
      <c r="E4439" s="3"/>
      <c r="F4439" s="4"/>
      <c r="S4439" s="3"/>
      <c r="T4439" s="3"/>
    </row>
    <row r="4440" spans="5:20">
      <c r="E4440" s="3"/>
      <c r="F4440" s="4"/>
      <c r="S4440" s="3"/>
      <c r="T4440" s="3"/>
    </row>
    <row r="4441" spans="5:20">
      <c r="E4441" s="3"/>
      <c r="F4441" s="4"/>
      <c r="S4441" s="3"/>
      <c r="T4441" s="3"/>
    </row>
    <row r="4442" spans="5:20">
      <c r="E4442" s="3"/>
      <c r="F4442" s="4"/>
      <c r="S4442" s="3"/>
      <c r="T4442" s="3"/>
    </row>
    <row r="4443" spans="5:20">
      <c r="E4443" s="3"/>
      <c r="F4443" s="4"/>
      <c r="S4443" s="3"/>
      <c r="T4443" s="3"/>
    </row>
    <row r="4444" spans="5:20">
      <c r="E4444" s="3"/>
      <c r="F4444" s="4"/>
      <c r="S4444" s="3"/>
      <c r="T4444" s="3"/>
    </row>
    <row r="4445" spans="5:20">
      <c r="E4445" s="3"/>
      <c r="F4445" s="4"/>
      <c r="S4445" s="3"/>
      <c r="T4445" s="3"/>
    </row>
    <row r="4446" spans="5:20">
      <c r="E4446" s="3"/>
      <c r="F4446" s="4"/>
      <c r="S4446" s="3"/>
      <c r="T4446" s="3"/>
    </row>
    <row r="4447" spans="5:20">
      <c r="E4447" s="3"/>
      <c r="F4447" s="4"/>
      <c r="S4447" s="3"/>
      <c r="T4447" s="3"/>
    </row>
    <row r="4448" spans="5:20">
      <c r="E4448" s="3"/>
      <c r="F4448" s="4"/>
      <c r="S4448" s="3"/>
      <c r="T4448" s="3"/>
    </row>
    <row r="4449" spans="5:20">
      <c r="E4449" s="3"/>
      <c r="F4449" s="4"/>
      <c r="S4449" s="3"/>
      <c r="T4449" s="3"/>
    </row>
    <row r="4450" spans="5:20">
      <c r="E4450" s="3"/>
      <c r="F4450" s="4"/>
      <c r="S4450" s="3"/>
      <c r="T4450" s="3"/>
    </row>
    <row r="4451" spans="5:20">
      <c r="E4451" s="3"/>
      <c r="F4451" s="4"/>
      <c r="S4451" s="3"/>
      <c r="T4451" s="3"/>
    </row>
    <row r="4452" spans="5:20">
      <c r="E4452" s="3"/>
      <c r="F4452" s="4"/>
      <c r="S4452" s="3"/>
      <c r="T4452" s="3"/>
    </row>
    <row r="4453" spans="5:20">
      <c r="E4453" s="3"/>
      <c r="F4453" s="4"/>
      <c r="S4453" s="3"/>
      <c r="T4453" s="3"/>
    </row>
    <row r="4454" spans="5:20">
      <c r="E4454" s="3"/>
      <c r="F4454" s="4"/>
      <c r="S4454" s="3"/>
      <c r="T4454" s="3"/>
    </row>
    <row r="4455" spans="5:20">
      <c r="E4455" s="3"/>
      <c r="F4455" s="4"/>
      <c r="S4455" s="3"/>
      <c r="T4455" s="3"/>
    </row>
    <row r="4456" spans="5:20">
      <c r="E4456" s="3"/>
      <c r="F4456" s="4"/>
      <c r="S4456" s="3"/>
      <c r="T4456" s="3"/>
    </row>
    <row r="4457" spans="5:20">
      <c r="E4457" s="3"/>
      <c r="F4457" s="4"/>
      <c r="S4457" s="3"/>
      <c r="T4457" s="3"/>
    </row>
    <row r="4458" spans="5:20">
      <c r="E4458" s="3"/>
      <c r="F4458" s="4"/>
      <c r="S4458" s="3"/>
      <c r="T4458" s="3"/>
    </row>
    <row r="4459" spans="5:20">
      <c r="E4459" s="3"/>
      <c r="F4459" s="4"/>
      <c r="S4459" s="3"/>
      <c r="T4459" s="3"/>
    </row>
    <row r="4460" spans="5:20">
      <c r="E4460" s="3"/>
      <c r="F4460" s="4"/>
      <c r="S4460" s="3"/>
      <c r="T4460" s="3"/>
    </row>
    <row r="4461" spans="5:20">
      <c r="E4461" s="3"/>
      <c r="F4461" s="4"/>
      <c r="S4461" s="3"/>
      <c r="T4461" s="3"/>
    </row>
    <row r="4462" spans="5:20">
      <c r="E4462" s="3"/>
      <c r="F4462" s="4"/>
      <c r="S4462" s="3"/>
      <c r="T4462" s="3"/>
    </row>
    <row r="4463" spans="5:20">
      <c r="E4463" s="3"/>
      <c r="F4463" s="4"/>
      <c r="S4463" s="3"/>
      <c r="T4463" s="3"/>
    </row>
    <row r="4464" spans="5:20">
      <c r="E4464" s="3"/>
      <c r="F4464" s="4"/>
      <c r="S4464" s="3"/>
      <c r="T4464" s="3"/>
    </row>
    <row r="4465" spans="5:20">
      <c r="E4465" s="3"/>
      <c r="F4465" s="4"/>
      <c r="S4465" s="3"/>
      <c r="T4465" s="3"/>
    </row>
    <row r="4466" spans="5:20">
      <c r="E4466" s="3"/>
      <c r="F4466" s="4"/>
      <c r="S4466" s="3"/>
      <c r="T4466" s="3"/>
    </row>
    <row r="4467" spans="5:20">
      <c r="E4467" s="3"/>
      <c r="F4467" s="4"/>
      <c r="S4467" s="3"/>
      <c r="T4467" s="3"/>
    </row>
    <row r="4468" spans="5:20">
      <c r="E4468" s="3"/>
      <c r="F4468" s="4"/>
      <c r="S4468" s="3"/>
      <c r="T4468" s="3"/>
    </row>
    <row r="4469" spans="5:20">
      <c r="E4469" s="3"/>
      <c r="F4469" s="4"/>
      <c r="S4469" s="3"/>
      <c r="T4469" s="3"/>
    </row>
    <row r="4470" spans="5:20">
      <c r="E4470" s="3"/>
      <c r="F4470" s="4"/>
      <c r="S4470" s="3"/>
      <c r="T4470" s="3"/>
    </row>
    <row r="4471" spans="5:20">
      <c r="E4471" s="3"/>
      <c r="F4471" s="4"/>
      <c r="S4471" s="3"/>
      <c r="T4471" s="3"/>
    </row>
    <row r="4472" spans="5:20">
      <c r="E4472" s="3"/>
      <c r="F4472" s="4"/>
      <c r="S4472" s="3"/>
      <c r="T4472" s="3"/>
    </row>
    <row r="4473" spans="5:20">
      <c r="E4473" s="3"/>
      <c r="F4473" s="4"/>
      <c r="S4473" s="3"/>
      <c r="T4473" s="3"/>
    </row>
    <row r="4474" spans="5:20">
      <c r="E4474" s="3"/>
      <c r="F4474" s="4"/>
      <c r="S4474" s="3"/>
      <c r="T4474" s="3"/>
    </row>
    <row r="4475" spans="5:20">
      <c r="E4475" s="3"/>
      <c r="F4475" s="4"/>
      <c r="S4475" s="3"/>
      <c r="T4475" s="3"/>
    </row>
    <row r="4476" spans="5:20">
      <c r="E4476" s="3"/>
      <c r="F4476" s="4"/>
      <c r="S4476" s="3"/>
      <c r="T4476" s="3"/>
    </row>
    <row r="4477" spans="5:20">
      <c r="E4477" s="3"/>
      <c r="F4477" s="4"/>
      <c r="S4477" s="3"/>
      <c r="T4477" s="3"/>
    </row>
    <row r="4478" spans="5:20">
      <c r="E4478" s="3"/>
      <c r="F4478" s="4"/>
      <c r="S4478" s="3"/>
      <c r="T4478" s="3"/>
    </row>
    <row r="4479" spans="5:20">
      <c r="E4479" s="3"/>
      <c r="F4479" s="4"/>
      <c r="S4479" s="3"/>
      <c r="T4479" s="3"/>
    </row>
    <row r="4480" spans="5:20">
      <c r="E4480" s="3"/>
      <c r="F4480" s="4"/>
      <c r="S4480" s="3"/>
      <c r="T4480" s="3"/>
    </row>
    <row r="4481" spans="5:20">
      <c r="E4481" s="3"/>
      <c r="F4481" s="4"/>
      <c r="S4481" s="3"/>
      <c r="T4481" s="3"/>
    </row>
    <row r="4482" spans="5:20">
      <c r="E4482" s="3"/>
      <c r="F4482" s="4"/>
      <c r="S4482" s="3"/>
      <c r="T4482" s="3"/>
    </row>
    <row r="4483" spans="5:20">
      <c r="E4483" s="3"/>
      <c r="F4483" s="4"/>
      <c r="S4483" s="3"/>
      <c r="T4483" s="3"/>
    </row>
    <row r="4484" spans="5:20">
      <c r="E4484" s="3"/>
      <c r="F4484" s="4"/>
      <c r="S4484" s="3"/>
      <c r="T4484" s="3"/>
    </row>
    <row r="4485" spans="5:20">
      <c r="E4485" s="3"/>
      <c r="F4485" s="4"/>
      <c r="S4485" s="3"/>
      <c r="T4485" s="3"/>
    </row>
    <row r="4486" spans="5:20">
      <c r="E4486" s="3"/>
      <c r="F4486" s="4"/>
      <c r="S4486" s="3"/>
      <c r="T4486" s="3"/>
    </row>
    <row r="4487" spans="5:20">
      <c r="E4487" s="3"/>
      <c r="F4487" s="4"/>
      <c r="S4487" s="3"/>
      <c r="T4487" s="3"/>
    </row>
    <row r="4488" spans="5:20">
      <c r="E4488" s="3"/>
      <c r="F4488" s="4"/>
      <c r="S4488" s="3"/>
      <c r="T4488" s="3"/>
    </row>
    <row r="4489" spans="5:20">
      <c r="E4489" s="3"/>
      <c r="F4489" s="4"/>
      <c r="S4489" s="3"/>
      <c r="T4489" s="3"/>
    </row>
    <row r="4490" spans="5:20">
      <c r="E4490" s="3"/>
      <c r="F4490" s="4"/>
      <c r="S4490" s="3"/>
      <c r="T4490" s="3"/>
    </row>
    <row r="4491" spans="5:20">
      <c r="E4491" s="3"/>
      <c r="F4491" s="4"/>
      <c r="S4491" s="3"/>
      <c r="T4491" s="3"/>
    </row>
    <row r="4492" spans="5:20">
      <c r="E4492" s="3"/>
      <c r="F4492" s="4"/>
      <c r="S4492" s="3"/>
      <c r="T4492" s="3"/>
    </row>
    <row r="4493" spans="5:20">
      <c r="E4493" s="3"/>
      <c r="F4493" s="4"/>
      <c r="S4493" s="3"/>
      <c r="T4493" s="3"/>
    </row>
    <row r="4494" spans="5:20">
      <c r="E4494" s="3"/>
      <c r="F4494" s="4"/>
      <c r="S4494" s="3"/>
      <c r="T4494" s="3"/>
    </row>
    <row r="4495" spans="5:20">
      <c r="E4495" s="3"/>
      <c r="F4495" s="4"/>
      <c r="S4495" s="3"/>
      <c r="T4495" s="3"/>
    </row>
    <row r="4496" spans="5:20">
      <c r="E4496" s="3"/>
      <c r="F4496" s="4"/>
      <c r="S4496" s="3"/>
      <c r="T4496" s="3"/>
    </row>
    <row r="4497" spans="5:20">
      <c r="E4497" s="3"/>
      <c r="F4497" s="4"/>
      <c r="S4497" s="3"/>
      <c r="T4497" s="3"/>
    </row>
    <row r="4498" spans="5:20">
      <c r="E4498" s="3"/>
      <c r="F4498" s="4"/>
      <c r="S4498" s="3"/>
      <c r="T4498" s="3"/>
    </row>
    <row r="4499" spans="5:20">
      <c r="E4499" s="3"/>
      <c r="F4499" s="4"/>
      <c r="S4499" s="3"/>
      <c r="T4499" s="3"/>
    </row>
    <row r="4500" spans="5:20">
      <c r="E4500" s="3"/>
      <c r="F4500" s="4"/>
      <c r="S4500" s="3"/>
      <c r="T4500" s="3"/>
    </row>
    <row r="4501" spans="5:20">
      <c r="E4501" s="3"/>
      <c r="F4501" s="4"/>
      <c r="S4501" s="3"/>
      <c r="T4501" s="3"/>
    </row>
    <row r="4502" spans="5:20">
      <c r="E4502" s="3"/>
      <c r="F4502" s="4"/>
      <c r="S4502" s="3"/>
      <c r="T4502" s="3"/>
    </row>
    <row r="4503" spans="5:20">
      <c r="E4503" s="3"/>
      <c r="F4503" s="4"/>
      <c r="S4503" s="3"/>
      <c r="T4503" s="3"/>
    </row>
    <row r="4504" spans="5:20">
      <c r="E4504" s="3"/>
      <c r="F4504" s="4"/>
      <c r="S4504" s="3"/>
      <c r="T4504" s="3"/>
    </row>
    <row r="4505" spans="5:20">
      <c r="E4505" s="3"/>
      <c r="F4505" s="4"/>
      <c r="S4505" s="3"/>
      <c r="T4505" s="3"/>
    </row>
    <row r="4506" spans="5:20">
      <c r="E4506" s="3"/>
      <c r="F4506" s="4"/>
      <c r="S4506" s="3"/>
      <c r="T4506" s="3"/>
    </row>
    <row r="4507" spans="5:20">
      <c r="E4507" s="3"/>
      <c r="F4507" s="4"/>
      <c r="S4507" s="3"/>
      <c r="T4507" s="3"/>
    </row>
    <row r="4508" spans="5:20">
      <c r="E4508" s="3"/>
      <c r="F4508" s="4"/>
      <c r="S4508" s="3"/>
      <c r="T4508" s="3"/>
    </row>
    <row r="4509" spans="5:20">
      <c r="E4509" s="3"/>
      <c r="F4509" s="4"/>
      <c r="S4509" s="3"/>
      <c r="T4509" s="3"/>
    </row>
    <row r="4510" spans="5:20">
      <c r="E4510" s="3"/>
      <c r="F4510" s="4"/>
      <c r="S4510" s="3"/>
      <c r="T4510" s="3"/>
    </row>
    <row r="4511" spans="5:20">
      <c r="E4511" s="3"/>
      <c r="F4511" s="4"/>
      <c r="S4511" s="3"/>
      <c r="T4511" s="3"/>
    </row>
    <row r="4512" spans="5:20">
      <c r="E4512" s="3"/>
      <c r="F4512" s="4"/>
      <c r="S4512" s="3"/>
      <c r="T4512" s="3"/>
    </row>
    <row r="4513" spans="5:20">
      <c r="E4513" s="3"/>
      <c r="F4513" s="4"/>
      <c r="S4513" s="3"/>
      <c r="T4513" s="3"/>
    </row>
    <row r="4514" spans="5:20">
      <c r="E4514" s="3"/>
      <c r="F4514" s="4"/>
      <c r="S4514" s="3"/>
      <c r="T4514" s="3"/>
    </row>
    <row r="4515" spans="5:20">
      <c r="E4515" s="3"/>
      <c r="F4515" s="4"/>
      <c r="S4515" s="3"/>
      <c r="T4515" s="3"/>
    </row>
    <row r="4516" spans="5:20">
      <c r="E4516" s="3"/>
      <c r="F4516" s="4"/>
      <c r="S4516" s="3"/>
      <c r="T4516" s="3"/>
    </row>
    <row r="4517" spans="5:20">
      <c r="E4517" s="3"/>
      <c r="F4517" s="4"/>
      <c r="S4517" s="3"/>
      <c r="T4517" s="3"/>
    </row>
    <row r="4518" spans="5:20">
      <c r="E4518" s="3"/>
      <c r="F4518" s="4"/>
      <c r="S4518" s="3"/>
      <c r="T4518" s="3"/>
    </row>
    <row r="4519" spans="5:20">
      <c r="E4519" s="3"/>
      <c r="F4519" s="4"/>
      <c r="S4519" s="3"/>
      <c r="T4519" s="3"/>
    </row>
    <row r="4520" spans="5:20">
      <c r="E4520" s="3"/>
      <c r="F4520" s="4"/>
      <c r="S4520" s="3"/>
      <c r="T4520" s="3"/>
    </row>
    <row r="4521" spans="5:20">
      <c r="E4521" s="3"/>
      <c r="F4521" s="4"/>
      <c r="S4521" s="3"/>
      <c r="T4521" s="3"/>
    </row>
    <row r="4522" spans="5:20">
      <c r="E4522" s="3"/>
      <c r="F4522" s="4"/>
      <c r="S4522" s="3"/>
      <c r="T4522" s="3"/>
    </row>
    <row r="4523" spans="5:20">
      <c r="E4523" s="3"/>
      <c r="F4523" s="4"/>
      <c r="S4523" s="3"/>
      <c r="T4523" s="3"/>
    </row>
    <row r="4524" spans="5:20">
      <c r="E4524" s="3"/>
      <c r="F4524" s="4"/>
      <c r="S4524" s="3"/>
      <c r="T4524" s="3"/>
    </row>
    <row r="4525" spans="5:20">
      <c r="E4525" s="3"/>
      <c r="F4525" s="4"/>
      <c r="S4525" s="3"/>
      <c r="T4525" s="3"/>
    </row>
    <row r="4526" spans="5:20">
      <c r="E4526" s="3"/>
      <c r="F4526" s="4"/>
      <c r="S4526" s="3"/>
      <c r="T4526" s="3"/>
    </row>
    <row r="4527" spans="5:20">
      <c r="E4527" s="3"/>
      <c r="F4527" s="4"/>
      <c r="S4527" s="3"/>
      <c r="T4527" s="3"/>
    </row>
    <row r="4528" spans="5:20">
      <c r="E4528" s="3"/>
      <c r="F4528" s="4"/>
      <c r="S4528" s="3"/>
      <c r="T4528" s="3"/>
    </row>
    <row r="4529" spans="5:20">
      <c r="E4529" s="3"/>
      <c r="F4529" s="4"/>
      <c r="S4529" s="3"/>
      <c r="T4529" s="3"/>
    </row>
    <row r="4530" spans="5:20">
      <c r="E4530" s="3"/>
      <c r="F4530" s="4"/>
      <c r="S4530" s="3"/>
      <c r="T4530" s="3"/>
    </row>
    <row r="4531" spans="5:20">
      <c r="E4531" s="3"/>
      <c r="F4531" s="4"/>
      <c r="S4531" s="3"/>
      <c r="T4531" s="3"/>
    </row>
    <row r="4532" spans="5:20">
      <c r="E4532" s="3"/>
      <c r="F4532" s="4"/>
      <c r="S4532" s="3"/>
      <c r="T4532" s="3"/>
    </row>
    <row r="4533" spans="5:20">
      <c r="E4533" s="3"/>
      <c r="F4533" s="4"/>
      <c r="S4533" s="3"/>
      <c r="T4533" s="3"/>
    </row>
    <row r="4534" spans="5:20">
      <c r="E4534" s="3"/>
      <c r="F4534" s="4"/>
      <c r="S4534" s="3"/>
      <c r="T4534" s="3"/>
    </row>
    <row r="4535" spans="5:20">
      <c r="E4535" s="3"/>
      <c r="F4535" s="4"/>
      <c r="S4535" s="3"/>
      <c r="T4535" s="3"/>
    </row>
    <row r="4536" spans="5:20">
      <c r="E4536" s="3"/>
      <c r="F4536" s="4"/>
      <c r="S4536" s="3"/>
      <c r="T4536" s="3"/>
    </row>
    <row r="4537" spans="5:20">
      <c r="E4537" s="3"/>
      <c r="F4537" s="4"/>
      <c r="S4537" s="3"/>
      <c r="T4537" s="3"/>
    </row>
    <row r="4538" spans="5:20">
      <c r="E4538" s="3"/>
      <c r="F4538" s="4"/>
      <c r="S4538" s="3"/>
      <c r="T4538" s="3"/>
    </row>
    <row r="4539" spans="5:20">
      <c r="E4539" s="3"/>
      <c r="F4539" s="4"/>
      <c r="S4539" s="3"/>
      <c r="T4539" s="3"/>
    </row>
    <row r="4540" spans="5:20">
      <c r="E4540" s="3"/>
      <c r="F4540" s="4"/>
      <c r="S4540" s="3"/>
      <c r="T4540" s="3"/>
    </row>
    <row r="4541" spans="5:20">
      <c r="E4541" s="3"/>
      <c r="F4541" s="4"/>
      <c r="S4541" s="3"/>
      <c r="T4541" s="3"/>
    </row>
    <row r="4542" spans="5:20">
      <c r="E4542" s="3"/>
      <c r="F4542" s="4"/>
      <c r="S4542" s="3"/>
      <c r="T4542" s="3"/>
    </row>
    <row r="4543" spans="5:20">
      <c r="E4543" s="3"/>
      <c r="F4543" s="4"/>
      <c r="S4543" s="3"/>
      <c r="T4543" s="3"/>
    </row>
    <row r="4544" spans="5:20">
      <c r="E4544" s="3"/>
      <c r="F4544" s="4"/>
      <c r="S4544" s="3"/>
      <c r="T4544" s="3"/>
    </row>
    <row r="4545" spans="5:20">
      <c r="E4545" s="3"/>
      <c r="F4545" s="4"/>
      <c r="S4545" s="3"/>
      <c r="T4545" s="3"/>
    </row>
    <row r="4546" spans="5:20">
      <c r="E4546" s="3"/>
      <c r="F4546" s="4"/>
      <c r="S4546" s="3"/>
      <c r="T4546" s="3"/>
    </row>
    <row r="4547" spans="5:20">
      <c r="E4547" s="3"/>
      <c r="F4547" s="4"/>
      <c r="S4547" s="3"/>
      <c r="T4547" s="3"/>
    </row>
    <row r="4548" spans="5:20">
      <c r="E4548" s="3"/>
      <c r="F4548" s="4"/>
      <c r="S4548" s="3"/>
      <c r="T4548" s="3"/>
    </row>
    <row r="4549" spans="5:20">
      <c r="E4549" s="3"/>
      <c r="F4549" s="4"/>
      <c r="S4549" s="3"/>
      <c r="T4549" s="3"/>
    </row>
    <row r="4550" spans="5:20">
      <c r="E4550" s="3"/>
      <c r="F4550" s="4"/>
      <c r="S4550" s="3"/>
      <c r="T4550" s="3"/>
    </row>
    <row r="4551" spans="5:20">
      <c r="E4551" s="3"/>
      <c r="F4551" s="4"/>
      <c r="S4551" s="3"/>
      <c r="T4551" s="3"/>
    </row>
    <row r="4552" spans="5:20">
      <c r="E4552" s="3"/>
      <c r="F4552" s="4"/>
      <c r="S4552" s="3"/>
      <c r="T4552" s="3"/>
    </row>
    <row r="4553" spans="5:20">
      <c r="E4553" s="3"/>
      <c r="F4553" s="4"/>
      <c r="S4553" s="3"/>
      <c r="T4553" s="3"/>
    </row>
    <row r="4554" spans="5:20">
      <c r="E4554" s="3"/>
      <c r="F4554" s="4"/>
      <c r="S4554" s="3"/>
      <c r="T4554" s="3"/>
    </row>
    <row r="4555" spans="5:20">
      <c r="E4555" s="3"/>
      <c r="F4555" s="4"/>
      <c r="S4555" s="3"/>
      <c r="T4555" s="3"/>
    </row>
    <row r="4556" spans="5:20">
      <c r="E4556" s="3"/>
      <c r="F4556" s="4"/>
      <c r="S4556" s="3"/>
      <c r="T4556" s="3"/>
    </row>
    <row r="4557" spans="5:20">
      <c r="E4557" s="3"/>
      <c r="F4557" s="4"/>
      <c r="S4557" s="3"/>
      <c r="T4557" s="3"/>
    </row>
    <row r="4558" spans="5:20">
      <c r="E4558" s="3"/>
      <c r="F4558" s="4"/>
      <c r="S4558" s="3"/>
      <c r="T4558" s="3"/>
    </row>
    <row r="4559" spans="5:20">
      <c r="E4559" s="3"/>
      <c r="F4559" s="4"/>
      <c r="S4559" s="3"/>
      <c r="T4559" s="3"/>
    </row>
    <row r="4560" spans="5:20">
      <c r="E4560" s="3"/>
      <c r="F4560" s="4"/>
      <c r="S4560" s="3"/>
      <c r="T4560" s="3"/>
    </row>
    <row r="4561" spans="5:20">
      <c r="E4561" s="3"/>
      <c r="F4561" s="4"/>
      <c r="S4561" s="3"/>
      <c r="T4561" s="3"/>
    </row>
    <row r="4562" spans="5:20">
      <c r="E4562" s="3"/>
      <c r="F4562" s="4"/>
      <c r="S4562" s="3"/>
      <c r="T4562" s="3"/>
    </row>
    <row r="4563" spans="5:20">
      <c r="E4563" s="3"/>
      <c r="F4563" s="4"/>
      <c r="S4563" s="3"/>
      <c r="T4563" s="3"/>
    </row>
    <row r="4564" spans="5:20">
      <c r="E4564" s="3"/>
      <c r="F4564" s="4"/>
      <c r="S4564" s="3"/>
      <c r="T4564" s="3"/>
    </row>
    <row r="4565" spans="5:20">
      <c r="E4565" s="3"/>
      <c r="F4565" s="4"/>
      <c r="S4565" s="3"/>
      <c r="T4565" s="3"/>
    </row>
    <row r="4566" spans="5:20">
      <c r="E4566" s="3"/>
      <c r="F4566" s="4"/>
      <c r="S4566" s="3"/>
      <c r="T4566" s="3"/>
    </row>
    <row r="4567" spans="5:20">
      <c r="E4567" s="3"/>
      <c r="F4567" s="4"/>
      <c r="S4567" s="3"/>
      <c r="T4567" s="3"/>
    </row>
    <row r="4568" spans="5:20">
      <c r="E4568" s="3"/>
      <c r="F4568" s="4"/>
      <c r="S4568" s="3"/>
      <c r="T4568" s="3"/>
    </row>
    <row r="4569" spans="5:20">
      <c r="E4569" s="3"/>
      <c r="F4569" s="4"/>
      <c r="S4569" s="3"/>
      <c r="T4569" s="3"/>
    </row>
    <row r="4570" spans="5:20">
      <c r="E4570" s="3"/>
      <c r="F4570" s="4"/>
      <c r="S4570" s="3"/>
      <c r="T4570" s="3"/>
    </row>
    <row r="4571" spans="5:20">
      <c r="E4571" s="3"/>
      <c r="F4571" s="4"/>
      <c r="S4571" s="3"/>
      <c r="T4571" s="3"/>
    </row>
    <row r="4572" spans="5:20">
      <c r="E4572" s="3"/>
      <c r="F4572" s="4"/>
      <c r="S4572" s="3"/>
      <c r="T4572" s="3"/>
    </row>
    <row r="4573" spans="5:20">
      <c r="E4573" s="3"/>
      <c r="F4573" s="4"/>
      <c r="S4573" s="3"/>
      <c r="T4573" s="3"/>
    </row>
    <row r="4574" spans="5:20">
      <c r="E4574" s="3"/>
      <c r="F4574" s="4"/>
      <c r="S4574" s="3"/>
      <c r="T4574" s="3"/>
    </row>
    <row r="4575" spans="5:20">
      <c r="E4575" s="3"/>
      <c r="F4575" s="4"/>
      <c r="S4575" s="3"/>
      <c r="T4575" s="3"/>
    </row>
    <row r="4576" spans="5:20">
      <c r="E4576" s="3"/>
      <c r="F4576" s="4"/>
      <c r="S4576" s="3"/>
      <c r="T4576" s="3"/>
    </row>
    <row r="4577" spans="5:20">
      <c r="E4577" s="3"/>
      <c r="F4577" s="4"/>
      <c r="S4577" s="3"/>
      <c r="T4577" s="3"/>
    </row>
    <row r="4578" spans="5:20">
      <c r="E4578" s="3"/>
      <c r="F4578" s="4"/>
      <c r="S4578" s="3"/>
      <c r="T4578" s="3"/>
    </row>
    <row r="4579" spans="5:20">
      <c r="E4579" s="3"/>
      <c r="F4579" s="4"/>
      <c r="S4579" s="3"/>
      <c r="T4579" s="3"/>
    </row>
    <row r="4580" spans="5:20">
      <c r="E4580" s="3"/>
      <c r="F4580" s="4"/>
      <c r="S4580" s="3"/>
      <c r="T4580" s="3"/>
    </row>
    <row r="4581" spans="5:20">
      <c r="E4581" s="3"/>
      <c r="F4581" s="4"/>
      <c r="S4581" s="3"/>
      <c r="T4581" s="3"/>
    </row>
    <row r="4582" spans="5:20">
      <c r="E4582" s="3"/>
      <c r="F4582" s="4"/>
      <c r="S4582" s="3"/>
      <c r="T4582" s="3"/>
    </row>
    <row r="4583" spans="5:20">
      <c r="E4583" s="3"/>
      <c r="F4583" s="4"/>
      <c r="S4583" s="3"/>
      <c r="T4583" s="3"/>
    </row>
    <row r="4584" spans="5:20">
      <c r="E4584" s="3"/>
      <c r="F4584" s="4"/>
      <c r="S4584" s="3"/>
      <c r="T4584" s="3"/>
    </row>
    <row r="4585" spans="5:20">
      <c r="E4585" s="3"/>
      <c r="F4585" s="4"/>
      <c r="S4585" s="3"/>
      <c r="T4585" s="3"/>
    </row>
    <row r="4586" spans="5:20">
      <c r="E4586" s="3"/>
      <c r="F4586" s="4"/>
      <c r="S4586" s="3"/>
      <c r="T4586" s="3"/>
    </row>
    <row r="4587" spans="5:20">
      <c r="E4587" s="3"/>
      <c r="F4587" s="4"/>
      <c r="S4587" s="3"/>
      <c r="T4587" s="3"/>
    </row>
    <row r="4588" spans="5:20">
      <c r="E4588" s="3"/>
      <c r="F4588" s="4"/>
      <c r="S4588" s="3"/>
      <c r="T4588" s="3"/>
    </row>
    <row r="4589" spans="5:20">
      <c r="E4589" s="3"/>
      <c r="F4589" s="4"/>
      <c r="S4589" s="3"/>
      <c r="T4589" s="3"/>
    </row>
    <row r="4590" spans="5:20">
      <c r="E4590" s="3"/>
      <c r="F4590" s="4"/>
      <c r="S4590" s="3"/>
      <c r="T4590" s="3"/>
    </row>
    <row r="4591" spans="5:20">
      <c r="E4591" s="3"/>
      <c r="F4591" s="4"/>
      <c r="S4591" s="3"/>
      <c r="T4591" s="3"/>
    </row>
    <row r="4592" spans="5:20">
      <c r="E4592" s="3"/>
      <c r="F4592" s="4"/>
      <c r="S4592" s="3"/>
      <c r="T4592" s="3"/>
    </row>
    <row r="4593" spans="5:20">
      <c r="E4593" s="3"/>
      <c r="F4593" s="4"/>
      <c r="S4593" s="3"/>
      <c r="T4593" s="3"/>
    </row>
    <row r="4594" spans="5:20">
      <c r="E4594" s="3"/>
      <c r="F4594" s="4"/>
      <c r="S4594" s="3"/>
      <c r="T4594" s="3"/>
    </row>
    <row r="4595" spans="5:20">
      <c r="E4595" s="3"/>
      <c r="F4595" s="4"/>
      <c r="S4595" s="3"/>
      <c r="T4595" s="3"/>
    </row>
    <row r="4596" spans="5:20">
      <c r="E4596" s="3"/>
      <c r="F4596" s="4"/>
      <c r="S4596" s="3"/>
      <c r="T4596" s="3"/>
    </row>
    <row r="4597" spans="5:20">
      <c r="E4597" s="3"/>
      <c r="F4597" s="4"/>
      <c r="S4597" s="3"/>
      <c r="T4597" s="3"/>
    </row>
    <row r="4598" spans="5:20">
      <c r="E4598" s="3"/>
      <c r="F4598" s="4"/>
      <c r="S4598" s="3"/>
      <c r="T4598" s="3"/>
    </row>
    <row r="4599" spans="5:20">
      <c r="E4599" s="3"/>
      <c r="F4599" s="4"/>
      <c r="S4599" s="3"/>
      <c r="T4599" s="3"/>
    </row>
    <row r="4600" spans="5:20">
      <c r="E4600" s="3"/>
      <c r="F4600" s="4"/>
      <c r="S4600" s="3"/>
      <c r="T4600" s="3"/>
    </row>
    <row r="4601" spans="5:20">
      <c r="E4601" s="3"/>
      <c r="F4601" s="4"/>
      <c r="S4601" s="3"/>
      <c r="T4601" s="3"/>
    </row>
    <row r="4602" spans="5:20">
      <c r="E4602" s="3"/>
      <c r="F4602" s="4"/>
      <c r="S4602" s="3"/>
      <c r="T4602" s="3"/>
    </row>
    <row r="4603" spans="5:20">
      <c r="E4603" s="3"/>
      <c r="F4603" s="4"/>
      <c r="S4603" s="3"/>
      <c r="T4603" s="3"/>
    </row>
    <row r="4604" spans="5:20">
      <c r="E4604" s="3"/>
      <c r="F4604" s="4"/>
      <c r="S4604" s="3"/>
      <c r="T4604" s="3"/>
    </row>
    <row r="4605" spans="5:20">
      <c r="E4605" s="3"/>
      <c r="F4605" s="4"/>
      <c r="S4605" s="3"/>
      <c r="T4605" s="3"/>
    </row>
    <row r="4606" spans="5:20">
      <c r="E4606" s="3"/>
      <c r="F4606" s="4"/>
      <c r="S4606" s="3"/>
      <c r="T4606" s="3"/>
    </row>
    <row r="4607" spans="5:20">
      <c r="E4607" s="3"/>
      <c r="F4607" s="4"/>
      <c r="S4607" s="3"/>
      <c r="T4607" s="3"/>
    </row>
    <row r="4608" spans="5:20">
      <c r="E4608" s="3"/>
      <c r="F4608" s="4"/>
      <c r="S4608" s="3"/>
      <c r="T4608" s="3"/>
    </row>
    <row r="4609" spans="5:20">
      <c r="E4609" s="3"/>
      <c r="F4609" s="4"/>
      <c r="S4609" s="3"/>
      <c r="T4609" s="3"/>
    </row>
    <row r="4610" spans="5:20">
      <c r="E4610" s="3"/>
      <c r="F4610" s="4"/>
      <c r="S4610" s="3"/>
      <c r="T4610" s="3"/>
    </row>
    <row r="4611" spans="5:20">
      <c r="E4611" s="3"/>
      <c r="F4611" s="4"/>
      <c r="S4611" s="3"/>
      <c r="T4611" s="3"/>
    </row>
    <row r="4612" spans="5:20">
      <c r="E4612" s="3"/>
      <c r="F4612" s="4"/>
      <c r="S4612" s="3"/>
      <c r="T4612" s="3"/>
    </row>
    <row r="4613" spans="5:20">
      <c r="E4613" s="3"/>
      <c r="F4613" s="4"/>
      <c r="S4613" s="3"/>
      <c r="T4613" s="3"/>
    </row>
    <row r="4614" spans="5:20">
      <c r="E4614" s="3"/>
      <c r="F4614" s="4"/>
      <c r="S4614" s="3"/>
      <c r="T4614" s="3"/>
    </row>
    <row r="4615" spans="5:20">
      <c r="E4615" s="3"/>
      <c r="F4615" s="4"/>
      <c r="S4615" s="3"/>
      <c r="T4615" s="3"/>
    </row>
    <row r="4616" spans="5:20">
      <c r="E4616" s="3"/>
      <c r="F4616" s="4"/>
      <c r="S4616" s="3"/>
      <c r="T4616" s="3"/>
    </row>
    <row r="4617" spans="5:20">
      <c r="E4617" s="3"/>
      <c r="F4617" s="4"/>
      <c r="S4617" s="3"/>
      <c r="T4617" s="3"/>
    </row>
    <row r="4618" spans="5:20">
      <c r="E4618" s="3"/>
      <c r="F4618" s="4"/>
      <c r="S4618" s="3"/>
      <c r="T4618" s="3"/>
    </row>
    <row r="4619" spans="5:20">
      <c r="E4619" s="3"/>
      <c r="F4619" s="4"/>
      <c r="S4619" s="3"/>
      <c r="T4619" s="3"/>
    </row>
    <row r="4620" spans="5:20">
      <c r="E4620" s="3"/>
      <c r="F4620" s="4"/>
      <c r="S4620" s="3"/>
      <c r="T4620" s="3"/>
    </row>
    <row r="4621" spans="5:20">
      <c r="E4621" s="3"/>
      <c r="F4621" s="4"/>
      <c r="S4621" s="3"/>
      <c r="T4621" s="3"/>
    </row>
    <row r="4622" spans="5:20">
      <c r="E4622" s="3"/>
      <c r="F4622" s="4"/>
      <c r="S4622" s="3"/>
      <c r="T4622" s="3"/>
    </row>
    <row r="4623" spans="5:20">
      <c r="E4623" s="3"/>
      <c r="F4623" s="4"/>
      <c r="S4623" s="3"/>
      <c r="T4623" s="3"/>
    </row>
    <row r="4624" spans="5:20">
      <c r="E4624" s="3"/>
      <c r="F4624" s="4"/>
      <c r="S4624" s="3"/>
      <c r="T4624" s="3"/>
    </row>
    <row r="4625" spans="5:20">
      <c r="E4625" s="3"/>
      <c r="F4625" s="4"/>
      <c r="S4625" s="3"/>
      <c r="T4625" s="3"/>
    </row>
    <row r="4626" spans="5:20">
      <c r="E4626" s="3"/>
      <c r="F4626" s="4"/>
      <c r="S4626" s="3"/>
      <c r="T4626" s="3"/>
    </row>
    <row r="4627" spans="5:20">
      <c r="E4627" s="3"/>
      <c r="F4627" s="4"/>
      <c r="S4627" s="3"/>
      <c r="T4627" s="3"/>
    </row>
    <row r="4628" spans="5:20">
      <c r="E4628" s="3"/>
      <c r="F4628" s="4"/>
      <c r="S4628" s="3"/>
      <c r="T4628" s="3"/>
    </row>
    <row r="4629" spans="5:20">
      <c r="E4629" s="3"/>
      <c r="F4629" s="4"/>
      <c r="S4629" s="3"/>
      <c r="T4629" s="3"/>
    </row>
    <row r="4630" spans="5:20">
      <c r="E4630" s="3"/>
      <c r="F4630" s="4"/>
      <c r="S4630" s="3"/>
      <c r="T4630" s="3"/>
    </row>
    <row r="4631" spans="5:20">
      <c r="E4631" s="3"/>
      <c r="F4631" s="4"/>
      <c r="S4631" s="3"/>
      <c r="T4631" s="3"/>
    </row>
    <row r="4632" spans="5:20">
      <c r="E4632" s="3"/>
      <c r="F4632" s="4"/>
      <c r="S4632" s="3"/>
      <c r="T4632" s="3"/>
    </row>
    <row r="4633" spans="5:20">
      <c r="E4633" s="3"/>
      <c r="F4633" s="4"/>
      <c r="S4633" s="3"/>
      <c r="T4633" s="3"/>
    </row>
    <row r="4634" spans="5:20">
      <c r="E4634" s="3"/>
      <c r="F4634" s="4"/>
      <c r="S4634" s="3"/>
      <c r="T4634" s="3"/>
    </row>
    <row r="4635" spans="5:20">
      <c r="E4635" s="3"/>
      <c r="F4635" s="4"/>
      <c r="S4635" s="3"/>
      <c r="T4635" s="3"/>
    </row>
    <row r="4636" spans="5:20">
      <c r="E4636" s="3"/>
      <c r="F4636" s="4"/>
      <c r="S4636" s="3"/>
      <c r="T4636" s="3"/>
    </row>
    <row r="4637" spans="5:20">
      <c r="E4637" s="3"/>
      <c r="F4637" s="4"/>
      <c r="S4637" s="3"/>
      <c r="T4637" s="3"/>
    </row>
    <row r="4638" spans="5:20">
      <c r="E4638" s="3"/>
      <c r="F4638" s="4"/>
      <c r="S4638" s="3"/>
      <c r="T4638" s="3"/>
    </row>
    <row r="4639" spans="5:20">
      <c r="E4639" s="3"/>
      <c r="F4639" s="4"/>
      <c r="S4639" s="3"/>
      <c r="T4639" s="3"/>
    </row>
    <row r="4640" spans="5:20">
      <c r="E4640" s="3"/>
      <c r="F4640" s="4"/>
      <c r="S4640" s="3"/>
      <c r="T4640" s="3"/>
    </row>
    <row r="4641" spans="5:20">
      <c r="E4641" s="3"/>
      <c r="F4641" s="4"/>
      <c r="S4641" s="3"/>
      <c r="T4641" s="3"/>
    </row>
    <row r="4642" spans="5:20">
      <c r="E4642" s="3"/>
      <c r="F4642" s="4"/>
      <c r="S4642" s="3"/>
      <c r="T4642" s="3"/>
    </row>
    <row r="4643" spans="5:20">
      <c r="E4643" s="3"/>
      <c r="F4643" s="4"/>
      <c r="S4643" s="3"/>
      <c r="T4643" s="3"/>
    </row>
    <row r="4644" spans="5:20">
      <c r="E4644" s="3"/>
      <c r="F4644" s="4"/>
      <c r="S4644" s="3"/>
      <c r="T4644" s="3"/>
    </row>
    <row r="4645" spans="5:20">
      <c r="E4645" s="3"/>
      <c r="F4645" s="4"/>
      <c r="S4645" s="3"/>
      <c r="T4645" s="3"/>
    </row>
    <row r="4646" spans="5:20">
      <c r="E4646" s="3"/>
      <c r="F4646" s="4"/>
      <c r="S4646" s="3"/>
      <c r="T4646" s="3"/>
    </row>
    <row r="4647" spans="5:20">
      <c r="E4647" s="3"/>
      <c r="F4647" s="4"/>
      <c r="S4647" s="3"/>
      <c r="T4647" s="3"/>
    </row>
    <row r="4648" spans="5:20">
      <c r="E4648" s="3"/>
      <c r="F4648" s="4"/>
      <c r="S4648" s="3"/>
      <c r="T4648" s="3"/>
    </row>
    <row r="4649" spans="5:20">
      <c r="E4649" s="3"/>
      <c r="F4649" s="4"/>
      <c r="S4649" s="3"/>
      <c r="T4649" s="3"/>
    </row>
    <row r="4650" spans="5:20">
      <c r="E4650" s="3"/>
      <c r="F4650" s="4"/>
      <c r="S4650" s="3"/>
      <c r="T4650" s="3"/>
    </row>
    <row r="4651" spans="5:20">
      <c r="E4651" s="3"/>
      <c r="F4651" s="4"/>
      <c r="S4651" s="3"/>
      <c r="T4651" s="3"/>
    </row>
    <row r="4652" spans="5:20">
      <c r="E4652" s="3"/>
      <c r="F4652" s="4"/>
      <c r="S4652" s="3"/>
      <c r="T4652" s="3"/>
    </row>
    <row r="4653" spans="5:20">
      <c r="E4653" s="3"/>
      <c r="F4653" s="4"/>
      <c r="S4653" s="3"/>
      <c r="T4653" s="3"/>
    </row>
    <row r="4654" spans="5:20">
      <c r="E4654" s="3"/>
      <c r="F4654" s="4"/>
      <c r="S4654" s="3"/>
      <c r="T4654" s="3"/>
    </row>
    <row r="4655" spans="5:20">
      <c r="E4655" s="3"/>
      <c r="F4655" s="4"/>
      <c r="S4655" s="3"/>
      <c r="T4655" s="3"/>
    </row>
    <row r="4656" spans="5:20">
      <c r="E4656" s="3"/>
      <c r="F4656" s="4"/>
      <c r="S4656" s="3"/>
      <c r="T4656" s="3"/>
    </row>
    <row r="4657" spans="5:20">
      <c r="E4657" s="3"/>
      <c r="F4657" s="4"/>
      <c r="S4657" s="3"/>
      <c r="T4657" s="3"/>
    </row>
    <row r="4658" spans="5:20">
      <c r="E4658" s="3"/>
      <c r="F4658" s="4"/>
      <c r="S4658" s="3"/>
      <c r="T4658" s="3"/>
    </row>
    <row r="4659" spans="5:20">
      <c r="E4659" s="3"/>
      <c r="F4659" s="4"/>
      <c r="S4659" s="3"/>
      <c r="T4659" s="3"/>
    </row>
    <row r="4660" spans="5:20">
      <c r="E4660" s="3"/>
      <c r="F4660" s="4"/>
      <c r="S4660" s="3"/>
      <c r="T4660" s="3"/>
    </row>
    <row r="4661" spans="5:20">
      <c r="E4661" s="3"/>
      <c r="F4661" s="4"/>
      <c r="S4661" s="3"/>
      <c r="T4661" s="3"/>
    </row>
    <row r="4662" spans="5:20">
      <c r="E4662" s="3"/>
      <c r="F4662" s="4"/>
      <c r="S4662" s="3"/>
      <c r="T4662" s="3"/>
    </row>
    <row r="4663" spans="5:20">
      <c r="E4663" s="3"/>
      <c r="F4663" s="4"/>
      <c r="S4663" s="3"/>
      <c r="T4663" s="3"/>
    </row>
    <row r="4664" spans="5:20">
      <c r="E4664" s="3"/>
      <c r="F4664" s="4"/>
      <c r="S4664" s="3"/>
      <c r="T4664" s="3"/>
    </row>
    <row r="4665" spans="5:20">
      <c r="E4665" s="3"/>
      <c r="F4665" s="4"/>
      <c r="S4665" s="3"/>
      <c r="T4665" s="3"/>
    </row>
    <row r="4666" spans="5:20">
      <c r="E4666" s="3"/>
      <c r="F4666" s="4"/>
      <c r="S4666" s="3"/>
      <c r="T4666" s="3"/>
    </row>
    <row r="4667" spans="5:20">
      <c r="E4667" s="3"/>
      <c r="F4667" s="4"/>
      <c r="S4667" s="3"/>
      <c r="T4667" s="3"/>
    </row>
    <row r="4668" spans="5:20">
      <c r="E4668" s="3"/>
      <c r="F4668" s="4"/>
      <c r="S4668" s="3"/>
      <c r="T4668" s="3"/>
    </row>
    <row r="4669" spans="5:20">
      <c r="E4669" s="3"/>
      <c r="F4669" s="4"/>
      <c r="S4669" s="3"/>
      <c r="T4669" s="3"/>
    </row>
    <row r="4670" spans="5:20">
      <c r="E4670" s="3"/>
      <c r="F4670" s="4"/>
      <c r="S4670" s="3"/>
      <c r="T4670" s="3"/>
    </row>
    <row r="4671" spans="5:20">
      <c r="E4671" s="3"/>
      <c r="F4671" s="4"/>
      <c r="S4671" s="3"/>
      <c r="T4671" s="3"/>
    </row>
    <row r="4672" spans="5:20">
      <c r="E4672" s="3"/>
      <c r="F4672" s="4"/>
      <c r="S4672" s="3"/>
      <c r="T4672" s="3"/>
    </row>
    <row r="4673" spans="5:20">
      <c r="E4673" s="3"/>
      <c r="F4673" s="4"/>
      <c r="S4673" s="3"/>
      <c r="T4673" s="3"/>
    </row>
    <row r="4674" spans="5:20">
      <c r="E4674" s="3"/>
      <c r="F4674" s="4"/>
      <c r="S4674" s="3"/>
      <c r="T4674" s="3"/>
    </row>
    <row r="4675" spans="5:20">
      <c r="E4675" s="3"/>
      <c r="F4675" s="4"/>
      <c r="S4675" s="3"/>
      <c r="T4675" s="3"/>
    </row>
    <row r="4676" spans="5:20">
      <c r="E4676" s="3"/>
      <c r="F4676" s="4"/>
      <c r="S4676" s="3"/>
      <c r="T4676" s="3"/>
    </row>
    <row r="4677" spans="5:20">
      <c r="E4677" s="3"/>
      <c r="F4677" s="4"/>
      <c r="S4677" s="3"/>
      <c r="T4677" s="3"/>
    </row>
    <row r="4678" spans="5:20">
      <c r="E4678" s="3"/>
      <c r="F4678" s="4"/>
      <c r="S4678" s="3"/>
      <c r="T4678" s="3"/>
    </row>
    <row r="4679" spans="5:20">
      <c r="E4679" s="3"/>
      <c r="F4679" s="4"/>
      <c r="S4679" s="3"/>
      <c r="T4679" s="3"/>
    </row>
    <row r="4680" spans="5:20">
      <c r="E4680" s="3"/>
      <c r="F4680" s="4"/>
      <c r="S4680" s="3"/>
      <c r="T4680" s="3"/>
    </row>
    <row r="4681" spans="5:20">
      <c r="E4681" s="3"/>
      <c r="F4681" s="4"/>
      <c r="S4681" s="3"/>
      <c r="T4681" s="3"/>
    </row>
    <row r="4682" spans="5:20">
      <c r="E4682" s="3"/>
      <c r="F4682" s="4"/>
      <c r="S4682" s="3"/>
      <c r="T4682" s="3"/>
    </row>
    <row r="4683" spans="5:20">
      <c r="E4683" s="3"/>
      <c r="F4683" s="4"/>
      <c r="S4683" s="3"/>
      <c r="T4683" s="3"/>
    </row>
    <row r="4684" spans="5:20">
      <c r="E4684" s="3"/>
      <c r="F4684" s="4"/>
      <c r="S4684" s="3"/>
      <c r="T4684" s="3"/>
    </row>
    <row r="4685" spans="5:20">
      <c r="E4685" s="3"/>
      <c r="F4685" s="4"/>
      <c r="S4685" s="3"/>
      <c r="T4685" s="3"/>
    </row>
    <row r="4686" spans="5:20">
      <c r="E4686" s="3"/>
      <c r="F4686" s="4"/>
      <c r="S4686" s="3"/>
      <c r="T4686" s="3"/>
    </row>
    <row r="4687" spans="5:20">
      <c r="E4687" s="3"/>
      <c r="F4687" s="4"/>
      <c r="S4687" s="3"/>
      <c r="T4687" s="3"/>
    </row>
    <row r="4688" spans="5:20">
      <c r="E4688" s="3"/>
      <c r="F4688" s="4"/>
      <c r="S4688" s="3"/>
      <c r="T4688" s="3"/>
    </row>
    <row r="4689" spans="5:20">
      <c r="E4689" s="3"/>
      <c r="F4689" s="4"/>
      <c r="S4689" s="3"/>
      <c r="T4689" s="3"/>
    </row>
    <row r="4690" spans="5:20">
      <c r="E4690" s="3"/>
      <c r="F4690" s="4"/>
      <c r="S4690" s="3"/>
      <c r="T4690" s="3"/>
    </row>
    <row r="4691" spans="5:20">
      <c r="E4691" s="3"/>
      <c r="F4691" s="4"/>
      <c r="S4691" s="3"/>
      <c r="T4691" s="3"/>
    </row>
    <row r="4692" spans="5:20">
      <c r="E4692" s="3"/>
      <c r="F4692" s="4"/>
      <c r="S4692" s="3"/>
      <c r="T4692" s="3"/>
    </row>
    <row r="4693" spans="5:20">
      <c r="E4693" s="3"/>
      <c r="F4693" s="4"/>
      <c r="S4693" s="3"/>
      <c r="T4693" s="3"/>
    </row>
    <row r="4694" spans="5:20">
      <c r="E4694" s="3"/>
      <c r="F4694" s="4"/>
      <c r="S4694" s="3"/>
      <c r="T4694" s="3"/>
    </row>
    <row r="4695" spans="5:20">
      <c r="E4695" s="3"/>
      <c r="F4695" s="4"/>
      <c r="S4695" s="3"/>
      <c r="T4695" s="3"/>
    </row>
    <row r="4696" spans="5:20">
      <c r="E4696" s="3"/>
      <c r="F4696" s="4"/>
      <c r="S4696" s="3"/>
      <c r="T4696" s="3"/>
    </row>
    <row r="4697" spans="5:20">
      <c r="E4697" s="3"/>
      <c r="F4697" s="4"/>
      <c r="S4697" s="3"/>
      <c r="T4697" s="3"/>
    </row>
    <row r="4698" spans="5:20">
      <c r="E4698" s="3"/>
      <c r="F4698" s="4"/>
      <c r="S4698" s="3"/>
      <c r="T4698" s="3"/>
    </row>
    <row r="4699" spans="5:20">
      <c r="E4699" s="3"/>
      <c r="F4699" s="4"/>
      <c r="S4699" s="3"/>
      <c r="T4699" s="3"/>
    </row>
    <row r="4700" spans="5:20">
      <c r="E4700" s="3"/>
      <c r="F4700" s="4"/>
      <c r="S4700" s="3"/>
      <c r="T4700" s="3"/>
    </row>
    <row r="4701" spans="5:20">
      <c r="E4701" s="3"/>
      <c r="F4701" s="4"/>
      <c r="S4701" s="3"/>
      <c r="T4701" s="3"/>
    </row>
    <row r="4702" spans="5:20">
      <c r="E4702" s="3"/>
      <c r="F4702" s="4"/>
      <c r="S4702" s="3"/>
      <c r="T4702" s="3"/>
    </row>
    <row r="4703" spans="5:20">
      <c r="E4703" s="3"/>
      <c r="F4703" s="4"/>
      <c r="S4703" s="3"/>
      <c r="T4703" s="3"/>
    </row>
    <row r="4704" spans="5:20">
      <c r="E4704" s="3"/>
      <c r="F4704" s="4"/>
      <c r="S4704" s="3"/>
      <c r="T4704" s="3"/>
    </row>
    <row r="4705" spans="5:20">
      <c r="E4705" s="3"/>
      <c r="F4705" s="4"/>
      <c r="S4705" s="3"/>
      <c r="T4705" s="3"/>
    </row>
    <row r="4706" spans="5:20">
      <c r="E4706" s="3"/>
      <c r="F4706" s="4"/>
      <c r="S4706" s="3"/>
      <c r="T4706" s="3"/>
    </row>
    <row r="4707" spans="5:20">
      <c r="E4707" s="3"/>
      <c r="F4707" s="4"/>
      <c r="S4707" s="3"/>
      <c r="T4707" s="3"/>
    </row>
    <row r="4708" spans="5:20">
      <c r="E4708" s="3"/>
      <c r="F4708" s="4"/>
      <c r="S4708" s="3"/>
      <c r="T4708" s="3"/>
    </row>
    <row r="4709" spans="5:20">
      <c r="E4709" s="3"/>
      <c r="F4709" s="4"/>
      <c r="S4709" s="3"/>
      <c r="T4709" s="3"/>
    </row>
    <row r="4710" spans="5:20">
      <c r="E4710" s="3"/>
      <c r="F4710" s="4"/>
      <c r="S4710" s="3"/>
      <c r="T4710" s="3"/>
    </row>
    <row r="4711" spans="5:20">
      <c r="E4711" s="3"/>
      <c r="F4711" s="4"/>
      <c r="S4711" s="3"/>
      <c r="T4711" s="3"/>
    </row>
    <row r="4712" spans="5:20">
      <c r="E4712" s="3"/>
      <c r="F4712" s="4"/>
      <c r="S4712" s="3"/>
      <c r="T4712" s="3"/>
    </row>
    <row r="4713" spans="5:20">
      <c r="E4713" s="3"/>
      <c r="F4713" s="4"/>
      <c r="S4713" s="3"/>
      <c r="T4713" s="3"/>
    </row>
    <row r="4714" spans="5:20">
      <c r="E4714" s="3"/>
      <c r="F4714" s="4"/>
      <c r="S4714" s="3"/>
      <c r="T4714" s="3"/>
    </row>
    <row r="4715" spans="5:20">
      <c r="E4715" s="3"/>
      <c r="F4715" s="4"/>
      <c r="S4715" s="3"/>
      <c r="T4715" s="3"/>
    </row>
    <row r="4716" spans="5:20">
      <c r="E4716" s="3"/>
      <c r="F4716" s="4"/>
      <c r="S4716" s="3"/>
      <c r="T4716" s="3"/>
    </row>
    <row r="4717" spans="5:20">
      <c r="E4717" s="3"/>
      <c r="F4717" s="4"/>
      <c r="S4717" s="3"/>
      <c r="T4717" s="3"/>
    </row>
    <row r="4718" spans="5:20">
      <c r="E4718" s="3"/>
      <c r="F4718" s="4"/>
      <c r="S4718" s="3"/>
      <c r="T4718" s="3"/>
    </row>
    <row r="4719" spans="5:20">
      <c r="E4719" s="3"/>
      <c r="F4719" s="4"/>
      <c r="S4719" s="3"/>
      <c r="T4719" s="3"/>
    </row>
    <row r="4720" spans="5:20">
      <c r="E4720" s="3"/>
      <c r="F4720" s="4"/>
      <c r="S4720" s="3"/>
      <c r="T4720" s="3"/>
    </row>
    <row r="4721" spans="5:20">
      <c r="E4721" s="3"/>
      <c r="F4721" s="4"/>
      <c r="S4721" s="3"/>
      <c r="T4721" s="3"/>
    </row>
    <row r="4722" spans="5:20">
      <c r="E4722" s="3"/>
      <c r="F4722" s="4"/>
      <c r="S4722" s="3"/>
      <c r="T4722" s="3"/>
    </row>
    <row r="4723" spans="5:20">
      <c r="E4723" s="3"/>
      <c r="F4723" s="4"/>
      <c r="S4723" s="3"/>
      <c r="T4723" s="3"/>
    </row>
    <row r="4724" spans="5:20">
      <c r="E4724" s="3"/>
      <c r="F4724" s="4"/>
      <c r="S4724" s="3"/>
      <c r="T4724" s="3"/>
    </row>
    <row r="4725" spans="5:20">
      <c r="E4725" s="3"/>
      <c r="F4725" s="4"/>
      <c r="S4725" s="3"/>
      <c r="T4725" s="3"/>
    </row>
    <row r="4726" spans="5:20">
      <c r="E4726" s="3"/>
      <c r="F4726" s="4"/>
      <c r="S4726" s="3"/>
      <c r="T4726" s="3"/>
    </row>
    <row r="4727" spans="5:20">
      <c r="E4727" s="3"/>
      <c r="F4727" s="4"/>
      <c r="S4727" s="3"/>
      <c r="T4727" s="3"/>
    </row>
    <row r="4728" spans="5:20">
      <c r="E4728" s="3"/>
      <c r="F4728" s="4"/>
      <c r="S4728" s="3"/>
      <c r="T4728" s="3"/>
    </row>
    <row r="4729" spans="5:20">
      <c r="E4729" s="3"/>
      <c r="F4729" s="4"/>
      <c r="S4729" s="3"/>
      <c r="T4729" s="3"/>
    </row>
    <row r="4730" spans="5:20">
      <c r="E4730" s="3"/>
      <c r="F4730" s="4"/>
      <c r="S4730" s="3"/>
      <c r="T4730" s="3"/>
    </row>
    <row r="4731" spans="5:20">
      <c r="E4731" s="3"/>
      <c r="F4731" s="4"/>
      <c r="S4731" s="3"/>
      <c r="T4731" s="3"/>
    </row>
    <row r="4732" spans="5:20">
      <c r="E4732" s="3"/>
      <c r="F4732" s="4"/>
      <c r="S4732" s="3"/>
      <c r="T4732" s="3"/>
    </row>
    <row r="4733" spans="5:20">
      <c r="E4733" s="3"/>
      <c r="F4733" s="4"/>
      <c r="S4733" s="3"/>
      <c r="T4733" s="3"/>
    </row>
    <row r="4734" spans="5:20">
      <c r="E4734" s="3"/>
      <c r="F4734" s="4"/>
      <c r="S4734" s="3"/>
      <c r="T4734" s="3"/>
    </row>
    <row r="4735" spans="5:20">
      <c r="E4735" s="3"/>
      <c r="F4735" s="4"/>
      <c r="S4735" s="3"/>
      <c r="T4735" s="3"/>
    </row>
    <row r="4736" spans="5:20">
      <c r="E4736" s="3"/>
      <c r="F4736" s="4"/>
      <c r="S4736" s="3"/>
      <c r="T4736" s="3"/>
    </row>
    <row r="4737" spans="5:20">
      <c r="E4737" s="3"/>
      <c r="F4737" s="4"/>
      <c r="S4737" s="3"/>
      <c r="T4737" s="3"/>
    </row>
    <row r="4738" spans="5:20">
      <c r="E4738" s="3"/>
      <c r="F4738" s="4"/>
      <c r="S4738" s="3"/>
      <c r="T4738" s="3"/>
    </row>
    <row r="4739" spans="5:20">
      <c r="E4739" s="3"/>
      <c r="F4739" s="4"/>
      <c r="S4739" s="3"/>
      <c r="T4739" s="3"/>
    </row>
    <row r="4740" spans="5:20">
      <c r="E4740" s="3"/>
      <c r="F4740" s="4"/>
      <c r="S4740" s="3"/>
      <c r="T4740" s="3"/>
    </row>
    <row r="4741" spans="5:20">
      <c r="E4741" s="3"/>
      <c r="F4741" s="4"/>
      <c r="S4741" s="3"/>
      <c r="T4741" s="3"/>
    </row>
    <row r="4742" spans="5:20">
      <c r="E4742" s="3"/>
      <c r="F4742" s="4"/>
      <c r="S4742" s="3"/>
      <c r="T4742" s="3"/>
    </row>
    <row r="4743" spans="5:20">
      <c r="E4743" s="3"/>
      <c r="F4743" s="4"/>
      <c r="S4743" s="3"/>
      <c r="T4743" s="3"/>
    </row>
    <row r="4744" spans="5:20">
      <c r="E4744" s="3"/>
      <c r="F4744" s="4"/>
      <c r="S4744" s="3"/>
      <c r="T4744" s="3"/>
    </row>
    <row r="4745" spans="5:20">
      <c r="E4745" s="3"/>
      <c r="F4745" s="4"/>
      <c r="S4745" s="3"/>
      <c r="T4745" s="3"/>
    </row>
    <row r="4746" spans="5:20">
      <c r="E4746" s="3"/>
      <c r="F4746" s="4"/>
      <c r="S4746" s="3"/>
      <c r="T4746" s="3"/>
    </row>
    <row r="4747" spans="5:20">
      <c r="E4747" s="3"/>
      <c r="F4747" s="4"/>
      <c r="S4747" s="3"/>
      <c r="T4747" s="3"/>
    </row>
    <row r="4748" spans="5:20">
      <c r="E4748" s="3"/>
      <c r="F4748" s="4"/>
      <c r="S4748" s="3"/>
      <c r="T4748" s="3"/>
    </row>
    <row r="4749" spans="5:20">
      <c r="E4749" s="3"/>
      <c r="F4749" s="4"/>
      <c r="S4749" s="3"/>
      <c r="T4749" s="3"/>
    </row>
    <row r="4750" spans="5:20">
      <c r="E4750" s="3"/>
      <c r="F4750" s="4"/>
      <c r="S4750" s="3"/>
      <c r="T4750" s="3"/>
    </row>
    <row r="4751" spans="5:20">
      <c r="E4751" s="3"/>
      <c r="F4751" s="4"/>
      <c r="S4751" s="3"/>
      <c r="T4751" s="3"/>
    </row>
    <row r="4752" spans="5:20">
      <c r="E4752" s="3"/>
      <c r="F4752" s="4"/>
      <c r="S4752" s="3"/>
      <c r="T4752" s="3"/>
    </row>
    <row r="4753" spans="5:20">
      <c r="E4753" s="3"/>
      <c r="F4753" s="4"/>
      <c r="S4753" s="3"/>
      <c r="T4753" s="3"/>
    </row>
    <row r="4754" spans="5:20">
      <c r="E4754" s="3"/>
      <c r="F4754" s="4"/>
      <c r="S4754" s="3"/>
      <c r="T4754" s="3"/>
    </row>
    <row r="4755" spans="5:20">
      <c r="E4755" s="3"/>
      <c r="F4755" s="4"/>
      <c r="S4755" s="3"/>
      <c r="T4755" s="3"/>
    </row>
    <row r="4756" spans="5:20">
      <c r="E4756" s="3"/>
      <c r="F4756" s="4"/>
      <c r="S4756" s="3"/>
      <c r="T4756" s="3"/>
    </row>
    <row r="4757" spans="5:20">
      <c r="E4757" s="3"/>
      <c r="F4757" s="4"/>
      <c r="S4757" s="3"/>
      <c r="T4757" s="3"/>
    </row>
    <row r="4758" spans="5:20">
      <c r="E4758" s="3"/>
      <c r="F4758" s="4"/>
      <c r="S4758" s="3"/>
      <c r="T4758" s="3"/>
    </row>
    <row r="4759" spans="5:20">
      <c r="E4759" s="3"/>
      <c r="F4759" s="4"/>
      <c r="S4759" s="3"/>
      <c r="T4759" s="3"/>
    </row>
    <row r="4760" spans="5:20">
      <c r="E4760" s="3"/>
      <c r="F4760" s="4"/>
      <c r="S4760" s="3"/>
      <c r="T4760" s="3"/>
    </row>
    <row r="4761" spans="5:20">
      <c r="E4761" s="3"/>
      <c r="F4761" s="4"/>
      <c r="S4761" s="3"/>
      <c r="T4761" s="3"/>
    </row>
    <row r="4762" spans="5:20">
      <c r="E4762" s="3"/>
      <c r="F4762" s="4"/>
      <c r="S4762" s="3"/>
      <c r="T4762" s="3"/>
    </row>
    <row r="4763" spans="5:20">
      <c r="E4763" s="3"/>
      <c r="F4763" s="4"/>
      <c r="S4763" s="3"/>
      <c r="T4763" s="3"/>
    </row>
    <row r="4764" spans="5:20">
      <c r="E4764" s="3"/>
      <c r="F4764" s="4"/>
      <c r="S4764" s="3"/>
      <c r="T4764" s="3"/>
    </row>
    <row r="4765" spans="5:20">
      <c r="E4765" s="3"/>
      <c r="F4765" s="4"/>
      <c r="S4765" s="3"/>
      <c r="T4765" s="3"/>
    </row>
    <row r="4766" spans="5:20">
      <c r="E4766" s="3"/>
      <c r="F4766" s="4"/>
      <c r="S4766" s="3"/>
      <c r="T4766" s="3"/>
    </row>
    <row r="4767" spans="5:20">
      <c r="E4767" s="3"/>
      <c r="F4767" s="4"/>
      <c r="S4767" s="3"/>
      <c r="T4767" s="3"/>
    </row>
    <row r="4768" spans="5:20">
      <c r="E4768" s="3"/>
      <c r="F4768" s="4"/>
      <c r="S4768" s="3"/>
      <c r="T4768" s="3"/>
    </row>
    <row r="4769" spans="5:20">
      <c r="E4769" s="3"/>
      <c r="F4769" s="4"/>
      <c r="S4769" s="3"/>
      <c r="T4769" s="3"/>
    </row>
    <row r="4770" spans="5:20">
      <c r="E4770" s="3"/>
      <c r="F4770" s="4"/>
      <c r="S4770" s="3"/>
      <c r="T4770" s="3"/>
    </row>
    <row r="4771" spans="5:20">
      <c r="E4771" s="3"/>
      <c r="F4771" s="4"/>
      <c r="S4771" s="3"/>
      <c r="T4771" s="3"/>
    </row>
    <row r="4772" spans="5:20">
      <c r="E4772" s="3"/>
      <c r="F4772" s="4"/>
      <c r="S4772" s="3"/>
      <c r="T4772" s="3"/>
    </row>
    <row r="4773" spans="5:20">
      <c r="E4773" s="3"/>
      <c r="F4773" s="4"/>
      <c r="S4773" s="3"/>
      <c r="T4773" s="3"/>
    </row>
    <row r="4774" spans="5:20">
      <c r="E4774" s="3"/>
      <c r="F4774" s="4"/>
      <c r="S4774" s="3"/>
      <c r="T4774" s="3"/>
    </row>
    <row r="4775" spans="5:20">
      <c r="E4775" s="3"/>
      <c r="F4775" s="4"/>
      <c r="S4775" s="3"/>
      <c r="T4775" s="3"/>
    </row>
    <row r="4776" spans="5:20">
      <c r="E4776" s="3"/>
      <c r="F4776" s="4"/>
      <c r="S4776" s="3"/>
      <c r="T4776" s="3"/>
    </row>
    <row r="4777" spans="5:20">
      <c r="E4777" s="3"/>
      <c r="F4777" s="4"/>
      <c r="S4777" s="3"/>
      <c r="T4777" s="3"/>
    </row>
    <row r="4778" spans="5:20">
      <c r="E4778" s="3"/>
      <c r="F4778" s="4"/>
      <c r="S4778" s="3"/>
      <c r="T4778" s="3"/>
    </row>
    <row r="4779" spans="5:20">
      <c r="E4779" s="3"/>
      <c r="F4779" s="4"/>
      <c r="S4779" s="3"/>
      <c r="T4779" s="3"/>
    </row>
    <row r="4780" spans="5:20">
      <c r="E4780" s="3"/>
      <c r="F4780" s="4"/>
      <c r="S4780" s="3"/>
      <c r="T4780" s="3"/>
    </row>
    <row r="4781" spans="5:20">
      <c r="E4781" s="3"/>
      <c r="F4781" s="4"/>
      <c r="S4781" s="3"/>
      <c r="T4781" s="3"/>
    </row>
    <row r="4782" spans="5:20">
      <c r="E4782" s="3"/>
      <c r="F4782" s="4"/>
      <c r="S4782" s="3"/>
      <c r="T4782" s="3"/>
    </row>
    <row r="4783" spans="5:20">
      <c r="E4783" s="3"/>
      <c r="F4783" s="4"/>
      <c r="S4783" s="3"/>
      <c r="T4783" s="3"/>
    </row>
    <row r="4784" spans="5:20">
      <c r="E4784" s="3"/>
      <c r="F4784" s="4"/>
      <c r="S4784" s="3"/>
      <c r="T4784" s="3"/>
    </row>
    <row r="4785" spans="5:20">
      <c r="E4785" s="3"/>
      <c r="F4785" s="4"/>
      <c r="S4785" s="3"/>
      <c r="T4785" s="3"/>
    </row>
    <row r="4786" spans="5:20">
      <c r="E4786" s="3"/>
      <c r="F4786" s="4"/>
      <c r="S4786" s="3"/>
      <c r="T4786" s="3"/>
    </row>
    <row r="4787" spans="5:20">
      <c r="E4787" s="3"/>
      <c r="F4787" s="4"/>
      <c r="S4787" s="3"/>
      <c r="T4787" s="3"/>
    </row>
    <row r="4788" spans="5:20">
      <c r="E4788" s="3"/>
      <c r="F4788" s="4"/>
      <c r="S4788" s="3"/>
      <c r="T4788" s="3"/>
    </row>
    <row r="4789" spans="5:20">
      <c r="E4789" s="3"/>
      <c r="F4789" s="4"/>
      <c r="S4789" s="3"/>
      <c r="T4789" s="3"/>
    </row>
    <row r="4790" spans="5:20">
      <c r="E4790" s="3"/>
      <c r="F4790" s="4"/>
      <c r="S4790" s="3"/>
      <c r="T4790" s="3"/>
    </row>
    <row r="4791" spans="5:20">
      <c r="E4791" s="3"/>
      <c r="F4791" s="4"/>
      <c r="S4791" s="3"/>
      <c r="T4791" s="3"/>
    </row>
    <row r="4792" spans="5:20">
      <c r="E4792" s="3"/>
      <c r="F4792" s="4"/>
      <c r="S4792" s="3"/>
      <c r="T4792" s="3"/>
    </row>
    <row r="4793" spans="5:20">
      <c r="E4793" s="3"/>
      <c r="F4793" s="4"/>
      <c r="S4793" s="3"/>
      <c r="T4793" s="3"/>
    </row>
    <row r="4794" spans="5:20">
      <c r="E4794" s="3"/>
      <c r="F4794" s="4"/>
      <c r="S4794" s="3"/>
      <c r="T4794" s="3"/>
    </row>
    <row r="4795" spans="5:20">
      <c r="E4795" s="3"/>
      <c r="F4795" s="4"/>
      <c r="S4795" s="3"/>
      <c r="T4795" s="3"/>
    </row>
    <row r="4796" spans="5:20">
      <c r="E4796" s="3"/>
      <c r="F4796" s="4"/>
      <c r="S4796" s="3"/>
      <c r="T4796" s="3"/>
    </row>
    <row r="4797" spans="5:20">
      <c r="E4797" s="3"/>
      <c r="F4797" s="4"/>
      <c r="S4797" s="3"/>
      <c r="T4797" s="3"/>
    </row>
    <row r="4798" spans="5:20">
      <c r="E4798" s="3"/>
      <c r="F4798" s="4"/>
      <c r="S4798" s="3"/>
      <c r="T4798" s="3"/>
    </row>
    <row r="4799" spans="5:20">
      <c r="E4799" s="3"/>
      <c r="F4799" s="4"/>
      <c r="S4799" s="3"/>
      <c r="T4799" s="3"/>
    </row>
    <row r="4800" spans="5:20">
      <c r="E4800" s="3"/>
      <c r="F4800" s="4"/>
      <c r="S4800" s="3"/>
      <c r="T4800" s="3"/>
    </row>
    <row r="4801" spans="5:20">
      <c r="E4801" s="3"/>
      <c r="F4801" s="4"/>
      <c r="S4801" s="3"/>
      <c r="T4801" s="3"/>
    </row>
    <row r="4802" spans="5:20">
      <c r="E4802" s="3"/>
      <c r="F4802" s="4"/>
      <c r="S4802" s="3"/>
      <c r="T4802" s="3"/>
    </row>
    <row r="4803" spans="5:20">
      <c r="E4803" s="3"/>
      <c r="F4803" s="4"/>
      <c r="S4803" s="3"/>
      <c r="T4803" s="3"/>
    </row>
    <row r="4804" spans="5:20">
      <c r="E4804" s="3"/>
      <c r="F4804" s="4"/>
      <c r="S4804" s="3"/>
      <c r="T4804" s="3"/>
    </row>
    <row r="4805" spans="5:20">
      <c r="E4805" s="3"/>
      <c r="F4805" s="4"/>
      <c r="S4805" s="3"/>
      <c r="T4805" s="3"/>
    </row>
    <row r="4806" spans="5:20">
      <c r="E4806" s="3"/>
      <c r="F4806" s="4"/>
      <c r="S4806" s="3"/>
      <c r="T4806" s="3"/>
    </row>
    <row r="4807" spans="5:20">
      <c r="E4807" s="3"/>
      <c r="F4807" s="4"/>
      <c r="S4807" s="3"/>
      <c r="T4807" s="3"/>
    </row>
    <row r="4808" spans="5:20">
      <c r="E4808" s="3"/>
      <c r="F4808" s="4"/>
      <c r="S4808" s="3"/>
      <c r="T4808" s="3"/>
    </row>
    <row r="4809" spans="5:20">
      <c r="E4809" s="3"/>
      <c r="F4809" s="4"/>
      <c r="S4809" s="3"/>
      <c r="T4809" s="3"/>
    </row>
    <row r="4810" spans="5:20">
      <c r="E4810" s="3"/>
      <c r="F4810" s="4"/>
      <c r="S4810" s="3"/>
      <c r="T4810" s="3"/>
    </row>
    <row r="4811" spans="5:20">
      <c r="E4811" s="3"/>
      <c r="F4811" s="4"/>
      <c r="S4811" s="3"/>
      <c r="T4811" s="3"/>
    </row>
    <row r="4812" spans="5:20">
      <c r="E4812" s="3"/>
      <c r="F4812" s="4"/>
      <c r="S4812" s="3"/>
      <c r="T4812" s="3"/>
    </row>
    <row r="4813" spans="5:20">
      <c r="E4813" s="3"/>
      <c r="F4813" s="4"/>
      <c r="S4813" s="3"/>
      <c r="T4813" s="3"/>
    </row>
    <row r="4814" spans="5:20">
      <c r="E4814" s="3"/>
      <c r="F4814" s="4"/>
      <c r="S4814" s="3"/>
      <c r="T4814" s="3"/>
    </row>
    <row r="4815" spans="5:20">
      <c r="E4815" s="3"/>
      <c r="F4815" s="4"/>
      <c r="S4815" s="3"/>
      <c r="T4815" s="3"/>
    </row>
    <row r="4816" spans="5:20">
      <c r="E4816" s="3"/>
      <c r="F4816" s="4"/>
      <c r="S4816" s="3"/>
      <c r="T4816" s="3"/>
    </row>
    <row r="4817" spans="5:20">
      <c r="E4817" s="3"/>
      <c r="F4817" s="4"/>
      <c r="S4817" s="3"/>
      <c r="T4817" s="3"/>
    </row>
    <row r="4818" spans="5:20">
      <c r="E4818" s="3"/>
      <c r="F4818" s="4"/>
      <c r="S4818" s="3"/>
      <c r="T4818" s="3"/>
    </row>
    <row r="4819" spans="5:20">
      <c r="E4819" s="3"/>
      <c r="F4819" s="4"/>
      <c r="S4819" s="3"/>
      <c r="T4819" s="3"/>
    </row>
    <row r="4820" spans="5:20">
      <c r="E4820" s="3"/>
      <c r="F4820" s="4"/>
      <c r="S4820" s="3"/>
      <c r="T4820" s="3"/>
    </row>
    <row r="4821" spans="5:20">
      <c r="E4821" s="3"/>
      <c r="F4821" s="4"/>
      <c r="S4821" s="3"/>
      <c r="T4821" s="3"/>
    </row>
    <row r="4822" spans="5:20">
      <c r="E4822" s="3"/>
      <c r="F4822" s="4"/>
      <c r="S4822" s="3"/>
      <c r="T4822" s="3"/>
    </row>
    <row r="4823" spans="5:20">
      <c r="E4823" s="3"/>
      <c r="F4823" s="4"/>
      <c r="S4823" s="3"/>
      <c r="T4823" s="3"/>
    </row>
    <row r="4824" spans="5:20">
      <c r="E4824" s="3"/>
      <c r="F4824" s="4"/>
      <c r="S4824" s="3"/>
      <c r="T4824" s="3"/>
    </row>
    <row r="4825" spans="5:20">
      <c r="E4825" s="3"/>
      <c r="F4825" s="4"/>
      <c r="S4825" s="3"/>
      <c r="T4825" s="3"/>
    </row>
    <row r="4826" spans="5:20">
      <c r="E4826" s="3"/>
      <c r="F4826" s="4"/>
      <c r="S4826" s="3"/>
      <c r="T4826" s="3"/>
    </row>
    <row r="4827" spans="5:20">
      <c r="E4827" s="3"/>
      <c r="F4827" s="4"/>
      <c r="S4827" s="3"/>
      <c r="T4827" s="3"/>
    </row>
    <row r="4828" spans="5:20">
      <c r="E4828" s="3"/>
      <c r="F4828" s="4"/>
      <c r="S4828" s="3"/>
      <c r="T4828" s="3"/>
    </row>
    <row r="4829" spans="5:20">
      <c r="E4829" s="3"/>
      <c r="F4829" s="4"/>
      <c r="S4829" s="3"/>
      <c r="T4829" s="3"/>
    </row>
    <row r="4830" spans="5:20">
      <c r="E4830" s="3"/>
      <c r="F4830" s="4"/>
      <c r="S4830" s="3"/>
      <c r="T4830" s="3"/>
    </row>
    <row r="4831" spans="5:20">
      <c r="E4831" s="3"/>
      <c r="F4831" s="4"/>
      <c r="S4831" s="3"/>
      <c r="T4831" s="3"/>
    </row>
    <row r="4832" spans="5:20">
      <c r="E4832" s="3"/>
      <c r="F4832" s="4"/>
      <c r="S4832" s="3"/>
      <c r="T4832" s="3"/>
    </row>
    <row r="4833" spans="5:20">
      <c r="E4833" s="3"/>
      <c r="F4833" s="4"/>
      <c r="S4833" s="3"/>
      <c r="T4833" s="3"/>
    </row>
    <row r="4834" spans="5:20">
      <c r="E4834" s="3"/>
      <c r="F4834" s="4"/>
      <c r="S4834" s="3"/>
      <c r="T4834" s="3"/>
    </row>
    <row r="4835" spans="5:20">
      <c r="E4835" s="3"/>
      <c r="F4835" s="4"/>
      <c r="S4835" s="3"/>
      <c r="T4835" s="3"/>
    </row>
    <row r="4836" spans="5:20">
      <c r="E4836" s="3"/>
      <c r="F4836" s="4"/>
      <c r="S4836" s="3"/>
      <c r="T4836" s="3"/>
    </row>
    <row r="4837" spans="5:20">
      <c r="E4837" s="3"/>
      <c r="F4837" s="4"/>
      <c r="S4837" s="3"/>
      <c r="T4837" s="3"/>
    </row>
    <row r="4838" spans="5:20">
      <c r="E4838" s="3"/>
      <c r="F4838" s="4"/>
      <c r="S4838" s="3"/>
      <c r="T4838" s="3"/>
    </row>
    <row r="4839" spans="5:20">
      <c r="E4839" s="3"/>
      <c r="F4839" s="4"/>
      <c r="S4839" s="3"/>
      <c r="T4839" s="3"/>
    </row>
    <row r="4840" spans="5:20">
      <c r="E4840" s="3"/>
      <c r="F4840" s="4"/>
      <c r="S4840" s="3"/>
      <c r="T4840" s="3"/>
    </row>
    <row r="4841" spans="5:20">
      <c r="E4841" s="3"/>
      <c r="F4841" s="4"/>
      <c r="S4841" s="3"/>
      <c r="T4841" s="3"/>
    </row>
    <row r="4842" spans="5:20">
      <c r="E4842" s="3"/>
      <c r="F4842" s="4"/>
      <c r="S4842" s="3"/>
      <c r="T4842" s="3"/>
    </row>
    <row r="4843" spans="5:20">
      <c r="E4843" s="3"/>
      <c r="F4843" s="4"/>
      <c r="S4843" s="3"/>
      <c r="T4843" s="3"/>
    </row>
    <row r="4844" spans="5:20">
      <c r="E4844" s="3"/>
      <c r="F4844" s="4"/>
      <c r="S4844" s="3"/>
      <c r="T4844" s="3"/>
    </row>
    <row r="4845" spans="5:20">
      <c r="E4845" s="3"/>
      <c r="F4845" s="4"/>
      <c r="S4845" s="3"/>
      <c r="T4845" s="3"/>
    </row>
    <row r="4846" spans="5:20">
      <c r="E4846" s="3"/>
      <c r="F4846" s="4"/>
      <c r="S4846" s="3"/>
      <c r="T4846" s="3"/>
    </row>
    <row r="4847" spans="5:20">
      <c r="E4847" s="3"/>
      <c r="F4847" s="4"/>
      <c r="S4847" s="3"/>
      <c r="T4847" s="3"/>
    </row>
    <row r="4848" spans="5:20">
      <c r="E4848" s="3"/>
      <c r="F4848" s="4"/>
      <c r="S4848" s="3"/>
      <c r="T4848" s="3"/>
    </row>
    <row r="4849" spans="5:20">
      <c r="E4849" s="3"/>
      <c r="F4849" s="4"/>
      <c r="S4849" s="3"/>
      <c r="T4849" s="3"/>
    </row>
    <row r="4850" spans="5:20">
      <c r="E4850" s="3"/>
      <c r="F4850" s="4"/>
      <c r="S4850" s="3"/>
      <c r="T4850" s="3"/>
    </row>
    <row r="4851" spans="5:20">
      <c r="E4851" s="3"/>
      <c r="F4851" s="4"/>
      <c r="S4851" s="3"/>
      <c r="T4851" s="3"/>
    </row>
    <row r="4852" spans="5:20">
      <c r="E4852" s="3"/>
      <c r="F4852" s="4"/>
      <c r="S4852" s="3"/>
      <c r="T4852" s="3"/>
    </row>
    <row r="4853" spans="5:20">
      <c r="E4853" s="3"/>
      <c r="F4853" s="4"/>
      <c r="S4853" s="3"/>
      <c r="T4853" s="3"/>
    </row>
    <row r="4854" spans="5:20">
      <c r="E4854" s="3"/>
      <c r="F4854" s="4"/>
      <c r="S4854" s="3"/>
      <c r="T4854" s="3"/>
    </row>
    <row r="4855" spans="5:20">
      <c r="E4855" s="3"/>
      <c r="F4855" s="4"/>
      <c r="S4855" s="3"/>
      <c r="T4855" s="3"/>
    </row>
    <row r="4856" spans="5:20">
      <c r="E4856" s="3"/>
      <c r="F4856" s="4"/>
      <c r="S4856" s="3"/>
      <c r="T4856" s="3"/>
    </row>
    <row r="4857" spans="5:20">
      <c r="E4857" s="3"/>
      <c r="F4857" s="4"/>
      <c r="S4857" s="3"/>
      <c r="T4857" s="3"/>
    </row>
    <row r="4858" spans="5:20">
      <c r="E4858" s="3"/>
      <c r="F4858" s="4"/>
      <c r="S4858" s="3"/>
      <c r="T4858" s="3"/>
    </row>
    <row r="4859" spans="5:20">
      <c r="E4859" s="3"/>
      <c r="F4859" s="4"/>
      <c r="S4859" s="3"/>
      <c r="T4859" s="3"/>
    </row>
    <row r="4860" spans="5:20">
      <c r="E4860" s="3"/>
      <c r="F4860" s="4"/>
      <c r="S4860" s="3"/>
      <c r="T4860" s="3"/>
    </row>
    <row r="4861" spans="5:20">
      <c r="E4861" s="3"/>
      <c r="F4861" s="4"/>
      <c r="S4861" s="3"/>
      <c r="T4861" s="3"/>
    </row>
    <row r="4862" spans="5:20">
      <c r="E4862" s="3"/>
      <c r="F4862" s="4"/>
      <c r="S4862" s="3"/>
      <c r="T4862" s="3"/>
    </row>
    <row r="4863" spans="5:20">
      <c r="E4863" s="3"/>
      <c r="F4863" s="4"/>
      <c r="S4863" s="3"/>
      <c r="T4863" s="3"/>
    </row>
    <row r="4864" spans="5:20">
      <c r="E4864" s="3"/>
      <c r="F4864" s="4"/>
      <c r="S4864" s="3"/>
      <c r="T4864" s="3"/>
    </row>
    <row r="4865" spans="5:20">
      <c r="E4865" s="3"/>
      <c r="F4865" s="4"/>
      <c r="S4865" s="3"/>
      <c r="T4865" s="3"/>
    </row>
    <row r="4866" spans="5:20">
      <c r="E4866" s="3"/>
      <c r="F4866" s="4"/>
      <c r="S4866" s="3"/>
      <c r="T4866" s="3"/>
    </row>
    <row r="4867" spans="5:20">
      <c r="E4867" s="3"/>
      <c r="F4867" s="4"/>
      <c r="S4867" s="3"/>
      <c r="T4867" s="3"/>
    </row>
    <row r="4868" spans="5:20">
      <c r="E4868" s="3"/>
      <c r="F4868" s="4"/>
      <c r="S4868" s="3"/>
      <c r="T4868" s="3"/>
    </row>
    <row r="4869" spans="5:20">
      <c r="E4869" s="3"/>
      <c r="F4869" s="4"/>
      <c r="S4869" s="3"/>
      <c r="T4869" s="3"/>
    </row>
    <row r="4870" spans="5:20">
      <c r="E4870" s="3"/>
      <c r="F4870" s="4"/>
      <c r="S4870" s="3"/>
      <c r="T4870" s="3"/>
    </row>
    <row r="4871" spans="5:20">
      <c r="E4871" s="3"/>
      <c r="F4871" s="4"/>
      <c r="S4871" s="3"/>
      <c r="T4871" s="3"/>
    </row>
    <row r="4872" spans="5:20">
      <c r="E4872" s="3"/>
      <c r="F4872" s="4"/>
      <c r="S4872" s="3"/>
      <c r="T4872" s="3"/>
    </row>
    <row r="4873" spans="5:20">
      <c r="E4873" s="3"/>
      <c r="F4873" s="4"/>
      <c r="S4873" s="3"/>
      <c r="T4873" s="3"/>
    </row>
    <row r="4874" spans="5:20">
      <c r="E4874" s="3"/>
      <c r="F4874" s="4"/>
      <c r="S4874" s="3"/>
      <c r="T4874" s="3"/>
    </row>
    <row r="4875" spans="5:20">
      <c r="E4875" s="3"/>
      <c r="F4875" s="4"/>
      <c r="S4875" s="3"/>
      <c r="T4875" s="3"/>
    </row>
    <row r="4876" spans="5:20">
      <c r="E4876" s="3"/>
      <c r="F4876" s="4"/>
      <c r="S4876" s="3"/>
      <c r="T4876" s="3"/>
    </row>
    <row r="4877" spans="5:20">
      <c r="E4877" s="3"/>
      <c r="F4877" s="4"/>
      <c r="S4877" s="3"/>
      <c r="T4877" s="3"/>
    </row>
    <row r="4878" spans="5:20">
      <c r="E4878" s="3"/>
      <c r="F4878" s="4"/>
      <c r="S4878" s="3"/>
      <c r="T4878" s="3"/>
    </row>
    <row r="4879" spans="5:20">
      <c r="E4879" s="3"/>
      <c r="F4879" s="4"/>
      <c r="S4879" s="3"/>
      <c r="T4879" s="3"/>
    </row>
    <row r="4880" spans="5:20">
      <c r="E4880" s="3"/>
      <c r="F4880" s="4"/>
      <c r="S4880" s="3"/>
      <c r="T4880" s="3"/>
    </row>
    <row r="4881" spans="5:20">
      <c r="E4881" s="3"/>
      <c r="F4881" s="4"/>
      <c r="S4881" s="3"/>
      <c r="T4881" s="3"/>
    </row>
    <row r="4882" spans="5:20">
      <c r="E4882" s="3"/>
      <c r="F4882" s="4"/>
      <c r="S4882" s="3"/>
      <c r="T4882" s="3"/>
    </row>
    <row r="4883" spans="5:20">
      <c r="E4883" s="3"/>
      <c r="F4883" s="4"/>
      <c r="S4883" s="3"/>
      <c r="T4883" s="3"/>
    </row>
    <row r="4884" spans="5:20">
      <c r="E4884" s="3"/>
      <c r="F4884" s="4"/>
      <c r="S4884" s="3"/>
      <c r="T4884" s="3"/>
    </row>
    <row r="4885" spans="5:20">
      <c r="E4885" s="3"/>
      <c r="F4885" s="4"/>
      <c r="S4885" s="3"/>
      <c r="T4885" s="3"/>
    </row>
    <row r="4886" spans="5:20">
      <c r="E4886" s="3"/>
      <c r="F4886" s="4"/>
      <c r="S4886" s="3"/>
      <c r="T4886" s="3"/>
    </row>
    <row r="4887" spans="5:20">
      <c r="E4887" s="3"/>
      <c r="F4887" s="4"/>
      <c r="S4887" s="3"/>
      <c r="T4887" s="3"/>
    </row>
    <row r="4888" spans="5:20">
      <c r="E4888" s="3"/>
      <c r="F4888" s="4"/>
      <c r="S4888" s="3"/>
      <c r="T4888" s="3"/>
    </row>
    <row r="4889" spans="5:20">
      <c r="E4889" s="3"/>
      <c r="F4889" s="4"/>
      <c r="S4889" s="3"/>
      <c r="T4889" s="3"/>
    </row>
    <row r="4890" spans="5:20">
      <c r="E4890" s="3"/>
      <c r="F4890" s="4"/>
      <c r="S4890" s="3"/>
      <c r="T4890" s="3"/>
    </row>
    <row r="4891" spans="5:20">
      <c r="E4891" s="3"/>
      <c r="F4891" s="4"/>
      <c r="S4891" s="3"/>
      <c r="T4891" s="3"/>
    </row>
    <row r="4892" spans="5:20">
      <c r="E4892" s="3"/>
      <c r="F4892" s="4"/>
      <c r="S4892" s="3"/>
      <c r="T4892" s="3"/>
    </row>
    <row r="4893" spans="5:20">
      <c r="E4893" s="3"/>
      <c r="F4893" s="4"/>
      <c r="S4893" s="3"/>
      <c r="T4893" s="3"/>
    </row>
    <row r="4894" spans="5:20">
      <c r="E4894" s="3"/>
      <c r="F4894" s="4"/>
      <c r="S4894" s="3"/>
      <c r="T4894" s="3"/>
    </row>
    <row r="4895" spans="5:20">
      <c r="E4895" s="3"/>
      <c r="F4895" s="4"/>
      <c r="S4895" s="3"/>
      <c r="T4895" s="3"/>
    </row>
    <row r="4896" spans="5:20">
      <c r="E4896" s="3"/>
      <c r="F4896" s="4"/>
      <c r="S4896" s="3"/>
      <c r="T4896" s="3"/>
    </row>
    <row r="4897" spans="5:20">
      <c r="E4897" s="3"/>
      <c r="F4897" s="4"/>
      <c r="S4897" s="3"/>
      <c r="T4897" s="3"/>
    </row>
    <row r="4898" spans="5:20">
      <c r="E4898" s="3"/>
      <c r="F4898" s="4"/>
      <c r="S4898" s="3"/>
      <c r="T4898" s="3"/>
    </row>
    <row r="4899" spans="5:20">
      <c r="E4899" s="3"/>
      <c r="F4899" s="4"/>
      <c r="S4899" s="3"/>
      <c r="T4899" s="3"/>
    </row>
    <row r="4900" spans="5:20">
      <c r="E4900" s="3"/>
      <c r="F4900" s="4"/>
      <c r="S4900" s="3"/>
      <c r="T4900" s="3"/>
    </row>
    <row r="4901" spans="5:20">
      <c r="E4901" s="3"/>
      <c r="F4901" s="4"/>
      <c r="S4901" s="3"/>
      <c r="T4901" s="3"/>
    </row>
    <row r="4902" spans="5:20">
      <c r="E4902" s="3"/>
      <c r="F4902" s="4"/>
      <c r="S4902" s="3"/>
      <c r="T4902" s="3"/>
    </row>
    <row r="4903" spans="5:20">
      <c r="E4903" s="3"/>
      <c r="F4903" s="4"/>
      <c r="S4903" s="3"/>
      <c r="T4903" s="3"/>
    </row>
    <row r="4904" spans="5:20">
      <c r="E4904" s="3"/>
      <c r="F4904" s="4"/>
      <c r="S4904" s="3"/>
      <c r="T4904" s="3"/>
    </row>
    <row r="4905" spans="5:20">
      <c r="E4905" s="3"/>
      <c r="F4905" s="4"/>
      <c r="S4905" s="3"/>
      <c r="T4905" s="3"/>
    </row>
    <row r="4906" spans="5:20">
      <c r="E4906" s="3"/>
      <c r="F4906" s="4"/>
      <c r="S4906" s="3"/>
      <c r="T4906" s="3"/>
    </row>
    <row r="4907" spans="5:20">
      <c r="E4907" s="3"/>
      <c r="F4907" s="4"/>
      <c r="S4907" s="3"/>
      <c r="T4907" s="3"/>
    </row>
    <row r="4908" spans="5:20">
      <c r="E4908" s="3"/>
      <c r="F4908" s="4"/>
      <c r="S4908" s="3"/>
      <c r="T4908" s="3"/>
    </row>
    <row r="4909" spans="5:20">
      <c r="E4909" s="3"/>
      <c r="F4909" s="4"/>
      <c r="S4909" s="3"/>
      <c r="T4909" s="3"/>
    </row>
    <row r="4910" spans="5:20">
      <c r="E4910" s="3"/>
      <c r="F4910" s="4"/>
      <c r="S4910" s="3"/>
      <c r="T4910" s="3"/>
    </row>
    <row r="4911" spans="5:20">
      <c r="E4911" s="3"/>
      <c r="F4911" s="4"/>
      <c r="S4911" s="3"/>
      <c r="T4911" s="3"/>
    </row>
    <row r="4912" spans="5:20">
      <c r="E4912" s="3"/>
      <c r="F4912" s="4"/>
      <c r="S4912" s="3"/>
      <c r="T4912" s="3"/>
    </row>
    <row r="4913" spans="5:20">
      <c r="E4913" s="3"/>
      <c r="F4913" s="4"/>
      <c r="S4913" s="3"/>
      <c r="T4913" s="3"/>
    </row>
    <row r="4914" spans="5:20">
      <c r="E4914" s="3"/>
      <c r="F4914" s="4"/>
      <c r="S4914" s="3"/>
      <c r="T4914" s="3"/>
    </row>
    <row r="4915" spans="5:20">
      <c r="E4915" s="3"/>
      <c r="F4915" s="4"/>
      <c r="S4915" s="3"/>
      <c r="T4915" s="3"/>
    </row>
    <row r="4916" spans="5:20">
      <c r="E4916" s="3"/>
      <c r="F4916" s="4"/>
      <c r="S4916" s="3"/>
      <c r="T4916" s="3"/>
    </row>
    <row r="4917" spans="5:20">
      <c r="E4917" s="3"/>
      <c r="F4917" s="4"/>
      <c r="S4917" s="3"/>
      <c r="T4917" s="3"/>
    </row>
    <row r="4918" spans="5:20">
      <c r="E4918" s="3"/>
      <c r="F4918" s="4"/>
      <c r="S4918" s="3"/>
      <c r="T4918" s="3"/>
    </row>
    <row r="4919" spans="5:20">
      <c r="E4919" s="3"/>
      <c r="F4919" s="4"/>
      <c r="S4919" s="3"/>
      <c r="T4919" s="3"/>
    </row>
    <row r="4920" spans="5:20">
      <c r="E4920" s="3"/>
      <c r="F4920" s="4"/>
      <c r="S4920" s="3"/>
      <c r="T4920" s="3"/>
    </row>
    <row r="4921" spans="5:20">
      <c r="E4921" s="3"/>
      <c r="F4921" s="4"/>
      <c r="S4921" s="3"/>
      <c r="T4921" s="3"/>
    </row>
    <row r="4922" spans="5:20">
      <c r="E4922" s="3"/>
      <c r="F4922" s="4"/>
      <c r="S4922" s="3"/>
      <c r="T4922" s="3"/>
    </row>
    <row r="4923" spans="5:20">
      <c r="E4923" s="3"/>
      <c r="F4923" s="4"/>
      <c r="S4923" s="3"/>
      <c r="T4923" s="3"/>
    </row>
    <row r="4924" spans="5:20">
      <c r="E4924" s="3"/>
      <c r="F4924" s="4"/>
      <c r="S4924" s="3"/>
      <c r="T4924" s="3"/>
    </row>
    <row r="4925" spans="5:20">
      <c r="E4925" s="3"/>
      <c r="F4925" s="4"/>
      <c r="S4925" s="3"/>
      <c r="T4925" s="3"/>
    </row>
    <row r="4926" spans="5:20">
      <c r="E4926" s="3"/>
      <c r="F4926" s="4"/>
      <c r="S4926" s="3"/>
      <c r="T4926" s="3"/>
    </row>
    <row r="4927" spans="5:20">
      <c r="E4927" s="3"/>
      <c r="F4927" s="4"/>
      <c r="S4927" s="3"/>
      <c r="T4927" s="3"/>
    </row>
    <row r="4928" spans="5:20">
      <c r="E4928" s="3"/>
      <c r="F4928" s="4"/>
      <c r="S4928" s="3"/>
      <c r="T4928" s="3"/>
    </row>
    <row r="4929" spans="5:20">
      <c r="E4929" s="3"/>
      <c r="F4929" s="4"/>
      <c r="S4929" s="3"/>
      <c r="T4929" s="3"/>
    </row>
    <row r="4930" spans="5:20">
      <c r="E4930" s="3"/>
      <c r="F4930" s="4"/>
      <c r="S4930" s="3"/>
      <c r="T4930" s="3"/>
    </row>
    <row r="4931" spans="5:20">
      <c r="E4931" s="3"/>
      <c r="F4931" s="4"/>
      <c r="S4931" s="3"/>
      <c r="T4931" s="3"/>
    </row>
    <row r="4932" spans="5:20">
      <c r="E4932" s="3"/>
      <c r="F4932" s="4"/>
      <c r="S4932" s="3"/>
      <c r="T4932" s="3"/>
    </row>
    <row r="4933" spans="5:20">
      <c r="E4933" s="3"/>
      <c r="F4933" s="4"/>
      <c r="S4933" s="3"/>
      <c r="T4933" s="3"/>
    </row>
    <row r="4934" spans="5:20">
      <c r="E4934" s="3"/>
      <c r="F4934" s="4"/>
      <c r="S4934" s="3"/>
      <c r="T4934" s="3"/>
    </row>
    <row r="4935" spans="5:20">
      <c r="E4935" s="3"/>
      <c r="F4935" s="4"/>
      <c r="S4935" s="3"/>
      <c r="T4935" s="3"/>
    </row>
    <row r="4936" spans="5:20">
      <c r="E4936" s="3"/>
      <c r="F4936" s="4"/>
      <c r="S4936" s="3"/>
      <c r="T4936" s="3"/>
    </row>
    <row r="4937" spans="5:20">
      <c r="E4937" s="3"/>
      <c r="F4937" s="4"/>
      <c r="S4937" s="3"/>
      <c r="T4937" s="3"/>
    </row>
    <row r="4938" spans="5:20">
      <c r="E4938" s="3"/>
      <c r="F4938" s="4"/>
      <c r="S4938" s="3"/>
      <c r="T4938" s="3"/>
    </row>
    <row r="4939" spans="5:20">
      <c r="E4939" s="3"/>
      <c r="F4939" s="4"/>
      <c r="S4939" s="3"/>
      <c r="T4939" s="3"/>
    </row>
    <row r="4940" spans="5:20">
      <c r="E4940" s="3"/>
      <c r="F4940" s="4"/>
      <c r="S4940" s="3"/>
      <c r="T4940" s="3"/>
    </row>
    <row r="4941" spans="5:20">
      <c r="E4941" s="3"/>
      <c r="F4941" s="4"/>
      <c r="S4941" s="3"/>
      <c r="T4941" s="3"/>
    </row>
    <row r="4942" spans="5:20">
      <c r="E4942" s="3"/>
      <c r="F4942" s="4"/>
      <c r="S4942" s="3"/>
      <c r="T4942" s="3"/>
    </row>
    <row r="4943" spans="5:20">
      <c r="E4943" s="3"/>
      <c r="F4943" s="4"/>
      <c r="S4943" s="3"/>
      <c r="T4943" s="3"/>
    </row>
    <row r="4944" spans="5:20">
      <c r="E4944" s="3"/>
      <c r="F4944" s="4"/>
      <c r="S4944" s="3"/>
      <c r="T4944" s="3"/>
    </row>
    <row r="4945" spans="5:20">
      <c r="E4945" s="3"/>
      <c r="F4945" s="4"/>
      <c r="S4945" s="3"/>
      <c r="T4945" s="3"/>
    </row>
    <row r="4946" spans="5:20">
      <c r="E4946" s="3"/>
      <c r="F4946" s="4"/>
      <c r="S4946" s="3"/>
      <c r="T4946" s="3"/>
    </row>
    <row r="4947" spans="5:20">
      <c r="E4947" s="3"/>
      <c r="F4947" s="4"/>
      <c r="S4947" s="3"/>
      <c r="T4947" s="3"/>
    </row>
    <row r="4948" spans="5:20">
      <c r="E4948" s="3"/>
      <c r="F4948" s="4"/>
      <c r="S4948" s="3"/>
      <c r="T4948" s="3"/>
    </row>
    <row r="4949" spans="5:20">
      <c r="E4949" s="3"/>
      <c r="F4949" s="4"/>
      <c r="S4949" s="3"/>
      <c r="T4949" s="3"/>
    </row>
    <row r="4950" spans="5:20">
      <c r="E4950" s="3"/>
      <c r="F4950" s="4"/>
      <c r="S4950" s="3"/>
      <c r="T4950" s="3"/>
    </row>
    <row r="4951" spans="5:20">
      <c r="E4951" s="3"/>
      <c r="F4951" s="4"/>
      <c r="S4951" s="3"/>
      <c r="T4951" s="3"/>
    </row>
    <row r="4952" spans="5:20">
      <c r="E4952" s="3"/>
      <c r="F4952" s="4"/>
      <c r="S4952" s="3"/>
      <c r="T4952" s="3"/>
    </row>
    <row r="4953" spans="5:20">
      <c r="E4953" s="3"/>
      <c r="F4953" s="4"/>
      <c r="S4953" s="3"/>
      <c r="T4953" s="3"/>
    </row>
    <row r="4954" spans="5:20">
      <c r="E4954" s="3"/>
      <c r="F4954" s="4"/>
      <c r="S4954" s="3"/>
      <c r="T4954" s="3"/>
    </row>
    <row r="4955" spans="5:20">
      <c r="E4955" s="3"/>
      <c r="F4955" s="4"/>
      <c r="S4955" s="3"/>
      <c r="T4955" s="3"/>
    </row>
    <row r="4956" spans="5:20">
      <c r="E4956" s="3"/>
      <c r="F4956" s="4"/>
      <c r="S4956" s="3"/>
      <c r="T4956" s="3"/>
    </row>
    <row r="4957" spans="5:20">
      <c r="E4957" s="3"/>
      <c r="F4957" s="4"/>
      <c r="S4957" s="3"/>
      <c r="T4957" s="3"/>
    </row>
    <row r="4958" spans="5:20">
      <c r="E4958" s="3"/>
      <c r="F4958" s="4"/>
      <c r="S4958" s="3"/>
      <c r="T4958" s="3"/>
    </row>
    <row r="4959" spans="5:20">
      <c r="E4959" s="3"/>
      <c r="F4959" s="4"/>
      <c r="S4959" s="3"/>
      <c r="T4959" s="3"/>
    </row>
    <row r="4960" spans="5:20">
      <c r="E4960" s="3"/>
      <c r="F4960" s="4"/>
      <c r="S4960" s="3"/>
      <c r="T4960" s="3"/>
    </row>
    <row r="4961" spans="5:20">
      <c r="E4961" s="3"/>
      <c r="F4961" s="4"/>
      <c r="S4961" s="3"/>
      <c r="T4961" s="3"/>
    </row>
    <row r="4962" spans="5:20">
      <c r="E4962" s="3"/>
      <c r="F4962" s="4"/>
      <c r="S4962" s="3"/>
      <c r="T4962" s="3"/>
    </row>
    <row r="4963" spans="5:20">
      <c r="E4963" s="3"/>
      <c r="F4963" s="4"/>
      <c r="S4963" s="3"/>
      <c r="T4963" s="3"/>
    </row>
    <row r="4964" spans="5:20">
      <c r="E4964" s="3"/>
      <c r="F4964" s="4"/>
      <c r="S4964" s="3"/>
      <c r="T4964" s="3"/>
    </row>
    <row r="4965" spans="5:20">
      <c r="E4965" s="3"/>
      <c r="F4965" s="4"/>
      <c r="S4965" s="3"/>
      <c r="T4965" s="3"/>
    </row>
    <row r="4966" spans="5:20">
      <c r="E4966" s="3"/>
      <c r="F4966" s="4"/>
      <c r="S4966" s="3"/>
      <c r="T4966" s="3"/>
    </row>
    <row r="4967" spans="5:20">
      <c r="E4967" s="3"/>
      <c r="F4967" s="4"/>
      <c r="S4967" s="3"/>
      <c r="T4967" s="3"/>
    </row>
    <row r="4968" spans="5:20">
      <c r="E4968" s="3"/>
      <c r="F4968" s="4"/>
      <c r="S4968" s="3"/>
      <c r="T4968" s="3"/>
    </row>
    <row r="4969" spans="5:20">
      <c r="E4969" s="3"/>
      <c r="F4969" s="4"/>
      <c r="S4969" s="3"/>
      <c r="T4969" s="3"/>
    </row>
    <row r="4970" spans="5:20">
      <c r="E4970" s="3"/>
      <c r="F4970" s="4"/>
      <c r="S4970" s="3"/>
      <c r="T4970" s="3"/>
    </row>
    <row r="4971" spans="5:20">
      <c r="E4971" s="3"/>
      <c r="F4971" s="4"/>
      <c r="S4971" s="3"/>
      <c r="T4971" s="3"/>
    </row>
    <row r="4972" spans="5:20">
      <c r="E4972" s="3"/>
      <c r="F4972" s="4"/>
      <c r="S4972" s="3"/>
      <c r="T4972" s="3"/>
    </row>
    <row r="4973" spans="5:20">
      <c r="E4973" s="3"/>
      <c r="F4973" s="4"/>
      <c r="S4973" s="3"/>
      <c r="T4973" s="3"/>
    </row>
    <row r="4974" spans="5:20">
      <c r="E4974" s="3"/>
      <c r="F4974" s="4"/>
      <c r="S4974" s="3"/>
      <c r="T4974" s="3"/>
    </row>
    <row r="4975" spans="5:20">
      <c r="E4975" s="3"/>
      <c r="F4975" s="4"/>
      <c r="S4975" s="3"/>
      <c r="T4975" s="3"/>
    </row>
    <row r="4976" spans="5:20">
      <c r="E4976" s="3"/>
      <c r="F4976" s="4"/>
      <c r="S4976" s="3"/>
      <c r="T4976" s="3"/>
    </row>
    <row r="4977" spans="5:20">
      <c r="E4977" s="3"/>
      <c r="F4977" s="4"/>
      <c r="S4977" s="3"/>
      <c r="T4977" s="3"/>
    </row>
    <row r="4978" spans="5:20">
      <c r="E4978" s="3"/>
      <c r="F4978" s="4"/>
      <c r="S4978" s="3"/>
      <c r="T4978" s="3"/>
    </row>
    <row r="4979" spans="5:20">
      <c r="E4979" s="3"/>
      <c r="F4979" s="4"/>
      <c r="S4979" s="3"/>
      <c r="T4979" s="3"/>
    </row>
    <row r="4980" spans="5:20">
      <c r="E4980" s="3"/>
      <c r="F4980" s="4"/>
      <c r="S4980" s="3"/>
      <c r="T4980" s="3"/>
    </row>
    <row r="4981" spans="5:20">
      <c r="E4981" s="3"/>
      <c r="F4981" s="4"/>
      <c r="S4981" s="3"/>
      <c r="T4981" s="3"/>
    </row>
    <row r="4982" spans="5:20">
      <c r="E4982" s="3"/>
      <c r="F4982" s="4"/>
      <c r="S4982" s="3"/>
      <c r="T4982" s="3"/>
    </row>
    <row r="4983" spans="5:20">
      <c r="E4983" s="3"/>
      <c r="F4983" s="4"/>
      <c r="S4983" s="3"/>
      <c r="T4983" s="3"/>
    </row>
    <row r="4984" spans="5:20">
      <c r="E4984" s="3"/>
      <c r="F4984" s="4"/>
      <c r="S4984" s="3"/>
      <c r="T4984" s="3"/>
    </row>
    <row r="4985" spans="5:20">
      <c r="E4985" s="3"/>
      <c r="F4985" s="4"/>
      <c r="S4985" s="3"/>
      <c r="T4985" s="3"/>
    </row>
    <row r="4986" spans="5:20">
      <c r="E4986" s="3"/>
      <c r="F4986" s="4"/>
      <c r="S4986" s="3"/>
      <c r="T4986" s="3"/>
    </row>
  </sheetData>
  <autoFilter ref="A1:AS4986">
    <filterColumn colId="29"/>
    <sortState ref="A2:AS4986">
      <sortCondition ref="AC1:AC4986"/>
    </sortState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1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6" t="s">
        <v>303</v>
      </c>
    </row>
    <row r="2" spans="1:2">
      <c r="A2" t="s">
        <v>5582</v>
      </c>
      <c r="B2" s="2" t="s">
        <v>301</v>
      </c>
    </row>
    <row r="3" spans="1:2">
      <c r="A3" s="2" t="s">
        <v>180</v>
      </c>
      <c r="B3" s="2" t="s">
        <v>301</v>
      </c>
    </row>
    <row r="4" spans="1:2">
      <c r="A4" t="s">
        <v>2959</v>
      </c>
      <c r="B4" s="2" t="s">
        <v>301</v>
      </c>
    </row>
    <row r="5" spans="1:2">
      <c r="A5" s="2" t="s">
        <v>184</v>
      </c>
      <c r="B5" s="2" t="s">
        <v>301</v>
      </c>
    </row>
    <row r="6" spans="1:2">
      <c r="A6" s="2" t="s">
        <v>249</v>
      </c>
      <c r="B6" s="2" t="s">
        <v>301</v>
      </c>
    </row>
    <row r="7" spans="1:2">
      <c r="A7" s="2" t="s">
        <v>280</v>
      </c>
      <c r="B7" s="2" t="s">
        <v>301</v>
      </c>
    </row>
    <row r="8" spans="1:2">
      <c r="A8" t="s">
        <v>5583</v>
      </c>
      <c r="B8" t="s">
        <v>301</v>
      </c>
    </row>
    <row r="9" spans="1:2">
      <c r="A9" t="s">
        <v>5584</v>
      </c>
      <c r="B9" t="s">
        <v>301</v>
      </c>
    </row>
    <row r="10" spans="1:2">
      <c r="A10" s="2" t="s">
        <v>201</v>
      </c>
      <c r="B10" s="2" t="s">
        <v>301</v>
      </c>
    </row>
    <row r="11" spans="1:2">
      <c r="A11" t="s">
        <v>1348</v>
      </c>
      <c r="B11" s="2" t="s">
        <v>302</v>
      </c>
    </row>
    <row r="12" spans="1:2">
      <c r="A12" t="s">
        <v>4737</v>
      </c>
      <c r="B12" t="s">
        <v>301</v>
      </c>
    </row>
    <row r="13" spans="1:2">
      <c r="A13" s="2" t="s">
        <v>259</v>
      </c>
      <c r="B13" s="2" t="s">
        <v>301</v>
      </c>
    </row>
    <row r="14" spans="1:2">
      <c r="A14" t="s">
        <v>5585</v>
      </c>
      <c r="B14" s="2" t="s">
        <v>301</v>
      </c>
    </row>
    <row r="15" spans="1:2">
      <c r="A15" s="2" t="s">
        <v>116</v>
      </c>
      <c r="B15" s="2" t="s">
        <v>301</v>
      </c>
    </row>
    <row r="16" spans="1:2">
      <c r="A16" s="2" t="s">
        <v>57</v>
      </c>
      <c r="B16" s="2" t="s">
        <v>301</v>
      </c>
    </row>
    <row r="17" spans="1:2">
      <c r="A17" t="s">
        <v>4707</v>
      </c>
      <c r="B17" t="s">
        <v>301</v>
      </c>
    </row>
    <row r="18" spans="1:2">
      <c r="A18" s="2" t="s">
        <v>253</v>
      </c>
      <c r="B18" s="2" t="s">
        <v>301</v>
      </c>
    </row>
    <row r="19" spans="1:2">
      <c r="A19" s="2" t="s">
        <v>151</v>
      </c>
      <c r="B19" s="2" t="s">
        <v>301</v>
      </c>
    </row>
    <row r="20" spans="1:2">
      <c r="A20" s="2" t="s">
        <v>286</v>
      </c>
      <c r="B20" s="2" t="s">
        <v>301</v>
      </c>
    </row>
    <row r="21" spans="1:2">
      <c r="A21" s="2" t="s">
        <v>287</v>
      </c>
      <c r="B21" s="2" t="s">
        <v>301</v>
      </c>
    </row>
    <row r="22" spans="1:2">
      <c r="A22" s="2" t="s">
        <v>86</v>
      </c>
      <c r="B22" s="2" t="s">
        <v>301</v>
      </c>
    </row>
    <row r="23" spans="1:2">
      <c r="A23" t="s">
        <v>5586</v>
      </c>
      <c r="B23" s="2" t="s">
        <v>301</v>
      </c>
    </row>
    <row r="24" spans="1:2">
      <c r="A24" s="2" t="s">
        <v>293</v>
      </c>
      <c r="B24" s="2" t="s">
        <v>301</v>
      </c>
    </row>
    <row r="25" spans="1:2">
      <c r="A25" s="2" t="s">
        <v>288</v>
      </c>
      <c r="B25" s="2" t="s">
        <v>301</v>
      </c>
    </row>
    <row r="26" spans="1:2">
      <c r="A26" s="2" t="s">
        <v>270</v>
      </c>
      <c r="B26" s="2" t="s">
        <v>301</v>
      </c>
    </row>
    <row r="27" spans="1:2">
      <c r="A27" s="2" t="s">
        <v>248</v>
      </c>
      <c r="B27" s="2" t="s">
        <v>301</v>
      </c>
    </row>
    <row r="28" spans="1:2">
      <c r="A28" t="s">
        <v>5587</v>
      </c>
      <c r="B28" t="s">
        <v>301</v>
      </c>
    </row>
    <row r="29" spans="1:2">
      <c r="A29" t="s">
        <v>5588</v>
      </c>
      <c r="B29" s="2" t="s">
        <v>301</v>
      </c>
    </row>
    <row r="30" spans="1:2">
      <c r="A30" t="s">
        <v>2503</v>
      </c>
      <c r="B30" s="2" t="s">
        <v>301</v>
      </c>
    </row>
    <row r="31" spans="1:2">
      <c r="A31" s="2" t="s">
        <v>87</v>
      </c>
      <c r="B31" s="2" t="s">
        <v>301</v>
      </c>
    </row>
    <row r="32" spans="1:2">
      <c r="A32" t="s">
        <v>5589</v>
      </c>
      <c r="B32" t="s">
        <v>301</v>
      </c>
    </row>
    <row r="33" spans="1:2">
      <c r="A33" t="s">
        <v>5590</v>
      </c>
      <c r="B33" t="s">
        <v>301</v>
      </c>
    </row>
    <row r="34" spans="1:2">
      <c r="A34" t="s">
        <v>5306</v>
      </c>
      <c r="B34" t="s">
        <v>301</v>
      </c>
    </row>
    <row r="35" spans="1:2">
      <c r="A35" t="s">
        <v>5591</v>
      </c>
      <c r="B35" t="s">
        <v>301</v>
      </c>
    </row>
    <row r="36" spans="1:2">
      <c r="A36" t="s">
        <v>309</v>
      </c>
      <c r="B36" s="2" t="s">
        <v>301</v>
      </c>
    </row>
    <row r="37" spans="1:2">
      <c r="A37" s="2" t="s">
        <v>260</v>
      </c>
      <c r="B37" s="2" t="s">
        <v>301</v>
      </c>
    </row>
    <row r="38" spans="1:2">
      <c r="A38" t="s">
        <v>5592</v>
      </c>
      <c r="B38" s="2" t="s">
        <v>301</v>
      </c>
    </row>
    <row r="39" spans="1:2">
      <c r="A39" t="s">
        <v>1652</v>
      </c>
      <c r="B39" t="s">
        <v>301</v>
      </c>
    </row>
    <row r="40" spans="1:2">
      <c r="A40" t="s">
        <v>3780</v>
      </c>
      <c r="B40" t="s">
        <v>301</v>
      </c>
    </row>
    <row r="41" spans="1:2">
      <c r="A41" t="s">
        <v>5593</v>
      </c>
      <c r="B41" t="s">
        <v>301</v>
      </c>
    </row>
    <row r="42" spans="1:2">
      <c r="A42" s="2" t="s">
        <v>277</v>
      </c>
      <c r="B42" s="2" t="s">
        <v>301</v>
      </c>
    </row>
    <row r="43" spans="1:2">
      <c r="A43" t="s">
        <v>5594</v>
      </c>
      <c r="B43" s="2" t="s">
        <v>301</v>
      </c>
    </row>
    <row r="44" spans="1:2">
      <c r="A44" t="s">
        <v>5595</v>
      </c>
      <c r="B44" t="s">
        <v>301</v>
      </c>
    </row>
    <row r="45" spans="1:2">
      <c r="A45" s="2" t="s">
        <v>179</v>
      </c>
      <c r="B45" s="2" t="s">
        <v>301</v>
      </c>
    </row>
    <row r="46" spans="1:2">
      <c r="A46" s="2" t="s">
        <v>130</v>
      </c>
      <c r="B46" s="2" t="s">
        <v>301</v>
      </c>
    </row>
    <row r="47" spans="1:2">
      <c r="A47" s="2" t="s">
        <v>223</v>
      </c>
      <c r="B47" s="2" t="s">
        <v>301</v>
      </c>
    </row>
    <row r="48" spans="1:2">
      <c r="A48" s="2" t="s">
        <v>209</v>
      </c>
      <c r="B48" s="2" t="s">
        <v>301</v>
      </c>
    </row>
    <row r="49" spans="1:2">
      <c r="A49" s="2" t="s">
        <v>245</v>
      </c>
      <c r="B49" s="2" t="s">
        <v>301</v>
      </c>
    </row>
    <row r="50" spans="1:2">
      <c r="A50" s="2" t="s">
        <v>100</v>
      </c>
      <c r="B50" s="2" t="s">
        <v>302</v>
      </c>
    </row>
    <row r="51" spans="1:2">
      <c r="A51" s="2" t="s">
        <v>124</v>
      </c>
      <c r="B51" s="2" t="s">
        <v>301</v>
      </c>
    </row>
    <row r="52" spans="1:2">
      <c r="A52" s="2" t="s">
        <v>203</v>
      </c>
      <c r="B52" s="2" t="s">
        <v>301</v>
      </c>
    </row>
    <row r="53" spans="1:2">
      <c r="A53" t="s">
        <v>5596</v>
      </c>
      <c r="B53" t="s">
        <v>301</v>
      </c>
    </row>
    <row r="54" spans="1:2">
      <c r="A54" t="s">
        <v>5597</v>
      </c>
      <c r="B54" t="s">
        <v>301</v>
      </c>
    </row>
    <row r="55" spans="1:2">
      <c r="A55" s="2" t="s">
        <v>250</v>
      </c>
      <c r="B55" s="2" t="s">
        <v>301</v>
      </c>
    </row>
    <row r="56" spans="1:2">
      <c r="A56" t="s">
        <v>5598</v>
      </c>
      <c r="B56" t="s">
        <v>301</v>
      </c>
    </row>
    <row r="57" spans="1:2">
      <c r="A57" s="2" t="s">
        <v>200</v>
      </c>
      <c r="B57" s="2" t="s">
        <v>301</v>
      </c>
    </row>
    <row r="58" spans="1:2">
      <c r="A58" s="2" t="s">
        <v>284</v>
      </c>
      <c r="B58" s="2" t="s">
        <v>301</v>
      </c>
    </row>
    <row r="59" spans="1:2">
      <c r="A59" s="2" t="s">
        <v>81</v>
      </c>
      <c r="B59" s="2" t="s">
        <v>301</v>
      </c>
    </row>
    <row r="60" spans="1:2">
      <c r="A60" s="2" t="s">
        <v>265</v>
      </c>
      <c r="B60" s="2" t="s">
        <v>301</v>
      </c>
    </row>
    <row r="61" spans="1:2">
      <c r="A61" t="s">
        <v>3471</v>
      </c>
      <c r="B61" s="2" t="s">
        <v>301</v>
      </c>
    </row>
    <row r="62" spans="1:2">
      <c r="A62" s="2" t="s">
        <v>161</v>
      </c>
      <c r="B62" s="2" t="s">
        <v>301</v>
      </c>
    </row>
    <row r="63" spans="1:2">
      <c r="A63" s="2" t="s">
        <v>82</v>
      </c>
      <c r="B63" s="2" t="s">
        <v>302</v>
      </c>
    </row>
    <row r="64" spans="1:2">
      <c r="A64" s="2" t="s">
        <v>66</v>
      </c>
      <c r="B64" s="2" t="s">
        <v>302</v>
      </c>
    </row>
    <row r="65" spans="1:2">
      <c r="A65" s="2" t="s">
        <v>156</v>
      </c>
      <c r="B65" s="2" t="s">
        <v>302</v>
      </c>
    </row>
    <row r="66" spans="1:2">
      <c r="A66" s="2" t="s">
        <v>195</v>
      </c>
      <c r="B66" s="2" t="s">
        <v>302</v>
      </c>
    </row>
    <row r="67" spans="1:2">
      <c r="A67" s="2" t="s">
        <v>55</v>
      </c>
      <c r="B67" s="2" t="s">
        <v>302</v>
      </c>
    </row>
    <row r="68" spans="1:2">
      <c r="A68" s="2" t="s">
        <v>69</v>
      </c>
      <c r="B68" s="2" t="s">
        <v>301</v>
      </c>
    </row>
    <row r="69" spans="1:2">
      <c r="A69" s="2" t="s">
        <v>295</v>
      </c>
      <c r="B69" s="2" t="s">
        <v>301</v>
      </c>
    </row>
    <row r="70" spans="1:2">
      <c r="A70" t="s">
        <v>2956</v>
      </c>
      <c r="B70" s="2" t="s">
        <v>301</v>
      </c>
    </row>
    <row r="71" spans="1:2">
      <c r="A71" s="2" t="s">
        <v>164</v>
      </c>
      <c r="B71" s="2" t="s">
        <v>301</v>
      </c>
    </row>
    <row r="72" spans="1:2">
      <c r="A72" t="s">
        <v>5599</v>
      </c>
      <c r="B72" s="2" t="s">
        <v>301</v>
      </c>
    </row>
    <row r="73" spans="1:2">
      <c r="A73" s="2" t="s">
        <v>283</v>
      </c>
      <c r="B73" s="2" t="s">
        <v>301</v>
      </c>
    </row>
    <row r="74" spans="1:2">
      <c r="A74" s="2" t="s">
        <v>152</v>
      </c>
      <c r="B74" s="2" t="s">
        <v>301</v>
      </c>
    </row>
    <row r="75" spans="1:2">
      <c r="A75" s="2" t="s">
        <v>159</v>
      </c>
      <c r="B75" s="2" t="s">
        <v>301</v>
      </c>
    </row>
    <row r="76" spans="1:2">
      <c r="A76" t="s">
        <v>5600</v>
      </c>
      <c r="B76" s="2" t="s">
        <v>301</v>
      </c>
    </row>
    <row r="77" spans="1:2">
      <c r="A77" s="2" t="s">
        <v>142</v>
      </c>
      <c r="B77" s="2" t="s">
        <v>301</v>
      </c>
    </row>
    <row r="78" spans="1:2">
      <c r="A78" s="2" t="s">
        <v>147</v>
      </c>
      <c r="B78" s="2" t="s">
        <v>301</v>
      </c>
    </row>
    <row r="79" spans="1:2">
      <c r="A79" t="s">
        <v>5601</v>
      </c>
      <c r="B79" s="2" t="s">
        <v>301</v>
      </c>
    </row>
    <row r="80" spans="1:2">
      <c r="A80" t="s">
        <v>5602</v>
      </c>
      <c r="B80" t="s">
        <v>301</v>
      </c>
    </row>
    <row r="81" spans="1:2">
      <c r="A81" s="2" t="s">
        <v>276</v>
      </c>
      <c r="B81" s="2" t="s">
        <v>301</v>
      </c>
    </row>
    <row r="82" spans="1:2">
      <c r="A82" s="2" t="s">
        <v>65</v>
      </c>
      <c r="B82" s="2" t="s">
        <v>302</v>
      </c>
    </row>
    <row r="83" spans="1:2">
      <c r="A83" t="s">
        <v>2342</v>
      </c>
      <c r="B83" s="2" t="s">
        <v>301</v>
      </c>
    </row>
    <row r="84" spans="1:2">
      <c r="A84" s="2" t="s">
        <v>155</v>
      </c>
      <c r="B84" s="2" t="s">
        <v>301</v>
      </c>
    </row>
    <row r="85" spans="1:2">
      <c r="A85" s="2" t="s">
        <v>237</v>
      </c>
      <c r="B85" s="2" t="s">
        <v>301</v>
      </c>
    </row>
    <row r="86" spans="1:2">
      <c r="A86" s="2" t="s">
        <v>120</v>
      </c>
      <c r="B86" s="2" t="s">
        <v>301</v>
      </c>
    </row>
    <row r="87" spans="1:2">
      <c r="A87" s="2" t="s">
        <v>121</v>
      </c>
      <c r="B87" s="2" t="s">
        <v>301</v>
      </c>
    </row>
    <row r="88" spans="1:2">
      <c r="A88" t="s">
        <v>3825</v>
      </c>
      <c r="B88" s="2" t="s">
        <v>301</v>
      </c>
    </row>
    <row r="89" spans="1:2">
      <c r="A89" s="2" t="s">
        <v>211</v>
      </c>
      <c r="B89" s="2" t="s">
        <v>301</v>
      </c>
    </row>
    <row r="90" spans="1:2">
      <c r="A90" s="2" t="s">
        <v>90</v>
      </c>
      <c r="B90" s="2" t="s">
        <v>301</v>
      </c>
    </row>
    <row r="91" spans="1:2">
      <c r="A91" s="2" t="s">
        <v>205</v>
      </c>
      <c r="B91" s="2" t="s">
        <v>301</v>
      </c>
    </row>
    <row r="92" spans="1:2">
      <c r="A92" s="2" t="s">
        <v>255</v>
      </c>
      <c r="B92" s="2" t="s">
        <v>301</v>
      </c>
    </row>
    <row r="93" spans="1:2">
      <c r="A93" t="s">
        <v>5603</v>
      </c>
      <c r="B93" t="s">
        <v>301</v>
      </c>
    </row>
    <row r="94" spans="1:2">
      <c r="A94" s="2" t="s">
        <v>175</v>
      </c>
      <c r="B94" s="2" t="s">
        <v>301</v>
      </c>
    </row>
    <row r="95" spans="1:2">
      <c r="A95" t="s">
        <v>3868</v>
      </c>
      <c r="B95" s="2" t="s">
        <v>302</v>
      </c>
    </row>
    <row r="96" spans="1:2">
      <c r="A96" s="2" t="s">
        <v>236</v>
      </c>
      <c r="B96" s="2" t="s">
        <v>301</v>
      </c>
    </row>
    <row r="97" spans="1:2">
      <c r="A97" t="s">
        <v>5604</v>
      </c>
      <c r="B97" s="2" t="s">
        <v>301</v>
      </c>
    </row>
    <row r="98" spans="1:2">
      <c r="A98" s="2" t="s">
        <v>72</v>
      </c>
      <c r="B98" s="2" t="s">
        <v>301</v>
      </c>
    </row>
    <row r="99" spans="1:2">
      <c r="A99" t="s">
        <v>5605</v>
      </c>
      <c r="B99" s="2" t="s">
        <v>301</v>
      </c>
    </row>
    <row r="100" spans="1:2">
      <c r="A100" s="2" t="s">
        <v>206</v>
      </c>
      <c r="B100" s="2" t="s">
        <v>301</v>
      </c>
    </row>
    <row r="101" spans="1:2">
      <c r="A101" s="2" t="s">
        <v>107</v>
      </c>
      <c r="B101" s="2" t="s">
        <v>301</v>
      </c>
    </row>
    <row r="102" spans="1:2">
      <c r="A102" t="s">
        <v>5606</v>
      </c>
      <c r="B102" s="2" t="s">
        <v>301</v>
      </c>
    </row>
    <row r="103" spans="1:2">
      <c r="A103" s="2" t="s">
        <v>240</v>
      </c>
      <c r="B103" s="2" t="s">
        <v>301</v>
      </c>
    </row>
    <row r="104" spans="1:2">
      <c r="A104" s="2" t="s">
        <v>186</v>
      </c>
      <c r="B104" s="2" t="s">
        <v>301</v>
      </c>
    </row>
    <row r="105" spans="1:2">
      <c r="A105" s="2" t="s">
        <v>61</v>
      </c>
      <c r="B105" s="2" t="s">
        <v>302</v>
      </c>
    </row>
    <row r="106" spans="1:2">
      <c r="A106" t="s">
        <v>5607</v>
      </c>
      <c r="B106" s="2" t="s">
        <v>302</v>
      </c>
    </row>
    <row r="107" spans="1:2">
      <c r="A107" s="2" t="s">
        <v>216</v>
      </c>
      <c r="B107" s="2" t="s">
        <v>301</v>
      </c>
    </row>
    <row r="108" spans="1:2">
      <c r="A108" t="s">
        <v>5608</v>
      </c>
      <c r="B108" s="2" t="s">
        <v>301</v>
      </c>
    </row>
    <row r="109" spans="1:2">
      <c r="A109" s="2" t="s">
        <v>231</v>
      </c>
      <c r="B109" s="2" t="s">
        <v>301</v>
      </c>
    </row>
    <row r="110" spans="1:2">
      <c r="A110" s="2" t="s">
        <v>139</v>
      </c>
      <c r="B110" s="2" t="s">
        <v>302</v>
      </c>
    </row>
    <row r="111" spans="1:2">
      <c r="A111" s="2" t="s">
        <v>228</v>
      </c>
      <c r="B111" s="2" t="s">
        <v>301</v>
      </c>
    </row>
    <row r="112" spans="1:2">
      <c r="A112" s="2" t="s">
        <v>282</v>
      </c>
      <c r="B112" s="2" t="s">
        <v>301</v>
      </c>
    </row>
    <row r="113" spans="1:2">
      <c r="A113" s="2" t="s">
        <v>229</v>
      </c>
      <c r="B113" s="2" t="s">
        <v>301</v>
      </c>
    </row>
    <row r="114" spans="1:2">
      <c r="A114" s="2" t="s">
        <v>101</v>
      </c>
      <c r="B114" s="2" t="s">
        <v>301</v>
      </c>
    </row>
    <row r="115" spans="1:2">
      <c r="A115" t="s">
        <v>5609</v>
      </c>
      <c r="B115" s="2" t="s">
        <v>301</v>
      </c>
    </row>
    <row r="116" spans="1:2">
      <c r="A116" s="2" t="s">
        <v>162</v>
      </c>
      <c r="B116" s="2" t="s">
        <v>301</v>
      </c>
    </row>
    <row r="117" spans="1:2">
      <c r="A117" s="2" t="s">
        <v>196</v>
      </c>
      <c r="B117" s="2" t="s">
        <v>301</v>
      </c>
    </row>
    <row r="118" spans="1:2">
      <c r="A118" t="s">
        <v>5610</v>
      </c>
      <c r="B118" s="2" t="s">
        <v>301</v>
      </c>
    </row>
    <row r="119" spans="1:2">
      <c r="A119" s="2" t="s">
        <v>192</v>
      </c>
      <c r="B119" s="2" t="s">
        <v>301</v>
      </c>
    </row>
    <row r="120" spans="1:2">
      <c r="A120" t="s">
        <v>2048</v>
      </c>
      <c r="B120" s="2" t="s">
        <v>302</v>
      </c>
    </row>
    <row r="121" spans="1:2">
      <c r="A121" t="s">
        <v>1274</v>
      </c>
      <c r="B121" s="2" t="s">
        <v>302</v>
      </c>
    </row>
    <row r="122" spans="1:2">
      <c r="A122" s="2" t="s">
        <v>110</v>
      </c>
      <c r="B122" s="2" t="s">
        <v>301</v>
      </c>
    </row>
    <row r="123" spans="1:2">
      <c r="A123" s="2" t="s">
        <v>218</v>
      </c>
      <c r="B123" s="2" t="s">
        <v>301</v>
      </c>
    </row>
    <row r="124" spans="1:2">
      <c r="A124" s="2" t="s">
        <v>134</v>
      </c>
      <c r="B124" s="2" t="s">
        <v>301</v>
      </c>
    </row>
    <row r="125" spans="1:2">
      <c r="A125" s="2" t="s">
        <v>254</v>
      </c>
      <c r="B125" s="2" t="s">
        <v>301</v>
      </c>
    </row>
    <row r="126" spans="1:2">
      <c r="A126" t="s">
        <v>1670</v>
      </c>
      <c r="B126" s="2" t="s">
        <v>302</v>
      </c>
    </row>
    <row r="127" spans="1:2">
      <c r="A127" s="2" t="s">
        <v>119</v>
      </c>
      <c r="B127" s="2" t="s">
        <v>301</v>
      </c>
    </row>
    <row r="128" spans="1:2">
      <c r="A128" s="2" t="s">
        <v>56</v>
      </c>
      <c r="B128" s="2" t="s">
        <v>302</v>
      </c>
    </row>
    <row r="129" spans="1:2">
      <c r="A129" s="2" t="s">
        <v>53</v>
      </c>
      <c r="B129" s="2" t="s">
        <v>302</v>
      </c>
    </row>
    <row r="130" spans="1:2">
      <c r="A130" s="2" t="s">
        <v>112</v>
      </c>
      <c r="B130" s="2" t="s">
        <v>302</v>
      </c>
    </row>
    <row r="131" spans="1:2">
      <c r="A131" s="2" t="s">
        <v>105</v>
      </c>
      <c r="B131" s="2" t="s">
        <v>301</v>
      </c>
    </row>
    <row r="132" spans="1:2">
      <c r="A132" s="2" t="s">
        <v>88</v>
      </c>
      <c r="B132" s="2" t="s">
        <v>301</v>
      </c>
    </row>
    <row r="133" spans="1:2">
      <c r="A133" s="2" t="s">
        <v>133</v>
      </c>
      <c r="B133" s="2" t="s">
        <v>301</v>
      </c>
    </row>
    <row r="134" spans="1:2">
      <c r="A134" s="2" t="s">
        <v>118</v>
      </c>
      <c r="B134" s="2" t="s">
        <v>301</v>
      </c>
    </row>
    <row r="135" spans="1:2">
      <c r="A135" s="2" t="s">
        <v>202</v>
      </c>
      <c r="B135" s="2" t="s">
        <v>301</v>
      </c>
    </row>
    <row r="136" spans="1:2">
      <c r="A136" t="s">
        <v>5611</v>
      </c>
      <c r="B136" s="2" t="s">
        <v>301</v>
      </c>
    </row>
    <row r="137" spans="1:2">
      <c r="A137" s="2" t="s">
        <v>279</v>
      </c>
      <c r="B137" s="2" t="s">
        <v>301</v>
      </c>
    </row>
    <row r="138" spans="1:2">
      <c r="A138" t="s">
        <v>5612</v>
      </c>
      <c r="B138" s="2" t="s">
        <v>301</v>
      </c>
    </row>
    <row r="139" spans="1:2">
      <c r="A139" s="2" t="s">
        <v>181</v>
      </c>
      <c r="B139" s="2" t="s">
        <v>301</v>
      </c>
    </row>
    <row r="140" spans="1:2">
      <c r="A140" t="s">
        <v>5613</v>
      </c>
      <c r="B140" s="2" t="s">
        <v>301</v>
      </c>
    </row>
    <row r="141" spans="1:2">
      <c r="A141" t="s">
        <v>5614</v>
      </c>
      <c r="B141" s="2" t="s">
        <v>301</v>
      </c>
    </row>
    <row r="142" spans="1:2">
      <c r="A142" s="2" t="s">
        <v>127</v>
      </c>
      <c r="B142" s="2" t="s">
        <v>301</v>
      </c>
    </row>
    <row r="143" spans="1:2">
      <c r="A143" t="s">
        <v>5615</v>
      </c>
      <c r="B143" s="2" t="s">
        <v>301</v>
      </c>
    </row>
    <row r="144" spans="1:2">
      <c r="A144" t="s">
        <v>5616</v>
      </c>
      <c r="B144" s="2" t="s">
        <v>301</v>
      </c>
    </row>
    <row r="145" spans="1:2">
      <c r="A145" t="s">
        <v>5617</v>
      </c>
      <c r="B145" s="2" t="s">
        <v>301</v>
      </c>
    </row>
    <row r="146" spans="1:2">
      <c r="A146" s="2" t="s">
        <v>170</v>
      </c>
      <c r="B146" s="2" t="s">
        <v>301</v>
      </c>
    </row>
    <row r="147" spans="1:2">
      <c r="A147" t="s">
        <v>5244</v>
      </c>
      <c r="B147" s="2" t="s">
        <v>301</v>
      </c>
    </row>
    <row r="148" spans="1:2">
      <c r="A148" s="2" t="s">
        <v>106</v>
      </c>
      <c r="B148" s="2" t="s">
        <v>302</v>
      </c>
    </row>
    <row r="149" spans="1:2">
      <c r="A149" s="2" t="s">
        <v>273</v>
      </c>
      <c r="B149" s="2" t="s">
        <v>301</v>
      </c>
    </row>
    <row r="150" spans="1:2">
      <c r="A150" s="2" t="s">
        <v>222</v>
      </c>
      <c r="B150" s="2" t="s">
        <v>301</v>
      </c>
    </row>
    <row r="151" spans="1:2">
      <c r="A151" s="2" t="s">
        <v>257</v>
      </c>
      <c r="B151" s="2" t="s">
        <v>301</v>
      </c>
    </row>
    <row r="152" spans="1:2">
      <c r="A152" s="2" t="s">
        <v>261</v>
      </c>
      <c r="B152" s="2" t="s">
        <v>301</v>
      </c>
    </row>
    <row r="153" spans="1:2">
      <c r="A153" t="s">
        <v>5618</v>
      </c>
      <c r="B153" s="2" t="s">
        <v>301</v>
      </c>
    </row>
    <row r="154" spans="1:2">
      <c r="A154" t="s">
        <v>5619</v>
      </c>
      <c r="B154" t="s">
        <v>301</v>
      </c>
    </row>
    <row r="155" spans="1:2">
      <c r="A155" s="2" t="s">
        <v>256</v>
      </c>
      <c r="B155" s="2" t="s">
        <v>301</v>
      </c>
    </row>
    <row r="156" spans="1:2">
      <c r="A156" s="2" t="s">
        <v>271</v>
      </c>
      <c r="B156" s="2" t="s">
        <v>301</v>
      </c>
    </row>
    <row r="157" spans="1:2">
      <c r="A157" s="2" t="s">
        <v>242</v>
      </c>
      <c r="B157" s="2" t="s">
        <v>301</v>
      </c>
    </row>
    <row r="158" spans="1:2">
      <c r="A158" s="2" t="s">
        <v>243</v>
      </c>
      <c r="B158" s="2" t="s">
        <v>301</v>
      </c>
    </row>
    <row r="159" spans="1:2">
      <c r="A159" s="2" t="s">
        <v>149</v>
      </c>
      <c r="B159" s="2" t="s">
        <v>301</v>
      </c>
    </row>
    <row r="160" spans="1:2">
      <c r="A160" s="2" t="s">
        <v>189</v>
      </c>
      <c r="B160" s="2" t="s">
        <v>301</v>
      </c>
    </row>
    <row r="161" spans="1:2">
      <c r="A161" s="2" t="s">
        <v>166</v>
      </c>
      <c r="B161" s="2" t="s">
        <v>301</v>
      </c>
    </row>
    <row r="162" spans="1:2">
      <c r="A162" s="2" t="s">
        <v>198</v>
      </c>
      <c r="B162" s="2" t="s">
        <v>301</v>
      </c>
    </row>
    <row r="163" spans="1:2">
      <c r="A163" s="2" t="s">
        <v>143</v>
      </c>
      <c r="B163" s="2" t="s">
        <v>301</v>
      </c>
    </row>
    <row r="164" spans="1:2">
      <c r="A164" t="s">
        <v>1242</v>
      </c>
      <c r="B164" s="2" t="s">
        <v>301</v>
      </c>
    </row>
    <row r="165" spans="1:2">
      <c r="A165" s="2" t="s">
        <v>145</v>
      </c>
      <c r="B165" s="2" t="s">
        <v>301</v>
      </c>
    </row>
    <row r="166" spans="1:2">
      <c r="A166" s="2" t="s">
        <v>210</v>
      </c>
      <c r="B166" s="2" t="s">
        <v>301</v>
      </c>
    </row>
    <row r="167" spans="1:2">
      <c r="A167" s="2" t="s">
        <v>213</v>
      </c>
      <c r="B167" s="2" t="s">
        <v>301</v>
      </c>
    </row>
    <row r="168" spans="1:2">
      <c r="A168" s="2" t="s">
        <v>197</v>
      </c>
      <c r="B168" s="2" t="s">
        <v>301</v>
      </c>
    </row>
    <row r="169" spans="1:2">
      <c r="A169" s="2" t="s">
        <v>268</v>
      </c>
      <c r="B169" s="2" t="s">
        <v>301</v>
      </c>
    </row>
    <row r="170" spans="1:2">
      <c r="A170" s="2" t="s">
        <v>233</v>
      </c>
      <c r="B170" s="2" t="s">
        <v>301</v>
      </c>
    </row>
    <row r="171" spans="1:2">
      <c r="A171" s="2" t="s">
        <v>98</v>
      </c>
      <c r="B171" s="2" t="s">
        <v>301</v>
      </c>
    </row>
    <row r="172" spans="1:2">
      <c r="A172" s="2" t="s">
        <v>49</v>
      </c>
      <c r="B172" s="2" t="s">
        <v>301</v>
      </c>
    </row>
    <row r="173" spans="1:2">
      <c r="A173" s="2" t="s">
        <v>123</v>
      </c>
      <c r="B173" s="2" t="s">
        <v>301</v>
      </c>
    </row>
    <row r="174" spans="1:2">
      <c r="A174" s="2" t="s">
        <v>45</v>
      </c>
      <c r="B174" s="2" t="s">
        <v>301</v>
      </c>
    </row>
    <row r="175" spans="1:2">
      <c r="A175" t="s">
        <v>5620</v>
      </c>
      <c r="B175" s="2" t="s">
        <v>301</v>
      </c>
    </row>
    <row r="176" spans="1:2">
      <c r="A176" s="2" t="s">
        <v>73</v>
      </c>
      <c r="B176" s="2" t="s">
        <v>301</v>
      </c>
    </row>
    <row r="177" spans="1:2">
      <c r="A177" s="2" t="s">
        <v>267</v>
      </c>
      <c r="B177" s="2" t="s">
        <v>301</v>
      </c>
    </row>
    <row r="178" spans="1:2">
      <c r="A178" s="2" t="s">
        <v>160</v>
      </c>
      <c r="B178" s="2" t="s">
        <v>301</v>
      </c>
    </row>
    <row r="179" spans="1:2">
      <c r="A179" s="2" t="s">
        <v>269</v>
      </c>
      <c r="B179" s="2" t="s">
        <v>301</v>
      </c>
    </row>
    <row r="180" spans="1:2">
      <c r="A180" t="s">
        <v>5621</v>
      </c>
      <c r="B180" s="2" t="s">
        <v>301</v>
      </c>
    </row>
    <row r="181" spans="1:2">
      <c r="A181" s="2" t="s">
        <v>146</v>
      </c>
      <c r="B181" s="2" t="s">
        <v>301</v>
      </c>
    </row>
    <row r="182" spans="1:2">
      <c r="A182" s="2" t="s">
        <v>108</v>
      </c>
      <c r="B182" s="2" t="s">
        <v>301</v>
      </c>
    </row>
    <row r="183" spans="1:2">
      <c r="A183" t="s">
        <v>5622</v>
      </c>
      <c r="B183" s="2" t="s">
        <v>301</v>
      </c>
    </row>
    <row r="184" spans="1:2">
      <c r="A184" s="2" t="s">
        <v>74</v>
      </c>
      <c r="B184" s="2" t="s">
        <v>301</v>
      </c>
    </row>
    <row r="185" spans="1:2">
      <c r="A185" s="2" t="s">
        <v>103</v>
      </c>
      <c r="B185" s="2" t="s">
        <v>301</v>
      </c>
    </row>
    <row r="186" spans="1:2">
      <c r="A186" s="2" t="s">
        <v>131</v>
      </c>
      <c r="B186" s="2" t="s">
        <v>301</v>
      </c>
    </row>
    <row r="187" spans="1:2">
      <c r="A187" s="2" t="s">
        <v>239</v>
      </c>
      <c r="B187" s="2" t="s">
        <v>301</v>
      </c>
    </row>
    <row r="188" spans="1:2">
      <c r="A188" t="s">
        <v>5623</v>
      </c>
      <c r="B188" t="s">
        <v>301</v>
      </c>
    </row>
    <row r="189" spans="1:2">
      <c r="A189" s="2" t="s">
        <v>67</v>
      </c>
      <c r="B189" s="2" t="s">
        <v>301</v>
      </c>
    </row>
    <row r="190" spans="1:2">
      <c r="A190" s="2" t="s">
        <v>111</v>
      </c>
      <c r="B190" s="2" t="s">
        <v>301</v>
      </c>
    </row>
    <row r="191" spans="1:2">
      <c r="A191" s="2" t="s">
        <v>193</v>
      </c>
      <c r="B191" s="2" t="s">
        <v>301</v>
      </c>
    </row>
    <row r="192" spans="1:2">
      <c r="A192" s="2" t="s">
        <v>70</v>
      </c>
      <c r="B192" s="2" t="s">
        <v>301</v>
      </c>
    </row>
    <row r="193" spans="1:2">
      <c r="A193" s="2" t="s">
        <v>114</v>
      </c>
      <c r="B193" s="2" t="s">
        <v>301</v>
      </c>
    </row>
    <row r="194" spans="1:2">
      <c r="A194" s="2" t="s">
        <v>89</v>
      </c>
      <c r="B194" s="2" t="s">
        <v>301</v>
      </c>
    </row>
    <row r="195" spans="1:2">
      <c r="A195" s="2" t="s">
        <v>113</v>
      </c>
      <c r="B195" s="2" t="s">
        <v>301</v>
      </c>
    </row>
    <row r="196" spans="1:2">
      <c r="A196" s="2" t="s">
        <v>234</v>
      </c>
      <c r="B196" s="2" t="s">
        <v>301</v>
      </c>
    </row>
    <row r="197" spans="1:2">
      <c r="A197" s="2" t="s">
        <v>289</v>
      </c>
      <c r="B197" s="2" t="s">
        <v>301</v>
      </c>
    </row>
    <row r="198" spans="1:2">
      <c r="A198" t="s">
        <v>5624</v>
      </c>
      <c r="B198" s="2" t="s">
        <v>301</v>
      </c>
    </row>
    <row r="199" spans="1:2">
      <c r="A199" t="s">
        <v>5625</v>
      </c>
      <c r="B199" t="s">
        <v>301</v>
      </c>
    </row>
    <row r="200" spans="1:2">
      <c r="A200" s="2" t="s">
        <v>83</v>
      </c>
      <c r="B200" s="2" t="s">
        <v>301</v>
      </c>
    </row>
    <row r="201" spans="1:2">
      <c r="A201" s="2" t="s">
        <v>285</v>
      </c>
      <c r="B201" s="2" t="s">
        <v>301</v>
      </c>
    </row>
    <row r="202" spans="1:2">
      <c r="A202" s="2" t="s">
        <v>173</v>
      </c>
      <c r="B202" s="2" t="s">
        <v>301</v>
      </c>
    </row>
    <row r="203" spans="1:2">
      <c r="A203" s="2" t="s">
        <v>274</v>
      </c>
      <c r="B203" s="2" t="s">
        <v>301</v>
      </c>
    </row>
    <row r="204" spans="1:2">
      <c r="A204" t="s">
        <v>5626</v>
      </c>
      <c r="B204" t="s">
        <v>301</v>
      </c>
    </row>
    <row r="205" spans="1:2">
      <c r="A205" t="s">
        <v>3024</v>
      </c>
      <c r="B205" s="2" t="s">
        <v>301</v>
      </c>
    </row>
    <row r="206" spans="1:2">
      <c r="A206" s="2" t="s">
        <v>264</v>
      </c>
      <c r="B206" s="2" t="s">
        <v>301</v>
      </c>
    </row>
    <row r="207" spans="1:2">
      <c r="A207" s="2" t="s">
        <v>75</v>
      </c>
      <c r="B207" s="2" t="s">
        <v>301</v>
      </c>
    </row>
    <row r="208" spans="1:2">
      <c r="A208" t="s">
        <v>5627</v>
      </c>
      <c r="B208" t="s">
        <v>301</v>
      </c>
    </row>
    <row r="209" spans="1:2">
      <c r="A209" t="s">
        <v>5628</v>
      </c>
      <c r="B209" s="2" t="s">
        <v>301</v>
      </c>
    </row>
    <row r="210" spans="1:2">
      <c r="A210" s="2" t="s">
        <v>126</v>
      </c>
      <c r="B210" s="2" t="s">
        <v>301</v>
      </c>
    </row>
    <row r="211" spans="1:2">
      <c r="A211" s="2" t="s">
        <v>190</v>
      </c>
      <c r="B211" s="2" t="s">
        <v>301</v>
      </c>
    </row>
    <row r="212" spans="1:2">
      <c r="A212" s="2" t="s">
        <v>207</v>
      </c>
      <c r="B212" s="2" t="s">
        <v>301</v>
      </c>
    </row>
    <row r="213" spans="1:2">
      <c r="A213" t="s">
        <v>2873</v>
      </c>
      <c r="B213" s="2" t="s">
        <v>301</v>
      </c>
    </row>
    <row r="214" spans="1:2">
      <c r="A214" s="2" t="s">
        <v>140</v>
      </c>
      <c r="B214" s="2" t="s">
        <v>301</v>
      </c>
    </row>
    <row r="215" spans="1:2">
      <c r="A215" t="s">
        <v>4992</v>
      </c>
      <c r="B215" s="2" t="s">
        <v>301</v>
      </c>
    </row>
    <row r="216" spans="1:2">
      <c r="A216" s="2" t="s">
        <v>174</v>
      </c>
      <c r="B216" s="2" t="s">
        <v>301</v>
      </c>
    </row>
    <row r="217" spans="1:2">
      <c r="A217" s="2" t="s">
        <v>99</v>
      </c>
      <c r="B217" s="2" t="s">
        <v>301</v>
      </c>
    </row>
    <row r="218" spans="1:2">
      <c r="A218" s="2" t="s">
        <v>212</v>
      </c>
      <c r="B218" s="2" t="s">
        <v>301</v>
      </c>
    </row>
    <row r="219" spans="1:2">
      <c r="A219" s="2" t="s">
        <v>208</v>
      </c>
      <c r="B219" s="2" t="s">
        <v>301</v>
      </c>
    </row>
    <row r="220" spans="1:2">
      <c r="A220" t="s">
        <v>1266</v>
      </c>
      <c r="B220" s="2" t="s">
        <v>301</v>
      </c>
    </row>
    <row r="221" spans="1:2">
      <c r="A221" s="2" t="s">
        <v>168</v>
      </c>
      <c r="B221" s="2" t="s">
        <v>301</v>
      </c>
    </row>
    <row r="222" spans="1:2">
      <c r="A222" s="2" t="s">
        <v>244</v>
      </c>
      <c r="B222" s="2" t="s">
        <v>301</v>
      </c>
    </row>
    <row r="223" spans="1:2">
      <c r="A223" s="2" t="s">
        <v>230</v>
      </c>
      <c r="B223" s="2" t="s">
        <v>301</v>
      </c>
    </row>
    <row r="224" spans="1:2">
      <c r="A224" s="2" t="s">
        <v>225</v>
      </c>
      <c r="B224" s="2" t="s">
        <v>301</v>
      </c>
    </row>
    <row r="225" spans="1:2">
      <c r="A225" s="2" t="s">
        <v>185</v>
      </c>
      <c r="B225" s="2" t="s">
        <v>301</v>
      </c>
    </row>
    <row r="226" spans="1:2">
      <c r="A226" s="2" t="s">
        <v>183</v>
      </c>
      <c r="B226" s="2" t="s">
        <v>301</v>
      </c>
    </row>
    <row r="227" spans="1:2">
      <c r="A227" t="s">
        <v>5629</v>
      </c>
      <c r="B227" t="s">
        <v>301</v>
      </c>
    </row>
    <row r="228" spans="1:2">
      <c r="A228" s="2" t="s">
        <v>163</v>
      </c>
      <c r="B228" s="2" t="s">
        <v>301</v>
      </c>
    </row>
    <row r="229" spans="1:2">
      <c r="A229" s="2" t="s">
        <v>76</v>
      </c>
      <c r="B229" s="2" t="s">
        <v>301</v>
      </c>
    </row>
    <row r="230" spans="1:2">
      <c r="A230" t="s">
        <v>5630</v>
      </c>
      <c r="B230" s="2" t="s">
        <v>301</v>
      </c>
    </row>
    <row r="231" spans="1:2">
      <c r="A231" s="2" t="s">
        <v>171</v>
      </c>
      <c r="B231" s="2" t="s">
        <v>301</v>
      </c>
    </row>
    <row r="232" spans="1:2">
      <c r="A232" s="2" t="s">
        <v>94</v>
      </c>
      <c r="B232" s="2" t="s">
        <v>302</v>
      </c>
    </row>
    <row r="233" spans="1:2">
      <c r="A233" t="s">
        <v>3503</v>
      </c>
      <c r="B233" s="2" t="s">
        <v>301</v>
      </c>
    </row>
    <row r="234" spans="1:2">
      <c r="A234" s="2" t="s">
        <v>194</v>
      </c>
      <c r="B234" s="2" t="s">
        <v>301</v>
      </c>
    </row>
    <row r="235" spans="1:2">
      <c r="A235" s="2" t="s">
        <v>278</v>
      </c>
      <c r="B235" s="2" t="s">
        <v>301</v>
      </c>
    </row>
    <row r="236" spans="1:2">
      <c r="A236" s="2" t="s">
        <v>221</v>
      </c>
      <c r="B236" s="2" t="s">
        <v>301</v>
      </c>
    </row>
    <row r="237" spans="1:2">
      <c r="A237" t="s">
        <v>386</v>
      </c>
      <c r="B237" s="2" t="s">
        <v>301</v>
      </c>
    </row>
    <row r="238" spans="1:2">
      <c r="A238" s="2" t="s">
        <v>176</v>
      </c>
      <c r="B238" s="2" t="s">
        <v>301</v>
      </c>
    </row>
    <row r="239" spans="1:2">
      <c r="A239" s="2" t="s">
        <v>262</v>
      </c>
      <c r="B239" s="2" t="s">
        <v>301</v>
      </c>
    </row>
    <row r="240" spans="1:2">
      <c r="A240" t="s">
        <v>5631</v>
      </c>
      <c r="B240" s="2" t="s">
        <v>301</v>
      </c>
    </row>
    <row r="241" spans="1:2">
      <c r="A241" t="s">
        <v>5632</v>
      </c>
      <c r="B241" t="s">
        <v>301</v>
      </c>
    </row>
    <row r="242" spans="1:2">
      <c r="A242" s="2" t="s">
        <v>153</v>
      </c>
      <c r="B242" s="2" t="s">
        <v>301</v>
      </c>
    </row>
    <row r="243" spans="1:2">
      <c r="A243" t="s">
        <v>5633</v>
      </c>
      <c r="B243" s="2" t="s">
        <v>301</v>
      </c>
    </row>
    <row r="244" spans="1:2">
      <c r="A244" s="2" t="s">
        <v>93</v>
      </c>
      <c r="B244" s="2" t="s">
        <v>301</v>
      </c>
    </row>
    <row r="245" spans="1:2">
      <c r="A245" s="2" t="s">
        <v>150</v>
      </c>
      <c r="B245" s="2" t="s">
        <v>301</v>
      </c>
    </row>
    <row r="246" spans="1:2">
      <c r="A246" s="2" t="s">
        <v>187</v>
      </c>
      <c r="B246" s="2" t="s">
        <v>301</v>
      </c>
    </row>
    <row r="247" spans="1:2">
      <c r="A247" s="2" t="s">
        <v>79</v>
      </c>
      <c r="B247" s="2" t="s">
        <v>301</v>
      </c>
    </row>
    <row r="248" spans="1:2">
      <c r="A248" s="2" t="s">
        <v>148</v>
      </c>
      <c r="B248" s="2" t="s">
        <v>301</v>
      </c>
    </row>
    <row r="249" spans="1:2">
      <c r="A249" s="2" t="s">
        <v>292</v>
      </c>
      <c r="B249" s="2" t="s">
        <v>301</v>
      </c>
    </row>
    <row r="250" spans="1:2">
      <c r="A250" t="s">
        <v>5634</v>
      </c>
      <c r="B250" s="2" t="s">
        <v>301</v>
      </c>
    </row>
    <row r="251" spans="1:2">
      <c r="A251" s="2" t="s">
        <v>224</v>
      </c>
      <c r="B251" s="2" t="s">
        <v>301</v>
      </c>
    </row>
    <row r="252" spans="1:2">
      <c r="A252" s="2" t="s">
        <v>138</v>
      </c>
      <c r="B252" s="2" t="s">
        <v>301</v>
      </c>
    </row>
    <row r="253" spans="1:2">
      <c r="A253" s="2" t="s">
        <v>246</v>
      </c>
      <c r="B253" s="2" t="s">
        <v>301</v>
      </c>
    </row>
    <row r="254" spans="1:2">
      <c r="A254" s="2" t="s">
        <v>97</v>
      </c>
      <c r="B254" s="2" t="s">
        <v>301</v>
      </c>
    </row>
    <row r="255" spans="1:2">
      <c r="A255" s="2" t="s">
        <v>172</v>
      </c>
      <c r="B255" s="2" t="s">
        <v>301</v>
      </c>
    </row>
    <row r="256" spans="1:2">
      <c r="A256" s="2" t="s">
        <v>251</v>
      </c>
      <c r="B256" s="2" t="s">
        <v>301</v>
      </c>
    </row>
    <row r="257" spans="1:2">
      <c r="A257" s="2" t="s">
        <v>91</v>
      </c>
      <c r="B257" s="2" t="s">
        <v>301</v>
      </c>
    </row>
    <row r="258" spans="1:2">
      <c r="A258" s="2" t="s">
        <v>294</v>
      </c>
      <c r="B258" s="2" t="s">
        <v>301</v>
      </c>
    </row>
    <row r="259" spans="1:2">
      <c r="A259" s="2" t="s">
        <v>182</v>
      </c>
      <c r="B259" s="2" t="s">
        <v>301</v>
      </c>
    </row>
    <row r="260" spans="1:2">
      <c r="A260" t="s">
        <v>5635</v>
      </c>
      <c r="B260" t="s">
        <v>301</v>
      </c>
    </row>
    <row r="261" spans="1:2">
      <c r="A261" t="s">
        <v>5636</v>
      </c>
      <c r="B261" s="2" t="s">
        <v>301</v>
      </c>
    </row>
    <row r="262" spans="1:2">
      <c r="A262" t="s">
        <v>5637</v>
      </c>
      <c r="B262" s="2" t="s">
        <v>301</v>
      </c>
    </row>
    <row r="263" spans="1:2">
      <c r="A263" s="2" t="s">
        <v>296</v>
      </c>
      <c r="B263" s="2" t="s">
        <v>301</v>
      </c>
    </row>
    <row r="264" spans="1:2">
      <c r="A264" t="s">
        <v>5638</v>
      </c>
      <c r="B264" s="2" t="s">
        <v>301</v>
      </c>
    </row>
    <row r="265" spans="1:2">
      <c r="A265" s="2" t="s">
        <v>129</v>
      </c>
      <c r="B265" s="2" t="s">
        <v>301</v>
      </c>
    </row>
    <row r="266" spans="1:2">
      <c r="A266" s="2" t="s">
        <v>272</v>
      </c>
      <c r="B266" s="2" t="s">
        <v>301</v>
      </c>
    </row>
    <row r="267" spans="1:2">
      <c r="A267" s="2" t="s">
        <v>227</v>
      </c>
      <c r="B267" s="2" t="s">
        <v>301</v>
      </c>
    </row>
    <row r="268" spans="1:2">
      <c r="A268" s="2" t="s">
        <v>128</v>
      </c>
      <c r="B268" s="2" t="s">
        <v>301</v>
      </c>
    </row>
    <row r="269" spans="1:2">
      <c r="A269" s="2" t="s">
        <v>263</v>
      </c>
      <c r="B269" s="2" t="s">
        <v>301</v>
      </c>
    </row>
    <row r="270" spans="1:2">
      <c r="A270" t="s">
        <v>5639</v>
      </c>
      <c r="B270" s="2" t="s">
        <v>301</v>
      </c>
    </row>
    <row r="271" spans="1:2">
      <c r="A271" t="s">
        <v>5640</v>
      </c>
      <c r="B271" t="s">
        <v>301</v>
      </c>
    </row>
    <row r="272" spans="1:2">
      <c r="A272" s="2" t="s">
        <v>238</v>
      </c>
      <c r="B272" s="2" t="s">
        <v>301</v>
      </c>
    </row>
    <row r="273" spans="1:2">
      <c r="A273" t="s">
        <v>2345</v>
      </c>
      <c r="B273" s="2" t="s">
        <v>301</v>
      </c>
    </row>
    <row r="274" spans="1:2">
      <c r="A274" s="2" t="s">
        <v>154</v>
      </c>
      <c r="B274" s="2" t="s">
        <v>301</v>
      </c>
    </row>
    <row r="275" spans="1:2">
      <c r="A275" s="2" t="s">
        <v>252</v>
      </c>
      <c r="B275" s="2" t="s">
        <v>301</v>
      </c>
    </row>
    <row r="276" spans="1:2">
      <c r="A276" t="s">
        <v>3599</v>
      </c>
      <c r="B276" s="2" t="s">
        <v>301</v>
      </c>
    </row>
    <row r="277" spans="1:2">
      <c r="A277" t="s">
        <v>3599</v>
      </c>
      <c r="B277" s="2" t="s">
        <v>301</v>
      </c>
    </row>
    <row r="278" spans="1:2">
      <c r="A278" s="2" t="s">
        <v>85</v>
      </c>
      <c r="B278" s="2" t="s">
        <v>301</v>
      </c>
    </row>
    <row r="279" spans="1:2">
      <c r="A279" s="2" t="s">
        <v>188</v>
      </c>
      <c r="B279" s="2" t="s">
        <v>301</v>
      </c>
    </row>
    <row r="280" spans="1:2">
      <c r="A280" s="2" t="s">
        <v>165</v>
      </c>
      <c r="B280" s="2" t="s">
        <v>301</v>
      </c>
    </row>
    <row r="281" spans="1:2">
      <c r="A281" s="2" t="s">
        <v>199</v>
      </c>
      <c r="B281" s="2" t="s">
        <v>301</v>
      </c>
    </row>
    <row r="282" spans="1:2">
      <c r="A282" s="2" t="s">
        <v>144</v>
      </c>
      <c r="B282" s="2" t="s">
        <v>301</v>
      </c>
    </row>
    <row r="283" spans="1:2">
      <c r="A283" t="s">
        <v>5641</v>
      </c>
      <c r="B283" s="2" t="s">
        <v>301</v>
      </c>
    </row>
    <row r="284" spans="1:2">
      <c r="A284" s="2" t="s">
        <v>290</v>
      </c>
      <c r="B284" s="2" t="s">
        <v>301</v>
      </c>
    </row>
    <row r="285" spans="1:2">
      <c r="A285" s="2" t="s">
        <v>115</v>
      </c>
      <c r="B285" s="2" t="s">
        <v>301</v>
      </c>
    </row>
    <row r="286" spans="1:2">
      <c r="A286" s="2" t="s">
        <v>136</v>
      </c>
      <c r="B286" s="2" t="s">
        <v>301</v>
      </c>
    </row>
    <row r="287" spans="1:2">
      <c r="A287" s="2" t="s">
        <v>266</v>
      </c>
      <c r="B287" s="2" t="s">
        <v>301</v>
      </c>
    </row>
    <row r="288" spans="1:2">
      <c r="A288" s="2" t="s">
        <v>141</v>
      </c>
      <c r="B288" s="2" t="s">
        <v>301</v>
      </c>
    </row>
    <row r="289" spans="1:2">
      <c r="A289" s="2" t="s">
        <v>177</v>
      </c>
      <c r="B289" s="2" t="s">
        <v>301</v>
      </c>
    </row>
    <row r="290" spans="1:2">
      <c r="A290" s="2" t="s">
        <v>178</v>
      </c>
      <c r="B290" s="2" t="s">
        <v>301</v>
      </c>
    </row>
    <row r="291" spans="1:2">
      <c r="A291" s="2" t="s">
        <v>232</v>
      </c>
      <c r="B291" s="2" t="s">
        <v>301</v>
      </c>
    </row>
    <row r="292" spans="1:2">
      <c r="A292" s="2" t="s">
        <v>96</v>
      </c>
      <c r="B292" s="2" t="s">
        <v>301</v>
      </c>
    </row>
    <row r="293" spans="1:2">
      <c r="A293" s="2" t="s">
        <v>275</v>
      </c>
      <c r="B293" s="2" t="s">
        <v>301</v>
      </c>
    </row>
    <row r="294" spans="1:2">
      <c r="A294" s="2" t="s">
        <v>125</v>
      </c>
      <c r="B294" s="2" t="s">
        <v>302</v>
      </c>
    </row>
    <row r="295" spans="1:2">
      <c r="A295" s="2" t="s">
        <v>62</v>
      </c>
      <c r="B295" s="2" t="s">
        <v>302</v>
      </c>
    </row>
    <row r="296" spans="1:2">
      <c r="A296" t="s">
        <v>5642</v>
      </c>
      <c r="B296" s="2" t="s">
        <v>302</v>
      </c>
    </row>
    <row r="297" spans="1:2">
      <c r="A297" t="s">
        <v>5642</v>
      </c>
      <c r="B297" s="2" t="s">
        <v>302</v>
      </c>
    </row>
    <row r="298" spans="1:2">
      <c r="A298" t="s">
        <v>1339</v>
      </c>
      <c r="B298" s="2" t="s">
        <v>302</v>
      </c>
    </row>
    <row r="299" spans="1:2">
      <c r="A299" s="2" t="s">
        <v>204</v>
      </c>
      <c r="B299" s="2" t="s">
        <v>302</v>
      </c>
    </row>
    <row r="300" spans="1:2">
      <c r="A300" s="2" t="s">
        <v>51</v>
      </c>
      <c r="B300" s="2" t="s">
        <v>302</v>
      </c>
    </row>
    <row r="301" spans="1:2">
      <c r="A301" t="s">
        <v>109</v>
      </c>
      <c r="B301" s="2" t="s">
        <v>302</v>
      </c>
    </row>
    <row r="302" spans="1:2">
      <c r="A302" t="s">
        <v>5643</v>
      </c>
      <c r="B302" s="2" t="s">
        <v>301</v>
      </c>
    </row>
    <row r="303" spans="1:2">
      <c r="A303" t="s">
        <v>5644</v>
      </c>
      <c r="B303" s="2" t="s">
        <v>301</v>
      </c>
    </row>
    <row r="304" spans="1:2">
      <c r="A304" t="s">
        <v>5645</v>
      </c>
      <c r="B304" s="2" t="s">
        <v>301</v>
      </c>
    </row>
    <row r="305" spans="1:2">
      <c r="A305" s="2" t="s">
        <v>247</v>
      </c>
      <c r="B305" s="2" t="s">
        <v>301</v>
      </c>
    </row>
    <row r="306" spans="1:2">
      <c r="A306" t="s">
        <v>5646</v>
      </c>
      <c r="B306" s="2" t="s">
        <v>301</v>
      </c>
    </row>
    <row r="307" spans="1:2">
      <c r="A307" t="s">
        <v>5647</v>
      </c>
      <c r="B307" t="s">
        <v>301</v>
      </c>
    </row>
    <row r="308" spans="1:2">
      <c r="A308" s="2" t="s">
        <v>117</v>
      </c>
      <c r="B308" s="2" t="s">
        <v>301</v>
      </c>
    </row>
    <row r="309" spans="1:2">
      <c r="A309" t="s">
        <v>5648</v>
      </c>
      <c r="B309" s="2" t="s">
        <v>301</v>
      </c>
    </row>
    <row r="310" spans="1:2">
      <c r="A310" t="s">
        <v>2749</v>
      </c>
      <c r="B310" s="2" t="s">
        <v>301</v>
      </c>
    </row>
    <row r="311" spans="1:2">
      <c r="A311" s="2" t="s">
        <v>92</v>
      </c>
      <c r="B311" s="2" t="s">
        <v>301</v>
      </c>
    </row>
    <row r="312" spans="1:2">
      <c r="A312" s="2" t="s">
        <v>291</v>
      </c>
      <c r="B312" s="2" t="s">
        <v>301</v>
      </c>
    </row>
    <row r="313" spans="1:2">
      <c r="A313" s="2" t="s">
        <v>258</v>
      </c>
      <c r="B313" s="2" t="s">
        <v>301</v>
      </c>
    </row>
    <row r="314" spans="1:2">
      <c r="A314" s="2" t="s">
        <v>157</v>
      </c>
      <c r="B314" s="2" t="s">
        <v>301</v>
      </c>
    </row>
    <row r="315" spans="1:2">
      <c r="A315" s="2" t="s">
        <v>84</v>
      </c>
      <c r="B315" s="2" t="s">
        <v>301</v>
      </c>
    </row>
    <row r="316" spans="1:2">
      <c r="A316" t="s">
        <v>4497</v>
      </c>
      <c r="B316" s="2" t="s">
        <v>301</v>
      </c>
    </row>
    <row r="317" spans="1:2">
      <c r="A317" s="2" t="s">
        <v>137</v>
      </c>
      <c r="B317" s="2" t="s">
        <v>301</v>
      </c>
    </row>
    <row r="318" spans="1:2">
      <c r="A318" s="2" t="s">
        <v>158</v>
      </c>
      <c r="B318" s="2" t="s">
        <v>301</v>
      </c>
    </row>
    <row r="319" spans="1:2">
      <c r="A319" t="s">
        <v>5649</v>
      </c>
      <c r="B319" t="s">
        <v>301</v>
      </c>
    </row>
    <row r="320" spans="1:2">
      <c r="A320" t="s">
        <v>5650</v>
      </c>
      <c r="B320" s="2" t="s">
        <v>301</v>
      </c>
    </row>
    <row r="321" spans="1:2">
      <c r="A321" t="s">
        <v>1263</v>
      </c>
      <c r="B321" s="2" t="s">
        <v>301</v>
      </c>
    </row>
    <row r="322" spans="1:2">
      <c r="A322" t="s">
        <v>5651</v>
      </c>
      <c r="B322" s="2" t="s">
        <v>301</v>
      </c>
    </row>
    <row r="323" spans="1:2">
      <c r="A323" t="s">
        <v>2981</v>
      </c>
      <c r="B323" s="2" t="s">
        <v>301</v>
      </c>
    </row>
    <row r="324" spans="1:2">
      <c r="A324" t="s">
        <v>5652</v>
      </c>
      <c r="B324" s="2" t="s">
        <v>301</v>
      </c>
    </row>
    <row r="325" spans="1:2">
      <c r="A325" t="s">
        <v>5653</v>
      </c>
      <c r="B325" s="2" t="s">
        <v>301</v>
      </c>
    </row>
    <row r="326" spans="1:2">
      <c r="A326" t="s">
        <v>5654</v>
      </c>
      <c r="B326" s="2" t="s">
        <v>301</v>
      </c>
    </row>
    <row r="327" spans="1:2">
      <c r="A327" t="s">
        <v>5655</v>
      </c>
      <c r="B327" s="2" t="s">
        <v>301</v>
      </c>
    </row>
    <row r="328" spans="1:2">
      <c r="A328" t="s">
        <v>5656</v>
      </c>
      <c r="B328" s="2" t="s">
        <v>301</v>
      </c>
    </row>
    <row r="329" spans="1:2">
      <c r="A329" t="s">
        <v>5657</v>
      </c>
      <c r="B329" s="2" t="s">
        <v>301</v>
      </c>
    </row>
    <row r="330" spans="1:2">
      <c r="A330" t="s">
        <v>5656</v>
      </c>
      <c r="B330" s="2" t="s">
        <v>301</v>
      </c>
    </row>
    <row r="331" spans="1:2">
      <c r="A331" t="s">
        <v>3900</v>
      </c>
      <c r="B331" s="2" t="s">
        <v>301</v>
      </c>
    </row>
    <row r="332" spans="1:2">
      <c r="A332" t="s">
        <v>5658</v>
      </c>
      <c r="B332" s="2" t="s">
        <v>301</v>
      </c>
    </row>
    <row r="333" spans="1:2">
      <c r="A333" t="s">
        <v>5659</v>
      </c>
      <c r="B333" s="2" t="s">
        <v>301</v>
      </c>
    </row>
    <row r="334" spans="1:2">
      <c r="A334" t="s">
        <v>5653</v>
      </c>
      <c r="B334" s="2" t="s">
        <v>301</v>
      </c>
    </row>
    <row r="335" spans="1:2">
      <c r="A335" t="s">
        <v>5660</v>
      </c>
      <c r="B335" s="2" t="s">
        <v>301</v>
      </c>
    </row>
    <row r="336" spans="1:2">
      <c r="A336" t="s">
        <v>5659</v>
      </c>
      <c r="B336" s="2" t="s">
        <v>301</v>
      </c>
    </row>
    <row r="337" spans="1:2">
      <c r="A337" t="s">
        <v>5661</v>
      </c>
      <c r="B337" s="2" t="s">
        <v>301</v>
      </c>
    </row>
    <row r="338" spans="1:2">
      <c r="A338" t="s">
        <v>5655</v>
      </c>
      <c r="B338" s="2" t="s">
        <v>301</v>
      </c>
    </row>
    <row r="339" spans="1:2">
      <c r="A339" t="s">
        <v>4003</v>
      </c>
      <c r="B339" s="2" t="s">
        <v>301</v>
      </c>
    </row>
    <row r="340" spans="1:2">
      <c r="A340" t="s">
        <v>5662</v>
      </c>
      <c r="B340" s="2" t="s">
        <v>301</v>
      </c>
    </row>
    <row r="341" spans="1:2">
      <c r="A341" t="s">
        <v>5663</v>
      </c>
      <c r="B341" s="2" t="s">
        <v>301</v>
      </c>
    </row>
    <row r="342" spans="1:2">
      <c r="A342" t="s">
        <v>5664</v>
      </c>
      <c r="B342" s="2" t="s">
        <v>301</v>
      </c>
    </row>
    <row r="343" spans="1:2">
      <c r="A343" t="s">
        <v>5665</v>
      </c>
      <c r="B343" s="2" t="s">
        <v>301</v>
      </c>
    </row>
    <row r="344" spans="1:2">
      <c r="A344" t="s">
        <v>5666</v>
      </c>
      <c r="B344" s="2" t="s">
        <v>302</v>
      </c>
    </row>
    <row r="345" spans="1:2">
      <c r="A345" t="s">
        <v>5667</v>
      </c>
      <c r="B345" s="2" t="s">
        <v>301</v>
      </c>
    </row>
    <row r="346" spans="1:2">
      <c r="A346" t="s">
        <v>5668</v>
      </c>
      <c r="B346" s="2" t="s">
        <v>301</v>
      </c>
    </row>
    <row r="347" spans="1:2">
      <c r="A347" t="s">
        <v>5669</v>
      </c>
      <c r="B347" s="2" t="s">
        <v>301</v>
      </c>
    </row>
    <row r="348" spans="1:2">
      <c r="A348" t="s">
        <v>3089</v>
      </c>
      <c r="B348" s="2" t="s">
        <v>301</v>
      </c>
    </row>
    <row r="349" spans="1:2">
      <c r="A349" t="s">
        <v>5670</v>
      </c>
      <c r="B349" s="2" t="s">
        <v>301</v>
      </c>
    </row>
    <row r="350" spans="1:2">
      <c r="A350" t="s">
        <v>5671</v>
      </c>
      <c r="B350" s="2" t="s">
        <v>301</v>
      </c>
    </row>
    <row r="351" spans="1:2">
      <c r="A351" t="s">
        <v>5672</v>
      </c>
      <c r="B351" s="2" t="s">
        <v>301</v>
      </c>
    </row>
    <row r="352" spans="1:2">
      <c r="A352" t="s">
        <v>5673</v>
      </c>
      <c r="B352" s="2" t="s">
        <v>301</v>
      </c>
    </row>
    <row r="353" spans="1:2">
      <c r="A353" t="s">
        <v>5674</v>
      </c>
      <c r="B353" s="2" t="s">
        <v>301</v>
      </c>
    </row>
    <row r="354" spans="1:2">
      <c r="A354" t="s">
        <v>5675</v>
      </c>
      <c r="B354" s="2" t="s">
        <v>301</v>
      </c>
    </row>
    <row r="355" spans="1:2">
      <c r="A355" t="s">
        <v>5676</v>
      </c>
      <c r="B355" s="2" t="s">
        <v>301</v>
      </c>
    </row>
    <row r="356" spans="1:2">
      <c r="A356" t="s">
        <v>3498</v>
      </c>
      <c r="B356" s="2" t="s">
        <v>301</v>
      </c>
    </row>
    <row r="357" spans="1:2">
      <c r="A357" t="s">
        <v>5677</v>
      </c>
      <c r="B357" s="2" t="s">
        <v>301</v>
      </c>
    </row>
    <row r="358" spans="1:2">
      <c r="A358" t="s">
        <v>5678</v>
      </c>
      <c r="B358" s="2" t="s">
        <v>301</v>
      </c>
    </row>
    <row r="359" spans="1:2">
      <c r="A359" t="s">
        <v>5277</v>
      </c>
      <c r="B359" s="2" t="s">
        <v>301</v>
      </c>
    </row>
    <row r="360" spans="1:2">
      <c r="A360" t="s">
        <v>5679</v>
      </c>
      <c r="B360" s="2" t="s">
        <v>301</v>
      </c>
    </row>
    <row r="361" spans="1:2">
      <c r="A361" t="s">
        <v>5680</v>
      </c>
      <c r="B361" s="2" t="s">
        <v>301</v>
      </c>
    </row>
    <row r="362" spans="1:2">
      <c r="A362" t="s">
        <v>5681</v>
      </c>
      <c r="B362" s="2" t="s">
        <v>301</v>
      </c>
    </row>
    <row r="363" spans="1:2">
      <c r="A363" t="s">
        <v>5682</v>
      </c>
      <c r="B363" s="2" t="s">
        <v>301</v>
      </c>
    </row>
    <row r="364" spans="1:2">
      <c r="A364" t="s">
        <v>5683</v>
      </c>
      <c r="B364" s="2" t="s">
        <v>301</v>
      </c>
    </row>
    <row r="365" spans="1:2">
      <c r="A365" t="s">
        <v>5684</v>
      </c>
      <c r="B365" s="2" t="s">
        <v>301</v>
      </c>
    </row>
    <row r="366" spans="1:2">
      <c r="A366" t="s">
        <v>5685</v>
      </c>
      <c r="B366" s="2" t="s">
        <v>301</v>
      </c>
    </row>
    <row r="367" spans="1:2">
      <c r="A367" t="s">
        <v>5686</v>
      </c>
      <c r="B367" s="2" t="s">
        <v>301</v>
      </c>
    </row>
    <row r="368" spans="1:2">
      <c r="A368" t="s">
        <v>5687</v>
      </c>
      <c r="B368" s="2" t="s">
        <v>301</v>
      </c>
    </row>
    <row r="369" spans="1:2">
      <c r="A369" t="s">
        <v>2348</v>
      </c>
      <c r="B369" s="2" t="s">
        <v>301</v>
      </c>
    </row>
    <row r="370" spans="1:2">
      <c r="A370" t="s">
        <v>1221</v>
      </c>
      <c r="B370" s="2" t="s">
        <v>301</v>
      </c>
    </row>
    <row r="371" spans="1:2">
      <c r="A371" t="s">
        <v>5688</v>
      </c>
      <c r="B371" s="2" t="s">
        <v>301</v>
      </c>
    </row>
    <row r="372" spans="1:2">
      <c r="A372" t="s">
        <v>217</v>
      </c>
      <c r="B372" s="2" t="s">
        <v>302</v>
      </c>
    </row>
    <row r="373" spans="1:2">
      <c r="A373" t="s">
        <v>5689</v>
      </c>
      <c r="B373" s="2" t="s">
        <v>301</v>
      </c>
    </row>
    <row r="374" spans="1:2">
      <c r="A374" t="s">
        <v>5690</v>
      </c>
      <c r="B374" s="2" t="s">
        <v>301</v>
      </c>
    </row>
    <row r="375" spans="1:2">
      <c r="A375" t="s">
        <v>5691</v>
      </c>
      <c r="B375" s="2" t="s">
        <v>301</v>
      </c>
    </row>
    <row r="376" spans="1:2">
      <c r="A376" t="s">
        <v>5692</v>
      </c>
      <c r="B376" s="2" t="s">
        <v>301</v>
      </c>
    </row>
    <row r="377" spans="1:2">
      <c r="A377" t="s">
        <v>5693</v>
      </c>
      <c r="B377" s="2" t="s">
        <v>301</v>
      </c>
    </row>
    <row r="378" spans="1:2">
      <c r="A378" t="s">
        <v>5694</v>
      </c>
      <c r="B378" s="2" t="s">
        <v>301</v>
      </c>
    </row>
    <row r="379" spans="1:2">
      <c r="A379" t="s">
        <v>3589</v>
      </c>
      <c r="B379" s="2" t="s">
        <v>301</v>
      </c>
    </row>
    <row r="380" spans="1:2">
      <c r="A380" t="s">
        <v>5695</v>
      </c>
      <c r="B380" s="2" t="s">
        <v>301</v>
      </c>
    </row>
    <row r="381" spans="1:2">
      <c r="A381" t="s">
        <v>5696</v>
      </c>
      <c r="B381" s="2" t="s">
        <v>301</v>
      </c>
    </row>
    <row r="382" spans="1:2">
      <c r="A382" t="s">
        <v>5697</v>
      </c>
      <c r="B382" s="2" t="s">
        <v>301</v>
      </c>
    </row>
    <row r="383" spans="1:2">
      <c r="A383" t="s">
        <v>4714</v>
      </c>
      <c r="B383" s="2" t="s">
        <v>301</v>
      </c>
    </row>
    <row r="384" spans="1:2">
      <c r="A384" t="s">
        <v>5221</v>
      </c>
      <c r="B384" s="2" t="s">
        <v>301</v>
      </c>
    </row>
    <row r="385" spans="1:2">
      <c r="A385" t="s">
        <v>5698</v>
      </c>
      <c r="B385" s="2" t="s">
        <v>301</v>
      </c>
    </row>
    <row r="386" spans="1:2">
      <c r="A386" t="s">
        <v>5699</v>
      </c>
      <c r="B386" s="2" t="s">
        <v>301</v>
      </c>
    </row>
    <row r="387" spans="1:2">
      <c r="A387" t="s">
        <v>2528</v>
      </c>
      <c r="B387" s="2" t="s">
        <v>301</v>
      </c>
    </row>
    <row r="388" spans="1:2">
      <c r="A388" t="s">
        <v>5700</v>
      </c>
      <c r="B388" s="2" t="s">
        <v>301</v>
      </c>
    </row>
    <row r="389" spans="1:2">
      <c r="A389" t="s">
        <v>3891</v>
      </c>
      <c r="B389" s="2" t="s">
        <v>301</v>
      </c>
    </row>
    <row r="390" spans="1:2">
      <c r="A390" t="s">
        <v>5701</v>
      </c>
      <c r="B390" s="2" t="s">
        <v>301</v>
      </c>
    </row>
    <row r="391" spans="1:2">
      <c r="A391" t="s">
        <v>5702</v>
      </c>
      <c r="B391" s="2" t="s">
        <v>301</v>
      </c>
    </row>
    <row r="392" spans="1:2">
      <c r="A392" t="s">
        <v>5703</v>
      </c>
      <c r="B392" s="2" t="s">
        <v>301</v>
      </c>
    </row>
    <row r="393" spans="1:2">
      <c r="A393" t="s">
        <v>2010</v>
      </c>
      <c r="B393" s="2" t="s">
        <v>301</v>
      </c>
    </row>
    <row r="394" spans="1:2">
      <c r="A394" t="s">
        <v>5704</v>
      </c>
      <c r="B394" s="2" t="s">
        <v>301</v>
      </c>
    </row>
    <row r="395" spans="1:2">
      <c r="A395" t="s">
        <v>5705</v>
      </c>
      <c r="B395" s="2" t="s">
        <v>301</v>
      </c>
    </row>
    <row r="396" spans="1:2">
      <c r="A396" t="s">
        <v>5706</v>
      </c>
      <c r="B396" s="2" t="s">
        <v>301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B181"/>
  <sheetViews>
    <sheetView tabSelected="1" workbookViewId="0">
      <selection activeCell="B1" sqref="B1"/>
    </sheetView>
  </sheetViews>
  <sheetFormatPr defaultRowHeight="15"/>
  <cols>
    <col min="1" max="1" width="49.5703125" bestFit="1" customWidth="1"/>
    <col min="2" max="2" width="33" customWidth="1"/>
  </cols>
  <sheetData>
    <row r="1" spans="1:2">
      <c r="A1" s="1" t="s">
        <v>28</v>
      </c>
      <c r="B1" s="1" t="s">
        <v>29</v>
      </c>
    </row>
    <row r="2" spans="1:2">
      <c r="A2" t="s">
        <v>2959</v>
      </c>
      <c r="B2" t="s">
        <v>5707</v>
      </c>
    </row>
    <row r="3" spans="1:2">
      <c r="A3" t="s">
        <v>4003</v>
      </c>
      <c r="B3" t="s">
        <v>5707</v>
      </c>
    </row>
    <row r="4" spans="1:2">
      <c r="A4" t="s">
        <v>184</v>
      </c>
      <c r="B4" t="s">
        <v>5707</v>
      </c>
    </row>
    <row r="5" spans="1:2">
      <c r="A5" t="s">
        <v>280</v>
      </c>
      <c r="B5" t="s">
        <v>5707</v>
      </c>
    </row>
    <row r="6" spans="1:2">
      <c r="A6" t="s">
        <v>201</v>
      </c>
      <c r="B6" t="s">
        <v>5707</v>
      </c>
    </row>
    <row r="7" spans="1:2">
      <c r="A7" t="s">
        <v>1348</v>
      </c>
      <c r="B7" t="s">
        <v>5707</v>
      </c>
    </row>
    <row r="8" spans="1:2">
      <c r="A8" t="s">
        <v>4737</v>
      </c>
      <c r="B8" t="s">
        <v>5707</v>
      </c>
    </row>
    <row r="9" spans="1:2">
      <c r="A9" t="s">
        <v>116</v>
      </c>
      <c r="B9" t="s">
        <v>5707</v>
      </c>
    </row>
    <row r="10" spans="1:2">
      <c r="A10" t="s">
        <v>57</v>
      </c>
      <c r="B10" t="s">
        <v>5707</v>
      </c>
    </row>
    <row r="11" spans="1:2">
      <c r="A11" t="s">
        <v>4707</v>
      </c>
      <c r="B11" t="s">
        <v>5707</v>
      </c>
    </row>
    <row r="12" spans="1:2">
      <c r="A12" t="s">
        <v>151</v>
      </c>
      <c r="B12" t="s">
        <v>5707</v>
      </c>
    </row>
    <row r="13" spans="1:2">
      <c r="A13" t="s">
        <v>286</v>
      </c>
      <c r="B13" t="s">
        <v>5707</v>
      </c>
    </row>
    <row r="14" spans="1:2">
      <c r="A14" t="s">
        <v>86</v>
      </c>
      <c r="B14" t="s">
        <v>5707</v>
      </c>
    </row>
    <row r="15" spans="1:2">
      <c r="A15" t="s">
        <v>288</v>
      </c>
      <c r="B15" t="s">
        <v>5707</v>
      </c>
    </row>
    <row r="16" spans="1:2">
      <c r="A16" t="s">
        <v>270</v>
      </c>
      <c r="B16" t="s">
        <v>5707</v>
      </c>
    </row>
    <row r="17" spans="1:2">
      <c r="A17" t="s">
        <v>2503</v>
      </c>
      <c r="B17" t="s">
        <v>5712</v>
      </c>
    </row>
    <row r="18" spans="1:2">
      <c r="A18" t="s">
        <v>87</v>
      </c>
      <c r="B18" t="s">
        <v>5712</v>
      </c>
    </row>
    <row r="19" spans="1:2">
      <c r="A19" t="s">
        <v>3089</v>
      </c>
      <c r="B19" t="s">
        <v>5709</v>
      </c>
    </row>
    <row r="20" spans="1:2">
      <c r="A20" t="s">
        <v>5306</v>
      </c>
      <c r="B20" t="s">
        <v>5709</v>
      </c>
    </row>
    <row r="21" spans="1:2">
      <c r="A21" t="s">
        <v>309</v>
      </c>
      <c r="B21" t="s">
        <v>46</v>
      </c>
    </row>
    <row r="22" spans="1:2">
      <c r="A22" t="s">
        <v>1652</v>
      </c>
      <c r="B22" t="s">
        <v>46</v>
      </c>
    </row>
    <row r="23" spans="1:2">
      <c r="A23" t="s">
        <v>3780</v>
      </c>
      <c r="B23" t="s">
        <v>46</v>
      </c>
    </row>
    <row r="24" spans="1:2">
      <c r="A24" t="s">
        <v>277</v>
      </c>
      <c r="B24" t="s">
        <v>46</v>
      </c>
    </row>
    <row r="25" spans="1:2">
      <c r="A25" t="s">
        <v>223</v>
      </c>
      <c r="B25" t="s">
        <v>46</v>
      </c>
    </row>
    <row r="26" spans="1:2">
      <c r="A26" t="s">
        <v>2981</v>
      </c>
      <c r="B26" t="s">
        <v>46</v>
      </c>
    </row>
    <row r="27" spans="1:2">
      <c r="A27" t="s">
        <v>100</v>
      </c>
      <c r="B27" t="s">
        <v>46</v>
      </c>
    </row>
    <row r="28" spans="1:2">
      <c r="A28" t="s">
        <v>124</v>
      </c>
      <c r="B28" t="s">
        <v>46</v>
      </c>
    </row>
    <row r="29" spans="1:2">
      <c r="A29" t="s">
        <v>284</v>
      </c>
      <c r="B29" t="s">
        <v>46</v>
      </c>
    </row>
    <row r="30" spans="1:2">
      <c r="A30" t="s">
        <v>81</v>
      </c>
      <c r="B30" t="s">
        <v>46</v>
      </c>
    </row>
    <row r="31" spans="1:2">
      <c r="A31" t="s">
        <v>265</v>
      </c>
      <c r="B31" t="s">
        <v>46</v>
      </c>
    </row>
    <row r="32" spans="1:2">
      <c r="A32" t="s">
        <v>3471</v>
      </c>
      <c r="B32" t="s">
        <v>46</v>
      </c>
    </row>
    <row r="33" spans="1:2">
      <c r="A33" t="s">
        <v>161</v>
      </c>
      <c r="B33" t="s">
        <v>46</v>
      </c>
    </row>
    <row r="34" spans="1:2">
      <c r="A34" t="s">
        <v>82</v>
      </c>
      <c r="B34" t="s">
        <v>46</v>
      </c>
    </row>
    <row r="35" spans="1:2">
      <c r="A35" t="s">
        <v>66</v>
      </c>
      <c r="B35" t="s">
        <v>46</v>
      </c>
    </row>
    <row r="36" spans="1:2">
      <c r="A36" t="s">
        <v>156</v>
      </c>
      <c r="B36" t="s">
        <v>46</v>
      </c>
    </row>
    <row r="37" spans="1:2">
      <c r="A37" t="s">
        <v>195</v>
      </c>
      <c r="B37" t="s">
        <v>46</v>
      </c>
    </row>
    <row r="38" spans="1:2">
      <c r="A38" t="s">
        <v>55</v>
      </c>
      <c r="B38" t="s">
        <v>46</v>
      </c>
    </row>
    <row r="39" spans="1:2">
      <c r="A39" t="s">
        <v>69</v>
      </c>
      <c r="B39" t="s">
        <v>46</v>
      </c>
    </row>
    <row r="40" spans="1:2">
      <c r="A40" t="s">
        <v>295</v>
      </c>
      <c r="B40" t="s">
        <v>46</v>
      </c>
    </row>
    <row r="41" spans="1:2">
      <c r="A41" t="s">
        <v>2956</v>
      </c>
      <c r="B41" t="s">
        <v>46</v>
      </c>
    </row>
    <row r="42" spans="1:2">
      <c r="A42" t="s">
        <v>164</v>
      </c>
      <c r="B42" t="s">
        <v>46</v>
      </c>
    </row>
    <row r="43" spans="1:2">
      <c r="A43" t="s">
        <v>3498</v>
      </c>
      <c r="B43" t="s">
        <v>46</v>
      </c>
    </row>
    <row r="44" spans="1:2">
      <c r="A44" t="s">
        <v>152</v>
      </c>
      <c r="B44" t="s">
        <v>46</v>
      </c>
    </row>
    <row r="45" spans="1:2">
      <c r="A45" t="s">
        <v>159</v>
      </c>
      <c r="B45" t="s">
        <v>46</v>
      </c>
    </row>
    <row r="46" spans="1:2">
      <c r="A46" t="s">
        <v>147</v>
      </c>
      <c r="B46" t="s">
        <v>46</v>
      </c>
    </row>
    <row r="47" spans="1:2">
      <c r="A47" t="s">
        <v>65</v>
      </c>
      <c r="B47" t="s">
        <v>46</v>
      </c>
    </row>
    <row r="48" spans="1:2">
      <c r="A48" t="s">
        <v>2342</v>
      </c>
      <c r="B48" t="s">
        <v>46</v>
      </c>
    </row>
    <row r="49" spans="1:2">
      <c r="A49" t="s">
        <v>155</v>
      </c>
      <c r="B49" t="s">
        <v>46</v>
      </c>
    </row>
    <row r="50" spans="1:2">
      <c r="A50" t="s">
        <v>120</v>
      </c>
      <c r="B50" t="s">
        <v>46</v>
      </c>
    </row>
    <row r="51" spans="1:2">
      <c r="A51" t="s">
        <v>3825</v>
      </c>
      <c r="B51" t="s">
        <v>46</v>
      </c>
    </row>
    <row r="52" spans="1:2">
      <c r="A52" t="s">
        <v>90</v>
      </c>
      <c r="B52" t="s">
        <v>46</v>
      </c>
    </row>
    <row r="53" spans="1:2">
      <c r="A53" t="s">
        <v>255</v>
      </c>
      <c r="B53" t="s">
        <v>46</v>
      </c>
    </row>
    <row r="54" spans="1:2">
      <c r="A54" t="s">
        <v>175</v>
      </c>
      <c r="B54" t="s">
        <v>46</v>
      </c>
    </row>
    <row r="55" spans="1:2">
      <c r="A55" t="s">
        <v>1263</v>
      </c>
      <c r="B55" t="s">
        <v>46</v>
      </c>
    </row>
    <row r="56" spans="1:2">
      <c r="A56" t="s">
        <v>5277</v>
      </c>
      <c r="B56" t="s">
        <v>46</v>
      </c>
    </row>
    <row r="57" spans="1:2">
      <c r="A57" t="s">
        <v>3868</v>
      </c>
      <c r="B57" t="s">
        <v>46</v>
      </c>
    </row>
    <row r="58" spans="1:2">
      <c r="A58" t="s">
        <v>236</v>
      </c>
      <c r="B58" t="s">
        <v>46</v>
      </c>
    </row>
    <row r="59" spans="1:2">
      <c r="A59" t="s">
        <v>72</v>
      </c>
      <c r="B59" t="s">
        <v>46</v>
      </c>
    </row>
    <row r="60" spans="1:2">
      <c r="A60" t="s">
        <v>206</v>
      </c>
      <c r="B60" t="s">
        <v>46</v>
      </c>
    </row>
    <row r="61" spans="1:2">
      <c r="A61" t="s">
        <v>107</v>
      </c>
      <c r="B61" t="s">
        <v>46</v>
      </c>
    </row>
    <row r="62" spans="1:2">
      <c r="A62" t="s">
        <v>3900</v>
      </c>
      <c r="B62" t="s">
        <v>46</v>
      </c>
    </row>
    <row r="63" spans="1:2">
      <c r="A63" t="s">
        <v>240</v>
      </c>
      <c r="B63" t="s">
        <v>46</v>
      </c>
    </row>
    <row r="64" spans="1:2">
      <c r="A64" t="s">
        <v>186</v>
      </c>
      <c r="B64" t="s">
        <v>46</v>
      </c>
    </row>
    <row r="65" spans="1:2">
      <c r="A65" t="s">
        <v>61</v>
      </c>
      <c r="B65" t="s">
        <v>46</v>
      </c>
    </row>
    <row r="66" spans="1:2">
      <c r="A66" t="s">
        <v>162</v>
      </c>
      <c r="B66" t="s">
        <v>5710</v>
      </c>
    </row>
    <row r="67" spans="1:2">
      <c r="A67" t="s">
        <v>192</v>
      </c>
      <c r="B67" t="s">
        <v>46</v>
      </c>
    </row>
    <row r="68" spans="1:2">
      <c r="A68" t="s">
        <v>2048</v>
      </c>
      <c r="B68" t="s">
        <v>46</v>
      </c>
    </row>
    <row r="69" spans="1:2">
      <c r="A69" t="s">
        <v>1274</v>
      </c>
      <c r="B69" t="s">
        <v>46</v>
      </c>
    </row>
    <row r="70" spans="1:2">
      <c r="A70" t="s">
        <v>110</v>
      </c>
      <c r="B70" t="s">
        <v>46</v>
      </c>
    </row>
    <row r="71" spans="1:2">
      <c r="A71" t="s">
        <v>218</v>
      </c>
      <c r="B71" t="s">
        <v>46</v>
      </c>
    </row>
    <row r="72" spans="1:2">
      <c r="A72" t="s">
        <v>134</v>
      </c>
      <c r="B72" t="s">
        <v>46</v>
      </c>
    </row>
    <row r="73" spans="1:2">
      <c r="A73" t="s">
        <v>254</v>
      </c>
      <c r="B73" t="s">
        <v>46</v>
      </c>
    </row>
    <row r="74" spans="1:2">
      <c r="A74" t="s">
        <v>1670</v>
      </c>
      <c r="B74" t="s">
        <v>46</v>
      </c>
    </row>
    <row r="75" spans="1:2">
      <c r="A75" t="s">
        <v>56</v>
      </c>
      <c r="B75" t="s">
        <v>46</v>
      </c>
    </row>
    <row r="76" spans="1:2">
      <c r="A76" t="s">
        <v>53</v>
      </c>
      <c r="B76" t="s">
        <v>46</v>
      </c>
    </row>
    <row r="77" spans="1:2">
      <c r="A77" t="s">
        <v>112</v>
      </c>
      <c r="B77" t="s">
        <v>46</v>
      </c>
    </row>
    <row r="78" spans="1:2">
      <c r="A78" t="s">
        <v>105</v>
      </c>
      <c r="B78" t="s">
        <v>5711</v>
      </c>
    </row>
    <row r="79" spans="1:2">
      <c r="A79" t="s">
        <v>88</v>
      </c>
      <c r="B79" t="s">
        <v>5711</v>
      </c>
    </row>
    <row r="80" spans="1:2">
      <c r="A80" t="s">
        <v>133</v>
      </c>
      <c r="B80" t="s">
        <v>5711</v>
      </c>
    </row>
    <row r="81" spans="1:2">
      <c r="A81" t="s">
        <v>279</v>
      </c>
      <c r="B81" t="s">
        <v>46</v>
      </c>
    </row>
    <row r="82" spans="1:2">
      <c r="A82" t="s">
        <v>170</v>
      </c>
      <c r="B82" t="s">
        <v>46</v>
      </c>
    </row>
    <row r="83" spans="1:2">
      <c r="A83" t="s">
        <v>5244</v>
      </c>
      <c r="B83" t="s">
        <v>46</v>
      </c>
    </row>
    <row r="84" spans="1:2">
      <c r="A84" t="s">
        <v>106</v>
      </c>
      <c r="B84" t="s">
        <v>46</v>
      </c>
    </row>
    <row r="85" spans="1:2">
      <c r="A85" t="s">
        <v>273</v>
      </c>
      <c r="B85" t="s">
        <v>46</v>
      </c>
    </row>
    <row r="86" spans="1:2">
      <c r="A86" t="s">
        <v>222</v>
      </c>
      <c r="B86" t="s">
        <v>46</v>
      </c>
    </row>
    <row r="87" spans="1:2">
      <c r="A87" t="s">
        <v>257</v>
      </c>
      <c r="B87" t="s">
        <v>46</v>
      </c>
    </row>
    <row r="88" spans="1:2">
      <c r="A88" t="s">
        <v>261</v>
      </c>
      <c r="B88" t="s">
        <v>46</v>
      </c>
    </row>
    <row r="89" spans="1:2">
      <c r="A89" t="s">
        <v>2348</v>
      </c>
      <c r="B89" t="s">
        <v>46</v>
      </c>
    </row>
    <row r="90" spans="1:2">
      <c r="A90" t="s">
        <v>271</v>
      </c>
      <c r="B90" t="s">
        <v>46</v>
      </c>
    </row>
    <row r="91" spans="1:2">
      <c r="A91" t="s">
        <v>1221</v>
      </c>
      <c r="B91" t="s">
        <v>46</v>
      </c>
    </row>
    <row r="92" spans="1:2">
      <c r="A92" t="s">
        <v>149</v>
      </c>
      <c r="B92" t="s">
        <v>46</v>
      </c>
    </row>
    <row r="93" spans="1:2">
      <c r="A93" t="s">
        <v>166</v>
      </c>
      <c r="B93" t="s">
        <v>46</v>
      </c>
    </row>
    <row r="94" spans="1:2">
      <c r="A94" t="s">
        <v>198</v>
      </c>
      <c r="B94" t="s">
        <v>46</v>
      </c>
    </row>
    <row r="95" spans="1:2">
      <c r="A95" t="s">
        <v>143</v>
      </c>
      <c r="B95" t="s">
        <v>46</v>
      </c>
    </row>
    <row r="96" spans="1:2">
      <c r="A96" t="s">
        <v>1242</v>
      </c>
      <c r="B96" t="s">
        <v>46</v>
      </c>
    </row>
    <row r="97" spans="1:2">
      <c r="A97" t="s">
        <v>210</v>
      </c>
      <c r="B97" t="s">
        <v>46</v>
      </c>
    </row>
    <row r="98" spans="1:2">
      <c r="A98" t="s">
        <v>213</v>
      </c>
      <c r="B98" t="s">
        <v>46</v>
      </c>
    </row>
    <row r="99" spans="1:2">
      <c r="A99" t="s">
        <v>197</v>
      </c>
      <c r="B99" t="s">
        <v>46</v>
      </c>
    </row>
    <row r="100" spans="1:2">
      <c r="A100" t="s">
        <v>268</v>
      </c>
      <c r="B100" t="s">
        <v>46</v>
      </c>
    </row>
    <row r="101" spans="1:2">
      <c r="A101" t="s">
        <v>233</v>
      </c>
      <c r="B101" t="s">
        <v>46</v>
      </c>
    </row>
    <row r="102" spans="1:2">
      <c r="A102" t="s">
        <v>49</v>
      </c>
      <c r="B102" t="s">
        <v>46</v>
      </c>
    </row>
    <row r="103" spans="1:2">
      <c r="A103" t="s">
        <v>123</v>
      </c>
      <c r="B103" t="s">
        <v>46</v>
      </c>
    </row>
    <row r="104" spans="1:2">
      <c r="A104" t="s">
        <v>45</v>
      </c>
      <c r="B104" t="s">
        <v>46</v>
      </c>
    </row>
    <row r="105" spans="1:2">
      <c r="A105" t="s">
        <v>217</v>
      </c>
      <c r="B105" t="s">
        <v>46</v>
      </c>
    </row>
    <row r="106" spans="1:2">
      <c r="A106" t="s">
        <v>108</v>
      </c>
      <c r="B106" t="s">
        <v>46</v>
      </c>
    </row>
    <row r="107" spans="1:2">
      <c r="A107" t="s">
        <v>103</v>
      </c>
      <c r="B107" t="s">
        <v>46</v>
      </c>
    </row>
    <row r="108" spans="1:2">
      <c r="A108" t="s">
        <v>131</v>
      </c>
      <c r="B108" t="s">
        <v>46</v>
      </c>
    </row>
    <row r="109" spans="1:2">
      <c r="A109" t="s">
        <v>67</v>
      </c>
      <c r="B109" t="s">
        <v>5713</v>
      </c>
    </row>
    <row r="110" spans="1:2">
      <c r="A110" t="s">
        <v>111</v>
      </c>
      <c r="B110" t="s">
        <v>5707</v>
      </c>
    </row>
    <row r="111" spans="1:2">
      <c r="A111" t="s">
        <v>193</v>
      </c>
      <c r="B111" t="s">
        <v>46</v>
      </c>
    </row>
    <row r="112" spans="1:2">
      <c r="A112" t="s">
        <v>70</v>
      </c>
      <c r="B112" t="s">
        <v>46</v>
      </c>
    </row>
    <row r="113" spans="1:2">
      <c r="A113" t="s">
        <v>114</v>
      </c>
      <c r="B113" t="s">
        <v>5714</v>
      </c>
    </row>
    <row r="114" spans="1:2">
      <c r="A114" t="s">
        <v>89</v>
      </c>
      <c r="B114" t="s">
        <v>5713</v>
      </c>
    </row>
    <row r="115" spans="1:2">
      <c r="A115" t="s">
        <v>234</v>
      </c>
      <c r="B115" t="s">
        <v>5713</v>
      </c>
    </row>
    <row r="116" spans="1:2">
      <c r="A116" t="s">
        <v>83</v>
      </c>
      <c r="B116" t="s">
        <v>5713</v>
      </c>
    </row>
    <row r="117" spans="1:2">
      <c r="A117" t="s">
        <v>285</v>
      </c>
      <c r="B117" t="s">
        <v>5713</v>
      </c>
    </row>
    <row r="118" spans="1:2">
      <c r="A118" t="s">
        <v>173</v>
      </c>
      <c r="B118" t="s">
        <v>5713</v>
      </c>
    </row>
    <row r="119" spans="1:2">
      <c r="A119" t="s">
        <v>3024</v>
      </c>
      <c r="B119" t="s">
        <v>5713</v>
      </c>
    </row>
    <row r="120" spans="1:2">
      <c r="A120" t="s">
        <v>264</v>
      </c>
      <c r="B120" t="s">
        <v>5713</v>
      </c>
    </row>
    <row r="121" spans="1:2">
      <c r="A121" t="s">
        <v>3589</v>
      </c>
      <c r="B121" t="s">
        <v>5713</v>
      </c>
    </row>
    <row r="122" spans="1:2">
      <c r="A122" t="s">
        <v>75</v>
      </c>
      <c r="B122" t="s">
        <v>5713</v>
      </c>
    </row>
    <row r="123" spans="1:2">
      <c r="A123" t="s">
        <v>126</v>
      </c>
      <c r="B123" t="s">
        <v>5713</v>
      </c>
    </row>
    <row r="124" spans="1:2">
      <c r="A124" t="s">
        <v>2873</v>
      </c>
      <c r="B124" t="s">
        <v>5713</v>
      </c>
    </row>
    <row r="125" spans="1:2">
      <c r="A125" t="s">
        <v>140</v>
      </c>
      <c r="B125" t="s">
        <v>5713</v>
      </c>
    </row>
    <row r="126" spans="1:2">
      <c r="A126" t="s">
        <v>4992</v>
      </c>
      <c r="B126" t="s">
        <v>5713</v>
      </c>
    </row>
    <row r="127" spans="1:2">
      <c r="A127" t="s">
        <v>4714</v>
      </c>
      <c r="B127" t="s">
        <v>5713</v>
      </c>
    </row>
    <row r="128" spans="1:2">
      <c r="A128" t="s">
        <v>174</v>
      </c>
      <c r="B128" t="s">
        <v>5713</v>
      </c>
    </row>
    <row r="129" spans="1:2">
      <c r="A129" t="s">
        <v>99</v>
      </c>
      <c r="B129" t="s">
        <v>5713</v>
      </c>
    </row>
    <row r="130" spans="1:2">
      <c r="A130" t="s">
        <v>212</v>
      </c>
      <c r="B130" t="s">
        <v>46</v>
      </c>
    </row>
    <row r="131" spans="1:2">
      <c r="A131" t="s">
        <v>5221</v>
      </c>
      <c r="B131" t="s">
        <v>46</v>
      </c>
    </row>
    <row r="132" spans="1:2">
      <c r="A132" t="s">
        <v>1266</v>
      </c>
      <c r="B132" t="s">
        <v>46</v>
      </c>
    </row>
    <row r="133" spans="1:2">
      <c r="A133" t="s">
        <v>244</v>
      </c>
      <c r="B133" t="s">
        <v>46</v>
      </c>
    </row>
    <row r="134" spans="1:2">
      <c r="A134" t="s">
        <v>225</v>
      </c>
      <c r="B134" t="s">
        <v>46</v>
      </c>
    </row>
    <row r="135" spans="1:2">
      <c r="A135" t="s">
        <v>171</v>
      </c>
      <c r="B135" t="s">
        <v>46</v>
      </c>
    </row>
    <row r="136" spans="1:2">
      <c r="A136" t="s">
        <v>94</v>
      </c>
      <c r="B136" t="s">
        <v>46</v>
      </c>
    </row>
    <row r="137" spans="1:2">
      <c r="A137" t="s">
        <v>3503</v>
      </c>
      <c r="B137" t="s">
        <v>46</v>
      </c>
    </row>
    <row r="138" spans="1:2">
      <c r="A138" t="s">
        <v>194</v>
      </c>
      <c r="B138" t="s">
        <v>46</v>
      </c>
    </row>
    <row r="139" spans="1:2">
      <c r="A139" t="s">
        <v>278</v>
      </c>
      <c r="B139" t="s">
        <v>46</v>
      </c>
    </row>
    <row r="140" spans="1:2">
      <c r="A140" t="s">
        <v>221</v>
      </c>
      <c r="B140" t="s">
        <v>46</v>
      </c>
    </row>
    <row r="141" spans="1:2">
      <c r="A141" t="s">
        <v>386</v>
      </c>
      <c r="B141" t="s">
        <v>46</v>
      </c>
    </row>
    <row r="142" spans="1:2">
      <c r="A142" t="s">
        <v>176</v>
      </c>
      <c r="B142" t="s">
        <v>46</v>
      </c>
    </row>
    <row r="143" spans="1:2">
      <c r="A143" t="s">
        <v>2528</v>
      </c>
      <c r="B143" t="s">
        <v>46</v>
      </c>
    </row>
    <row r="144" spans="1:2">
      <c r="A144" t="s">
        <v>153</v>
      </c>
      <c r="B144" t="s">
        <v>46</v>
      </c>
    </row>
    <row r="145" spans="1:2">
      <c r="A145" t="s">
        <v>93</v>
      </c>
      <c r="B145" t="s">
        <v>46</v>
      </c>
    </row>
    <row r="146" spans="1:2">
      <c r="A146" t="s">
        <v>150</v>
      </c>
      <c r="B146" t="s">
        <v>46</v>
      </c>
    </row>
    <row r="147" spans="1:2">
      <c r="A147" t="s">
        <v>79</v>
      </c>
      <c r="B147" t="s">
        <v>46</v>
      </c>
    </row>
    <row r="148" spans="1:2">
      <c r="A148" t="s">
        <v>3891</v>
      </c>
      <c r="B148" t="s">
        <v>46</v>
      </c>
    </row>
    <row r="149" spans="1:2">
      <c r="A149" t="s">
        <v>224</v>
      </c>
      <c r="B149" t="s">
        <v>46</v>
      </c>
    </row>
    <row r="150" spans="1:2">
      <c r="A150" t="s">
        <v>138</v>
      </c>
      <c r="B150" t="s">
        <v>46</v>
      </c>
    </row>
    <row r="151" spans="1:2">
      <c r="A151" t="s">
        <v>246</v>
      </c>
      <c r="B151" t="s">
        <v>46</v>
      </c>
    </row>
    <row r="152" spans="1:2">
      <c r="A152" t="s">
        <v>97</v>
      </c>
      <c r="B152" t="s">
        <v>46</v>
      </c>
    </row>
    <row r="153" spans="1:2">
      <c r="A153" t="s">
        <v>251</v>
      </c>
      <c r="B153" t="s">
        <v>46</v>
      </c>
    </row>
    <row r="154" spans="1:2">
      <c r="A154" t="s">
        <v>294</v>
      </c>
      <c r="B154" t="s">
        <v>46</v>
      </c>
    </row>
    <row r="155" spans="1:2">
      <c r="A155" t="s">
        <v>272</v>
      </c>
      <c r="B155" t="s">
        <v>46</v>
      </c>
    </row>
    <row r="156" spans="1:2">
      <c r="A156" t="s">
        <v>128</v>
      </c>
      <c r="B156" t="s">
        <v>46</v>
      </c>
    </row>
    <row r="157" spans="1:2">
      <c r="A157" t="s">
        <v>2010</v>
      </c>
      <c r="B157" t="s">
        <v>46</v>
      </c>
    </row>
    <row r="158" spans="1:2">
      <c r="A158" t="s">
        <v>2345</v>
      </c>
      <c r="B158" t="s">
        <v>46</v>
      </c>
    </row>
    <row r="159" spans="1:2">
      <c r="A159" t="s">
        <v>154</v>
      </c>
      <c r="B159" t="s">
        <v>46</v>
      </c>
    </row>
    <row r="160" spans="1:2">
      <c r="A160" t="s">
        <v>3599</v>
      </c>
      <c r="B160" t="s">
        <v>46</v>
      </c>
    </row>
    <row r="161" spans="1:2">
      <c r="A161" t="s">
        <v>85</v>
      </c>
      <c r="B161" t="s">
        <v>46</v>
      </c>
    </row>
    <row r="162" spans="1:2">
      <c r="A162" t="s">
        <v>165</v>
      </c>
      <c r="B162" t="s">
        <v>46</v>
      </c>
    </row>
    <row r="163" spans="1:2">
      <c r="A163" t="s">
        <v>199</v>
      </c>
      <c r="B163" t="s">
        <v>46</v>
      </c>
    </row>
    <row r="164" spans="1:2">
      <c r="A164" t="s">
        <v>144</v>
      </c>
      <c r="B164" t="s">
        <v>46</v>
      </c>
    </row>
    <row r="165" spans="1:2">
      <c r="A165" t="s">
        <v>136</v>
      </c>
      <c r="B165" t="s">
        <v>46</v>
      </c>
    </row>
    <row r="166" spans="1:2">
      <c r="A166" t="s">
        <v>141</v>
      </c>
      <c r="B166" t="s">
        <v>46</v>
      </c>
    </row>
    <row r="167" spans="1:2">
      <c r="A167" t="s">
        <v>177</v>
      </c>
      <c r="B167" t="s">
        <v>46</v>
      </c>
    </row>
    <row r="168" spans="1:2">
      <c r="A168" t="s">
        <v>178</v>
      </c>
      <c r="B168" t="s">
        <v>46</v>
      </c>
    </row>
    <row r="169" spans="1:2">
      <c r="A169" t="s">
        <v>232</v>
      </c>
      <c r="B169" t="s">
        <v>46</v>
      </c>
    </row>
    <row r="170" spans="1:2">
      <c r="A170" t="s">
        <v>96</v>
      </c>
      <c r="B170" t="s">
        <v>46</v>
      </c>
    </row>
    <row r="171" spans="1:2">
      <c r="A171" t="s">
        <v>125</v>
      </c>
      <c r="B171" t="s">
        <v>46</v>
      </c>
    </row>
    <row r="172" spans="1:2">
      <c r="A172" t="s">
        <v>62</v>
      </c>
      <c r="B172" t="s">
        <v>46</v>
      </c>
    </row>
    <row r="173" spans="1:2">
      <c r="A173" t="s">
        <v>1339</v>
      </c>
      <c r="B173" t="s">
        <v>46</v>
      </c>
    </row>
    <row r="174" spans="1:2">
      <c r="A174" t="s">
        <v>204</v>
      </c>
      <c r="B174" t="s">
        <v>46</v>
      </c>
    </row>
    <row r="175" spans="1:2">
      <c r="A175" t="s">
        <v>51</v>
      </c>
      <c r="B175" t="s">
        <v>46</v>
      </c>
    </row>
    <row r="176" spans="1:2">
      <c r="A176" t="s">
        <v>247</v>
      </c>
      <c r="B176" t="s">
        <v>5714</v>
      </c>
    </row>
    <row r="177" spans="1:2">
      <c r="A177" t="s">
        <v>117</v>
      </c>
      <c r="B177" t="s">
        <v>5714</v>
      </c>
    </row>
    <row r="178" spans="1:2">
      <c r="A178" t="s">
        <v>2749</v>
      </c>
      <c r="B178" t="s">
        <v>5714</v>
      </c>
    </row>
    <row r="179" spans="1:2">
      <c r="A179" t="s">
        <v>291</v>
      </c>
      <c r="B179" t="s">
        <v>5714</v>
      </c>
    </row>
    <row r="180" spans="1:2">
      <c r="A180" t="s">
        <v>4497</v>
      </c>
      <c r="B180" t="s">
        <v>5714</v>
      </c>
    </row>
    <row r="181" spans="1:2">
      <c r="A181" t="s">
        <v>137</v>
      </c>
      <c r="B181" t="s">
        <v>5714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institucao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ana.paula</cp:lastModifiedBy>
  <cp:lastPrinted>2015-06-23T19:29:31Z</cp:lastPrinted>
  <dcterms:created xsi:type="dcterms:W3CDTF">2015-06-23T18:48:42Z</dcterms:created>
  <dcterms:modified xsi:type="dcterms:W3CDTF">2015-07-07T20:17:12Z</dcterms:modified>
</cp:coreProperties>
</file>