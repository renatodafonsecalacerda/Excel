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1"/>
  </bookViews>
  <sheets>
    <sheet name="Formulario de Pesquisa" sheetId="1" r:id="rId1"/>
    <sheet name="Gráficos" sheetId="8" r:id="rId2"/>
    <sheet name="Dados" sheetId="3" r:id="rId3"/>
    <sheet name="original" sheetId="4" state="hidden" r:id="rId4"/>
    <sheet name="CONFIG" sheetId="6" state="hidden" r:id="rId5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</workbook>
</file>

<file path=xl/calcChain.xml><?xml version="1.0" encoding="utf-8"?>
<calcChain xmlns="http://schemas.openxmlformats.org/spreadsheetml/2006/main">
  <c r="C14" i="8"/>
  <c r="D12" s="1"/>
  <c r="A21" i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D9" i="8" l="1"/>
  <c r="D11"/>
  <c r="D13"/>
  <c r="D10"/>
</calcChain>
</file>

<file path=xl/sharedStrings.xml><?xml version="1.0" encoding="utf-8"?>
<sst xmlns="http://schemas.openxmlformats.org/spreadsheetml/2006/main" count="448" uniqueCount="170">
  <si>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</si>
  <si>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</si>
  <si>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</si>
  <si>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</si>
  <si>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</si>
  <si>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</si>
  <si>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</si>
  <si>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</si>
  <si>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</si>
  <si>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</si>
  <si>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</si>
  <si>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</si>
  <si>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</si>
  <si>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</si>
  <si>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</si>
  <si>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</si>
  <si>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</si>
  <si>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</si>
  <si>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</si>
  <si>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</si>
  <si>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</si>
  <si>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</si>
  <si>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</si>
  <si>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</si>
  <si>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</si>
  <si>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</si>
  <si>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</si>
  <si>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</si>
  <si>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</si>
  <si>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</si>
  <si>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</si>
  <si>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</si>
  <si>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</si>
  <si>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</si>
  <si>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</si>
  <si>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</si>
  <si>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</si>
  <si>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</si>
  <si>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</si>
  <si>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</si>
  <si>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</si>
  <si>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</si>
  <si>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</si>
  <si>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</si>
  <si>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</si>
  <si>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</si>
  <si>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</si>
  <si>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</si>
  <si>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</si>
  <si>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</si>
  <si>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</si>
  <si>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</si>
  <si>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</si>
  <si>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</si>
  <si>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</si>
  <si>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</si>
  <si>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</si>
  <si>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</si>
  <si>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</si>
  <si>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</si>
  <si>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</si>
  <si>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</si>
  <si>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</si>
  <si>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</si>
  <si>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</si>
  <si>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</si>
  <si>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</si>
  <si>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</si>
  <si>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</si>
  <si>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</si>
  <si>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</si>
  <si>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</si>
  <si>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</si>
  <si>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</si>
  <si>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</si>
  <si>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</si>
  <si>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</si>
  <si>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</si>
  <si>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</si>
  <si>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</si>
  <si>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</si>
  <si>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</si>
  <si>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</si>
  <si>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</si>
  <si>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</si>
  <si>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</si>
  <si>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</si>
  <si>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</si>
  <si>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</si>
  <si>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</si>
  <si>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</si>
  <si>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</si>
  <si>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</si>
  <si>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</si>
  <si>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</si>
  <si>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</si>
  <si>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</si>
  <si>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</si>
  <si>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</si>
  <si>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</si>
  <si>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</si>
  <si>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</si>
  <si>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</si>
  <si>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</si>
  <si>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</si>
  <si>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</si>
  <si>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</si>
  <si>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</si>
  <si>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</si>
  <si>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</si>
  <si>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</si>
  <si>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</si>
  <si>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</si>
  <si>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</si>
  <si>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</si>
  <si>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</si>
  <si>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</si>
  <si>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</si>
  <si>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</si>
  <si>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</si>
  <si>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</si>
  <si>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</si>
  <si>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</si>
  <si>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</si>
  <si>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</si>
  <si>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</si>
  <si>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</si>
  <si>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</si>
  <si>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</si>
  <si>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</si>
  <si>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</si>
  <si>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</si>
  <si>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</si>
  <si>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</si>
  <si>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</si>
  <si>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</si>
  <si>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</si>
  <si>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</si>
  <si>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</si>
  <si>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</si>
  <si>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</si>
  <si>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</si>
  <si>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</si>
  <si>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</si>
  <si>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</si>
  <si>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</si>
  <si>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</si>
  <si>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</si>
  <si>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</si>
  <si>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</si>
  <si>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</si>
  <si>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unidade</t>
  </si>
  <si>
    <t>BACKUP</t>
  </si>
  <si>
    <t>q8</t>
  </si>
  <si>
    <t>q9</t>
  </si>
  <si>
    <t>q1</t>
  </si>
  <si>
    <t>q2</t>
  </si>
  <si>
    <t>a</t>
  </si>
  <si>
    <t>b</t>
  </si>
  <si>
    <t>c</t>
  </si>
  <si>
    <t>d</t>
  </si>
  <si>
    <r>
      <t xml:space="preserve">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</t>
    </r>
  </si>
  <si>
    <t>21 a 25 anos     ( B )</t>
  </si>
  <si>
    <t>26 a 30 anos    ( C )</t>
  </si>
  <si>
    <t>31 a 35 anos    ( D )</t>
  </si>
  <si>
    <t xml:space="preserve">36 a 40 anos    ( E ) </t>
  </si>
  <si>
    <t>Quantidade</t>
  </si>
  <si>
    <t>%</t>
  </si>
  <si>
    <t>Total</t>
  </si>
  <si>
    <t>FAIXA ETÁRIA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</si>
</sst>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6" fillId="0" borderId="0" xfId="0" applyFont="1" applyBorder="1" applyAlignment="1">
      <alignment vertical="center" readingOrder="1"/>
    </xf>
    <xf numFmtId="0" fontId="6" fillId="0" borderId="15" xfId="0" applyFont="1" applyBorder="1" applyAlignment="1">
      <alignment vertical="center" readingOrder="1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7" fillId="0" borderId="23" xfId="0" applyFont="1" applyFill="1" applyBorder="1" applyAlignment="1">
      <alignment vertical="center" wrapText="1" readingOrder="1"/>
    </xf>
    <xf numFmtId="0" fontId="0" fillId="0" borderId="0" xfId="0" applyBorder="1" applyAlignment="1">
      <alignment horizontal="center"/>
    </xf>
    <xf numFmtId="9" fontId="0" fillId="0" borderId="15" xfId="0" applyNumberFormat="1" applyBorder="1" applyAlignment="1">
      <alignment horizontal="center"/>
    </xf>
    <xf numFmtId="0" fontId="6" fillId="0" borderId="14" xfId="0" applyFont="1" applyBorder="1" applyAlignment="1">
      <alignment vertical="center" readingOrder="1"/>
    </xf>
    <xf numFmtId="0" fontId="0" fillId="0" borderId="0" xfId="0" applyBorder="1"/>
    <xf numFmtId="9" fontId="0" fillId="0" borderId="15" xfId="0" applyNumberFormat="1" applyBorder="1"/>
    <xf numFmtId="0" fontId="0" fillId="0" borderId="14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</cellXfs>
  <cellStyles count="1">
    <cellStyle name="Normal" xfId="0" builtinId="0"/>
  </cellStyles>
  <dxfs count="1">
    <dxf>
      <numFmt numFmtId="13" formatCode="0%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/>
            </a:pPr>
            <a:r>
              <a:rPr lang="pt-BR"/>
              <a:t>Faixa</a:t>
            </a:r>
            <a:r>
              <a:rPr lang="pt-BR" baseline="0"/>
              <a:t> Etária</a:t>
            </a:r>
            <a:endParaRPr lang="pt-BR"/>
          </a:p>
        </c:rich>
      </c:tx>
      <c:layout/>
    </c:title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Gráficos!$C$8</c:f>
              <c:strCache>
                <c:ptCount val="1"/>
                <c:pt idx="0">
                  <c:v>Quantidade</c:v>
                </c:pt>
              </c:strCache>
            </c:strRef>
          </c:tx>
          <c:explosion val="25"/>
          <c:cat>
            <c:strRef>
              <c:f>Gráficos!$B$9:$B$13</c:f>
              <c:strCache>
                <c:ptCount val="5"/>
                <c:pt idx="0">
                  <c:v>&lt; 20 anos  ( A ) </c:v>
                </c:pt>
                <c:pt idx="1">
                  <c:v>21 a 25 anos     ( B )</c:v>
                </c:pt>
                <c:pt idx="2">
                  <c:v>26 a 30 anos    ( C )</c:v>
                </c:pt>
                <c:pt idx="3">
                  <c:v>31 a 35 anos    ( D )</c:v>
                </c:pt>
                <c:pt idx="4">
                  <c:v>36 a 40 anos    ( E ) </c:v>
                </c:pt>
              </c:strCache>
            </c:strRef>
          </c:cat>
          <c:val>
            <c:numRef>
              <c:f>Gráficos!$C$9:$C$13</c:f>
              <c:numCache>
                <c:formatCode>General</c:formatCode>
                <c:ptCount val="5"/>
                <c:pt idx="0">
                  <c:v>5</c:v>
                </c:pt>
                <c:pt idx="1">
                  <c:v>40</c:v>
                </c:pt>
                <c:pt idx="2">
                  <c:v>10</c:v>
                </c:pt>
                <c:pt idx="3">
                  <c:v>5</c:v>
                </c:pt>
                <c:pt idx="4">
                  <c:v>10</c:v>
                </c:pt>
              </c:numCache>
            </c:numRef>
          </c:val>
        </c:ser>
        <c:ser>
          <c:idx val="1"/>
          <c:order val="1"/>
          <c:tx>
            <c:strRef>
              <c:f>Gráficos!$D$8</c:f>
              <c:strCache>
                <c:ptCount val="1"/>
                <c:pt idx="0">
                  <c:v>%</c:v>
                </c:pt>
              </c:strCache>
            </c:strRef>
          </c:tx>
          <c:explosion val="25"/>
          <c:cat>
            <c:strRef>
              <c:f>Gráficos!$B$9:$B$13</c:f>
              <c:strCache>
                <c:ptCount val="5"/>
                <c:pt idx="0">
                  <c:v>&lt; 20 anos  ( A ) </c:v>
                </c:pt>
                <c:pt idx="1">
                  <c:v>21 a 25 anos     ( B )</c:v>
                </c:pt>
                <c:pt idx="2">
                  <c:v>26 a 30 anos    ( C )</c:v>
                </c:pt>
                <c:pt idx="3">
                  <c:v>31 a 35 anos    ( D )</c:v>
                </c:pt>
                <c:pt idx="4">
                  <c:v>36 a 40 anos    ( E ) </c:v>
                </c:pt>
              </c:strCache>
            </c:strRef>
          </c:cat>
          <c:val>
            <c:numRef>
              <c:f>Gráficos!$D$9:$D$13</c:f>
              <c:numCache>
                <c:formatCode>0%</c:formatCode>
                <c:ptCount val="5"/>
                <c:pt idx="0">
                  <c:v>7.1428571428571425E-2</c:v>
                </c:pt>
                <c:pt idx="1">
                  <c:v>0.5714285714285714</c:v>
                </c:pt>
                <c:pt idx="2">
                  <c:v>0.14285714285714285</c:v>
                </c:pt>
                <c:pt idx="3">
                  <c:v>7.1428571428571425E-2</c:v>
                </c:pt>
                <c:pt idx="4">
                  <c:v>0.14285714285714285</c:v>
                </c:pt>
              </c:numCache>
            </c:numRef>
          </c:val>
        </c:ser>
      </c:pie3DChart>
    </c:plotArea>
    <c:legend>
      <c:legendPos val="r"/>
      <c:layout/>
    </c:legend>
    <c:plotVisOnly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314324</xdr:colOff>
      <xdr:row>6</xdr:row>
      <xdr:rowOff>0</xdr:rowOff>
    </xdr:from>
    <xdr:to>
      <xdr:col>11</xdr:col>
      <xdr:colOff>76199</xdr:colOff>
      <xdr:row>16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a1" displayName="Tabela1" ref="B8:D14" totalsRowShown="0">
  <autoFilter ref="B8:D14"/>
  <tableColumns count="3">
    <tableColumn id="1" name="Faixa etária:"/>
    <tableColumn id="2" name="Quantidade"/>
    <tableColumn id="3" name="%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9" sqref="B9:F9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62" t="s">
        <v>128</v>
      </c>
      <c r="C2" s="62"/>
      <c r="D2" s="62"/>
      <c r="E2" s="62"/>
      <c r="F2" s="63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64" t="s">
        <v>139</v>
      </c>
      <c r="C9" s="64"/>
      <c r="D9" s="64"/>
      <c r="E9" s="64"/>
      <c r="F9" s="65"/>
    </row>
    <row r="10" spans="1:7">
      <c r="A10" s="32">
        <v>2</v>
      </c>
      <c r="B10" s="66" t="s">
        <v>140</v>
      </c>
      <c r="C10" s="66"/>
      <c r="D10" s="66"/>
      <c r="E10" s="66"/>
      <c r="F10" s="67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60" t="s">
        <v>126</v>
      </c>
      <c r="D20" s="60"/>
      <c r="E20" s="60"/>
      <c r="F20" s="61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57" t="s">
        <v>127</v>
      </c>
      <c r="B94" s="58"/>
      <c r="C94" s="58"/>
      <c r="D94" s="58"/>
      <c r="E94" s="58"/>
      <c r="F94" s="59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6:F14"/>
  <sheetViews>
    <sheetView tabSelected="1" workbookViewId="0">
      <selection activeCell="F20" sqref="F20"/>
    </sheetView>
  </sheetViews>
  <sheetFormatPr defaultRowHeight="15"/>
  <cols>
    <col min="2" max="2" width="18" customWidth="1"/>
    <col min="3" max="3" width="13.42578125" customWidth="1"/>
  </cols>
  <sheetData>
    <row r="6" spans="2:6" ht="15.75" thickBot="1"/>
    <row r="7" spans="2:6">
      <c r="B7" s="70" t="s">
        <v>169</v>
      </c>
      <c r="C7" s="71"/>
      <c r="D7" s="72"/>
    </row>
    <row r="8" spans="2:6" ht="15.75" thickBot="1">
      <c r="B8" s="73" t="s">
        <v>138</v>
      </c>
      <c r="C8" s="74" t="s">
        <v>166</v>
      </c>
      <c r="D8" s="75" t="s">
        <v>167</v>
      </c>
      <c r="E8" s="56"/>
      <c r="F8" s="56"/>
    </row>
    <row r="9" spans="2:6">
      <c r="B9" s="76" t="s">
        <v>161</v>
      </c>
      <c r="C9" s="77">
        <v>5</v>
      </c>
      <c r="D9" s="78">
        <f>C9/$C$14</f>
        <v>7.1428571428571425E-2</v>
      </c>
    </row>
    <row r="10" spans="2:6">
      <c r="B10" s="79" t="s">
        <v>162</v>
      </c>
      <c r="C10" s="77">
        <v>40</v>
      </c>
      <c r="D10" s="78">
        <f t="shared" ref="D10:D13" si="0">C10/$C$14</f>
        <v>0.5714285714285714</v>
      </c>
    </row>
    <row r="11" spans="2:6">
      <c r="B11" s="79" t="s">
        <v>163</v>
      </c>
      <c r="C11" s="77">
        <v>10</v>
      </c>
      <c r="D11" s="78">
        <f t="shared" si="0"/>
        <v>0.14285714285714285</v>
      </c>
    </row>
    <row r="12" spans="2:6">
      <c r="B12" s="79" t="s">
        <v>164</v>
      </c>
      <c r="C12" s="77">
        <v>5</v>
      </c>
      <c r="D12" s="78">
        <f t="shared" si="0"/>
        <v>7.1428571428571425E-2</v>
      </c>
    </row>
    <row r="13" spans="2:6">
      <c r="B13" s="79" t="s">
        <v>165</v>
      </c>
      <c r="C13" s="77">
        <v>10</v>
      </c>
      <c r="D13" s="78">
        <f t="shared" si="0"/>
        <v>0.14285714285714285</v>
      </c>
    </row>
    <row r="14" spans="2:6" ht="15.75" thickBot="1">
      <c r="B14" s="80" t="s">
        <v>168</v>
      </c>
      <c r="C14" s="81">
        <f>SUM(C9:C13)</f>
        <v>70</v>
      </c>
      <c r="D14" s="82"/>
    </row>
  </sheetData>
  <mergeCells count="1">
    <mergeCell ref="B7:D7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F11"/>
  <sheetViews>
    <sheetView workbookViewId="0">
      <selection activeCell="B10" sqref="B10:B15"/>
    </sheetView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6">
      <c r="A1" t="s">
        <v>151</v>
      </c>
      <c r="B1" t="s">
        <v>155</v>
      </c>
      <c r="C1" t="s">
        <v>156</v>
      </c>
      <c r="D1" t="s">
        <v>156</v>
      </c>
      <c r="E1" t="s">
        <v>153</v>
      </c>
      <c r="F1" t="s">
        <v>154</v>
      </c>
    </row>
    <row r="2" spans="1:6">
      <c r="A2">
        <v>1000001</v>
      </c>
      <c r="B2" t="s">
        <v>157</v>
      </c>
      <c r="C2" t="s">
        <v>158</v>
      </c>
      <c r="D2" t="s">
        <v>157</v>
      </c>
      <c r="E2" t="s">
        <v>158</v>
      </c>
      <c r="F2" t="s">
        <v>157</v>
      </c>
    </row>
    <row r="3" spans="1:6">
      <c r="A3">
        <v>1000001</v>
      </c>
      <c r="B3" t="s">
        <v>157</v>
      </c>
      <c r="C3" t="s">
        <v>159</v>
      </c>
      <c r="D3" t="s">
        <v>157</v>
      </c>
      <c r="E3" t="s">
        <v>159</v>
      </c>
      <c r="F3" t="s">
        <v>157</v>
      </c>
    </row>
    <row r="4" spans="1:6">
      <c r="A4">
        <v>1000002</v>
      </c>
      <c r="B4" t="s">
        <v>158</v>
      </c>
      <c r="C4" t="s">
        <v>158</v>
      </c>
      <c r="D4" t="s">
        <v>158</v>
      </c>
      <c r="E4" t="s">
        <v>158</v>
      </c>
      <c r="F4" t="s">
        <v>157</v>
      </c>
    </row>
    <row r="5" spans="1:6">
      <c r="A5">
        <v>1000001</v>
      </c>
      <c r="B5" t="s">
        <v>159</v>
      </c>
      <c r="C5" t="s">
        <v>159</v>
      </c>
      <c r="D5" t="s">
        <v>157</v>
      </c>
      <c r="E5" t="s">
        <v>159</v>
      </c>
      <c r="F5" t="s">
        <v>157</v>
      </c>
    </row>
    <row r="6" spans="1:6">
      <c r="A6">
        <v>1000002</v>
      </c>
      <c r="B6" t="s">
        <v>160</v>
      </c>
      <c r="C6" t="s">
        <v>158</v>
      </c>
      <c r="D6" t="s">
        <v>158</v>
      </c>
      <c r="E6" t="s">
        <v>158</v>
      </c>
      <c r="F6" t="s">
        <v>157</v>
      </c>
    </row>
    <row r="11" spans="1:6">
      <c r="C11" s="68"/>
      <c r="D11" s="68"/>
      <c r="E11" s="68"/>
      <c r="F11" s="6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A2"/>
  <sheetViews>
    <sheetView workbookViewId="0">
      <selection activeCell="D15" sqref="D15"/>
    </sheetView>
  </sheetViews>
  <sheetFormatPr defaultRowHeight="15"/>
  <sheetData>
    <row r="1" spans="1:1" ht="15.75" thickBot="1">
      <c r="A1" s="55" t="s">
        <v>152</v>
      </c>
    </row>
    <row r="2" spans="1:1">
      <c r="A2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Formulario de Pesquisa</vt:lpstr>
      <vt:lpstr>Gráficos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2014-10-21T21:29:12Z</dcterms:modified>
</cp:coreProperties>
</file>