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pivotTables/pivotTable15.xml" ContentType="application/vnd.openxmlformats-officedocument.spreadsheetml.pivot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5"/>
  </bookViews>
  <sheets>
    <sheet name="Formulario de Pesquisa" sheetId="1" r:id="rId1"/>
    <sheet name="Gráficos" sheetId="10" r:id="rId2"/>
    <sheet name="Dados" sheetId="3" r:id="rId3"/>
    <sheet name="original" sheetId="4" state="hidden" r:id="rId4"/>
    <sheet name="CONFIG" sheetId="6" r:id="rId5"/>
    <sheet name="Plan1" sheetId="11" r:id="rId6"/>
  </sheets>
  <functionGroups/>
  <definedNames>
    <definedName name="_xlnm.Print_Area" localSheetId="0">'Formulario de Pesquisa'!$A$1:$F$96</definedName>
    <definedName name="data">CONFIG!$L$2:$L$3</definedName>
    <definedName name="data_evento">Gráficos!$R$2</definedName>
    <definedName name="Questões">CONFIG!$B$2:$B$71</definedName>
    <definedName name="_xlnm.Print_Titles" localSheetId="0">'Formulario de Pesquisa'!$20:$20</definedName>
  </definedNames>
  <calcPr calcId="125725"/>
  <pivotCaches>
    <pivotCache cacheId="135" r:id="rId7"/>
  </pivotCaches>
</workbook>
</file>

<file path=xl/calcChain.xml><?xml version="1.0" encoding="utf-8"?>
<calcChain xmlns="http://schemas.openxmlformats.org/spreadsheetml/2006/main">
  <c r="X92" i="10"/>
  <c r="Q92"/>
  <c r="X77"/>
  <c r="Q77"/>
  <c r="X62"/>
  <c r="Q5"/>
  <c r="Q62"/>
  <c r="X48"/>
  <c r="Q48"/>
  <c r="X35"/>
  <c r="Q35"/>
  <c r="X21"/>
  <c r="Q21"/>
  <c r="X5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<sst xmlns="http://schemas.openxmlformats.org/spreadsheetml/2006/main" count="15673" uniqueCount="322">
  <si>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</si>
  <si>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</si>
  <si>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</si>
  <si>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</si>
  <si>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</si>
  <si>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</si>
  <si>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</si>
  <si>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</si>
  <si>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</si>
  <si>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</si>
  <si>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</si>
  <si>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</si>
  <si>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</si>
  <si>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</si>
  <si>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</si>
  <si>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</si>
  <si>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</si>
  <si>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</si>
  <si>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</si>
  <si>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</si>
  <si>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</si>
  <si>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</si>
  <si>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</si>
  <si>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</si>
  <si>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</si>
  <si>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</si>
  <si>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</si>
  <si>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</si>
  <si>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</si>
  <si>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</si>
  <si>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</si>
  <si>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</si>
  <si>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</si>
  <si>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</si>
  <si>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</si>
  <si>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</si>
  <si>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</si>
  <si>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</si>
  <si>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</si>
  <si>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</si>
  <si>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</si>
  <si>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</si>
  <si>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</si>
  <si>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</si>
  <si>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</si>
  <si>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</si>
  <si>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</si>
  <si>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</si>
  <si>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</si>
  <si>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</si>
  <si>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</si>
  <si>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</si>
  <si>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</si>
  <si>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</si>
  <si>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</si>
  <si>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</si>
  <si>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</si>
  <si>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</si>
  <si>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</si>
  <si>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</si>
  <si>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</si>
  <si>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</si>
  <si>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</si>
  <si>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</si>
  <si>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</si>
  <si>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</si>
  <si>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</si>
  <si>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</si>
  <si>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</si>
  <si>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</si>
  <si>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</si>
  <si>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</si>
  <si>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</si>
  <si>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</si>
  <si>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</si>
  <si>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</si>
  <si>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</si>
  <si>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</si>
  <si>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</si>
  <si>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</si>
  <si>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</si>
  <si>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</si>
  <si>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</si>
  <si>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</si>
  <si>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</si>
  <si>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</si>
  <si>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</si>
  <si>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</si>
  <si>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</si>
  <si>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</si>
  <si>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</si>
  <si>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</si>
  <si>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</si>
  <si>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</si>
  <si>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</si>
  <si>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</si>
  <si>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</si>
  <si>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</si>
  <si>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</si>
  <si>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</si>
  <si>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</si>
  <si>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</si>
  <si>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</si>
  <si>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</si>
  <si>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</si>
  <si>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</si>
  <si>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</si>
  <si>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</si>
  <si>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</si>
  <si>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</si>
  <si>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</si>
  <si>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</si>
  <si>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</si>
  <si>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</si>
  <si>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</si>
  <si>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</si>
  <si>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</si>
  <si>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</si>
  <si>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</si>
  <si>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</si>
  <si>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</si>
  <si>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</si>
  <si>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</si>
  <si>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</si>
  <si>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</si>
  <si>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</si>
  <si>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</si>
  <si>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</si>
  <si>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</si>
  <si>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</si>
  <si>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</si>
  <si>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</si>
  <si>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</si>
  <si>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</si>
  <si>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</si>
  <si>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</si>
  <si>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</si>
  <si>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</si>
  <si>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</si>
  <si>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</si>
  <si>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</si>
  <si>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</si>
  <si>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</si>
  <si>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</si>
  <si>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</si>
  <si>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</si>
  <si>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</si>
  <si>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</si>
  <si>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</si>
  <si>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</si>
  <si>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</si>
  <si>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</si>
  <si>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</si>
  <si>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</si>
  <si>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</si>
  <si>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</si>
  <si>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</si>
  <si>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</si>
  <si>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</si>
  <si>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</si>
  <si>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</si>
  <si>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</si>
  <si>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</si>
  <si>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</si>
  <si>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</si>
  <si>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</si>
  <si>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</si>
  <si>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</si>
  <si>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</si>
  <si>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</si>
  <si>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</si>
  <si>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</si>
  <si>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</si>
  <si>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</si>
  <si>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</si>
  <si>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</si>
  <si>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</si>
  <si>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</si>
  <si>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</si>
  <si>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</si>
  <si>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</si>
  <si>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</si>
  <si>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</si>
  <si>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</si>
  <si>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</si>
  <si>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</si>
  <si>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</si>
  <si>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</si>
  <si>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</si>
  <si>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</si>
  <si>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</si>
  <si>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</si>
  <si>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</si>
  <si>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</si>
  <si>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</si>
  <si>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</si>
  <si>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</si>
  <si>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</si>
  <si>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</si>
  <si>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</si>
  <si>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</si>
  <si>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</si>
  <si>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</si>
  <si>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</si>
  <si>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</si>
  <si>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</si>
  <si>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</si>
  <si>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</si>
  <si>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</si>
  <si>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</si>
  <si>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</si>
  <si>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</si>
  <si>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</si>
  <si>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</si>
  <si>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</si>
  <si>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</si>
  <si>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</si>
  <si>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</si>
  <si>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</si>
  <si>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</si>
  <si>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</si>
  <si>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</si>
  <si>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</si>
  <si>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</si>
  <si>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</si>
  <si>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</si>
  <si>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</si>
  <si>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</si>
  <si>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</si>
  <si>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</si>
  <si>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</si>
  <si>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</si>
  <si>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</si>
  <si>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</si>
  <si>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</si>
  <si>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</si>
  <si>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</si>
  <si>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</si>
  <si>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</si>
  <si>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</si>
  <si>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</si>
  <si>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</si>
  <si>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</si>
  <si>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</si>
  <si>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</si>
  <si>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</si>
  <si>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</si>
  <si>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</si>
  <si>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</si>
  <si>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</si>
  <si>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</si>
  <si>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</si>
  <si>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</si>
  <si>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</si>
  <si>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</si>
  <si>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</si>
  <si>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</si>
  <si>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</si>
  <si>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</si>
  <si>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</si>
  <si>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</si>
  <si>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</si>
  <si>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</si>
  <si>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</si>
  <si>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</si>
  <si>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</si>
  <si>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</si>
  <si>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</si>
  <si>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</si>
  <si>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</si>
  <si>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</si>
  <si>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</si>
  <si>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</t>
  </si>
  <si>
    <t>2</t>
  </si>
  <si>
    <t>||</t>
  </si>
  <si>
    <t>?</t>
  </si>
  <si>
    <t>*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</si>
  <si>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</si>
  <si>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</si>
  <si>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</si>
  <si>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</si>
  <si>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</si>
  <si>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</si>
  <si>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</si>
  <si>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</si>
  <si>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E3</t>
  </si>
  <si>
    <t>Rótulos de Coluna</t>
  </si>
  <si>
    <t>Unidade</t>
  </si>
  <si>
    <t>Codigo Unidade</t>
  </si>
  <si>
    <t>Estado</t>
  </si>
  <si>
    <t>GO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</si>
  <si>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</si>
  <si>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</si>
  <si>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</si>
  <si>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</si>
  <si>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</si>
  <si>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</si>
  <si>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</si>
  <si>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</si>
  <si>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</si>
  <si>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</si>
  <si>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</si>
  <si>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</si>
  <si>
    <t>(Vários itens)</t>
  </si>
  <si>
    <t>% Q2</t>
  </si>
  <si>
    <t>% Sexo</t>
  </si>
  <si>
    <t>Contar de E5</t>
  </si>
  <si>
    <t>Contar de E6</t>
  </si>
  <si>
    <t>Contar de E7</t>
  </si>
  <si>
    <t>Contar de E8</t>
  </si>
  <si>
    <t>Contar de E9</t>
  </si>
  <si>
    <t>(Tudo)</t>
  </si>
  <si>
    <t>Datas de Pesquisas</t>
  </si>
  <si>
    <t>Data:</t>
  </si>
  <si>
    <t>Data</t>
  </si>
  <si>
    <t>(vazio)</t>
  </si>
  <si>
    <t>Contar de E10</t>
  </si>
  <si>
    <t>Contar de E11</t>
  </si>
  <si>
    <t>Contar de E12</t>
  </si>
  <si>
    <t>Contar de E13</t>
  </si>
  <si>
    <t>Questão:</t>
  </si>
  <si>
    <t>Contar de E15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</si>
</sst>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  <xf numFmtId="14" fontId="0" fillId="0" borderId="0" xfId="0" applyNumberFormat="1"/>
    <xf numFmtId="14" fontId="0" fillId="0" borderId="0" xfId="0" quotePrefix="1" applyNumberFormat="1"/>
    <xf numFmtId="0" fontId="1" fillId="4" borderId="2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right"/>
    </xf>
    <xf numFmtId="14" fontId="15" fillId="8" borderId="3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15" fillId="8" borderId="3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87">
    <dxf>
      <numFmt numFmtId="14" formatCode="0.00%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0"/>
  </c:pivotSource>
  <c:chart>
    <c:title>
      <c:tx>
        <c:strRef>
          <c:f>Gráficos!$Q$5:$V$5</c:f>
          <c:strCache>
            <c:ptCount val="1"/>
            <c:pt idx="0">
              <c:v>Q1-Faixa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view3D>
      <c:rotX val="75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Gráficos!$Q$5:$V$5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0.04</c:v>
                </c:pt>
                <c:pt idx="1">
                  <c:v>2.6666666666666668E-2</c:v>
                </c:pt>
                <c:pt idx="2">
                  <c:v>0.04</c:v>
                </c:pt>
                <c:pt idx="3">
                  <c:v>2.6666666666666668E-2</c:v>
                </c:pt>
                <c:pt idx="4">
                  <c:v>8.666666666666667E-2</c:v>
                </c:pt>
              </c:numCache>
            </c:numRef>
          </c:val>
        </c:ser>
        <c:ser>
          <c:idx val="1"/>
          <c:order val="1"/>
          <c:tx>
            <c:strRef>
              <c:f>Gráficos!$Q$5:$V$5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0.12</c:v>
                </c:pt>
                <c:pt idx="2">
                  <c:v>0.06</c:v>
                </c:pt>
                <c:pt idx="3">
                  <c:v>3.3333333333333333E-2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Gráficos!$Q$5:$V$5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6.6666666666666671E-3</c:v>
                </c:pt>
                <c:pt idx="1">
                  <c:v>3.3333333333333333E-2</c:v>
                </c:pt>
                <c:pt idx="2">
                  <c:v>1.3333333333333334E-2</c:v>
                </c:pt>
                <c:pt idx="3">
                  <c:v>0</c:v>
                </c:pt>
                <c:pt idx="4">
                  <c:v>0.06</c:v>
                </c:pt>
              </c:numCache>
            </c:numRef>
          </c:val>
        </c:ser>
        <c:ser>
          <c:idx val="3"/>
          <c:order val="3"/>
          <c:tx>
            <c:strRef>
              <c:f>Gráficos!$Q$5:$V$5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0.04</c:v>
                </c:pt>
                <c:pt idx="2">
                  <c:v>2.6666666666666668E-2</c:v>
                </c:pt>
                <c:pt idx="3">
                  <c:v>2.6666666666666668E-2</c:v>
                </c:pt>
                <c:pt idx="4">
                  <c:v>9.3333333333333338E-2</c:v>
                </c:pt>
              </c:numCache>
            </c:numRef>
          </c:val>
        </c:ser>
      </c:pie3DChart>
    </c:plotArea>
    <c:legend>
      <c:legendPos val="b"/>
      <c:layout/>
      <c:txPr>
        <a:bodyPr/>
        <a:lstStyle/>
        <a:p>
          <a:pPr rtl="0">
            <a:defRPr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Gráficos!$R$9:$R$10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Gráficos!$R$11:$R$16</c:f>
              <c:numCache>
                <c:formatCode>0.00%</c:formatCode>
                <c:ptCount val="5"/>
                <c:pt idx="0">
                  <c:v>0.04</c:v>
                </c:pt>
                <c:pt idx="1">
                  <c:v>2.6666666666666668E-2</c:v>
                </c:pt>
                <c:pt idx="2">
                  <c:v>0.04</c:v>
                </c:pt>
                <c:pt idx="3">
                  <c:v>2.6666666666666668E-2</c:v>
                </c:pt>
                <c:pt idx="4">
                  <c:v>8.666666666666667E-2</c:v>
                </c:pt>
              </c:numCache>
            </c:numRef>
          </c:val>
        </c:ser>
        <c:ser>
          <c:idx val="1"/>
          <c:order val="1"/>
          <c:tx>
            <c:strRef>
              <c:f>Gráficos!$S$9:$S$10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Gráficos!$S$11:$S$16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0.12</c:v>
                </c:pt>
                <c:pt idx="2">
                  <c:v>0.06</c:v>
                </c:pt>
                <c:pt idx="3">
                  <c:v>3.3333333333333333E-2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Gráficos!$T$9:$T$10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Gráficos!$T$11:$T$16</c:f>
              <c:numCache>
                <c:formatCode>0.00%</c:formatCode>
                <c:ptCount val="5"/>
                <c:pt idx="0">
                  <c:v>6.6666666666666671E-3</c:v>
                </c:pt>
                <c:pt idx="1">
                  <c:v>3.3333333333333333E-2</c:v>
                </c:pt>
                <c:pt idx="2">
                  <c:v>1.3333333333333334E-2</c:v>
                </c:pt>
                <c:pt idx="3">
                  <c:v>0</c:v>
                </c:pt>
                <c:pt idx="4">
                  <c:v>0.06</c:v>
                </c:pt>
              </c:numCache>
            </c:numRef>
          </c:val>
        </c:ser>
        <c:ser>
          <c:idx val="3"/>
          <c:order val="3"/>
          <c:tx>
            <c:strRef>
              <c:f>Gráficos!$U$9:$U$10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Gráficos!$U$11:$U$16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0.04</c:v>
                </c:pt>
                <c:pt idx="2">
                  <c:v>2.6666666666666668E-2</c:v>
                </c:pt>
                <c:pt idx="3">
                  <c:v>2.6666666666666668E-2</c:v>
                </c:pt>
                <c:pt idx="4">
                  <c:v>9.3333333333333338E-2</c:v>
                </c:pt>
              </c:numCache>
            </c:numRef>
          </c:val>
        </c:ser>
        <c:axId val="60385536"/>
        <c:axId val="60395520"/>
      </c:barChart>
      <c:catAx>
        <c:axId val="60385536"/>
        <c:scaling>
          <c:orientation val="minMax"/>
        </c:scaling>
        <c:axPos val="b"/>
        <c:tickLblPos val="nextTo"/>
        <c:crossAx val="60395520"/>
        <c:crosses val="autoZero"/>
        <c:auto val="1"/>
        <c:lblAlgn val="ctr"/>
        <c:lblOffset val="100"/>
      </c:catAx>
      <c:valAx>
        <c:axId val="60395520"/>
        <c:scaling>
          <c:orientation val="minMax"/>
        </c:scaling>
        <c:axPos val="l"/>
        <c:majorGridlines/>
        <c:numFmt formatCode="0.00%" sourceLinked="1"/>
        <c:tickLblPos val="nextTo"/>
        <c:crossAx val="6038553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3"/>
  </c:pivotSource>
  <c:chart>
    <c:title>
      <c:tx>
        <c:strRef>
          <c:f>Gráficos!$X$5:$AC$5</c:f>
          <c:strCache>
            <c:ptCount val="1"/>
            <c:pt idx="0">
              <c:v>Q2-Faixa etária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890318676894392"/>
          <c:y val="0.12633120698178757"/>
          <c:w val="0.61833195352754844"/>
          <c:h val="0.79173849645440886"/>
        </c:manualLayout>
      </c:layout>
      <c:pieChart>
        <c:varyColors val="1"/>
        <c:ser>
          <c:idx val="0"/>
          <c:order val="0"/>
          <c:tx>
            <c:strRef>
              <c:f>Gráficos!$X$5:$AC$5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0.04</c:v>
                </c:pt>
                <c:pt idx="1">
                  <c:v>0.12666666666666668</c:v>
                </c:pt>
                <c:pt idx="2">
                  <c:v>3.3333333333333333E-2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1"/>
          <c:order val="1"/>
          <c:tx>
            <c:strRef>
              <c:f>Gráficos!$X$5:$AC$5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0.02</c:v>
                </c:pt>
                <c:pt idx="1">
                  <c:v>0.24</c:v>
                </c:pt>
                <c:pt idx="2">
                  <c:v>0.06</c:v>
                </c:pt>
                <c:pt idx="3">
                  <c:v>0.02</c:v>
                </c:pt>
                <c:pt idx="4">
                  <c:v>0.10666666666666667</c:v>
                </c:pt>
              </c:numCache>
            </c:numRef>
          </c:val>
        </c:ser>
        <c:ser>
          <c:idx val="2"/>
          <c:order val="2"/>
          <c:tx>
            <c:strRef>
              <c:f>Gráficos!$X$5:$AC$5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</c:v>
                </c:pt>
                <c:pt idx="1">
                  <c:v>8.666666666666667E-2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Gráficos!$X$5:$AC$5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0.13333333333333333</c:v>
                </c:pt>
                <c:pt idx="2">
                  <c:v>2.6666666666666668E-2</c:v>
                </c:pt>
                <c:pt idx="3">
                  <c:v>0.02</c:v>
                </c:pt>
                <c:pt idx="4">
                  <c:v>6.6666666666666671E-3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Gráficos!$Y$9:$Y$10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Gráficos!$Y$11:$Y$16</c:f>
              <c:numCache>
                <c:formatCode>0.00%</c:formatCode>
                <c:ptCount val="5"/>
                <c:pt idx="0">
                  <c:v>0.04</c:v>
                </c:pt>
                <c:pt idx="1">
                  <c:v>0.12666666666666668</c:v>
                </c:pt>
                <c:pt idx="2">
                  <c:v>3.3333333333333333E-2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1"/>
          <c:order val="1"/>
          <c:tx>
            <c:strRef>
              <c:f>Gráficos!$Z$9:$Z$10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Gráficos!$Z$11:$Z$16</c:f>
              <c:numCache>
                <c:formatCode>0.00%</c:formatCode>
                <c:ptCount val="5"/>
                <c:pt idx="0">
                  <c:v>0.02</c:v>
                </c:pt>
                <c:pt idx="1">
                  <c:v>0.24</c:v>
                </c:pt>
                <c:pt idx="2">
                  <c:v>0.06</c:v>
                </c:pt>
                <c:pt idx="3">
                  <c:v>0.02</c:v>
                </c:pt>
                <c:pt idx="4">
                  <c:v>0.10666666666666667</c:v>
                </c:pt>
              </c:numCache>
            </c:numRef>
          </c:val>
        </c:ser>
        <c:ser>
          <c:idx val="2"/>
          <c:order val="2"/>
          <c:tx>
            <c:strRef>
              <c:f>Gráficos!$AA$9:$AA$10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Gráficos!$AA$11:$AA$16</c:f>
              <c:numCache>
                <c:formatCode>0.00%</c:formatCode>
                <c:ptCount val="5"/>
                <c:pt idx="0">
                  <c:v>0</c:v>
                </c:pt>
                <c:pt idx="1">
                  <c:v>8.666666666666667E-2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Gráficos!$AB$9:$AB$10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Gráficos!$AB$11:$AB$16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0.13333333333333333</c:v>
                </c:pt>
                <c:pt idx="2">
                  <c:v>2.6666666666666668E-2</c:v>
                </c:pt>
                <c:pt idx="3">
                  <c:v>0.02</c:v>
                </c:pt>
                <c:pt idx="4">
                  <c:v>6.6666666666666671E-3</c:v>
                </c:pt>
              </c:numCache>
            </c:numRef>
          </c:val>
        </c:ser>
        <c:axId val="60616704"/>
        <c:axId val="60618240"/>
      </c:barChart>
      <c:catAx>
        <c:axId val="60616704"/>
        <c:scaling>
          <c:orientation val="minMax"/>
        </c:scaling>
        <c:axPos val="b"/>
        <c:tickLblPos val="nextTo"/>
        <c:crossAx val="60618240"/>
        <c:crosses val="autoZero"/>
        <c:auto val="1"/>
        <c:lblAlgn val="ctr"/>
        <c:lblOffset val="100"/>
      </c:catAx>
      <c:valAx>
        <c:axId val="60618240"/>
        <c:scaling>
          <c:orientation val="minMax"/>
        </c:scaling>
        <c:axPos val="l"/>
        <c:majorGridlines/>
        <c:numFmt formatCode="0.00%" sourceLinked="1"/>
        <c:tickLblPos val="nextTo"/>
        <c:crossAx val="606167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3"/>
  </c:pivotSource>
  <c:chart>
    <c:title>
      <c:tx>
        <c:strRef>
          <c:f>Gráficos!$Q$21:$V$21</c:f>
          <c:strCache>
            <c:ptCount val="1"/>
            <c:pt idx="0">
              <c:v>Q3-Tempo de empresa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Gráficos!$Q$21:$V$21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0.10666666666666667</c:v>
                </c:pt>
                <c:pt idx="1">
                  <c:v>0.04</c:v>
                </c:pt>
                <c:pt idx="2">
                  <c:v>0.04</c:v>
                </c:pt>
                <c:pt idx="3">
                  <c:v>2.6666666666666668E-2</c:v>
                </c:pt>
              </c:numCache>
            </c:numRef>
          </c:val>
        </c:ser>
        <c:ser>
          <c:idx val="1"/>
          <c:order val="1"/>
          <c:tx>
            <c:strRef>
              <c:f>Gráficos!$Q$21:$V$21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0.14666666666666667</c:v>
                </c:pt>
                <c:pt idx="1">
                  <c:v>0.13333333333333333</c:v>
                </c:pt>
                <c:pt idx="2">
                  <c:v>5.3333333333333337E-2</c:v>
                </c:pt>
                <c:pt idx="3">
                  <c:v>9.3333333333333338E-2</c:v>
                </c:pt>
              </c:numCache>
            </c:numRef>
          </c:val>
        </c:ser>
        <c:ser>
          <c:idx val="2"/>
          <c:order val="2"/>
          <c:tx>
            <c:strRef>
              <c:f>Gráficos!$Q$21:$V$21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5.3333333333333337E-2</c:v>
                </c:pt>
                <c:pt idx="1">
                  <c:v>2.6666666666666668E-2</c:v>
                </c:pt>
                <c:pt idx="2">
                  <c:v>0</c:v>
                </c:pt>
                <c:pt idx="3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Gráficos!$Q$21:$V$21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9.3333333333333338E-2</c:v>
                </c:pt>
                <c:pt idx="1">
                  <c:v>2.6666666666666668E-2</c:v>
                </c:pt>
                <c:pt idx="2">
                  <c:v>9.3333333333333338E-2</c:v>
                </c:pt>
                <c:pt idx="3">
                  <c:v>5.3333333333333337E-2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Gráficos!$R$25:$R$26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Gráficos!$R$27:$R$31</c:f>
              <c:numCache>
                <c:formatCode>0.00%</c:formatCode>
                <c:ptCount val="4"/>
                <c:pt idx="0">
                  <c:v>0.10666666666666667</c:v>
                </c:pt>
                <c:pt idx="1">
                  <c:v>0.04</c:v>
                </c:pt>
                <c:pt idx="2">
                  <c:v>0.04</c:v>
                </c:pt>
                <c:pt idx="3">
                  <c:v>2.6666666666666668E-2</c:v>
                </c:pt>
              </c:numCache>
            </c:numRef>
          </c:val>
        </c:ser>
        <c:ser>
          <c:idx val="1"/>
          <c:order val="1"/>
          <c:tx>
            <c:strRef>
              <c:f>Gráficos!$S$25:$S$26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Gráficos!$S$27:$S$31</c:f>
              <c:numCache>
                <c:formatCode>0.00%</c:formatCode>
                <c:ptCount val="4"/>
                <c:pt idx="0">
                  <c:v>0.14666666666666667</c:v>
                </c:pt>
                <c:pt idx="1">
                  <c:v>0.13333333333333333</c:v>
                </c:pt>
                <c:pt idx="2">
                  <c:v>5.3333333333333337E-2</c:v>
                </c:pt>
                <c:pt idx="3">
                  <c:v>9.3333333333333338E-2</c:v>
                </c:pt>
              </c:numCache>
            </c:numRef>
          </c:val>
        </c:ser>
        <c:ser>
          <c:idx val="2"/>
          <c:order val="2"/>
          <c:tx>
            <c:strRef>
              <c:f>Gráficos!$T$25:$T$26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Gráficos!$T$27:$T$31</c:f>
              <c:numCache>
                <c:formatCode>0.00%</c:formatCode>
                <c:ptCount val="4"/>
                <c:pt idx="0">
                  <c:v>5.3333333333333337E-2</c:v>
                </c:pt>
                <c:pt idx="1">
                  <c:v>2.6666666666666668E-2</c:v>
                </c:pt>
                <c:pt idx="2">
                  <c:v>0</c:v>
                </c:pt>
                <c:pt idx="3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Gráficos!$U$25:$U$26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Gráficos!$U$27:$U$31</c:f>
              <c:numCache>
                <c:formatCode>0.00%</c:formatCode>
                <c:ptCount val="4"/>
                <c:pt idx="0">
                  <c:v>9.3333333333333338E-2</c:v>
                </c:pt>
                <c:pt idx="1">
                  <c:v>2.6666666666666668E-2</c:v>
                </c:pt>
                <c:pt idx="2">
                  <c:v>9.3333333333333338E-2</c:v>
                </c:pt>
                <c:pt idx="3">
                  <c:v>5.3333333333333337E-2</c:v>
                </c:pt>
              </c:numCache>
            </c:numRef>
          </c:val>
        </c:ser>
        <c:axId val="60678912"/>
        <c:axId val="60680448"/>
      </c:barChart>
      <c:catAx>
        <c:axId val="60678912"/>
        <c:scaling>
          <c:orientation val="minMax"/>
        </c:scaling>
        <c:axPos val="b"/>
        <c:tickLblPos val="nextTo"/>
        <c:crossAx val="60680448"/>
        <c:crosses val="autoZero"/>
        <c:auto val="1"/>
        <c:lblAlgn val="ctr"/>
        <c:lblOffset val="100"/>
      </c:catAx>
      <c:valAx>
        <c:axId val="60680448"/>
        <c:scaling>
          <c:orientation val="minMax"/>
        </c:scaling>
        <c:axPos val="l"/>
        <c:majorGridlines/>
        <c:numFmt formatCode="0.00%" sourceLinked="1"/>
        <c:tickLblPos val="nextTo"/>
        <c:crossAx val="606789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5"/>
  </c:pivotSource>
  <c:chart>
    <c:title>
      <c:tx>
        <c:strRef>
          <c:f>Gráficos!$X$21:$AC$21</c:f>
          <c:strCache>
            <c:ptCount val="1"/>
            <c:pt idx="0">
              <c:v>Q4-Sexo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Gráficos!$X$21:$AC$21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0.21276595744680851</c:v>
                </c:pt>
                <c:pt idx="1">
                  <c:v>2.1276595744680851E-2</c:v>
                </c:pt>
              </c:numCache>
            </c:numRef>
          </c:val>
        </c:ser>
        <c:ser>
          <c:idx val="1"/>
          <c:order val="1"/>
          <c:tx>
            <c:strRef>
              <c:f>Gráficos!$X$21:$AC$21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0.36170212765957449</c:v>
                </c:pt>
                <c:pt idx="1">
                  <c:v>0.1276595744680851</c:v>
                </c:pt>
              </c:numCache>
            </c:numRef>
          </c:val>
        </c:ser>
        <c:ser>
          <c:idx val="2"/>
          <c:order val="2"/>
          <c:tx>
            <c:strRef>
              <c:f>Gráficos!$X$21:$AC$21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2.1276595744680851E-2</c:v>
                </c:pt>
              </c:numCache>
            </c:numRef>
          </c:val>
        </c:ser>
        <c:ser>
          <c:idx val="3"/>
          <c:order val="3"/>
          <c:tx>
            <c:strRef>
              <c:f>Gráficos!$X$21:$AC$21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4.2553191489361701E-2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Gráficos!$Y$25:$Y$26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Gráficos!$Y$27:$Y$29</c:f>
              <c:numCache>
                <c:formatCode>0.00%</c:formatCode>
                <c:ptCount val="2"/>
                <c:pt idx="0">
                  <c:v>0.21276595744680851</c:v>
                </c:pt>
                <c:pt idx="1">
                  <c:v>2.1276595744680851E-2</c:v>
                </c:pt>
              </c:numCache>
            </c:numRef>
          </c:val>
        </c:ser>
        <c:ser>
          <c:idx val="1"/>
          <c:order val="1"/>
          <c:tx>
            <c:strRef>
              <c:f>Gráficos!$Z$25:$Z$26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Gráficos!$Z$27:$Z$29</c:f>
              <c:numCache>
                <c:formatCode>0.00%</c:formatCode>
                <c:ptCount val="2"/>
                <c:pt idx="0">
                  <c:v>0.36170212765957449</c:v>
                </c:pt>
                <c:pt idx="1">
                  <c:v>0.1276595744680851</c:v>
                </c:pt>
              </c:numCache>
            </c:numRef>
          </c:val>
        </c:ser>
        <c:ser>
          <c:idx val="2"/>
          <c:order val="2"/>
          <c:tx>
            <c:strRef>
              <c:f>Gráficos!$AA$25:$AA$26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Gráficos!$AA$27:$AA$29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2.1276595744680851E-2</c:v>
                </c:pt>
              </c:numCache>
            </c:numRef>
          </c:val>
        </c:ser>
        <c:ser>
          <c:idx val="3"/>
          <c:order val="3"/>
          <c:tx>
            <c:strRef>
              <c:f>Gráficos!$AB$25:$AB$26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Gráficos!$AB$27:$AB$29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4.2553191489361701E-2</c:v>
                </c:pt>
              </c:numCache>
            </c:numRef>
          </c:val>
        </c:ser>
        <c:axId val="60773504"/>
        <c:axId val="60775040"/>
      </c:barChart>
      <c:catAx>
        <c:axId val="60773504"/>
        <c:scaling>
          <c:orientation val="minMax"/>
        </c:scaling>
        <c:axPos val="b"/>
        <c:tickLblPos val="nextTo"/>
        <c:crossAx val="60775040"/>
        <c:crosses val="autoZero"/>
        <c:auto val="1"/>
        <c:lblAlgn val="ctr"/>
        <c:lblOffset val="100"/>
      </c:catAx>
      <c:valAx>
        <c:axId val="60775040"/>
        <c:scaling>
          <c:orientation val="minMax"/>
        </c:scaling>
        <c:axPos val="l"/>
        <c:majorGridlines/>
        <c:numFmt formatCode="0.00%" sourceLinked="1"/>
        <c:tickLblPos val="nextTo"/>
        <c:crossAx val="607735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7"/>
  </c:pivotSource>
  <c:chart>
    <c:title>
      <c:tx>
        <c:strRef>
          <c:f>Gráficos!$Q$35:$V$35</c:f>
          <c:strCache>
            <c:ptCount val="1"/>
            <c:pt idx="0">
              <c:v>Q5-Area de atuação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Gráficos!$Q$35:$V$35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0.1</c:v>
                </c:pt>
                <c:pt idx="1">
                  <c:v>0.15</c:v>
                </c:pt>
              </c:numCache>
            </c:numRef>
          </c:val>
        </c:ser>
        <c:ser>
          <c:idx val="1"/>
          <c:order val="1"/>
          <c:tx>
            <c:strRef>
              <c:f>Gráficos!$Q$35:$V$35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0.05</c:v>
                </c:pt>
                <c:pt idx="1">
                  <c:v>0.3</c:v>
                </c:pt>
              </c:numCache>
            </c:numRef>
          </c:val>
        </c:ser>
        <c:ser>
          <c:idx val="2"/>
          <c:order val="2"/>
          <c:tx>
            <c:strRef>
              <c:f>Gráficos!$Q$35:$V$35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val>
        </c:ser>
        <c:ser>
          <c:idx val="3"/>
          <c:order val="3"/>
          <c:tx>
            <c:strRef>
              <c:f>Gráficos!$Q$35:$V$35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0.15</c:v>
                </c:pt>
                <c:pt idx="1">
                  <c:v>0.15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Gráficos!$R$39:$R$40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Gráficos!$R$41:$R$43</c:f>
              <c:numCache>
                <c:formatCode>0.00%</c:formatCode>
                <c:ptCount val="2"/>
                <c:pt idx="0">
                  <c:v>0.1</c:v>
                </c:pt>
                <c:pt idx="1">
                  <c:v>0.15</c:v>
                </c:pt>
              </c:numCache>
            </c:numRef>
          </c:val>
        </c:ser>
        <c:ser>
          <c:idx val="1"/>
          <c:order val="1"/>
          <c:tx>
            <c:strRef>
              <c:f>Gráficos!$S$39:$S$40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Gráficos!$S$41:$S$43</c:f>
              <c:numCache>
                <c:formatCode>0.00%</c:formatCode>
                <c:ptCount val="2"/>
                <c:pt idx="0">
                  <c:v>0.05</c:v>
                </c:pt>
                <c:pt idx="1">
                  <c:v>0.3</c:v>
                </c:pt>
              </c:numCache>
            </c:numRef>
          </c:val>
        </c:ser>
        <c:ser>
          <c:idx val="2"/>
          <c:order val="2"/>
          <c:tx>
            <c:strRef>
              <c:f>Gráficos!$T$39:$T$40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Gráficos!$T$41:$T$43</c:f>
              <c:numCache>
                <c:formatCode>0.00%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val>
        </c:ser>
        <c:ser>
          <c:idx val="3"/>
          <c:order val="3"/>
          <c:tx>
            <c:strRef>
              <c:f>Gráficos!$U$39:$U$40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Gráficos!$U$41:$U$43</c:f>
              <c:numCache>
                <c:formatCode>0.00%</c:formatCode>
                <c:ptCount val="2"/>
                <c:pt idx="0">
                  <c:v>0.15</c:v>
                </c:pt>
                <c:pt idx="1">
                  <c:v>0.15</c:v>
                </c:pt>
              </c:numCache>
            </c:numRef>
          </c:val>
        </c:ser>
        <c:axId val="60843904"/>
        <c:axId val="60845440"/>
      </c:barChart>
      <c:catAx>
        <c:axId val="60843904"/>
        <c:scaling>
          <c:orientation val="minMax"/>
        </c:scaling>
        <c:axPos val="b"/>
        <c:tickLblPos val="nextTo"/>
        <c:crossAx val="60845440"/>
        <c:crosses val="autoZero"/>
        <c:auto val="1"/>
        <c:lblAlgn val="ctr"/>
        <c:lblOffset val="100"/>
      </c:catAx>
      <c:valAx>
        <c:axId val="60845440"/>
        <c:scaling>
          <c:orientation val="minMax"/>
        </c:scaling>
        <c:axPos val="l"/>
        <c:majorGridlines/>
        <c:numFmt formatCode="0.00%" sourceLinked="1"/>
        <c:tickLblPos val="nextTo"/>
        <c:crossAx val="608439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9"/>
  </c:pivotSource>
  <c:chart>
    <c:title>
      <c:tx>
        <c:strRef>
          <c:f>Gráficos!$X$35:$AC$35</c:f>
          <c:strCache>
            <c:ptCount val="1"/>
            <c:pt idx="0">
              <c:v>Q6-Posição do Cargo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Gráficos!$X$35:$AC$35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0.17460317460317459</c:v>
                </c:pt>
                <c:pt idx="1">
                  <c:v>3.1746031746031744E-2</c:v>
                </c:pt>
              </c:numCache>
            </c:numRef>
          </c:val>
        </c:ser>
        <c:ser>
          <c:idx val="1"/>
          <c:order val="1"/>
          <c:tx>
            <c:strRef>
              <c:f>Gráficos!$X$35:$AC$35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0.26984126984126983</c:v>
                </c:pt>
                <c:pt idx="1">
                  <c:v>0.19047619047619047</c:v>
                </c:pt>
              </c:numCache>
            </c:numRef>
          </c:val>
        </c:ser>
        <c:ser>
          <c:idx val="2"/>
          <c:order val="2"/>
          <c:tx>
            <c:strRef>
              <c:f>Gráficos!$X$35:$AC$35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9.5238095238095233E-2</c:v>
                </c:pt>
                <c:pt idx="1">
                  <c:v>3.1746031746031744E-2</c:v>
                </c:pt>
              </c:numCache>
            </c:numRef>
          </c:val>
        </c:ser>
        <c:ser>
          <c:idx val="3"/>
          <c:order val="3"/>
          <c:tx>
            <c:strRef>
              <c:f>Gráficos!$X$35:$AC$35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0.14285714285714285</c:v>
                </c:pt>
                <c:pt idx="1">
                  <c:v>6.3492063492063489E-2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1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Gráficos!$Y$39:$Y$40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Gráficos!$Y$41:$Y$43</c:f>
              <c:numCache>
                <c:formatCode>0.00%</c:formatCode>
                <c:ptCount val="2"/>
                <c:pt idx="0">
                  <c:v>0.17460317460317459</c:v>
                </c:pt>
                <c:pt idx="1">
                  <c:v>3.1746031746031744E-2</c:v>
                </c:pt>
              </c:numCache>
            </c:numRef>
          </c:val>
        </c:ser>
        <c:ser>
          <c:idx val="1"/>
          <c:order val="1"/>
          <c:tx>
            <c:strRef>
              <c:f>Gráficos!$Z$39:$Z$40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Gráficos!$Z$41:$Z$43</c:f>
              <c:numCache>
                <c:formatCode>0.00%</c:formatCode>
                <c:ptCount val="2"/>
                <c:pt idx="0">
                  <c:v>0.26984126984126983</c:v>
                </c:pt>
                <c:pt idx="1">
                  <c:v>0.19047619047619047</c:v>
                </c:pt>
              </c:numCache>
            </c:numRef>
          </c:val>
        </c:ser>
        <c:ser>
          <c:idx val="2"/>
          <c:order val="2"/>
          <c:tx>
            <c:strRef>
              <c:f>Gráficos!$AA$39:$AA$40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Gráficos!$AA$41:$AA$43</c:f>
              <c:numCache>
                <c:formatCode>0.00%</c:formatCode>
                <c:ptCount val="2"/>
                <c:pt idx="0">
                  <c:v>9.5238095238095233E-2</c:v>
                </c:pt>
                <c:pt idx="1">
                  <c:v>3.1746031746031744E-2</c:v>
                </c:pt>
              </c:numCache>
            </c:numRef>
          </c:val>
        </c:ser>
        <c:ser>
          <c:idx val="3"/>
          <c:order val="3"/>
          <c:tx>
            <c:strRef>
              <c:f>Gráficos!$AB$39:$AB$40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Gráficos!$AB$41:$AB$43</c:f>
              <c:numCache>
                <c:formatCode>0.00%</c:formatCode>
                <c:ptCount val="2"/>
                <c:pt idx="0">
                  <c:v>0.14285714285714285</c:v>
                </c:pt>
                <c:pt idx="1">
                  <c:v>6.3492063492063489E-2</c:v>
                </c:pt>
              </c:numCache>
            </c:numRef>
          </c:val>
        </c:ser>
        <c:axId val="60934784"/>
        <c:axId val="60940672"/>
      </c:barChart>
      <c:catAx>
        <c:axId val="60934784"/>
        <c:scaling>
          <c:orientation val="minMax"/>
        </c:scaling>
        <c:axPos val="b"/>
        <c:tickLblPos val="nextTo"/>
        <c:crossAx val="60940672"/>
        <c:crosses val="autoZero"/>
        <c:auto val="1"/>
        <c:lblAlgn val="ctr"/>
        <c:lblOffset val="100"/>
      </c:catAx>
      <c:valAx>
        <c:axId val="60940672"/>
        <c:scaling>
          <c:orientation val="minMax"/>
        </c:scaling>
        <c:axPos val="l"/>
        <c:majorGridlines/>
        <c:numFmt formatCode="0.00%" sourceLinked="1"/>
        <c:tickLblPos val="nextTo"/>
        <c:crossAx val="609347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1"/>
  </c:pivotSource>
  <c:chart>
    <c:title>
      <c:tx>
        <c:strRef>
          <c:f>Gráficos!$Q$48</c:f>
          <c:strCache>
            <c:ptCount val="1"/>
            <c:pt idx="0">
              <c:v>Q7-Eu me sinto valorizado pelo Olimpo.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Gráficos!$Q$48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0.15294117647058825</c:v>
                </c:pt>
                <c:pt idx="1">
                  <c:v>5.8823529411764705E-2</c:v>
                </c:pt>
                <c:pt idx="2">
                  <c:v>1.1764705882352941E-2</c:v>
                </c:pt>
                <c:pt idx="3">
                  <c:v>2.3529411764705882E-2</c:v>
                </c:pt>
              </c:numCache>
            </c:numRef>
          </c:val>
        </c:ser>
        <c:ser>
          <c:idx val="1"/>
          <c:order val="1"/>
          <c:tx>
            <c:strRef>
              <c:f>Gráficos!$Q$48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0.2</c:v>
                </c:pt>
                <c:pt idx="1">
                  <c:v>0.14117647058823529</c:v>
                </c:pt>
                <c:pt idx="2">
                  <c:v>7.0588235294117646E-2</c:v>
                </c:pt>
                <c:pt idx="3">
                  <c:v>8.2352941176470587E-2</c:v>
                </c:pt>
              </c:numCache>
            </c:numRef>
          </c:val>
        </c:ser>
        <c:ser>
          <c:idx val="2"/>
          <c:order val="2"/>
          <c:tx>
            <c:strRef>
              <c:f>Gráficos!$Q$48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2.3529411764705882E-2</c:v>
                </c:pt>
                <c:pt idx="1">
                  <c:v>1.1764705882352941E-2</c:v>
                </c:pt>
                <c:pt idx="2">
                  <c:v>1.1764705882352941E-2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Gráficos!$Q$48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0.10588235294117647</c:v>
                </c:pt>
                <c:pt idx="1">
                  <c:v>1.1764705882352941E-2</c:v>
                </c:pt>
                <c:pt idx="2">
                  <c:v>2.3529411764705882E-2</c:v>
                </c:pt>
                <c:pt idx="3">
                  <c:v>7.0588235294117646E-2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2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Gráficos!$R$52:$R$53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Gráficos!$R$54:$R$58</c:f>
              <c:numCache>
                <c:formatCode>0.00%</c:formatCode>
                <c:ptCount val="4"/>
                <c:pt idx="0">
                  <c:v>0.15294117647058825</c:v>
                </c:pt>
                <c:pt idx="1">
                  <c:v>5.8823529411764705E-2</c:v>
                </c:pt>
                <c:pt idx="2">
                  <c:v>1.1764705882352941E-2</c:v>
                </c:pt>
                <c:pt idx="3">
                  <c:v>2.3529411764705882E-2</c:v>
                </c:pt>
              </c:numCache>
            </c:numRef>
          </c:val>
        </c:ser>
        <c:ser>
          <c:idx val="1"/>
          <c:order val="1"/>
          <c:tx>
            <c:strRef>
              <c:f>Gráficos!$S$52:$S$53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Gráficos!$S$54:$S$58</c:f>
              <c:numCache>
                <c:formatCode>0.00%</c:formatCode>
                <c:ptCount val="4"/>
                <c:pt idx="0">
                  <c:v>0.2</c:v>
                </c:pt>
                <c:pt idx="1">
                  <c:v>0.14117647058823529</c:v>
                </c:pt>
                <c:pt idx="2">
                  <c:v>7.0588235294117646E-2</c:v>
                </c:pt>
                <c:pt idx="3">
                  <c:v>8.2352941176470587E-2</c:v>
                </c:pt>
              </c:numCache>
            </c:numRef>
          </c:val>
        </c:ser>
        <c:ser>
          <c:idx val="2"/>
          <c:order val="2"/>
          <c:tx>
            <c:strRef>
              <c:f>Gráficos!$T$52:$T$53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Gráficos!$T$54:$T$58</c:f>
              <c:numCache>
                <c:formatCode>0.00%</c:formatCode>
                <c:ptCount val="4"/>
                <c:pt idx="0">
                  <c:v>2.3529411764705882E-2</c:v>
                </c:pt>
                <c:pt idx="1">
                  <c:v>1.1764705882352941E-2</c:v>
                </c:pt>
                <c:pt idx="2">
                  <c:v>1.1764705882352941E-2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Gráficos!$U$52:$U$53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Gráficos!$U$54:$U$58</c:f>
              <c:numCache>
                <c:formatCode>0.00%</c:formatCode>
                <c:ptCount val="4"/>
                <c:pt idx="0">
                  <c:v>0.10588235294117647</c:v>
                </c:pt>
                <c:pt idx="1">
                  <c:v>1.1764705882352941E-2</c:v>
                </c:pt>
                <c:pt idx="2">
                  <c:v>2.3529411764705882E-2</c:v>
                </c:pt>
                <c:pt idx="3">
                  <c:v>7.0588235294117646E-2</c:v>
                </c:pt>
              </c:numCache>
            </c:numRef>
          </c:val>
        </c:ser>
        <c:axId val="61013376"/>
        <c:axId val="61035648"/>
      </c:barChart>
      <c:catAx>
        <c:axId val="61013376"/>
        <c:scaling>
          <c:orientation val="minMax"/>
        </c:scaling>
        <c:axPos val="b"/>
        <c:tickLblPos val="nextTo"/>
        <c:crossAx val="61035648"/>
        <c:crosses val="autoZero"/>
        <c:auto val="1"/>
        <c:lblAlgn val="ctr"/>
        <c:lblOffset val="100"/>
      </c:catAx>
      <c:valAx>
        <c:axId val="61035648"/>
        <c:scaling>
          <c:orientation val="minMax"/>
        </c:scaling>
        <c:axPos val="l"/>
        <c:majorGridlines/>
        <c:numFmt formatCode="0.00%" sourceLinked="1"/>
        <c:tickLblPos val="nextTo"/>
        <c:crossAx val="6101337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3"/>
  </c:pivotSource>
  <c:chart>
    <c:title>
      <c:tx>
        <c:strRef>
          <c:f>Gráficos!$X$48</c:f>
          <c:strCache>
            <c:ptCount val="1"/>
            <c:pt idx="0">
              <c:v>Q8-Meu superior age corretamente quanto às pessoas que apresentam desempenho inferior.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Gráficos!$X$48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8.9552238805970144E-2</c:v>
                </c:pt>
                <c:pt idx="1">
                  <c:v>8.2089552238805971E-2</c:v>
                </c:pt>
                <c:pt idx="2">
                  <c:v>2.2388059701492536E-2</c:v>
                </c:pt>
                <c:pt idx="3">
                  <c:v>2.9850746268656716E-2</c:v>
                </c:pt>
              </c:numCache>
            </c:numRef>
          </c:val>
        </c:ser>
        <c:ser>
          <c:idx val="1"/>
          <c:order val="1"/>
          <c:tx>
            <c:strRef>
              <c:f>Gráficos!$X$48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0.17164179104477612</c:v>
                </c:pt>
                <c:pt idx="1">
                  <c:v>0.13432835820895522</c:v>
                </c:pt>
                <c:pt idx="2">
                  <c:v>8.2089552238805971E-2</c:v>
                </c:pt>
                <c:pt idx="3">
                  <c:v>5.9701492537313432E-2</c:v>
                </c:pt>
              </c:numCache>
            </c:numRef>
          </c:val>
        </c:ser>
        <c:ser>
          <c:idx val="2"/>
          <c:order val="2"/>
          <c:tx>
            <c:strRef>
              <c:f>Gráficos!$X$48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1.4925373134328358E-2</c:v>
                </c:pt>
                <c:pt idx="1">
                  <c:v>5.2238805970149252E-2</c:v>
                </c:pt>
                <c:pt idx="2">
                  <c:v>1.4925373134328358E-2</c:v>
                </c:pt>
                <c:pt idx="3">
                  <c:v>2.2388059701492536E-2</c:v>
                </c:pt>
              </c:numCache>
            </c:numRef>
          </c:val>
        </c:ser>
        <c:ser>
          <c:idx val="3"/>
          <c:order val="3"/>
          <c:tx>
            <c:strRef>
              <c:f>Gráficos!$X$48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0.1044776119402985</c:v>
                </c:pt>
                <c:pt idx="1">
                  <c:v>3.7313432835820892E-2</c:v>
                </c:pt>
                <c:pt idx="2">
                  <c:v>2.9850746268656716E-2</c:v>
                </c:pt>
                <c:pt idx="3">
                  <c:v>5.2238805970149252E-2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Gráficos!$Y$52:$Y$53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Gráficos!$Y$54:$Y$58</c:f>
              <c:numCache>
                <c:formatCode>0.00%</c:formatCode>
                <c:ptCount val="4"/>
                <c:pt idx="0">
                  <c:v>8.9552238805970144E-2</c:v>
                </c:pt>
                <c:pt idx="1">
                  <c:v>8.2089552238805971E-2</c:v>
                </c:pt>
                <c:pt idx="2">
                  <c:v>2.2388059701492536E-2</c:v>
                </c:pt>
                <c:pt idx="3">
                  <c:v>2.9850746268656716E-2</c:v>
                </c:pt>
              </c:numCache>
            </c:numRef>
          </c:val>
        </c:ser>
        <c:ser>
          <c:idx val="1"/>
          <c:order val="1"/>
          <c:tx>
            <c:strRef>
              <c:f>Gráficos!$Z$52:$Z$53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Gráficos!$Z$54:$Z$58</c:f>
              <c:numCache>
                <c:formatCode>0.00%</c:formatCode>
                <c:ptCount val="4"/>
                <c:pt idx="0">
                  <c:v>0.17164179104477612</c:v>
                </c:pt>
                <c:pt idx="1">
                  <c:v>0.13432835820895522</c:v>
                </c:pt>
                <c:pt idx="2">
                  <c:v>8.2089552238805971E-2</c:v>
                </c:pt>
                <c:pt idx="3">
                  <c:v>5.9701492537313432E-2</c:v>
                </c:pt>
              </c:numCache>
            </c:numRef>
          </c:val>
        </c:ser>
        <c:ser>
          <c:idx val="2"/>
          <c:order val="2"/>
          <c:tx>
            <c:strRef>
              <c:f>Gráficos!$AA$52:$AA$53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Gráficos!$AA$54:$AA$58</c:f>
              <c:numCache>
                <c:formatCode>0.00%</c:formatCode>
                <c:ptCount val="4"/>
                <c:pt idx="0">
                  <c:v>1.4925373134328358E-2</c:v>
                </c:pt>
                <c:pt idx="1">
                  <c:v>5.2238805970149252E-2</c:v>
                </c:pt>
                <c:pt idx="2">
                  <c:v>1.4925373134328358E-2</c:v>
                </c:pt>
                <c:pt idx="3">
                  <c:v>2.2388059701492536E-2</c:v>
                </c:pt>
              </c:numCache>
            </c:numRef>
          </c:val>
        </c:ser>
        <c:ser>
          <c:idx val="3"/>
          <c:order val="3"/>
          <c:tx>
            <c:strRef>
              <c:f>Gráficos!$AB$52:$AB$53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Gráficos!$AB$54:$AB$58</c:f>
              <c:numCache>
                <c:formatCode>0.00%</c:formatCode>
                <c:ptCount val="4"/>
                <c:pt idx="0">
                  <c:v>0.1044776119402985</c:v>
                </c:pt>
                <c:pt idx="1">
                  <c:v>3.7313432835820892E-2</c:v>
                </c:pt>
                <c:pt idx="2">
                  <c:v>2.9850746268656716E-2</c:v>
                </c:pt>
                <c:pt idx="3">
                  <c:v>5.2238805970149252E-2</c:v>
                </c:pt>
              </c:numCache>
            </c:numRef>
          </c:val>
        </c:ser>
        <c:axId val="61088128"/>
        <c:axId val="61089664"/>
      </c:barChart>
      <c:catAx>
        <c:axId val="61088128"/>
        <c:scaling>
          <c:orientation val="minMax"/>
        </c:scaling>
        <c:axPos val="b"/>
        <c:tickLblPos val="nextTo"/>
        <c:crossAx val="61089664"/>
        <c:crosses val="autoZero"/>
        <c:auto val="1"/>
        <c:lblAlgn val="ctr"/>
        <c:lblOffset val="100"/>
      </c:catAx>
      <c:valAx>
        <c:axId val="61089664"/>
        <c:scaling>
          <c:orientation val="minMax"/>
        </c:scaling>
        <c:axPos val="l"/>
        <c:majorGridlines/>
        <c:numFmt formatCode="0.00%" sourceLinked="1"/>
        <c:tickLblPos val="nextTo"/>
        <c:crossAx val="6108812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5"/>
  </c:pivotSource>
  <c:chart>
    <c:title>
      <c:tx>
        <c:strRef>
          <c:f>Gráficos!$Q$62</c:f>
          <c:strCache>
            <c:ptCount val="1"/>
            <c:pt idx="0">
              <c:v>Q9-As normas de Segurança do Trabalho são aplicadas no Olimpo.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Gráficos!$Q$62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4.8275862068965517E-2</c:v>
                </c:pt>
                <c:pt idx="1">
                  <c:v>0.12413793103448276</c:v>
                </c:pt>
                <c:pt idx="2">
                  <c:v>2.0689655172413793E-2</c:v>
                </c:pt>
                <c:pt idx="3">
                  <c:v>3.4482758620689655E-2</c:v>
                </c:pt>
              </c:numCache>
            </c:numRef>
          </c:val>
        </c:ser>
        <c:ser>
          <c:idx val="1"/>
          <c:order val="1"/>
          <c:tx>
            <c:strRef>
              <c:f>Gráficos!$Q$62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1.3793103448275862E-2</c:v>
                </c:pt>
                <c:pt idx="1">
                  <c:v>0.32413793103448274</c:v>
                </c:pt>
                <c:pt idx="2">
                  <c:v>2.7586206896551724E-2</c:v>
                </c:pt>
                <c:pt idx="3">
                  <c:v>7.586206896551724E-2</c:v>
                </c:pt>
              </c:numCache>
            </c:numRef>
          </c:val>
        </c:ser>
        <c:ser>
          <c:idx val="2"/>
          <c:order val="2"/>
          <c:tx>
            <c:strRef>
              <c:f>Gráficos!$Q$62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6.8965517241379309E-3</c:v>
                </c:pt>
                <c:pt idx="1">
                  <c:v>8.9655172413793102E-2</c:v>
                </c:pt>
                <c:pt idx="2">
                  <c:v>0</c:v>
                </c:pt>
                <c:pt idx="3">
                  <c:v>2.0689655172413793E-2</c:v>
                </c:pt>
              </c:numCache>
            </c:numRef>
          </c:val>
        </c:ser>
        <c:ser>
          <c:idx val="3"/>
          <c:order val="3"/>
          <c:tx>
            <c:strRef>
              <c:f>Gráficos!$Q$62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2.7586206896551724E-2</c:v>
                </c:pt>
                <c:pt idx="1">
                  <c:v>0.1310344827586207</c:v>
                </c:pt>
                <c:pt idx="2">
                  <c:v>1.3793103448275862E-2</c:v>
                </c:pt>
                <c:pt idx="3">
                  <c:v>4.1379310344827586E-2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Gráficos!$R$66:$R$67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Gráficos!$R$68:$R$72</c:f>
              <c:numCache>
                <c:formatCode>0.00%</c:formatCode>
                <c:ptCount val="4"/>
                <c:pt idx="0">
                  <c:v>4.8275862068965517E-2</c:v>
                </c:pt>
                <c:pt idx="1">
                  <c:v>0.12413793103448276</c:v>
                </c:pt>
                <c:pt idx="2">
                  <c:v>2.0689655172413793E-2</c:v>
                </c:pt>
                <c:pt idx="3">
                  <c:v>3.4482758620689655E-2</c:v>
                </c:pt>
              </c:numCache>
            </c:numRef>
          </c:val>
        </c:ser>
        <c:ser>
          <c:idx val="1"/>
          <c:order val="1"/>
          <c:tx>
            <c:strRef>
              <c:f>Gráficos!$S$66:$S$67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Gráficos!$S$68:$S$72</c:f>
              <c:numCache>
                <c:formatCode>0.00%</c:formatCode>
                <c:ptCount val="4"/>
                <c:pt idx="0">
                  <c:v>1.3793103448275862E-2</c:v>
                </c:pt>
                <c:pt idx="1">
                  <c:v>0.32413793103448274</c:v>
                </c:pt>
                <c:pt idx="2">
                  <c:v>2.7586206896551724E-2</c:v>
                </c:pt>
                <c:pt idx="3">
                  <c:v>7.586206896551724E-2</c:v>
                </c:pt>
              </c:numCache>
            </c:numRef>
          </c:val>
        </c:ser>
        <c:ser>
          <c:idx val="2"/>
          <c:order val="2"/>
          <c:tx>
            <c:strRef>
              <c:f>Gráficos!$T$66:$T$67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Gráficos!$T$68:$T$72</c:f>
              <c:numCache>
                <c:formatCode>0.00%</c:formatCode>
                <c:ptCount val="4"/>
                <c:pt idx="0">
                  <c:v>6.8965517241379309E-3</c:v>
                </c:pt>
                <c:pt idx="1">
                  <c:v>8.9655172413793102E-2</c:v>
                </c:pt>
                <c:pt idx="2">
                  <c:v>0</c:v>
                </c:pt>
                <c:pt idx="3">
                  <c:v>2.0689655172413793E-2</c:v>
                </c:pt>
              </c:numCache>
            </c:numRef>
          </c:val>
        </c:ser>
        <c:ser>
          <c:idx val="3"/>
          <c:order val="3"/>
          <c:tx>
            <c:strRef>
              <c:f>Gráficos!$U$66:$U$67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Gráficos!$U$68:$U$72</c:f>
              <c:numCache>
                <c:formatCode>0.00%</c:formatCode>
                <c:ptCount val="4"/>
                <c:pt idx="0">
                  <c:v>2.7586206896551724E-2</c:v>
                </c:pt>
                <c:pt idx="1">
                  <c:v>0.1310344827586207</c:v>
                </c:pt>
                <c:pt idx="2">
                  <c:v>1.3793103448275862E-2</c:v>
                </c:pt>
                <c:pt idx="3">
                  <c:v>4.1379310344827586E-2</c:v>
                </c:pt>
              </c:numCache>
            </c:numRef>
          </c:val>
        </c:ser>
        <c:axId val="61179008"/>
        <c:axId val="61180544"/>
      </c:barChart>
      <c:catAx>
        <c:axId val="61179008"/>
        <c:scaling>
          <c:orientation val="minMax"/>
        </c:scaling>
        <c:axPos val="b"/>
        <c:tickLblPos val="nextTo"/>
        <c:crossAx val="61180544"/>
        <c:crosses val="autoZero"/>
        <c:auto val="1"/>
        <c:lblAlgn val="ctr"/>
        <c:lblOffset val="100"/>
      </c:catAx>
      <c:valAx>
        <c:axId val="61180544"/>
        <c:scaling>
          <c:orientation val="minMax"/>
        </c:scaling>
        <c:axPos val="l"/>
        <c:majorGridlines/>
        <c:numFmt formatCode="0.00%" sourceLinked="1"/>
        <c:tickLblPos val="nextTo"/>
        <c:crossAx val="6117900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dinâmica10</c:name>
    <c:fmtId val="17"/>
  </c:pivotSource>
  <c:chart>
    <c:title>
      <c:tx>
        <c:strRef>
          <c:f>Gráficos!$X$62</c:f>
          <c:strCache>
            <c:ptCount val="1"/>
            <c:pt idx="0">
              <c:v>Q10-As oportunidades de carreira no Olimpo atendem minhas expectativas.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Gráficos!$X$62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4.5045045045045043E-2</c:v>
                </c:pt>
                <c:pt idx="1">
                  <c:v>3.6036036036036036E-2</c:v>
                </c:pt>
                <c:pt idx="2">
                  <c:v>0.11711711711711711</c:v>
                </c:pt>
                <c:pt idx="3">
                  <c:v>2.7027027027027029E-2</c:v>
                </c:pt>
              </c:numCache>
            </c:numRef>
          </c:val>
        </c:ser>
        <c:ser>
          <c:idx val="1"/>
          <c:order val="1"/>
          <c:tx>
            <c:strRef>
              <c:f>Gráficos!$X$62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6.3063063063063057E-2</c:v>
                </c:pt>
                <c:pt idx="1">
                  <c:v>8.1081081081081086E-2</c:v>
                </c:pt>
                <c:pt idx="2">
                  <c:v>0.26126126126126126</c:v>
                </c:pt>
                <c:pt idx="3">
                  <c:v>3.6036036036036036E-2</c:v>
                </c:pt>
              </c:numCache>
            </c:numRef>
          </c:val>
        </c:ser>
        <c:ser>
          <c:idx val="2"/>
          <c:order val="2"/>
          <c:tx>
            <c:strRef>
              <c:f>Gráficos!$X$62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3.6036036036036036E-2</c:v>
                </c:pt>
                <c:pt idx="2">
                  <c:v>3.6036036036036036E-2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Gráficos!$X$62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5.4054054054054057E-2</c:v>
                </c:pt>
                <c:pt idx="2">
                  <c:v>0.10810810810810811</c:v>
                </c:pt>
                <c:pt idx="3">
                  <c:v>4.5045045045045043E-2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dinâmica10</c:name>
    <c:fmtId val="1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Gráficos!$Y$66:$Y$67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Gráficos!$Y$68:$Y$72</c:f>
              <c:numCache>
                <c:formatCode>0.00%</c:formatCode>
                <c:ptCount val="4"/>
                <c:pt idx="0">
                  <c:v>4.5045045045045043E-2</c:v>
                </c:pt>
                <c:pt idx="1">
                  <c:v>3.6036036036036036E-2</c:v>
                </c:pt>
                <c:pt idx="2">
                  <c:v>0.11711711711711711</c:v>
                </c:pt>
                <c:pt idx="3">
                  <c:v>2.7027027027027029E-2</c:v>
                </c:pt>
              </c:numCache>
            </c:numRef>
          </c:val>
        </c:ser>
        <c:ser>
          <c:idx val="1"/>
          <c:order val="1"/>
          <c:tx>
            <c:strRef>
              <c:f>Gráficos!$Z$66:$Z$67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Gráficos!$Z$68:$Z$72</c:f>
              <c:numCache>
                <c:formatCode>0.00%</c:formatCode>
                <c:ptCount val="4"/>
                <c:pt idx="0">
                  <c:v>6.3063063063063057E-2</c:v>
                </c:pt>
                <c:pt idx="1">
                  <c:v>8.1081081081081086E-2</c:v>
                </c:pt>
                <c:pt idx="2">
                  <c:v>0.26126126126126126</c:v>
                </c:pt>
                <c:pt idx="3">
                  <c:v>3.6036036036036036E-2</c:v>
                </c:pt>
              </c:numCache>
            </c:numRef>
          </c:val>
        </c:ser>
        <c:ser>
          <c:idx val="2"/>
          <c:order val="2"/>
          <c:tx>
            <c:strRef>
              <c:f>Gráficos!$AA$66:$AA$67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Gráficos!$AA$68:$AA$72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3.6036036036036036E-2</c:v>
                </c:pt>
                <c:pt idx="2">
                  <c:v>3.6036036036036036E-2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Gráficos!$AB$66:$AB$67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Gráficos!$AB$68:$AB$72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5.4054054054054057E-2</c:v>
                </c:pt>
                <c:pt idx="2">
                  <c:v>0.10810810810810811</c:v>
                </c:pt>
                <c:pt idx="3">
                  <c:v>4.5045045045045043E-2</c:v>
                </c:pt>
              </c:numCache>
            </c:numRef>
          </c:val>
        </c:ser>
        <c:axId val="143531008"/>
        <c:axId val="143611008"/>
      </c:barChart>
      <c:catAx>
        <c:axId val="143531008"/>
        <c:scaling>
          <c:orientation val="minMax"/>
        </c:scaling>
        <c:axPos val="b"/>
        <c:tickLblPos val="nextTo"/>
        <c:crossAx val="143611008"/>
        <c:crosses val="autoZero"/>
        <c:auto val="1"/>
        <c:lblAlgn val="ctr"/>
        <c:lblOffset val="100"/>
      </c:catAx>
      <c:valAx>
        <c:axId val="143611008"/>
        <c:scaling>
          <c:orientation val="minMax"/>
        </c:scaling>
        <c:axPos val="l"/>
        <c:majorGridlines/>
        <c:numFmt formatCode="0.00%" sourceLinked="1"/>
        <c:tickLblPos val="nextTo"/>
        <c:crossAx val="14353100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dinâmica12</c:name>
    <c:fmtId val="17"/>
  </c:pivotSource>
  <c:chart>
    <c:title>
      <c:tx>
        <c:strRef>
          <c:f>Gráficos!$Q$77</c:f>
          <c:strCache>
            <c:ptCount val="1"/>
            <c:pt idx="0">
              <c:v>Q11-Meu superior oferece oportunidades para aqueles que se destacam em seu trabalho.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Gráficos!$Q$77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1.4598540145985401E-2</c:v>
                </c:pt>
                <c:pt idx="1">
                  <c:v>0.12408759124087591</c:v>
                </c:pt>
                <c:pt idx="2">
                  <c:v>5.1094890510948905E-2</c:v>
                </c:pt>
                <c:pt idx="3">
                  <c:v>2.1897810218978103E-2</c:v>
                </c:pt>
              </c:numCache>
            </c:numRef>
          </c:val>
        </c:ser>
        <c:ser>
          <c:idx val="1"/>
          <c:order val="1"/>
          <c:tx>
            <c:strRef>
              <c:f>Gráficos!$Q$77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5.1094890510948905E-2</c:v>
                </c:pt>
                <c:pt idx="1">
                  <c:v>0.21897810218978103</c:v>
                </c:pt>
                <c:pt idx="2">
                  <c:v>0.10218978102189781</c:v>
                </c:pt>
                <c:pt idx="3">
                  <c:v>7.2992700729927001E-2</c:v>
                </c:pt>
              </c:numCache>
            </c:numRef>
          </c:val>
        </c:ser>
        <c:ser>
          <c:idx val="2"/>
          <c:order val="2"/>
          <c:tx>
            <c:strRef>
              <c:f>Gráficos!$Q$77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0</c:v>
                </c:pt>
                <c:pt idx="1">
                  <c:v>7.2992700729927001E-2</c:v>
                </c:pt>
                <c:pt idx="2">
                  <c:v>2.1897810218978103E-2</c:v>
                </c:pt>
                <c:pt idx="3">
                  <c:v>2.1897810218978103E-2</c:v>
                </c:pt>
              </c:numCache>
            </c:numRef>
          </c:val>
        </c:ser>
        <c:ser>
          <c:idx val="3"/>
          <c:order val="3"/>
          <c:tx>
            <c:strRef>
              <c:f>Gráficos!$Q$77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2.9197080291970802E-2</c:v>
                </c:pt>
                <c:pt idx="1">
                  <c:v>0.11678832116788321</c:v>
                </c:pt>
                <c:pt idx="2">
                  <c:v>3.6496350364963501E-2</c:v>
                </c:pt>
                <c:pt idx="3">
                  <c:v>4.3795620437956206E-2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dinâmica12</c:name>
    <c:fmtId val="1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Gráficos!$R$81:$R$82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Gráficos!$R$83:$R$87</c:f>
              <c:numCache>
                <c:formatCode>0.00%</c:formatCode>
                <c:ptCount val="4"/>
                <c:pt idx="0">
                  <c:v>1.4598540145985401E-2</c:v>
                </c:pt>
                <c:pt idx="1">
                  <c:v>0.12408759124087591</c:v>
                </c:pt>
                <c:pt idx="2">
                  <c:v>5.1094890510948905E-2</c:v>
                </c:pt>
                <c:pt idx="3">
                  <c:v>2.1897810218978103E-2</c:v>
                </c:pt>
              </c:numCache>
            </c:numRef>
          </c:val>
        </c:ser>
        <c:ser>
          <c:idx val="1"/>
          <c:order val="1"/>
          <c:tx>
            <c:strRef>
              <c:f>Gráficos!$S$81:$S$82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Gráficos!$S$83:$S$87</c:f>
              <c:numCache>
                <c:formatCode>0.00%</c:formatCode>
                <c:ptCount val="4"/>
                <c:pt idx="0">
                  <c:v>5.1094890510948905E-2</c:v>
                </c:pt>
                <c:pt idx="1">
                  <c:v>0.21897810218978103</c:v>
                </c:pt>
                <c:pt idx="2">
                  <c:v>0.10218978102189781</c:v>
                </c:pt>
                <c:pt idx="3">
                  <c:v>7.2992700729927001E-2</c:v>
                </c:pt>
              </c:numCache>
            </c:numRef>
          </c:val>
        </c:ser>
        <c:ser>
          <c:idx val="2"/>
          <c:order val="2"/>
          <c:tx>
            <c:strRef>
              <c:f>Gráficos!$T$81:$T$82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Gráficos!$T$83:$T$87</c:f>
              <c:numCache>
                <c:formatCode>0.00%</c:formatCode>
                <c:ptCount val="4"/>
                <c:pt idx="0">
                  <c:v>0</c:v>
                </c:pt>
                <c:pt idx="1">
                  <c:v>7.2992700729927001E-2</c:v>
                </c:pt>
                <c:pt idx="2">
                  <c:v>2.1897810218978103E-2</c:v>
                </c:pt>
                <c:pt idx="3">
                  <c:v>2.1897810218978103E-2</c:v>
                </c:pt>
              </c:numCache>
            </c:numRef>
          </c:val>
        </c:ser>
        <c:ser>
          <c:idx val="3"/>
          <c:order val="3"/>
          <c:tx>
            <c:strRef>
              <c:f>Gráficos!$U$81:$U$82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Gráficos!$U$83:$U$87</c:f>
              <c:numCache>
                <c:formatCode>0.00%</c:formatCode>
                <c:ptCount val="4"/>
                <c:pt idx="0">
                  <c:v>2.9197080291970802E-2</c:v>
                </c:pt>
                <c:pt idx="1">
                  <c:v>0.11678832116788321</c:v>
                </c:pt>
                <c:pt idx="2">
                  <c:v>3.6496350364963501E-2</c:v>
                </c:pt>
                <c:pt idx="3">
                  <c:v>4.3795620437956206E-2</c:v>
                </c:pt>
              </c:numCache>
            </c:numRef>
          </c:val>
        </c:ser>
        <c:axId val="68348544"/>
        <c:axId val="68351104"/>
      </c:barChart>
      <c:catAx>
        <c:axId val="68348544"/>
        <c:scaling>
          <c:orientation val="minMax"/>
        </c:scaling>
        <c:axPos val="b"/>
        <c:tickLblPos val="nextTo"/>
        <c:crossAx val="68351104"/>
        <c:crosses val="autoZero"/>
        <c:auto val="1"/>
        <c:lblAlgn val="ctr"/>
        <c:lblOffset val="100"/>
      </c:catAx>
      <c:valAx>
        <c:axId val="68351104"/>
        <c:scaling>
          <c:orientation val="minMax"/>
        </c:scaling>
        <c:axPos val="l"/>
        <c:majorGridlines/>
        <c:numFmt formatCode="0.00%" sourceLinked="1"/>
        <c:tickLblPos val="nextTo"/>
        <c:crossAx val="6834854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dinâmica13</c:name>
    <c:fmtId val="19"/>
  </c:pivotSource>
  <c:chart>
    <c:title>
      <c:tx>
        <c:strRef>
          <c:f>Gráficos!$Q$92</c:f>
          <c:strCache>
            <c:ptCount val="1"/>
            <c:pt idx="0">
              <c:v>Q13-Meu superior oferece condições para que eu possa me capacitar profissionalmente.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Gráficos!$Q$92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0.14173228346456693</c:v>
                </c:pt>
                <c:pt idx="1">
                  <c:v>2.3622047244094488E-2</c:v>
                </c:pt>
                <c:pt idx="2">
                  <c:v>1.5748031496062992E-2</c:v>
                </c:pt>
                <c:pt idx="3">
                  <c:v>2.3622047244094488E-2</c:v>
                </c:pt>
              </c:numCache>
            </c:numRef>
          </c:val>
        </c:ser>
        <c:ser>
          <c:idx val="1"/>
          <c:order val="1"/>
          <c:tx>
            <c:strRef>
              <c:f>Gráficos!$Q$92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0.24409448818897639</c:v>
                </c:pt>
                <c:pt idx="1">
                  <c:v>3.1496062992125984E-2</c:v>
                </c:pt>
                <c:pt idx="2">
                  <c:v>9.4488188976377951E-2</c:v>
                </c:pt>
                <c:pt idx="3">
                  <c:v>4.7244094488188976E-2</c:v>
                </c:pt>
              </c:numCache>
            </c:numRef>
          </c:val>
        </c:ser>
        <c:ser>
          <c:idx val="2"/>
          <c:order val="2"/>
          <c:tx>
            <c:strRef>
              <c:f>Gráficos!$Q$92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7.874015748031496E-2</c:v>
                </c:pt>
                <c:pt idx="1">
                  <c:v>0</c:v>
                </c:pt>
                <c:pt idx="2">
                  <c:v>3.937007874015748E-2</c:v>
                </c:pt>
                <c:pt idx="3">
                  <c:v>7.874015748031496E-3</c:v>
                </c:pt>
              </c:numCache>
            </c:numRef>
          </c:val>
        </c:ser>
        <c:ser>
          <c:idx val="3"/>
          <c:order val="3"/>
          <c:tx>
            <c:strRef>
              <c:f>Gráficos!$Q$92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0.13385826771653545</c:v>
                </c:pt>
                <c:pt idx="1">
                  <c:v>2.3622047244094488E-2</c:v>
                </c:pt>
                <c:pt idx="2">
                  <c:v>3.937007874015748E-2</c:v>
                </c:pt>
                <c:pt idx="3">
                  <c:v>5.5118110236220472E-2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dinâmica13</c:name>
    <c:fmtId val="2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Gráficos!$R$96:$R$97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Gráficos!$R$98:$R$102</c:f>
              <c:numCache>
                <c:formatCode>0.00%</c:formatCode>
                <c:ptCount val="4"/>
                <c:pt idx="0">
                  <c:v>0.14173228346456693</c:v>
                </c:pt>
                <c:pt idx="1">
                  <c:v>2.3622047244094488E-2</c:v>
                </c:pt>
                <c:pt idx="2">
                  <c:v>1.5748031496062992E-2</c:v>
                </c:pt>
                <c:pt idx="3">
                  <c:v>2.3622047244094488E-2</c:v>
                </c:pt>
              </c:numCache>
            </c:numRef>
          </c:val>
        </c:ser>
        <c:ser>
          <c:idx val="1"/>
          <c:order val="1"/>
          <c:tx>
            <c:strRef>
              <c:f>Gráficos!$S$96:$S$97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Gráficos!$S$98:$S$102</c:f>
              <c:numCache>
                <c:formatCode>0.00%</c:formatCode>
                <c:ptCount val="4"/>
                <c:pt idx="0">
                  <c:v>0.24409448818897639</c:v>
                </c:pt>
                <c:pt idx="1">
                  <c:v>3.1496062992125984E-2</c:v>
                </c:pt>
                <c:pt idx="2">
                  <c:v>9.4488188976377951E-2</c:v>
                </c:pt>
                <c:pt idx="3">
                  <c:v>4.7244094488188976E-2</c:v>
                </c:pt>
              </c:numCache>
            </c:numRef>
          </c:val>
        </c:ser>
        <c:ser>
          <c:idx val="2"/>
          <c:order val="2"/>
          <c:tx>
            <c:strRef>
              <c:f>Gráficos!$T$96:$T$97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Gráficos!$T$98:$T$102</c:f>
              <c:numCache>
                <c:formatCode>0.00%</c:formatCode>
                <c:ptCount val="4"/>
                <c:pt idx="0">
                  <c:v>7.874015748031496E-2</c:v>
                </c:pt>
                <c:pt idx="1">
                  <c:v>0</c:v>
                </c:pt>
                <c:pt idx="2">
                  <c:v>3.937007874015748E-2</c:v>
                </c:pt>
                <c:pt idx="3">
                  <c:v>7.874015748031496E-3</c:v>
                </c:pt>
              </c:numCache>
            </c:numRef>
          </c:val>
        </c:ser>
        <c:ser>
          <c:idx val="3"/>
          <c:order val="3"/>
          <c:tx>
            <c:strRef>
              <c:f>Gráficos!$U$96:$U$97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Gráficos!$U$98:$U$102</c:f>
              <c:numCache>
                <c:formatCode>0.00%</c:formatCode>
                <c:ptCount val="4"/>
                <c:pt idx="0">
                  <c:v>0.13385826771653545</c:v>
                </c:pt>
                <c:pt idx="1">
                  <c:v>2.3622047244094488E-2</c:v>
                </c:pt>
                <c:pt idx="2">
                  <c:v>3.937007874015748E-2</c:v>
                </c:pt>
                <c:pt idx="3">
                  <c:v>5.5118110236220472E-2</c:v>
                </c:pt>
              </c:numCache>
            </c:numRef>
          </c:val>
        </c:ser>
        <c:axId val="124012800"/>
        <c:axId val="124281216"/>
      </c:barChart>
      <c:catAx>
        <c:axId val="124012800"/>
        <c:scaling>
          <c:orientation val="minMax"/>
        </c:scaling>
        <c:axPos val="b"/>
        <c:tickLblPos val="nextTo"/>
        <c:crossAx val="124281216"/>
        <c:crosses val="autoZero"/>
        <c:auto val="1"/>
        <c:lblAlgn val="ctr"/>
        <c:lblOffset val="100"/>
      </c:catAx>
      <c:valAx>
        <c:axId val="124281216"/>
        <c:scaling>
          <c:orientation val="minMax"/>
        </c:scaling>
        <c:axPos val="l"/>
        <c:majorGridlines/>
        <c:numFmt formatCode="0.00%" sourceLinked="1"/>
        <c:tickLblPos val="nextTo"/>
        <c:crossAx val="12401280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2.xml"/><Relationship Id="rId21" Type="http://schemas.openxmlformats.org/officeDocument/2006/relationships/chart" Target="../charts/chart20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5" Type="http://schemas.openxmlformats.org/officeDocument/2006/relationships/chart" Target="../charts/chart24.xml"/><Relationship Id="rId2" Type="http://schemas.openxmlformats.org/officeDocument/2006/relationships/chart" Target="../charts/chart1.xml"/><Relationship Id="rId16" Type="http://schemas.openxmlformats.org/officeDocument/2006/relationships/chart" Target="../charts/chart15.xml"/><Relationship Id="rId20" Type="http://schemas.openxmlformats.org/officeDocument/2006/relationships/chart" Target="../charts/chart19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24" Type="http://schemas.openxmlformats.org/officeDocument/2006/relationships/chart" Target="../charts/chart23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23" Type="http://schemas.openxmlformats.org/officeDocument/2006/relationships/chart" Target="../charts/chart22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Relationship Id="rId22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107620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27215</xdr:colOff>
      <xdr:row>5</xdr:row>
      <xdr:rowOff>95249</xdr:rowOff>
    </xdr:from>
    <xdr:to>
      <xdr:col>5</xdr:col>
      <xdr:colOff>299357</xdr:colOff>
      <xdr:row>30</xdr:row>
      <xdr:rowOff>108857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408214</xdr:colOff>
      <xdr:row>5</xdr:row>
      <xdr:rowOff>95250</xdr:rowOff>
    </xdr:from>
    <xdr:to>
      <xdr:col>13</xdr:col>
      <xdr:colOff>367393</xdr:colOff>
      <xdr:row>30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27213</xdr:colOff>
      <xdr:row>31</xdr:row>
      <xdr:rowOff>13606</xdr:rowOff>
    </xdr:from>
    <xdr:to>
      <xdr:col>5</xdr:col>
      <xdr:colOff>312963</xdr:colOff>
      <xdr:row>50</xdr:row>
      <xdr:rowOff>81643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421821</xdr:colOff>
      <xdr:row>31</xdr:row>
      <xdr:rowOff>0</xdr:rowOff>
    </xdr:from>
    <xdr:to>
      <xdr:col>13</xdr:col>
      <xdr:colOff>353786</xdr:colOff>
      <xdr:row>50</xdr:row>
      <xdr:rowOff>95250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50</xdr:row>
      <xdr:rowOff>163285</xdr:rowOff>
    </xdr:from>
    <xdr:to>
      <xdr:col>5</xdr:col>
      <xdr:colOff>353785</xdr:colOff>
      <xdr:row>71</xdr:row>
      <xdr:rowOff>136071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435429</xdr:colOff>
      <xdr:row>50</xdr:row>
      <xdr:rowOff>176893</xdr:rowOff>
    </xdr:from>
    <xdr:to>
      <xdr:col>13</xdr:col>
      <xdr:colOff>353786</xdr:colOff>
      <xdr:row>71</xdr:row>
      <xdr:rowOff>122464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72</xdr:row>
      <xdr:rowOff>0</xdr:rowOff>
    </xdr:from>
    <xdr:to>
      <xdr:col>5</xdr:col>
      <xdr:colOff>340178</xdr:colOff>
      <xdr:row>92</xdr:row>
      <xdr:rowOff>149679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435427</xdr:colOff>
      <xdr:row>71</xdr:row>
      <xdr:rowOff>176893</xdr:rowOff>
    </xdr:from>
    <xdr:to>
      <xdr:col>13</xdr:col>
      <xdr:colOff>353785</xdr:colOff>
      <xdr:row>92</xdr:row>
      <xdr:rowOff>163286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40821</xdr:colOff>
      <xdr:row>93</xdr:row>
      <xdr:rowOff>13607</xdr:rowOff>
    </xdr:from>
    <xdr:to>
      <xdr:col>5</xdr:col>
      <xdr:colOff>340177</xdr:colOff>
      <xdr:row>112</xdr:row>
      <xdr:rowOff>176893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435428</xdr:colOff>
      <xdr:row>93</xdr:row>
      <xdr:rowOff>27214</xdr:rowOff>
    </xdr:from>
    <xdr:to>
      <xdr:col>13</xdr:col>
      <xdr:colOff>367393</xdr:colOff>
      <xdr:row>113</xdr:row>
      <xdr:rowOff>13607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40821</xdr:colOff>
      <xdr:row>113</xdr:row>
      <xdr:rowOff>68036</xdr:rowOff>
    </xdr:from>
    <xdr:to>
      <xdr:col>5</xdr:col>
      <xdr:colOff>340178</xdr:colOff>
      <xdr:row>134</xdr:row>
      <xdr:rowOff>81643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462642</xdr:colOff>
      <xdr:row>113</xdr:row>
      <xdr:rowOff>81642</xdr:rowOff>
    </xdr:from>
    <xdr:to>
      <xdr:col>13</xdr:col>
      <xdr:colOff>367393</xdr:colOff>
      <xdr:row>134</xdr:row>
      <xdr:rowOff>95250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81642</xdr:colOff>
      <xdr:row>134</xdr:row>
      <xdr:rowOff>122464</xdr:rowOff>
    </xdr:from>
    <xdr:to>
      <xdr:col>5</xdr:col>
      <xdr:colOff>353784</xdr:colOff>
      <xdr:row>154</xdr:row>
      <xdr:rowOff>136071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435429</xdr:colOff>
      <xdr:row>134</xdr:row>
      <xdr:rowOff>136071</xdr:rowOff>
    </xdr:from>
    <xdr:to>
      <xdr:col>13</xdr:col>
      <xdr:colOff>421822</xdr:colOff>
      <xdr:row>154</xdr:row>
      <xdr:rowOff>136071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81642</xdr:colOff>
      <xdr:row>155</xdr:row>
      <xdr:rowOff>0</xdr:rowOff>
    </xdr:from>
    <xdr:to>
      <xdr:col>5</xdr:col>
      <xdr:colOff>353784</xdr:colOff>
      <xdr:row>175</xdr:row>
      <xdr:rowOff>122464</xdr:rowOff>
    </xdr:to>
    <xdr:graphicFrame macro="">
      <xdr:nvGraphicFramePr>
        <xdr:cNvPr id="20" name="Gráfico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449034</xdr:colOff>
      <xdr:row>155</xdr:row>
      <xdr:rowOff>0</xdr:rowOff>
    </xdr:from>
    <xdr:to>
      <xdr:col>13</xdr:col>
      <xdr:colOff>435429</xdr:colOff>
      <xdr:row>175</xdr:row>
      <xdr:rowOff>136071</xdr:rowOff>
    </xdr:to>
    <xdr:graphicFrame macro="">
      <xdr:nvGraphicFramePr>
        <xdr:cNvPr id="21" name="Gráfico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81643</xdr:colOff>
      <xdr:row>176</xdr:row>
      <xdr:rowOff>13607</xdr:rowOff>
    </xdr:from>
    <xdr:to>
      <xdr:col>5</xdr:col>
      <xdr:colOff>367392</xdr:colOff>
      <xdr:row>198</xdr:row>
      <xdr:rowOff>40821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435428</xdr:colOff>
      <xdr:row>176</xdr:row>
      <xdr:rowOff>13607</xdr:rowOff>
    </xdr:from>
    <xdr:to>
      <xdr:col>13</xdr:col>
      <xdr:colOff>435429</xdr:colOff>
      <xdr:row>198</xdr:row>
      <xdr:rowOff>27214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71437</xdr:colOff>
      <xdr:row>198</xdr:row>
      <xdr:rowOff>119062</xdr:rowOff>
    </xdr:from>
    <xdr:to>
      <xdr:col>5</xdr:col>
      <xdr:colOff>381000</xdr:colOff>
      <xdr:row>216</xdr:row>
      <xdr:rowOff>23812</xdr:rowOff>
    </xdr:to>
    <xdr:graphicFrame macro="">
      <xdr:nvGraphicFramePr>
        <xdr:cNvPr id="26" name="Gráfico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452438</xdr:colOff>
      <xdr:row>198</xdr:row>
      <xdr:rowOff>119062</xdr:rowOff>
    </xdr:from>
    <xdr:to>
      <xdr:col>13</xdr:col>
      <xdr:colOff>476250</xdr:colOff>
      <xdr:row>216</xdr:row>
      <xdr:rowOff>23812</xdr:rowOff>
    </xdr:to>
    <xdr:graphicFrame macro="">
      <xdr:nvGraphicFramePr>
        <xdr:cNvPr id="27" name="Gráfico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100693</xdr:colOff>
      <xdr:row>216</xdr:row>
      <xdr:rowOff>97970</xdr:rowOff>
    </xdr:from>
    <xdr:to>
      <xdr:col>5</xdr:col>
      <xdr:colOff>381000</xdr:colOff>
      <xdr:row>235</xdr:row>
      <xdr:rowOff>40821</xdr:rowOff>
    </xdr:to>
    <xdr:graphicFrame macro="">
      <xdr:nvGraphicFramePr>
        <xdr:cNvPr id="28" name="Gráfico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459921</xdr:colOff>
      <xdr:row>216</xdr:row>
      <xdr:rowOff>100692</xdr:rowOff>
    </xdr:from>
    <xdr:to>
      <xdr:col>13</xdr:col>
      <xdr:colOff>476250</xdr:colOff>
      <xdr:row>235</xdr:row>
      <xdr:rowOff>68035</xdr:rowOff>
    </xdr:to>
    <xdr:graphicFrame macro="">
      <xdr:nvGraphicFramePr>
        <xdr:cNvPr id="29" name="Grá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54428</xdr:colOff>
      <xdr:row>105</xdr:row>
      <xdr:rowOff>95250</xdr:rowOff>
    </xdr:from>
    <xdr:to>
      <xdr:col>21</xdr:col>
      <xdr:colOff>217714</xdr:colOff>
      <xdr:row>119</xdr:row>
      <xdr:rowOff>176893</xdr:rowOff>
    </xdr:to>
    <xdr:graphicFrame macro="">
      <xdr:nvGraphicFramePr>
        <xdr:cNvPr id="30" name="Gráfico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217714</xdr:colOff>
      <xdr:row>81</xdr:row>
      <xdr:rowOff>27215</xdr:rowOff>
    </xdr:from>
    <xdr:to>
      <xdr:col>11</xdr:col>
      <xdr:colOff>1115786</xdr:colOff>
      <xdr:row>95</xdr:row>
      <xdr:rowOff>108858</xdr:rowOff>
    </xdr:to>
    <xdr:graphicFrame macro="">
      <xdr:nvGraphicFramePr>
        <xdr:cNvPr id="31" name="Gráfico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3</xdr:col>
      <xdr:colOff>9525</xdr:colOff>
      <xdr:row>3</xdr:row>
      <xdr:rowOff>47626</xdr:rowOff>
    </xdr:to>
    <xdr:sp macro="[0]!UpdateDados" textlink="">
      <xdr:nvSpPr>
        <xdr:cNvPr id="3" name="Arredondar Retângulo em um Canto Diagonal 2"/>
        <xdr:cNvSpPr/>
      </xdr:nvSpPr>
      <xdr:spPr>
        <a:xfrm>
          <a:off x="1981200" y="0"/>
          <a:ext cx="1000125" cy="619126"/>
        </a:xfrm>
        <a:prstGeom prst="round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UPDATE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757522569445" createdVersion="3" refreshedVersion="3" minRefreshableVersion="3" recordCount="271">
  <cacheSource type="worksheet">
    <worksheetSource ref="A1:CQ1048576" sheet="Dados"/>
  </cacheSource>
  <cacheFields count="95">
    <cacheField name="UNIDADE" numFmtId="0">
      <sharedItems containsBlank="1" count="10">
        <s v="MARISTA"/>
        <s v="T-03"/>
        <s v="T-27"/>
        <s v="ANÁPOLIS"/>
        <s v="ASA SUL"/>
        <s v="ÁGUAS CLARAS"/>
        <s v="PALMAS"/>
        <s v="ARAGUAÍNA"/>
        <s v="UBERLÂNDIA"/>
        <m/>
      </sharedItems>
    </cacheField>
    <cacheField name="Data" numFmtId="14">
      <sharedItems containsNonDate="0" containsDate="1" containsString="0" containsBlank="1" minDate="2014-11-01T00:00:00" maxDate="2014-11-04T00:00:00" count="3">
        <d v="2014-11-01T00:00:00"/>
        <d v="2014-11-03T00:00:00"/>
        <m/>
      </sharedItems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 count="4">
        <m/>
        <s v="Feminino"/>
        <s v="Masculino"/>
        <s v="*"/>
      </sharedItems>
    </cacheField>
    <cacheField name="E5" numFmtId="0">
      <sharedItems containsBlank="1" count="4">
        <m/>
        <s v="Pedagógico"/>
        <s v="Administrativo"/>
        <s v="*"/>
      </sharedItems>
    </cacheField>
    <cacheField name="E6" numFmtId="0">
      <sharedItems containsBlank="1" count="4">
        <m/>
        <s v="Gerencial"/>
        <s v="Operacional"/>
        <s v="*"/>
      </sharedItems>
    </cacheField>
    <cacheField name="E7" numFmtId="0">
      <sharedItems containsBlank="1" count="6">
        <s v="RUIM (C)"/>
        <m/>
        <s v="BOM (B)"/>
        <s v="PÉSSIMO (D)"/>
        <s v="ÓTIMO (A)"/>
        <s v="*"/>
      </sharedItems>
    </cacheField>
    <cacheField name="E8" numFmtId="0">
      <sharedItems containsBlank="1" count="6">
        <s v="BOM (B)"/>
        <m/>
        <s v="ÓTIMO (A)"/>
        <s v="RUIM (C)"/>
        <s v="PÉSSIMO (D)"/>
        <s v="*"/>
      </sharedItems>
    </cacheField>
    <cacheField name="E9" numFmtId="0">
      <sharedItems containsBlank="1" count="6">
        <s v="ÓTIMO (A)"/>
        <s v="RUIM (C)"/>
        <s v="PÉSSIMO (D)"/>
        <s v="BOM (B)"/>
        <m/>
        <s v="*"/>
      </sharedItems>
    </cacheField>
    <cacheField name="E10" numFmtId="0">
      <sharedItems containsBlank="1" count="7">
        <s v="BOM (B)"/>
        <s v="ÓTIMO (A)"/>
        <m/>
        <s v="PÉSSIMO (D)"/>
        <s v="RUIM (C)"/>
        <s v="*"/>
        <s v="?"/>
      </sharedItems>
    </cacheField>
    <cacheField name="E11" numFmtId="0">
      <sharedItems containsBlank="1" count="7">
        <s v="ÓTIMO (A)"/>
        <s v="PÉSSIMO (D)"/>
        <s v="BOM (B)"/>
        <s v="RUIM (C)"/>
        <s v="?"/>
        <s v="*"/>
        <m/>
      </sharedItems>
    </cacheField>
    <cacheField name="E12" numFmtId="0">
      <sharedItems containsBlank="1" count="6">
        <s v="ÓTIMO (A)"/>
        <s v="RUIM (C)"/>
        <s v="PÉSSIMO (D)"/>
        <s v="BOM (B)"/>
        <m/>
        <s v="*"/>
      </sharedItems>
    </cacheField>
    <cacheField name="E13" numFmtId="0">
      <sharedItems containsBlank="1" count="7">
        <s v="BOM (B)"/>
        <s v="PÉSSIMO (D)"/>
        <s v="RUIM (C)"/>
        <m/>
        <s v="ÓTIMO (A)"/>
        <s v="?"/>
        <s v="*"/>
      </sharedItems>
    </cacheField>
    <cacheField name="E14" numFmtId="0">
      <sharedItems containsBlank="1" count="7">
        <s v="PÉSSIMO (D)"/>
        <s v="RUIM (C)"/>
        <s v="BOM (B)"/>
        <s v="?"/>
        <m/>
        <s v="ÓTIMO (A)"/>
        <s v="*"/>
      </sharedItems>
    </cacheField>
    <cacheField name="E15" numFmtId="0">
      <sharedItems containsBlank="1" count="7">
        <s v="RUIM (C)"/>
        <s v="BOM (B)"/>
        <s v="PÉSSIMO (D)"/>
        <m/>
        <s v="ÓTIMO (A)"/>
        <s v="*"/>
        <s v="?"/>
      </sharedItems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stado" numFmtId="0">
      <sharedItems containsBlank="1" count="5">
        <s v="GO"/>
        <s v="DF"/>
        <s v="TO"/>
        <s v="MG"/>
        <m/>
      </sharedItems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x v="0"/>
    <s v="1"/>
    <s v="2"/>
    <x v="0"/>
    <x v="0"/>
    <x v="0"/>
    <x v="0"/>
    <x v="0"/>
    <x v="0"/>
    <x v="0"/>
    <x v="0"/>
    <x v="0"/>
    <x v="0"/>
    <x v="0"/>
    <x v="0"/>
    <x v="0"/>
    <x v="0"/>
    <x v="0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1"/>
    <x v="0"/>
    <x v="0"/>
    <x v="1"/>
    <x v="1"/>
    <x v="1"/>
    <x v="1"/>
    <x v="1"/>
    <x v="1"/>
    <x v="0"/>
    <x v="1"/>
    <x v="0"/>
    <x v="0"/>
    <x v="1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1"/>
    <x v="1"/>
    <x v="0"/>
    <x v="0"/>
    <x v="1"/>
    <x v="0"/>
    <x v="0"/>
    <x v="0"/>
    <x v="1"/>
    <x v="2"/>
    <x v="1"/>
    <x v="0"/>
    <x v="2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2"/>
    <x v="1"/>
    <x v="0"/>
    <x v="1"/>
    <x v="0"/>
    <x v="1"/>
    <x v="1"/>
    <x v="0"/>
    <x v="2"/>
    <x v="1"/>
    <x v="0"/>
    <x v="0"/>
    <x v="0"/>
    <x v="0"/>
    <x v="0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x v="0"/>
    <m/>
    <m/>
    <m/>
    <m/>
    <m/>
    <m/>
    <m/>
    <m/>
    <m/>
    <m/>
    <m/>
    <m/>
    <m/>
    <m/>
    <m/>
    <m/>
    <s v="?"/>
    <m/>
    <m/>
    <s v="||"/>
  </r>
  <r>
    <x v="4"/>
    <x v="0"/>
    <s v="1"/>
    <s v="1"/>
    <x v="1"/>
    <x v="1"/>
    <x v="0"/>
    <x v="0"/>
    <x v="0"/>
    <x v="0"/>
    <x v="1"/>
    <x v="2"/>
    <x v="0"/>
    <x v="2"/>
    <x v="0"/>
    <x v="1"/>
    <x v="1"/>
    <x v="0"/>
    <x v="0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2"/>
    <x v="2"/>
    <x v="0"/>
    <x v="2"/>
    <x v="0"/>
    <x v="0"/>
    <x v="1"/>
    <x v="2"/>
    <x v="1"/>
    <x v="2"/>
    <x v="2"/>
    <x v="1"/>
    <x v="2"/>
    <x v="0"/>
    <x v="1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0"/>
    <x v="0"/>
    <x v="1"/>
    <x v="1"/>
    <x v="0"/>
    <x v="0"/>
    <x v="3"/>
    <x v="0"/>
    <x v="2"/>
    <x v="0"/>
    <x v="0"/>
    <x v="0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2"/>
    <x v="1"/>
    <x v="0"/>
    <x v="1"/>
    <x v="0"/>
    <x v="1"/>
    <x v="0"/>
    <x v="0"/>
    <x v="0"/>
    <x v="3"/>
    <x v="0"/>
    <x v="0"/>
    <x v="0"/>
    <x v="0"/>
    <x v="0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0"/>
    <x v="0"/>
    <x v="2"/>
    <x v="0"/>
    <x v="1"/>
    <x v="1"/>
    <x v="0"/>
    <x v="0"/>
    <x v="1"/>
    <x v="0"/>
    <x v="0"/>
    <x v="0"/>
    <x v="1"/>
    <x v="1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1"/>
    <x v="0"/>
    <x v="0"/>
    <x v="0"/>
    <x v="1"/>
    <x v="1"/>
    <x v="2"/>
    <x v="3"/>
    <x v="3"/>
    <x v="0"/>
    <x v="2"/>
    <x v="0"/>
    <x v="0"/>
    <x v="0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2"/>
    <x v="0"/>
    <x v="0"/>
    <x v="1"/>
    <x v="0"/>
    <x v="0"/>
    <x v="2"/>
    <x v="0"/>
    <x v="0"/>
    <x v="3"/>
    <x v="0"/>
    <x v="3"/>
    <x v="0"/>
    <x v="0"/>
    <x v="0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1"/>
    <x v="0"/>
    <x v="1"/>
    <x v="0"/>
    <x v="0"/>
    <x v="0"/>
    <x v="3"/>
    <x v="2"/>
    <x v="2"/>
    <x v="0"/>
    <x v="0"/>
    <x v="1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1"/>
    <x v="2"/>
    <x v="0"/>
    <x v="0"/>
    <x v="0"/>
    <x v="1"/>
    <x v="0"/>
    <x v="0"/>
    <x v="1"/>
    <x v="2"/>
    <x v="2"/>
    <x v="0"/>
    <x v="2"/>
    <x v="2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0"/>
    <x v="1"/>
    <x v="1"/>
    <x v="1"/>
    <x v="0"/>
    <x v="1"/>
    <x v="1"/>
    <x v="0"/>
    <x v="0"/>
    <x v="3"/>
    <x v="1"/>
    <x v="0"/>
    <x v="0"/>
    <x v="0"/>
    <x v="0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1"/>
    <x v="3"/>
    <x v="2"/>
    <x v="0"/>
    <x v="0"/>
    <x v="0"/>
    <x v="1"/>
    <x v="3"/>
    <x v="0"/>
    <x v="2"/>
    <x v="0"/>
    <x v="3"/>
    <x v="1"/>
    <x v="0"/>
    <x v="0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2"/>
    <x v="1"/>
    <x v="0"/>
    <x v="1"/>
    <x v="0"/>
    <x v="0"/>
    <x v="4"/>
    <x v="0"/>
    <x v="0"/>
    <x v="0"/>
    <x v="0"/>
    <x v="0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1"/>
    <x v="0"/>
    <x v="0"/>
    <x v="1"/>
    <x v="0"/>
    <x v="2"/>
    <x v="3"/>
    <x v="0"/>
    <x v="0"/>
    <x v="1"/>
    <x v="0"/>
    <x v="0"/>
    <x v="0"/>
    <x v="0"/>
    <x v="0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0"/>
    <x v="0"/>
    <x v="2"/>
    <x v="0"/>
    <x v="0"/>
    <x v="0"/>
    <x v="2"/>
    <x v="0"/>
    <x v="3"/>
    <x v="0"/>
    <x v="4"/>
    <x v="0"/>
    <x v="0"/>
    <x v="1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4"/>
    <x v="0"/>
    <x v="1"/>
    <x v="0"/>
    <x v="0"/>
    <x v="1"/>
    <x v="0"/>
    <x v="0"/>
    <x v="3"/>
    <x v="0"/>
    <x v="2"/>
    <x v="0"/>
    <x v="0"/>
    <x v="0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5"/>
    <x v="0"/>
    <x v="0"/>
    <x v="0"/>
    <x v="0"/>
    <x v="1"/>
    <x v="3"/>
    <x v="0"/>
    <x v="2"/>
    <x v="1"/>
    <x v="0"/>
    <x v="1"/>
    <x v="0"/>
    <x v="1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1"/>
    <x v="0"/>
    <x v="1"/>
    <x v="1"/>
    <x v="0"/>
    <x v="1"/>
    <x v="3"/>
    <x v="3"/>
    <x v="0"/>
    <x v="0"/>
    <x v="0"/>
    <x v="0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3"/>
    <x v="3"/>
    <x v="0"/>
    <x v="0"/>
    <x v="0"/>
    <x v="0"/>
    <x v="0"/>
    <x v="0"/>
    <x v="2"/>
    <x v="1"/>
    <x v="0"/>
    <x v="0"/>
    <x v="0"/>
    <x v="1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3"/>
    <x v="5"/>
    <x v="1"/>
    <x v="0"/>
    <x v="0"/>
    <x v="1"/>
    <x v="1"/>
    <x v="0"/>
    <x v="0"/>
    <x v="3"/>
    <x v="0"/>
    <x v="4"/>
    <x v="0"/>
    <x v="0"/>
    <x v="1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0"/>
    <x v="1"/>
    <x v="1"/>
    <x v="2"/>
    <x v="0"/>
    <x v="0"/>
    <x v="1"/>
    <x v="3"/>
    <x v="0"/>
    <x v="3"/>
    <x v="0"/>
    <x v="4"/>
    <x v="0"/>
    <x v="0"/>
    <x v="1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0"/>
    <x v="0"/>
    <x v="0"/>
    <x v="1"/>
    <x v="2"/>
    <x v="0"/>
    <x v="1"/>
    <x v="0"/>
    <x v="4"/>
    <x v="0"/>
    <x v="0"/>
    <x v="0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3"/>
    <x v="1"/>
    <x v="0"/>
    <x v="0"/>
    <x v="0"/>
    <x v="0"/>
    <x v="1"/>
    <x v="2"/>
    <x v="0"/>
    <x v="3"/>
    <x v="3"/>
    <x v="2"/>
    <x v="2"/>
    <x v="0"/>
    <x v="0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1"/>
    <x v="0"/>
    <x v="0"/>
    <x v="0"/>
    <x v="0"/>
    <x v="0"/>
    <x v="3"/>
    <x v="1"/>
    <x v="4"/>
    <x v="3"/>
    <x v="1"/>
    <x v="2"/>
    <x v="1"/>
    <x v="0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x v="3"/>
    <m/>
    <m/>
    <m/>
    <m/>
    <m/>
    <m/>
    <m/>
    <m/>
    <m/>
    <m/>
    <m/>
    <s v="?"/>
    <m/>
    <m/>
    <m/>
    <m/>
    <m/>
    <m/>
    <m/>
    <s v="||"/>
  </r>
  <r>
    <x v="0"/>
    <x v="0"/>
    <s v="1"/>
    <s v="1"/>
    <x v="0"/>
    <x v="1"/>
    <x v="2"/>
    <x v="1"/>
    <x v="0"/>
    <x v="0"/>
    <x v="2"/>
    <x v="4"/>
    <x v="1"/>
    <x v="2"/>
    <x v="3"/>
    <x v="3"/>
    <x v="0"/>
    <x v="0"/>
    <x v="3"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1"/>
    <x v="3"/>
    <x v="2"/>
    <x v="1"/>
    <x v="0"/>
    <x v="0"/>
    <x v="3"/>
    <x v="2"/>
    <x v="3"/>
    <x v="0"/>
    <x v="4"/>
    <x v="1"/>
    <x v="0"/>
    <x v="1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0"/>
    <x v="0"/>
    <x v="0"/>
    <x v="2"/>
    <x v="2"/>
    <x v="0"/>
    <x v="2"/>
    <x v="4"/>
    <x v="4"/>
    <x v="3"/>
    <x v="0"/>
    <x v="0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3"/>
    <x v="1"/>
    <x v="0"/>
    <x v="1"/>
    <x v="0"/>
    <x v="1"/>
    <x v="2"/>
    <x v="0"/>
    <x v="0"/>
    <x v="1"/>
    <x v="0"/>
    <x v="3"/>
    <x v="0"/>
    <x v="0"/>
    <x v="0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1"/>
    <x v="2"/>
    <x v="0"/>
    <x v="0"/>
    <x v="0"/>
    <x v="0"/>
    <x v="4"/>
    <x v="0"/>
    <x v="3"/>
    <x v="2"/>
    <x v="4"/>
    <x v="3"/>
    <x v="0"/>
    <x v="2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?"/>
    <s v="2"/>
    <x v="1"/>
    <x v="1"/>
    <x v="0"/>
    <x v="1"/>
    <x v="0"/>
    <x v="0"/>
    <x v="2"/>
    <x v="1"/>
    <x v="0"/>
    <x v="2"/>
    <x v="0"/>
    <x v="0"/>
    <x v="0"/>
    <x v="0"/>
    <x v="0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1"/>
    <x v="1"/>
    <x v="4"/>
    <x v="0"/>
    <x v="0"/>
    <x v="0"/>
    <x v="1"/>
    <x v="2"/>
    <x v="2"/>
    <x v="2"/>
    <x v="3"/>
    <x v="1"/>
    <x v="0"/>
    <x v="0"/>
    <x v="1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1"/>
    <x v="0"/>
    <x v="0"/>
    <x v="1"/>
    <x v="0"/>
    <x v="0"/>
    <x v="1"/>
    <x v="0"/>
    <x v="1"/>
    <x v="3"/>
    <x v="0"/>
    <x v="1"/>
    <x v="0"/>
    <x v="0"/>
    <x v="0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x v="2"/>
    <m/>
    <m/>
    <m/>
    <m/>
    <m/>
    <m/>
    <m/>
    <m/>
    <m/>
    <m/>
    <m/>
    <m/>
    <m/>
    <m/>
    <m/>
    <m/>
    <m/>
    <m/>
    <m/>
    <s v="||"/>
  </r>
  <r>
    <x v="8"/>
    <x v="0"/>
    <s v="1"/>
    <s v="2"/>
    <x v="1"/>
    <x v="1"/>
    <x v="0"/>
    <x v="1"/>
    <x v="0"/>
    <x v="1"/>
    <x v="0"/>
    <x v="0"/>
    <x v="0"/>
    <x v="3"/>
    <x v="0"/>
    <x v="0"/>
    <x v="0"/>
    <x v="0"/>
    <x v="0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1"/>
    <x v="5"/>
    <x v="0"/>
    <x v="0"/>
    <x v="0"/>
    <x v="0"/>
    <x v="1"/>
    <x v="0"/>
    <x v="0"/>
    <x v="3"/>
    <x v="0"/>
    <x v="2"/>
    <x v="0"/>
    <x v="0"/>
    <x v="0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x v="0"/>
    <m/>
    <m/>
    <m/>
    <m/>
    <s v="?"/>
    <m/>
    <m/>
    <m/>
    <m/>
    <m/>
    <m/>
    <m/>
    <m/>
    <m/>
    <m/>
    <m/>
    <m/>
    <m/>
    <m/>
    <s v="||"/>
  </r>
  <r>
    <x v="1"/>
    <x v="0"/>
    <s v="1"/>
    <s v="2"/>
    <x v="2"/>
    <x v="1"/>
    <x v="0"/>
    <x v="0"/>
    <x v="0"/>
    <x v="1"/>
    <x v="1"/>
    <x v="0"/>
    <x v="0"/>
    <x v="2"/>
    <x v="3"/>
    <x v="0"/>
    <x v="1"/>
    <x v="0"/>
    <x v="0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2"/>
    <x v="1"/>
    <x v="0"/>
    <x v="0"/>
    <x v="1"/>
    <x v="0"/>
    <x v="2"/>
    <x v="2"/>
    <x v="4"/>
    <x v="0"/>
    <x v="2"/>
    <x v="2"/>
    <x v="2"/>
    <x v="4"/>
    <x v="0"/>
    <x v="1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2"/>
    <x v="1"/>
    <x v="1"/>
    <x v="2"/>
    <x v="0"/>
    <x v="0"/>
    <x v="0"/>
    <x v="4"/>
    <x v="0"/>
    <x v="1"/>
    <x v="2"/>
    <x v="0"/>
    <x v="1"/>
    <x v="0"/>
    <x v="0"/>
    <x v="1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2"/>
    <x v="1"/>
    <x v="3"/>
    <x v="2"/>
    <x v="0"/>
    <x v="0"/>
    <x v="1"/>
    <x v="1"/>
    <x v="2"/>
    <x v="0"/>
    <x v="1"/>
    <x v="0"/>
    <x v="0"/>
    <x v="0"/>
    <x v="1"/>
    <x v="0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2"/>
    <x v="4"/>
    <x v="0"/>
    <x v="0"/>
    <x v="0"/>
    <x v="0"/>
    <x v="1"/>
    <x v="1"/>
    <x v="0"/>
    <x v="0"/>
    <x v="0"/>
    <x v="0"/>
    <x v="0"/>
    <x v="0"/>
    <x v="0"/>
    <x v="0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2"/>
    <x v="0"/>
    <x v="0"/>
    <x v="0"/>
    <x v="0"/>
    <x v="1"/>
    <x v="1"/>
    <x v="0"/>
    <x v="0"/>
    <x v="1"/>
    <x v="0"/>
    <x v="2"/>
    <x v="0"/>
    <x v="0"/>
    <x v="0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0"/>
    <x v="0"/>
    <x v="0"/>
    <x v="1"/>
    <x v="0"/>
    <x v="1"/>
    <x v="1"/>
    <x v="1"/>
    <x v="0"/>
    <x v="3"/>
    <x v="0"/>
    <x v="2"/>
    <x v="0"/>
    <x v="0"/>
    <x v="0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2"/>
    <x v="2"/>
    <x v="1"/>
    <x v="0"/>
    <x v="0"/>
    <x v="0"/>
    <x v="1"/>
    <x v="1"/>
    <x v="2"/>
    <x v="0"/>
    <x v="4"/>
    <x v="0"/>
    <x v="2"/>
    <x v="0"/>
    <x v="0"/>
    <x v="0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1"/>
    <x v="1"/>
    <x v="2"/>
    <x v="1"/>
    <x v="0"/>
    <x v="0"/>
    <x v="0"/>
    <x v="3"/>
    <x v="1"/>
    <x v="0"/>
    <x v="1"/>
    <x v="2"/>
    <x v="1"/>
    <x v="0"/>
    <x v="2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2"/>
    <x v="1"/>
    <x v="0"/>
    <x v="0"/>
    <x v="0"/>
    <x v="0"/>
    <x v="0"/>
    <x v="1"/>
    <x v="2"/>
    <x v="0"/>
    <x v="3"/>
    <x v="3"/>
    <x v="0"/>
    <x v="1"/>
    <x v="0"/>
    <x v="0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2"/>
    <x v="0"/>
    <x v="1"/>
    <x v="2"/>
    <x v="1"/>
    <x v="2"/>
    <x v="1"/>
    <x v="4"/>
    <x v="2"/>
    <x v="0"/>
    <x v="1"/>
    <x v="3"/>
    <x v="1"/>
    <x v="2"/>
    <x v="1"/>
    <x v="0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2"/>
    <x v="4"/>
    <x v="0"/>
    <x v="0"/>
    <x v="0"/>
    <x v="1"/>
    <x v="1"/>
    <x v="2"/>
    <x v="0"/>
    <x v="3"/>
    <x v="2"/>
    <x v="0"/>
    <x v="0"/>
    <x v="0"/>
    <x v="0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1"/>
    <x v="0"/>
    <x v="0"/>
    <x v="0"/>
    <x v="0"/>
    <x v="1"/>
    <x v="0"/>
    <x v="3"/>
    <x v="3"/>
    <x v="2"/>
    <x v="3"/>
    <x v="3"/>
    <x v="0"/>
    <x v="4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x v="1"/>
    <m/>
    <m/>
    <m/>
    <m/>
    <m/>
    <m/>
    <s v="?"/>
    <m/>
    <m/>
    <m/>
    <m/>
    <m/>
    <m/>
    <m/>
    <m/>
    <m/>
    <m/>
    <m/>
    <m/>
    <s v="||"/>
  </r>
  <r>
    <x v="5"/>
    <x v="0"/>
    <s v="1"/>
    <s v="1"/>
    <x v="3"/>
    <x v="5"/>
    <x v="0"/>
    <x v="0"/>
    <x v="0"/>
    <x v="0"/>
    <x v="2"/>
    <x v="0"/>
    <x v="0"/>
    <x v="3"/>
    <x v="2"/>
    <x v="0"/>
    <x v="0"/>
    <x v="0"/>
    <x v="2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2"/>
    <x v="1"/>
    <x v="0"/>
    <x v="2"/>
    <x v="0"/>
    <x v="2"/>
    <x v="1"/>
    <x v="0"/>
    <x v="0"/>
    <x v="4"/>
    <x v="0"/>
    <x v="2"/>
    <x v="0"/>
    <x v="0"/>
    <x v="1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1"/>
    <x v="1"/>
    <x v="0"/>
    <x v="1"/>
    <x v="0"/>
    <x v="0"/>
    <x v="1"/>
    <x v="0"/>
    <x v="1"/>
    <x v="2"/>
    <x v="3"/>
    <x v="0"/>
    <x v="1"/>
    <x v="0"/>
    <x v="4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2"/>
    <x v="1"/>
    <x v="3"/>
    <x v="2"/>
    <x v="0"/>
    <x v="1"/>
    <x v="1"/>
    <x v="0"/>
    <x v="0"/>
    <x v="1"/>
    <x v="0"/>
    <x v="2"/>
    <x v="0"/>
    <x v="0"/>
    <x v="1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0"/>
    <x v="1"/>
    <x v="2"/>
    <x v="1"/>
    <x v="0"/>
    <x v="0"/>
    <x v="2"/>
    <x v="0"/>
    <x v="0"/>
    <x v="1"/>
    <x v="1"/>
    <x v="2"/>
    <x v="5"/>
    <x v="0"/>
    <x v="4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2"/>
    <x v="0"/>
    <x v="2"/>
    <x v="0"/>
    <x v="0"/>
    <x v="2"/>
    <x v="2"/>
    <x v="0"/>
    <x v="0"/>
    <x v="1"/>
    <x v="0"/>
    <x v="2"/>
    <x v="1"/>
    <x v="0"/>
    <x v="0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0"/>
    <x v="0"/>
    <x v="0"/>
    <x v="2"/>
    <x v="4"/>
    <x v="0"/>
    <x v="3"/>
    <x v="3"/>
    <x v="3"/>
    <x v="2"/>
    <x v="0"/>
    <x v="1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5"/>
    <x v="0"/>
    <x v="0"/>
    <x v="0"/>
    <x v="1"/>
    <x v="2"/>
    <x v="2"/>
    <x v="0"/>
    <x v="2"/>
    <x v="3"/>
    <x v="0"/>
    <x v="2"/>
    <x v="3"/>
    <x v="4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0"/>
    <x v="1"/>
    <x v="3"/>
    <x v="0"/>
    <x v="0"/>
    <x v="2"/>
    <x v="4"/>
    <x v="3"/>
    <x v="0"/>
    <x v="2"/>
    <x v="0"/>
    <x v="4"/>
    <x v="0"/>
    <x v="0"/>
    <x v="1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x v="1"/>
    <s v="?"/>
    <m/>
    <m/>
    <m/>
    <m/>
    <m/>
    <m/>
    <m/>
    <m/>
    <m/>
    <m/>
    <m/>
    <m/>
    <m/>
    <s v="?"/>
    <m/>
    <m/>
    <m/>
    <m/>
    <s v="||"/>
  </r>
  <r>
    <x v="5"/>
    <x v="0"/>
    <s v="1"/>
    <s v="1"/>
    <x v="4"/>
    <x v="1"/>
    <x v="2"/>
    <x v="2"/>
    <x v="0"/>
    <x v="0"/>
    <x v="4"/>
    <x v="4"/>
    <x v="0"/>
    <x v="1"/>
    <x v="0"/>
    <x v="3"/>
    <x v="1"/>
    <x v="0"/>
    <x v="0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0"/>
    <x v="1"/>
    <x v="0"/>
    <x v="1"/>
    <x v="0"/>
    <x v="1"/>
    <x v="2"/>
    <x v="1"/>
    <x v="0"/>
    <x v="2"/>
    <x v="2"/>
    <x v="3"/>
    <x v="0"/>
    <x v="2"/>
    <x v="1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2"/>
    <x v="1"/>
    <x v="0"/>
    <x v="1"/>
    <x v="0"/>
    <x v="1"/>
    <x v="3"/>
    <x v="0"/>
    <x v="0"/>
    <x v="3"/>
    <x v="0"/>
    <x v="4"/>
    <x v="2"/>
    <x v="0"/>
    <x v="1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2"/>
    <x v="4"/>
    <x v="3"/>
    <x v="0"/>
    <x v="0"/>
    <x v="0"/>
    <x v="0"/>
    <x v="4"/>
    <x v="0"/>
    <x v="3"/>
    <x v="1"/>
    <x v="2"/>
    <x v="0"/>
    <x v="0"/>
    <x v="1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x v="3"/>
    <m/>
    <m/>
    <m/>
    <m/>
    <m/>
    <m/>
    <s v="?"/>
    <m/>
    <m/>
    <m/>
    <m/>
    <m/>
    <m/>
    <m/>
    <m/>
    <m/>
    <m/>
    <m/>
    <m/>
    <s v="||"/>
  </r>
  <r>
    <x v="0"/>
    <x v="0"/>
    <s v="1"/>
    <s v="1"/>
    <x v="2"/>
    <x v="1"/>
    <x v="3"/>
    <x v="0"/>
    <x v="0"/>
    <x v="1"/>
    <x v="1"/>
    <x v="2"/>
    <x v="1"/>
    <x v="2"/>
    <x v="2"/>
    <x v="0"/>
    <x v="0"/>
    <x v="4"/>
    <x v="0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5"/>
    <x v="0"/>
    <x v="0"/>
    <x v="0"/>
    <x v="0"/>
    <x v="4"/>
    <x v="1"/>
    <x v="0"/>
    <x v="2"/>
    <x v="0"/>
    <x v="2"/>
    <x v="0"/>
    <x v="0"/>
    <x v="0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x v="0"/>
    <s v="?"/>
    <m/>
    <m/>
    <m/>
    <m/>
    <m/>
    <m/>
    <m/>
    <m/>
    <m/>
    <m/>
    <m/>
    <m/>
    <m/>
    <m/>
    <m/>
    <m/>
    <m/>
    <m/>
    <s v="||"/>
  </r>
  <r>
    <x v="2"/>
    <x v="0"/>
    <s v="1"/>
    <s v="2"/>
    <x v="2"/>
    <x v="3"/>
    <x v="2"/>
    <x v="0"/>
    <x v="0"/>
    <x v="0"/>
    <x v="1"/>
    <x v="1"/>
    <x v="0"/>
    <x v="3"/>
    <x v="5"/>
    <x v="2"/>
    <x v="0"/>
    <x v="2"/>
    <x v="1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2"/>
    <x v="2"/>
    <x v="1"/>
    <x v="0"/>
    <x v="0"/>
    <x v="0"/>
    <x v="0"/>
    <x v="3"/>
    <x v="2"/>
    <x v="0"/>
    <x v="2"/>
    <x v="0"/>
    <x v="1"/>
    <x v="0"/>
    <x v="0"/>
    <x v="1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x v="0"/>
    <m/>
    <m/>
    <m/>
    <m/>
    <m/>
    <m/>
    <m/>
    <m/>
    <m/>
    <m/>
    <m/>
    <m/>
    <m/>
    <m/>
    <m/>
    <m/>
    <m/>
    <m/>
    <m/>
    <s v="||"/>
  </r>
  <r>
    <x v="4"/>
    <x v="0"/>
    <s v="1"/>
    <s v="2"/>
    <x v="1"/>
    <x v="5"/>
    <x v="0"/>
    <x v="0"/>
    <x v="0"/>
    <x v="0"/>
    <x v="0"/>
    <x v="0"/>
    <x v="0"/>
    <x v="2"/>
    <x v="0"/>
    <x v="0"/>
    <x v="0"/>
    <x v="0"/>
    <x v="2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2"/>
    <x v="0"/>
    <x v="1"/>
    <x v="2"/>
    <x v="1"/>
    <x v="0"/>
    <x v="0"/>
    <x v="1"/>
    <x v="0"/>
    <x v="0"/>
    <x v="3"/>
    <x v="0"/>
    <x v="0"/>
    <x v="0"/>
    <x v="0"/>
    <x v="1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0"/>
    <x v="1"/>
    <x v="2"/>
    <x v="1"/>
    <x v="0"/>
    <x v="1"/>
    <x v="0"/>
    <x v="2"/>
    <x v="1"/>
    <x v="1"/>
    <x v="0"/>
    <x v="4"/>
    <x v="0"/>
    <x v="0"/>
    <x v="2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3"/>
    <x v="3"/>
    <x v="3"/>
    <x v="0"/>
    <x v="0"/>
    <x v="0"/>
    <x v="2"/>
    <x v="0"/>
    <x v="2"/>
    <x v="4"/>
    <x v="0"/>
    <x v="0"/>
    <x v="2"/>
    <x v="0"/>
    <x v="4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2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8"/>
    <x v="0"/>
    <s v="1"/>
    <s v="2"/>
    <x v="4"/>
    <x v="4"/>
    <x v="1"/>
    <x v="2"/>
    <x v="2"/>
    <x v="1"/>
    <x v="3"/>
    <x v="0"/>
    <x v="4"/>
    <x v="2"/>
    <x v="6"/>
    <x v="2"/>
    <x v="6"/>
    <x v="2"/>
    <x v="4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4"/>
    <x v="1"/>
    <x v="2"/>
    <x v="1"/>
    <x v="2"/>
    <x v="0"/>
    <x v="3"/>
    <x v="4"/>
    <x v="0"/>
    <x v="4"/>
    <x v="1"/>
    <x v="1"/>
    <x v="0"/>
    <x v="0"/>
    <x v="1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3"/>
    <x v="1"/>
    <x v="1"/>
    <x v="0"/>
    <x v="0"/>
    <x v="0"/>
    <x v="0"/>
    <x v="1"/>
    <x v="3"/>
    <x v="0"/>
    <x v="0"/>
    <x v="2"/>
    <x v="0"/>
    <x v="1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4"/>
    <x v="1"/>
    <x v="0"/>
    <x v="0"/>
    <x v="0"/>
    <x v="1"/>
    <x v="1"/>
    <x v="3"/>
    <x v="0"/>
    <x v="2"/>
    <x v="6"/>
    <x v="3"/>
    <x v="2"/>
    <x v="1"/>
    <x v="4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x v="0"/>
    <m/>
    <m/>
    <m/>
    <m/>
    <m/>
    <s v="*"/>
    <m/>
    <m/>
    <m/>
    <m/>
    <s v="?"/>
    <m/>
    <m/>
    <m/>
    <m/>
    <m/>
    <s v="*"/>
    <s v="*"/>
    <s v="*"/>
    <s v="||"/>
  </r>
  <r>
    <x v="3"/>
    <x v="0"/>
    <s v="1"/>
    <s v="1"/>
    <x v="1"/>
    <x v="1"/>
    <x v="0"/>
    <x v="2"/>
    <x v="0"/>
    <x v="0"/>
    <x v="4"/>
    <x v="3"/>
    <x v="0"/>
    <x v="1"/>
    <x v="2"/>
    <x v="1"/>
    <x v="1"/>
    <x v="4"/>
    <x v="2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x v="0"/>
    <m/>
    <m/>
    <m/>
    <s v="*"/>
    <m/>
    <m/>
    <m/>
    <m/>
    <m/>
    <m/>
    <m/>
    <m/>
    <m/>
    <m/>
    <m/>
    <m/>
    <m/>
    <m/>
    <m/>
    <s v="||"/>
  </r>
  <r>
    <x v="4"/>
    <x v="0"/>
    <s v="1"/>
    <s v="1"/>
    <x v="1"/>
    <x v="1"/>
    <x v="0"/>
    <x v="1"/>
    <x v="0"/>
    <x v="0"/>
    <x v="4"/>
    <x v="3"/>
    <x v="1"/>
    <x v="1"/>
    <x v="2"/>
    <x v="2"/>
    <x v="0"/>
    <x v="0"/>
    <x v="1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1"/>
    <x v="1"/>
    <x v="2"/>
    <x v="1"/>
    <x v="0"/>
    <x v="0"/>
    <x v="0"/>
    <x v="2"/>
    <x v="0"/>
    <x v="4"/>
    <x v="0"/>
    <x v="1"/>
    <x v="0"/>
    <x v="0"/>
    <x v="1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0"/>
    <x v="5"/>
    <x v="3"/>
    <x v="0"/>
    <x v="2"/>
    <x v="0"/>
    <x v="4"/>
    <x v="0"/>
    <x v="4"/>
    <x v="3"/>
    <x v="1"/>
    <x v="4"/>
    <x v="4"/>
    <x v="2"/>
    <x v="3"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0"/>
    <x v="1"/>
    <x v="2"/>
    <x v="1"/>
    <x v="0"/>
    <x v="0"/>
    <x v="4"/>
    <x v="5"/>
    <x v="0"/>
    <x v="2"/>
    <x v="3"/>
    <x v="1"/>
    <x v="2"/>
    <x v="1"/>
    <x v="0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x v="2"/>
    <m/>
    <m/>
    <m/>
    <m/>
    <m/>
    <m/>
    <m/>
    <s v="?"/>
    <m/>
    <m/>
    <m/>
    <m/>
    <m/>
    <m/>
    <m/>
    <m/>
    <m/>
    <m/>
    <m/>
    <s v="||"/>
  </r>
  <r>
    <x v="8"/>
    <x v="0"/>
    <s v="1"/>
    <s v="1"/>
    <x v="3"/>
    <x v="1"/>
    <x v="3"/>
    <x v="0"/>
    <x v="0"/>
    <x v="0"/>
    <x v="2"/>
    <x v="0"/>
    <x v="0"/>
    <x v="3"/>
    <x v="0"/>
    <x v="2"/>
    <x v="1"/>
    <x v="0"/>
    <x v="2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4"/>
    <x v="0"/>
    <x v="0"/>
    <x v="0"/>
    <x v="0"/>
    <x v="0"/>
    <x v="4"/>
    <x v="0"/>
    <x v="1"/>
    <x v="3"/>
    <x v="1"/>
    <x v="2"/>
    <x v="0"/>
    <x v="2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4"/>
    <x v="3"/>
    <x v="0"/>
    <x v="0"/>
    <x v="0"/>
    <x v="1"/>
    <x v="2"/>
    <x v="3"/>
    <x v="3"/>
    <x v="0"/>
    <x v="1"/>
    <x v="3"/>
    <x v="1"/>
    <x v="2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0"/>
    <x v="1"/>
    <x v="4"/>
    <x v="2"/>
    <x v="0"/>
    <x v="0"/>
    <x v="4"/>
    <x v="1"/>
    <x v="1"/>
    <x v="3"/>
    <x v="3"/>
    <x v="3"/>
    <x v="4"/>
    <x v="0"/>
    <x v="0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0"/>
    <x v="1"/>
    <x v="0"/>
    <x v="1"/>
    <x v="0"/>
    <x v="0"/>
    <x v="1"/>
    <x v="0"/>
    <x v="0"/>
    <x v="3"/>
    <x v="0"/>
    <x v="4"/>
    <x v="1"/>
    <x v="0"/>
    <x v="0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0"/>
    <x v="0"/>
    <x v="1"/>
    <x v="0"/>
    <x v="0"/>
    <x v="2"/>
    <x v="3"/>
    <x v="0"/>
    <x v="3"/>
    <x v="0"/>
    <x v="1"/>
    <x v="0"/>
    <x v="0"/>
    <x v="0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x v="1"/>
    <m/>
    <m/>
    <m/>
    <m/>
    <m/>
    <m/>
    <m/>
    <m/>
    <s v="*"/>
    <m/>
    <m/>
    <m/>
    <m/>
    <m/>
    <m/>
    <m/>
    <m/>
    <m/>
    <m/>
    <s v="||"/>
  </r>
  <r>
    <x v="5"/>
    <x v="1"/>
    <s v="1"/>
    <s v="2"/>
    <x v="3"/>
    <x v="4"/>
    <x v="2"/>
    <x v="0"/>
    <x v="0"/>
    <x v="0"/>
    <x v="0"/>
    <x v="3"/>
    <x v="0"/>
    <x v="3"/>
    <x v="6"/>
    <x v="4"/>
    <x v="0"/>
    <x v="1"/>
    <x v="0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5"/>
    <x v="0"/>
    <x v="0"/>
    <x v="0"/>
    <x v="1"/>
    <x v="1"/>
    <x v="0"/>
    <x v="4"/>
    <x v="0"/>
    <x v="3"/>
    <x v="0"/>
    <x v="1"/>
    <x v="4"/>
    <x v="4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3"/>
    <x v="4"/>
    <x v="2"/>
    <x v="0"/>
    <x v="2"/>
    <x v="0"/>
    <x v="0"/>
    <x v="0"/>
    <x v="2"/>
    <x v="1"/>
    <x v="0"/>
    <x v="4"/>
    <x v="0"/>
    <x v="5"/>
    <x v="2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2"/>
    <x v="0"/>
    <x v="0"/>
    <x v="0"/>
    <x v="1"/>
    <x v="3"/>
    <x v="0"/>
    <x v="1"/>
    <x v="1"/>
    <x v="1"/>
    <x v="1"/>
    <x v="0"/>
    <x v="3"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3"/>
    <x v="0"/>
    <x v="0"/>
    <x v="2"/>
    <x v="0"/>
    <x v="0"/>
    <x v="1"/>
    <x v="2"/>
    <x v="0"/>
    <x v="2"/>
    <x v="1"/>
    <x v="0"/>
    <x v="3"/>
    <x v="0"/>
    <x v="1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x v="0"/>
    <m/>
    <m/>
    <m/>
    <s v="*"/>
    <m/>
    <m/>
    <m/>
    <m/>
    <m/>
    <m/>
    <m/>
    <m/>
    <m/>
    <m/>
    <m/>
    <m/>
    <m/>
    <m/>
    <m/>
    <s v="||"/>
  </r>
  <r>
    <x v="1"/>
    <x v="1"/>
    <s v="1"/>
    <s v="2"/>
    <x v="4"/>
    <x v="0"/>
    <x v="0"/>
    <x v="0"/>
    <x v="0"/>
    <x v="2"/>
    <x v="1"/>
    <x v="4"/>
    <x v="0"/>
    <x v="3"/>
    <x v="4"/>
    <x v="4"/>
    <x v="1"/>
    <x v="2"/>
    <x v="0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1"/>
    <x v="3"/>
    <x v="0"/>
    <x v="0"/>
    <x v="0"/>
    <x v="4"/>
    <x v="2"/>
    <x v="3"/>
    <x v="3"/>
    <x v="6"/>
    <x v="1"/>
    <x v="3"/>
    <x v="0"/>
    <x v="0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4"/>
    <x v="1"/>
    <x v="3"/>
    <x v="2"/>
    <x v="0"/>
    <x v="0"/>
    <x v="0"/>
    <x v="3"/>
    <x v="0"/>
    <x v="0"/>
    <x v="0"/>
    <x v="2"/>
    <x v="1"/>
    <x v="0"/>
    <x v="2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1"/>
    <x v="0"/>
    <x v="0"/>
    <x v="0"/>
    <x v="0"/>
    <x v="2"/>
    <x v="2"/>
    <x v="0"/>
    <x v="2"/>
    <x v="0"/>
    <x v="0"/>
    <x v="0"/>
    <x v="0"/>
    <x v="0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1"/>
    <x v="4"/>
    <x v="1"/>
    <x v="1"/>
    <x v="0"/>
    <x v="2"/>
    <x v="0"/>
    <x v="1"/>
    <x v="2"/>
    <x v="1"/>
    <x v="1"/>
    <x v="0"/>
    <x v="0"/>
    <x v="2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4"/>
    <x v="0"/>
    <x v="0"/>
    <x v="0"/>
    <x v="1"/>
    <x v="1"/>
    <x v="2"/>
    <x v="0"/>
    <x v="3"/>
    <x v="6"/>
    <x v="0"/>
    <x v="0"/>
    <x v="0"/>
    <x v="0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0"/>
    <x v="0"/>
    <x v="0"/>
    <x v="0"/>
    <x v="1"/>
    <x v="0"/>
    <x v="2"/>
    <x v="3"/>
    <x v="3"/>
    <x v="0"/>
    <x v="0"/>
    <x v="0"/>
    <x v="0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0"/>
    <x v="1"/>
    <x v="0"/>
    <x v="0"/>
    <x v="1"/>
    <x v="2"/>
    <x v="0"/>
    <x v="2"/>
    <x v="0"/>
    <x v="1"/>
    <x v="0"/>
    <x v="0"/>
    <x v="0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1"/>
    <x v="4"/>
    <x v="0"/>
    <x v="0"/>
    <x v="0"/>
    <x v="4"/>
    <x v="1"/>
    <x v="0"/>
    <x v="1"/>
    <x v="0"/>
    <x v="3"/>
    <x v="0"/>
    <x v="0"/>
    <x v="0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2"/>
    <x v="0"/>
    <x v="0"/>
    <x v="0"/>
    <x v="2"/>
    <x v="2"/>
    <x v="0"/>
    <x v="2"/>
    <x v="0"/>
    <x v="0"/>
    <x v="0"/>
    <x v="0"/>
    <x v="4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1"/>
    <x v="1"/>
    <x v="0"/>
    <x v="0"/>
    <x v="1"/>
    <x v="4"/>
    <x v="0"/>
    <x v="3"/>
    <x v="0"/>
    <x v="3"/>
    <x v="1"/>
    <x v="0"/>
    <x v="1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1"/>
    <x v="0"/>
    <x v="1"/>
    <x v="0"/>
    <x v="0"/>
    <x v="0"/>
    <x v="0"/>
    <x v="0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1"/>
    <x v="0"/>
    <x v="0"/>
    <x v="1"/>
    <x v="2"/>
    <x v="0"/>
    <x v="4"/>
    <x v="0"/>
    <x v="3"/>
    <x v="0"/>
    <x v="5"/>
    <x v="0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5"/>
    <x v="0"/>
    <x v="1"/>
    <x v="0"/>
    <x v="2"/>
    <x v="1"/>
    <x v="0"/>
    <x v="0"/>
    <x v="3"/>
    <x v="0"/>
    <x v="3"/>
    <x v="0"/>
    <x v="0"/>
    <x v="0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5"/>
    <x v="6"/>
    <x v="5"/>
    <x v="3"/>
    <x v="3"/>
    <x v="3"/>
    <x v="5"/>
    <x v="5"/>
    <x v="5"/>
    <x v="5"/>
    <x v="5"/>
    <x v="5"/>
    <x v="6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2"/>
    <x v="1"/>
    <x v="4"/>
    <x v="0"/>
    <x v="2"/>
    <x v="0"/>
    <x v="1"/>
    <x v="3"/>
    <x v="3"/>
    <x v="3"/>
    <x v="2"/>
    <x v="4"/>
    <x v="4"/>
    <x v="1"/>
    <x v="3"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4"/>
    <x v="3"/>
    <x v="0"/>
    <x v="1"/>
    <x v="0"/>
    <x v="0"/>
    <x v="3"/>
    <x v="2"/>
    <x v="3"/>
    <x v="1"/>
    <x v="3"/>
    <x v="2"/>
    <x v="1"/>
    <x v="2"/>
    <x v="0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5"/>
    <x v="6"/>
    <x v="5"/>
    <x v="3"/>
    <x v="3"/>
    <x v="3"/>
    <x v="5"/>
    <x v="5"/>
    <x v="5"/>
    <x v="5"/>
    <x v="5"/>
    <x v="5"/>
    <x v="6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0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x v="1"/>
    <s v="1"/>
    <s v="1"/>
    <x v="2"/>
    <x v="1"/>
    <x v="2"/>
    <x v="0"/>
    <x v="0"/>
    <x v="0"/>
    <x v="1"/>
    <x v="4"/>
    <x v="4"/>
    <x v="1"/>
    <x v="2"/>
    <x v="1"/>
    <x v="3"/>
    <x v="0"/>
    <x v="1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3"/>
    <x v="2"/>
    <x v="0"/>
    <x v="0"/>
    <x v="1"/>
    <x v="2"/>
    <x v="2"/>
    <x v="0"/>
    <x v="3"/>
    <x v="6"/>
    <x v="0"/>
    <x v="3"/>
    <x v="1"/>
    <x v="2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5"/>
    <x v="0"/>
    <x v="0"/>
    <x v="0"/>
    <x v="2"/>
    <x v="4"/>
    <x v="0"/>
    <x v="3"/>
    <x v="5"/>
    <x v="5"/>
    <x v="0"/>
    <x v="6"/>
    <x v="0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x v="0"/>
    <m/>
    <m/>
    <m/>
    <s v="*"/>
    <m/>
    <s v="*"/>
    <s v="*"/>
    <s v="*"/>
    <s v="*"/>
    <m/>
    <m/>
    <m/>
    <m/>
    <m/>
    <m/>
    <m/>
    <m/>
    <m/>
    <m/>
    <s v="||"/>
  </r>
  <r>
    <x v="4"/>
    <x v="1"/>
    <s v="1"/>
    <s v="1"/>
    <x v="1"/>
    <x v="3"/>
    <x v="2"/>
    <x v="0"/>
    <x v="0"/>
    <x v="1"/>
    <x v="1"/>
    <x v="2"/>
    <x v="2"/>
    <x v="0"/>
    <x v="2"/>
    <x v="1"/>
    <x v="3"/>
    <x v="5"/>
    <x v="0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1"/>
    <x v="0"/>
    <x v="0"/>
    <x v="0"/>
    <x v="0"/>
    <x v="1"/>
    <x v="0"/>
    <x v="0"/>
    <x v="4"/>
    <x v="0"/>
    <x v="2"/>
    <x v="0"/>
    <x v="0"/>
    <x v="0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2"/>
    <x v="5"/>
    <x v="2"/>
    <x v="0"/>
    <x v="0"/>
    <x v="1"/>
    <x v="1"/>
    <x v="3"/>
    <x v="0"/>
    <x v="1"/>
    <x v="6"/>
    <x v="0"/>
    <x v="1"/>
    <x v="0"/>
    <x v="4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1"/>
    <x v="1"/>
    <x v="2"/>
    <x v="0"/>
    <x v="0"/>
    <x v="0"/>
    <x v="0"/>
    <x v="0"/>
    <x v="3"/>
    <x v="3"/>
    <x v="0"/>
    <x v="0"/>
    <x v="0"/>
    <x v="0"/>
    <x v="0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0"/>
    <x v="0"/>
    <x v="0"/>
    <x v="0"/>
    <x v="1"/>
    <x v="3"/>
    <x v="0"/>
    <x v="2"/>
    <x v="0"/>
    <x v="3"/>
    <x v="0"/>
    <x v="0"/>
    <x v="0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0"/>
    <x v="1"/>
    <x v="2"/>
    <x v="0"/>
    <x v="1"/>
    <x v="1"/>
    <x v="1"/>
    <x v="0"/>
    <x v="0"/>
    <x v="2"/>
    <x v="3"/>
    <x v="1"/>
    <x v="3"/>
    <x v="0"/>
    <x v="0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0"/>
    <x v="3"/>
    <x v="2"/>
    <x v="0"/>
    <x v="0"/>
    <x v="0"/>
    <x v="2"/>
    <x v="4"/>
    <x v="0"/>
    <x v="3"/>
    <x v="0"/>
    <x v="2"/>
    <x v="3"/>
    <x v="0"/>
    <x v="2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x v="0"/>
    <m/>
    <m/>
    <m/>
    <m/>
    <m/>
    <m/>
    <m/>
    <m/>
    <m/>
    <m/>
    <m/>
    <m/>
    <s v="*"/>
    <m/>
    <m/>
    <m/>
    <m/>
    <m/>
    <m/>
    <s v="||"/>
  </r>
  <r>
    <x v="2"/>
    <x v="1"/>
    <s v="1"/>
    <s v="2"/>
    <x v="2"/>
    <x v="1"/>
    <x v="1"/>
    <x v="2"/>
    <x v="0"/>
    <x v="0"/>
    <x v="4"/>
    <x v="3"/>
    <x v="1"/>
    <x v="1"/>
    <x v="1"/>
    <x v="4"/>
    <x v="4"/>
    <x v="0"/>
    <x v="0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3"/>
    <x v="1"/>
    <x v="2"/>
    <x v="0"/>
    <x v="0"/>
    <x v="0"/>
    <x v="2"/>
    <x v="2"/>
    <x v="0"/>
    <x v="2"/>
    <x v="0"/>
    <x v="2"/>
    <x v="0"/>
    <x v="0"/>
    <x v="2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0"/>
    <x v="2"/>
    <x v="0"/>
    <x v="0"/>
    <x v="0"/>
    <x v="1"/>
    <x v="1"/>
    <x v="1"/>
    <x v="3"/>
    <x v="0"/>
    <x v="2"/>
    <x v="4"/>
    <x v="5"/>
    <x v="4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1"/>
    <x v="0"/>
    <x v="0"/>
    <x v="0"/>
    <x v="0"/>
    <x v="0"/>
    <x v="0"/>
    <x v="2"/>
    <x v="0"/>
    <x v="0"/>
    <x v="0"/>
    <x v="2"/>
    <x v="3"/>
    <x v="5"/>
    <x v="2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1"/>
    <x v="1"/>
    <x v="0"/>
    <x v="0"/>
    <x v="1"/>
    <x v="0"/>
    <x v="2"/>
    <x v="0"/>
    <x v="4"/>
    <x v="0"/>
    <x v="3"/>
    <x v="0"/>
    <x v="0"/>
    <x v="0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0"/>
    <x v="1"/>
    <x v="0"/>
    <x v="0"/>
    <x v="1"/>
    <x v="0"/>
    <x v="0"/>
    <x v="3"/>
    <x v="0"/>
    <x v="1"/>
    <x v="0"/>
    <x v="0"/>
    <x v="0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0"/>
    <x v="0"/>
    <x v="0"/>
    <x v="1"/>
    <x v="4"/>
    <x v="0"/>
    <x v="0"/>
    <x v="1"/>
    <x v="4"/>
    <x v="0"/>
    <x v="0"/>
    <x v="0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2"/>
    <x v="0"/>
    <x v="1"/>
    <x v="0"/>
    <x v="0"/>
    <x v="0"/>
    <x v="1"/>
    <x v="2"/>
    <x v="1"/>
    <x v="3"/>
    <x v="0"/>
    <x v="2"/>
    <x v="1"/>
    <x v="0"/>
    <x v="0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2"/>
    <x v="1"/>
    <x v="0"/>
    <x v="1"/>
    <x v="0"/>
    <x v="1"/>
    <x v="1"/>
    <x v="0"/>
    <x v="0"/>
    <x v="3"/>
    <x v="3"/>
    <x v="2"/>
    <x v="0"/>
    <x v="0"/>
    <x v="0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0"/>
    <x v="1"/>
    <x v="0"/>
    <x v="0"/>
    <x v="0"/>
    <x v="0"/>
    <x v="3"/>
    <x v="4"/>
    <x v="0"/>
    <x v="3"/>
    <x v="3"/>
    <x v="3"/>
    <x v="1"/>
    <x v="0"/>
    <x v="0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2"/>
    <x v="5"/>
    <x v="0"/>
    <x v="1"/>
    <x v="0"/>
    <x v="0"/>
    <x v="1"/>
    <x v="0"/>
    <x v="0"/>
    <x v="3"/>
    <x v="0"/>
    <x v="1"/>
    <x v="0"/>
    <x v="0"/>
    <x v="2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5"/>
    <x v="0"/>
    <x v="0"/>
    <x v="0"/>
    <x v="1"/>
    <x v="2"/>
    <x v="0"/>
    <x v="0"/>
    <x v="3"/>
    <x v="3"/>
    <x v="2"/>
    <x v="4"/>
    <x v="0"/>
    <x v="0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x v="1"/>
    <m/>
    <m/>
    <m/>
    <m/>
    <m/>
    <m/>
    <s v="*"/>
    <m/>
    <m/>
    <m/>
    <m/>
    <m/>
    <m/>
    <m/>
    <m/>
    <m/>
    <m/>
    <m/>
    <m/>
    <s v="||"/>
  </r>
  <r>
    <x v="5"/>
    <x v="1"/>
    <s v="1"/>
    <s v="1"/>
    <x v="0"/>
    <x v="1"/>
    <x v="1"/>
    <x v="0"/>
    <x v="0"/>
    <x v="1"/>
    <x v="2"/>
    <x v="0"/>
    <x v="0"/>
    <x v="3"/>
    <x v="1"/>
    <x v="2"/>
    <x v="0"/>
    <x v="0"/>
    <x v="0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3"/>
    <x v="0"/>
    <x v="0"/>
    <x v="0"/>
    <x v="2"/>
    <x v="3"/>
    <x v="1"/>
    <x v="2"/>
    <x v="0"/>
    <x v="1"/>
    <x v="0"/>
    <x v="0"/>
    <x v="1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x v="2"/>
    <m/>
    <m/>
    <m/>
    <s v="?"/>
    <m/>
    <m/>
    <m/>
    <m/>
    <m/>
    <m/>
    <m/>
    <m/>
    <m/>
    <m/>
    <m/>
    <m/>
    <m/>
    <m/>
    <m/>
    <s v="||"/>
  </r>
  <r>
    <x v="7"/>
    <x v="1"/>
    <s v="1"/>
    <s v="1"/>
    <x v="0"/>
    <x v="5"/>
    <x v="1"/>
    <x v="1"/>
    <x v="0"/>
    <x v="0"/>
    <x v="1"/>
    <x v="0"/>
    <x v="0"/>
    <x v="3"/>
    <x v="0"/>
    <x v="2"/>
    <x v="0"/>
    <x v="0"/>
    <x v="2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x v="2"/>
    <m/>
    <m/>
    <m/>
    <m/>
    <s v="?"/>
    <m/>
    <m/>
    <m/>
    <m/>
    <m/>
    <m/>
    <m/>
    <m/>
    <m/>
    <m/>
    <m/>
    <m/>
    <m/>
    <m/>
    <s v="||"/>
  </r>
  <r>
    <x v="8"/>
    <x v="1"/>
    <s v="1"/>
    <s v="1"/>
    <x v="2"/>
    <x v="0"/>
    <x v="2"/>
    <x v="0"/>
    <x v="0"/>
    <x v="1"/>
    <x v="1"/>
    <x v="0"/>
    <x v="0"/>
    <x v="1"/>
    <x v="0"/>
    <x v="2"/>
    <x v="0"/>
    <x v="0"/>
    <x v="0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1"/>
    <x v="0"/>
    <x v="0"/>
    <x v="0"/>
    <x v="2"/>
    <x v="1"/>
    <x v="2"/>
    <x v="0"/>
    <x v="2"/>
    <x v="2"/>
    <x v="2"/>
    <x v="4"/>
    <x v="0"/>
    <x v="0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1"/>
    <x v="0"/>
    <x v="0"/>
    <x v="1"/>
    <x v="0"/>
    <x v="0"/>
    <x v="1"/>
    <x v="0"/>
    <x v="0"/>
    <x v="3"/>
    <x v="1"/>
    <x v="1"/>
    <x v="0"/>
    <x v="0"/>
    <x v="2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0"/>
    <x v="0"/>
    <x v="0"/>
    <x v="2"/>
    <x v="1"/>
    <x v="0"/>
    <x v="0"/>
    <x v="2"/>
    <x v="1"/>
    <x v="1"/>
    <x v="0"/>
    <x v="0"/>
    <x v="2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0"/>
    <x v="0"/>
    <x v="2"/>
    <x v="0"/>
    <x v="3"/>
    <x v="0"/>
    <x v="0"/>
    <x v="1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1"/>
    <x v="0"/>
    <x v="1"/>
    <x v="1"/>
    <x v="4"/>
    <x v="0"/>
    <x v="2"/>
    <x v="0"/>
    <x v="1"/>
    <x v="0"/>
    <x v="0"/>
    <x v="1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5"/>
    <x v="1"/>
    <x v="0"/>
    <x v="2"/>
    <x v="0"/>
    <x v="1"/>
    <x v="0"/>
    <x v="3"/>
    <x v="0"/>
    <x v="1"/>
    <x v="3"/>
    <x v="4"/>
    <x v="1"/>
    <x v="2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1"/>
    <x v="0"/>
    <x v="2"/>
    <x v="0"/>
    <x v="2"/>
    <x v="3"/>
    <x v="0"/>
    <x v="3"/>
    <x v="0"/>
    <x v="2"/>
    <x v="0"/>
    <x v="0"/>
    <x v="0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4"/>
    <x v="3"/>
    <x v="0"/>
    <x v="0"/>
    <x v="0"/>
    <x v="2"/>
    <x v="1"/>
    <x v="0"/>
    <x v="1"/>
    <x v="4"/>
    <x v="0"/>
    <x v="0"/>
    <x v="2"/>
    <x v="0"/>
    <x v="0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0"/>
    <x v="0"/>
    <x v="0"/>
    <x v="0"/>
    <x v="1"/>
    <x v="2"/>
    <x v="0"/>
    <x v="2"/>
    <x v="0"/>
    <x v="4"/>
    <x v="1"/>
    <x v="3"/>
    <x v="1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3"/>
    <x v="2"/>
    <x v="0"/>
    <x v="0"/>
    <x v="2"/>
    <x v="0"/>
    <x v="2"/>
    <x v="2"/>
    <x v="4"/>
    <x v="0"/>
    <x v="2"/>
    <x v="0"/>
    <x v="0"/>
    <x v="1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0"/>
    <x v="3"/>
    <x v="0"/>
    <x v="1"/>
    <x v="0"/>
    <x v="1"/>
    <x v="0"/>
    <x v="0"/>
    <x v="0"/>
    <x v="3"/>
    <x v="1"/>
    <x v="0"/>
    <x v="0"/>
    <x v="0"/>
    <x v="2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1"/>
    <x v="0"/>
    <x v="0"/>
    <x v="0"/>
    <x v="2"/>
    <x v="4"/>
    <x v="2"/>
    <x v="0"/>
    <x v="2"/>
    <x v="3"/>
    <x v="3"/>
    <x v="0"/>
    <x v="0"/>
    <x v="1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0"/>
    <x v="1"/>
    <x v="3"/>
    <x v="2"/>
    <x v="1"/>
    <x v="2"/>
    <x v="0"/>
    <x v="0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0"/>
    <x v="0"/>
    <x v="1"/>
    <x v="4"/>
    <x v="2"/>
    <x v="0"/>
    <x v="3"/>
    <x v="0"/>
    <x v="2"/>
    <x v="0"/>
    <x v="0"/>
    <x v="0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1"/>
    <x v="2"/>
    <x v="0"/>
    <x v="1"/>
    <x v="0"/>
    <x v="2"/>
    <x v="2"/>
    <x v="3"/>
    <x v="1"/>
    <x v="1"/>
    <x v="1"/>
    <x v="3"/>
    <x v="0"/>
    <x v="0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3"/>
    <x v="0"/>
    <x v="0"/>
    <x v="0"/>
    <x v="1"/>
    <x v="0"/>
    <x v="3"/>
    <x v="0"/>
    <x v="0"/>
    <x v="2"/>
    <x v="2"/>
    <x v="0"/>
    <x v="0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3"/>
    <x v="1"/>
    <x v="0"/>
    <x v="2"/>
    <x v="0"/>
    <x v="0"/>
    <x v="4"/>
    <x v="1"/>
    <x v="0"/>
    <x v="3"/>
    <x v="1"/>
    <x v="4"/>
    <x v="0"/>
    <x v="0"/>
    <x v="1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2"/>
    <x v="2"/>
    <x v="0"/>
    <x v="2"/>
    <x v="4"/>
    <x v="4"/>
    <x v="0"/>
    <x v="3"/>
    <x v="0"/>
    <x v="0"/>
    <x v="0"/>
    <x v="0"/>
    <x v="0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2"/>
    <x v="3"/>
    <x v="2"/>
    <x v="0"/>
    <x v="0"/>
    <x v="0"/>
    <x v="1"/>
    <x v="0"/>
    <x v="0"/>
    <x v="1"/>
    <x v="0"/>
    <x v="2"/>
    <x v="3"/>
    <x v="0"/>
    <x v="0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4"/>
    <x v="0"/>
    <x v="3"/>
    <x v="0"/>
    <x v="0"/>
    <x v="0"/>
    <x v="4"/>
    <x v="3"/>
    <x v="0"/>
    <x v="2"/>
    <x v="0"/>
    <x v="3"/>
    <x v="1"/>
    <x v="0"/>
    <x v="0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1"/>
    <x v="0"/>
    <x v="0"/>
    <x v="0"/>
    <x v="1"/>
    <x v="1"/>
    <x v="2"/>
    <x v="0"/>
    <x v="0"/>
    <x v="0"/>
    <x v="0"/>
    <x v="3"/>
    <x v="4"/>
    <x v="0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1"/>
    <x v="1"/>
    <x v="1"/>
    <x v="0"/>
    <x v="2"/>
    <x v="0"/>
    <x v="0"/>
    <x v="0"/>
    <x v="3"/>
    <x v="3"/>
    <x v="2"/>
    <x v="0"/>
    <x v="0"/>
    <x v="1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x v="0"/>
    <m/>
    <m/>
    <m/>
    <m/>
    <m/>
    <m/>
    <m/>
    <m/>
    <m/>
    <m/>
    <m/>
    <m/>
    <m/>
    <m/>
    <m/>
    <m/>
    <s v="?"/>
    <m/>
    <m/>
    <s v="||"/>
  </r>
  <r>
    <x v="4"/>
    <x v="1"/>
    <s v="1"/>
    <s v="2"/>
    <x v="1"/>
    <x v="1"/>
    <x v="0"/>
    <x v="0"/>
    <x v="0"/>
    <x v="0"/>
    <x v="2"/>
    <x v="2"/>
    <x v="1"/>
    <x v="3"/>
    <x v="2"/>
    <x v="2"/>
    <x v="0"/>
    <x v="0"/>
    <x v="2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3"/>
    <x v="0"/>
    <x v="1"/>
    <x v="0"/>
    <x v="0"/>
    <x v="2"/>
    <x v="0"/>
    <x v="2"/>
    <x v="3"/>
    <x v="0"/>
    <x v="0"/>
    <x v="0"/>
    <x v="0"/>
    <x v="2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3"/>
    <x v="3"/>
    <x v="2"/>
    <x v="0"/>
    <x v="0"/>
    <x v="2"/>
    <x v="3"/>
    <x v="4"/>
    <x v="0"/>
    <x v="2"/>
    <x v="3"/>
    <x v="0"/>
    <x v="0"/>
    <x v="0"/>
    <x v="0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1"/>
    <x v="0"/>
    <x v="0"/>
    <x v="1"/>
    <x v="2"/>
    <x v="1"/>
    <x v="0"/>
    <x v="3"/>
    <x v="0"/>
    <x v="0"/>
    <x v="0"/>
    <x v="0"/>
    <x v="0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2"/>
    <x v="1"/>
    <x v="1"/>
    <x v="1"/>
    <x v="2"/>
    <x v="3"/>
    <x v="0"/>
    <x v="2"/>
    <x v="0"/>
    <x v="1"/>
    <x v="1"/>
    <x v="0"/>
    <x v="1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1"/>
    <x v="0"/>
    <x v="1"/>
    <x v="0"/>
    <x v="0"/>
    <x v="2"/>
    <x v="2"/>
    <x v="0"/>
    <x v="3"/>
    <x v="0"/>
    <x v="3"/>
    <x v="0"/>
    <x v="0"/>
    <x v="4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3"/>
    <x v="3"/>
    <x v="0"/>
    <x v="1"/>
    <x v="2"/>
    <x v="1"/>
    <x v="0"/>
    <x v="0"/>
    <x v="2"/>
    <x v="0"/>
    <x v="4"/>
    <x v="0"/>
    <x v="0"/>
    <x v="0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3"/>
    <x v="1"/>
    <x v="0"/>
    <x v="2"/>
    <x v="0"/>
    <x v="0"/>
    <x v="4"/>
    <x v="4"/>
    <x v="0"/>
    <x v="3"/>
    <x v="0"/>
    <x v="0"/>
    <x v="3"/>
    <x v="0"/>
    <x v="1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0"/>
    <x v="0"/>
    <x v="1"/>
    <x v="0"/>
    <x v="1"/>
    <x v="2"/>
    <x v="0"/>
    <x v="0"/>
    <x v="2"/>
    <x v="1"/>
    <x v="2"/>
    <x v="1"/>
    <x v="0"/>
    <x v="2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1"/>
    <x v="1"/>
    <x v="0"/>
    <x v="1"/>
    <x v="0"/>
    <x v="0"/>
    <x v="2"/>
    <x v="3"/>
    <x v="0"/>
    <x v="2"/>
    <x v="0"/>
    <x v="3"/>
    <x v="0"/>
    <x v="0"/>
    <x v="0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2"/>
    <x v="1"/>
    <x v="1"/>
    <x v="0"/>
    <x v="0"/>
    <x v="0"/>
    <x v="2"/>
    <x v="0"/>
    <x v="3"/>
    <x v="3"/>
    <x v="0"/>
    <x v="1"/>
    <x v="0"/>
    <x v="0"/>
    <x v="0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2"/>
    <x v="1"/>
    <x v="0"/>
    <x v="1"/>
    <x v="0"/>
    <x v="1"/>
    <x v="1"/>
    <x v="0"/>
    <x v="0"/>
    <x v="1"/>
    <x v="0"/>
    <x v="2"/>
    <x v="0"/>
    <x v="0"/>
    <x v="1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0"/>
    <x v="5"/>
    <x v="4"/>
    <x v="1"/>
    <x v="0"/>
    <x v="0"/>
    <x v="3"/>
    <x v="4"/>
    <x v="0"/>
    <x v="3"/>
    <x v="2"/>
    <x v="2"/>
    <x v="0"/>
    <x v="0"/>
    <x v="4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0"/>
    <x v="0"/>
    <x v="0"/>
    <x v="0"/>
    <x v="1"/>
    <x v="1"/>
    <x v="0"/>
    <x v="3"/>
    <x v="0"/>
    <x v="0"/>
    <x v="0"/>
    <x v="0"/>
    <x v="1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x v="3"/>
    <m/>
    <m/>
    <m/>
    <m/>
    <m/>
    <s v="*"/>
    <m/>
    <m/>
    <m/>
    <m/>
    <m/>
    <m/>
    <m/>
    <m/>
    <m/>
    <m/>
    <m/>
    <m/>
    <m/>
    <s v="||"/>
  </r>
  <r>
    <x v="0"/>
    <x v="1"/>
    <s v="1"/>
    <s v="2"/>
    <x v="2"/>
    <x v="0"/>
    <x v="0"/>
    <x v="2"/>
    <x v="0"/>
    <x v="2"/>
    <x v="3"/>
    <x v="1"/>
    <x v="0"/>
    <x v="0"/>
    <x v="2"/>
    <x v="0"/>
    <x v="0"/>
    <x v="0"/>
    <x v="0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*"/>
    <s v="*"/>
    <x v="2"/>
    <x v="1"/>
    <x v="3"/>
    <x v="0"/>
    <x v="0"/>
    <x v="0"/>
    <x v="4"/>
    <x v="0"/>
    <x v="2"/>
    <x v="2"/>
    <x v="0"/>
    <x v="4"/>
    <x v="2"/>
    <x v="2"/>
    <x v="1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1"/>
    <x v="4"/>
    <x v="0"/>
    <x v="0"/>
    <x v="0"/>
    <x v="2"/>
    <x v="4"/>
    <x v="1"/>
    <x v="2"/>
    <x v="1"/>
    <x v="0"/>
    <x v="0"/>
    <x v="0"/>
    <x v="0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4"/>
    <x v="4"/>
    <x v="4"/>
    <x v="1"/>
    <x v="0"/>
    <x v="0"/>
    <x v="4"/>
    <x v="2"/>
    <x v="0"/>
    <x v="3"/>
    <x v="1"/>
    <x v="4"/>
    <x v="1"/>
    <x v="0"/>
    <x v="0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0"/>
    <x v="1"/>
    <x v="0"/>
    <x v="0"/>
    <x v="0"/>
    <x v="0"/>
    <x v="3"/>
    <x v="0"/>
    <x v="2"/>
    <x v="2"/>
    <x v="1"/>
    <x v="0"/>
    <x v="3"/>
    <x v="0"/>
    <x v="1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3"/>
    <x v="1"/>
    <x v="3"/>
    <x v="2"/>
    <x v="0"/>
    <x v="0"/>
    <x v="4"/>
    <x v="2"/>
    <x v="3"/>
    <x v="1"/>
    <x v="1"/>
    <x v="4"/>
    <x v="3"/>
    <x v="0"/>
    <x v="0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x v="1"/>
    <m/>
    <m/>
    <m/>
    <m/>
    <m/>
    <m/>
    <m/>
    <m/>
    <m/>
    <m/>
    <m/>
    <m/>
    <m/>
    <m/>
    <m/>
    <s v="*"/>
    <m/>
    <m/>
    <m/>
    <s v="||"/>
  </r>
  <r>
    <x v="6"/>
    <x v="1"/>
    <s v="1"/>
    <s v="1"/>
    <x v="0"/>
    <x v="3"/>
    <x v="4"/>
    <x v="0"/>
    <x v="1"/>
    <x v="0"/>
    <x v="2"/>
    <x v="1"/>
    <x v="0"/>
    <x v="4"/>
    <x v="1"/>
    <x v="4"/>
    <x v="0"/>
    <x v="1"/>
    <x v="0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x v="2"/>
    <m/>
    <m/>
    <m/>
    <m/>
    <m/>
    <s v="*"/>
    <s v="?"/>
    <m/>
    <m/>
    <m/>
    <m/>
    <m/>
    <m/>
    <m/>
    <m/>
    <m/>
    <m/>
    <m/>
    <m/>
    <s v="||"/>
  </r>
  <r>
    <x v="7"/>
    <x v="1"/>
    <s v="1"/>
    <s v="1"/>
    <x v="4"/>
    <x v="1"/>
    <x v="2"/>
    <x v="0"/>
    <x v="0"/>
    <x v="0"/>
    <x v="0"/>
    <x v="4"/>
    <x v="0"/>
    <x v="4"/>
    <x v="1"/>
    <x v="2"/>
    <x v="1"/>
    <x v="0"/>
    <x v="2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4"/>
    <x v="4"/>
    <x v="1"/>
    <x v="0"/>
    <x v="1"/>
    <x v="1"/>
    <x v="2"/>
    <x v="1"/>
    <x v="3"/>
    <x v="1"/>
    <x v="0"/>
    <x v="0"/>
    <x v="1"/>
    <x v="3"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1"/>
    <x v="0"/>
    <x v="0"/>
    <x v="0"/>
    <x v="0"/>
    <x v="4"/>
    <x v="2"/>
    <x v="0"/>
    <x v="4"/>
    <x v="3"/>
    <x v="2"/>
    <x v="0"/>
    <x v="1"/>
    <x v="0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4"/>
    <x v="0"/>
    <x v="2"/>
    <x v="0"/>
    <x v="0"/>
    <x v="1"/>
    <x v="2"/>
    <x v="0"/>
    <x v="1"/>
    <x v="1"/>
    <x v="0"/>
    <x v="1"/>
    <x v="0"/>
    <x v="0"/>
    <x v="0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2"/>
    <x v="1"/>
    <x v="0"/>
    <x v="0"/>
    <x v="0"/>
    <x v="1"/>
    <x v="2"/>
    <x v="0"/>
    <x v="0"/>
    <x v="2"/>
    <x v="3"/>
    <x v="4"/>
    <x v="0"/>
    <x v="5"/>
    <x v="0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1"/>
    <x v="0"/>
    <x v="1"/>
    <x v="0"/>
    <x v="1"/>
    <x v="2"/>
    <x v="2"/>
    <x v="0"/>
    <x v="0"/>
    <x v="0"/>
    <x v="0"/>
    <x v="3"/>
    <x v="0"/>
    <x v="0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3"/>
    <x v="0"/>
    <x v="0"/>
    <x v="0"/>
    <x v="0"/>
    <x v="4"/>
    <x v="2"/>
    <x v="1"/>
    <x v="6"/>
    <x v="0"/>
    <x v="4"/>
    <x v="3"/>
    <x v="0"/>
    <x v="4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3"/>
    <x v="5"/>
    <x v="3"/>
    <x v="0"/>
    <x v="2"/>
    <x v="1"/>
    <x v="4"/>
    <x v="4"/>
    <x v="0"/>
    <x v="1"/>
    <x v="6"/>
    <x v="0"/>
    <x v="2"/>
    <x v="0"/>
    <x v="3"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x v="1"/>
    <m/>
    <m/>
    <m/>
    <m/>
    <m/>
    <m/>
    <m/>
    <m/>
    <m/>
    <m/>
    <m/>
    <s v="*"/>
    <m/>
    <m/>
    <m/>
    <m/>
    <m/>
    <m/>
    <m/>
    <s v="||"/>
  </r>
  <r>
    <x v="6"/>
    <x v="1"/>
    <s v="1"/>
    <s v="2"/>
    <x v="3"/>
    <x v="1"/>
    <x v="2"/>
    <x v="0"/>
    <x v="0"/>
    <x v="1"/>
    <x v="2"/>
    <x v="4"/>
    <x v="1"/>
    <x v="2"/>
    <x v="0"/>
    <x v="2"/>
    <x v="1"/>
    <x v="0"/>
    <x v="4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2"/>
    <x v="5"/>
    <x v="2"/>
    <x v="0"/>
    <x v="0"/>
    <x v="0"/>
    <x v="2"/>
    <x v="0"/>
    <x v="0"/>
    <x v="3"/>
    <x v="1"/>
    <x v="2"/>
    <x v="2"/>
    <x v="0"/>
    <x v="0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x v="2"/>
    <s v="?"/>
    <m/>
    <m/>
    <m/>
    <m/>
    <m/>
    <m/>
    <m/>
    <m/>
    <m/>
    <m/>
    <m/>
    <m/>
    <m/>
    <m/>
    <m/>
    <m/>
    <m/>
    <m/>
    <s v="||"/>
  </r>
  <r>
    <x v="8"/>
    <x v="1"/>
    <s v="1"/>
    <s v="2"/>
    <x v="0"/>
    <x v="1"/>
    <x v="0"/>
    <x v="0"/>
    <x v="0"/>
    <x v="1"/>
    <x v="2"/>
    <x v="2"/>
    <x v="0"/>
    <x v="0"/>
    <x v="3"/>
    <x v="4"/>
    <x v="1"/>
    <x v="0"/>
    <x v="4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3"/>
    <x v="5"/>
    <x v="0"/>
    <x v="0"/>
    <x v="0"/>
    <x v="1"/>
    <x v="1"/>
    <x v="3"/>
    <x v="0"/>
    <x v="3"/>
    <x v="2"/>
    <x v="1"/>
    <x v="1"/>
    <x v="0"/>
    <x v="0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2"/>
    <x v="1"/>
    <x v="0"/>
    <x v="0"/>
    <x v="1"/>
    <x v="0"/>
    <x v="3"/>
    <x v="2"/>
    <x v="1"/>
    <x v="1"/>
    <x v="2"/>
    <x v="1"/>
    <x v="4"/>
    <x v="0"/>
    <x v="0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0"/>
    <x v="0"/>
    <x v="0"/>
    <x v="0"/>
    <x v="1"/>
    <x v="2"/>
    <x v="2"/>
    <x v="3"/>
    <x v="2"/>
    <x v="0"/>
    <x v="0"/>
    <x v="1"/>
    <x v="0"/>
    <x v="1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0"/>
    <x v="2"/>
    <x v="0"/>
    <x v="1"/>
    <x v="1"/>
    <x v="1"/>
    <x v="1"/>
    <x v="0"/>
    <x v="0"/>
    <x v="1"/>
    <x v="1"/>
    <x v="2"/>
    <x v="0"/>
    <x v="2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4"/>
    <x v="1"/>
    <x v="3"/>
    <x v="1"/>
    <x v="6"/>
    <x v="4"/>
    <x v="2"/>
    <x v="0"/>
    <x v="0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1"/>
    <x v="2"/>
    <x v="0"/>
    <x v="0"/>
    <x v="1"/>
    <x v="2"/>
    <x v="4"/>
    <x v="0"/>
    <x v="0"/>
    <x v="3"/>
    <x v="1"/>
    <x v="1"/>
    <x v="0"/>
    <x v="4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0"/>
    <x v="3"/>
    <x v="1"/>
    <x v="0"/>
    <x v="1"/>
    <x v="2"/>
    <x v="0"/>
    <x v="0"/>
    <x v="3"/>
    <x v="1"/>
    <x v="0"/>
    <x v="2"/>
    <x v="3"/>
    <x v="0"/>
    <x v="3"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2"/>
    <x v="1"/>
    <x v="0"/>
    <x v="0"/>
    <x v="1"/>
    <x v="1"/>
    <x v="1"/>
    <x v="0"/>
    <x v="4"/>
    <x v="1"/>
    <x v="1"/>
    <x v="4"/>
    <x v="2"/>
    <x v="0"/>
    <x v="0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x v="2"/>
    <m/>
    <m/>
    <m/>
    <m/>
    <m/>
    <m/>
    <m/>
    <m/>
    <m/>
    <m/>
    <m/>
    <m/>
    <m/>
    <m/>
    <s v="*"/>
    <m/>
    <m/>
    <m/>
    <m/>
    <s v="||"/>
  </r>
  <r>
    <x v="8"/>
    <x v="1"/>
    <s v="1"/>
    <s v="2"/>
    <x v="4"/>
    <x v="1"/>
    <x v="0"/>
    <x v="0"/>
    <x v="0"/>
    <x v="2"/>
    <x v="1"/>
    <x v="1"/>
    <x v="0"/>
    <x v="0"/>
    <x v="0"/>
    <x v="3"/>
    <x v="3"/>
    <x v="0"/>
    <x v="0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2"/>
    <x v="4"/>
    <x v="3"/>
    <x v="0"/>
    <x v="0"/>
    <x v="2"/>
    <x v="2"/>
    <x v="3"/>
    <x v="1"/>
    <x v="3"/>
    <x v="6"/>
    <x v="0"/>
    <x v="0"/>
    <x v="0"/>
    <x v="2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x v="0"/>
    <m/>
    <s v="*"/>
    <m/>
    <m/>
    <m/>
    <m/>
    <m/>
    <m/>
    <m/>
    <m/>
    <m/>
    <m/>
    <m/>
    <m/>
    <m/>
    <m/>
    <m/>
    <m/>
    <m/>
    <s v="||"/>
  </r>
  <r>
    <x v="1"/>
    <x v="1"/>
    <s v="1"/>
    <s v="1"/>
    <x v="4"/>
    <x v="3"/>
    <x v="0"/>
    <x v="0"/>
    <x v="0"/>
    <x v="0"/>
    <x v="1"/>
    <x v="0"/>
    <x v="0"/>
    <x v="4"/>
    <x v="6"/>
    <x v="2"/>
    <x v="0"/>
    <x v="0"/>
    <x v="1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0"/>
    <x v="1"/>
    <x v="0"/>
    <x v="1"/>
    <x v="2"/>
    <x v="4"/>
    <x v="0"/>
    <x v="3"/>
    <x v="0"/>
    <x v="3"/>
    <x v="0"/>
    <x v="0"/>
    <x v="0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s v="?"/>
    <s v="*"/>
    <s v="||"/>
  </r>
  <r>
    <x v="3"/>
    <x v="1"/>
    <s v="1"/>
    <s v="1"/>
    <x v="1"/>
    <x v="1"/>
    <x v="4"/>
    <x v="1"/>
    <x v="0"/>
    <x v="0"/>
    <x v="2"/>
    <x v="2"/>
    <x v="0"/>
    <x v="3"/>
    <x v="2"/>
    <x v="2"/>
    <x v="0"/>
    <x v="0"/>
    <x v="0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3"/>
    <x v="3"/>
    <x v="1"/>
    <x v="0"/>
    <x v="2"/>
    <x v="1"/>
    <x v="1"/>
    <x v="0"/>
    <x v="3"/>
    <x v="0"/>
    <x v="2"/>
    <x v="1"/>
    <x v="0"/>
    <x v="0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0"/>
    <x v="5"/>
    <x v="4"/>
    <x v="1"/>
    <x v="0"/>
    <x v="1"/>
    <x v="2"/>
    <x v="0"/>
    <x v="0"/>
    <x v="3"/>
    <x v="0"/>
    <x v="0"/>
    <x v="0"/>
    <x v="0"/>
    <x v="0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0"/>
    <x v="0"/>
    <x v="0"/>
    <x v="0"/>
    <x v="1"/>
    <x v="2"/>
    <x v="1"/>
    <x v="2"/>
    <x v="2"/>
    <x v="0"/>
    <x v="2"/>
    <x v="0"/>
    <x v="2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1"/>
    <x v="1"/>
    <x v="0"/>
    <x v="2"/>
    <x v="0"/>
    <x v="0"/>
    <x v="1"/>
    <x v="0"/>
    <x v="0"/>
    <x v="2"/>
    <x v="0"/>
    <x v="2"/>
    <x v="4"/>
    <x v="0"/>
    <x v="0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0"/>
    <x v="3"/>
    <x v="0"/>
    <x v="0"/>
    <x v="1"/>
    <x v="1"/>
    <x v="0"/>
    <x v="0"/>
    <x v="1"/>
    <x v="3"/>
    <x v="1"/>
    <x v="2"/>
    <x v="0"/>
    <x v="1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3"/>
    <x v="4"/>
    <x v="0"/>
    <x v="0"/>
    <x v="1"/>
    <x v="0"/>
    <x v="1"/>
    <x v="0"/>
    <x v="2"/>
    <x v="0"/>
    <x v="2"/>
    <x v="3"/>
    <x v="0"/>
    <x v="1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0"/>
    <x v="0"/>
    <x v="0"/>
    <x v="1"/>
    <x v="1"/>
    <x v="0"/>
    <x v="0"/>
    <x v="3"/>
    <x v="0"/>
    <x v="2"/>
    <x v="2"/>
    <x v="0"/>
    <x v="0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0"/>
    <x v="1"/>
    <x v="0"/>
    <x v="1"/>
    <x v="0"/>
    <x v="0"/>
    <x v="1"/>
    <x v="0"/>
    <x v="0"/>
    <x v="2"/>
    <x v="3"/>
    <x v="1"/>
    <x v="1"/>
    <x v="5"/>
    <x v="2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x v="0"/>
    <m/>
    <m/>
    <m/>
    <m/>
    <s v="?"/>
    <m/>
    <m/>
    <m/>
    <m/>
    <m/>
    <m/>
    <m/>
    <m/>
    <m/>
    <m/>
    <m/>
    <m/>
    <m/>
    <m/>
    <s v="||"/>
  </r>
  <r>
    <x v="3"/>
    <x v="1"/>
    <s v="1"/>
    <s v="2"/>
    <x v="2"/>
    <x v="1"/>
    <x v="0"/>
    <x v="1"/>
    <x v="1"/>
    <x v="0"/>
    <x v="4"/>
    <x v="0"/>
    <x v="0"/>
    <x v="3"/>
    <x v="3"/>
    <x v="0"/>
    <x v="0"/>
    <x v="0"/>
    <x v="0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1"/>
    <x v="0"/>
    <x v="0"/>
    <x v="2"/>
    <x v="3"/>
    <x v="1"/>
    <x v="2"/>
    <x v="0"/>
    <x v="0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1"/>
    <x v="0"/>
    <x v="0"/>
    <x v="0"/>
    <x v="1"/>
    <x v="1"/>
    <x v="2"/>
    <x v="3"/>
    <x v="3"/>
    <x v="1"/>
    <x v="2"/>
    <x v="3"/>
    <x v="5"/>
    <x v="0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1"/>
    <x v="4"/>
    <x v="0"/>
    <x v="0"/>
    <x v="2"/>
    <x v="2"/>
    <x v="2"/>
    <x v="0"/>
    <x v="1"/>
    <x v="3"/>
    <x v="4"/>
    <x v="4"/>
    <x v="0"/>
    <x v="0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4"/>
    <x v="4"/>
    <x v="1"/>
    <x v="0"/>
    <x v="0"/>
    <x v="0"/>
    <x v="0"/>
    <x v="3"/>
    <x v="1"/>
    <x v="4"/>
    <x v="3"/>
    <x v="1"/>
    <x v="2"/>
    <x v="1"/>
    <x v="0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1"/>
    <x v="0"/>
    <x v="0"/>
    <x v="1"/>
    <x v="5"/>
    <x v="1"/>
    <x v="2"/>
    <x v="0"/>
    <x v="2"/>
    <x v="0"/>
    <x v="0"/>
    <x v="4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0"/>
    <x v="0"/>
    <x v="0"/>
    <x v="1"/>
    <x v="0"/>
    <x v="3"/>
    <x v="3"/>
    <x v="1"/>
    <x v="4"/>
    <x v="1"/>
    <x v="3"/>
    <x v="2"/>
    <x v="5"/>
    <x v="0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4"/>
    <x v="1"/>
    <x v="3"/>
    <x v="0"/>
    <x v="0"/>
    <x v="0"/>
    <x v="4"/>
    <x v="3"/>
    <x v="4"/>
    <x v="0"/>
    <x v="0"/>
    <x v="2"/>
    <x v="0"/>
    <x v="2"/>
    <x v="0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3"/>
    <x v="0"/>
    <x v="4"/>
    <x v="0"/>
    <x v="0"/>
    <x v="0"/>
    <x v="3"/>
    <x v="4"/>
    <x v="2"/>
    <x v="3"/>
    <x v="1"/>
    <x v="2"/>
    <x v="1"/>
    <x v="0"/>
    <x v="2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2"/>
    <x v="1"/>
    <x v="0"/>
    <x v="1"/>
    <x v="0"/>
    <x v="0"/>
    <x v="1"/>
    <x v="0"/>
    <x v="1"/>
    <x v="2"/>
    <x v="0"/>
    <x v="2"/>
    <x v="0"/>
    <x v="0"/>
    <x v="4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2"/>
    <x v="2"/>
    <x v="3"/>
    <x v="4"/>
    <x v="6"/>
    <x v="4"/>
    <x v="0"/>
    <x v="0"/>
    <x v="4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5"/>
    <x v="0"/>
    <x v="1"/>
    <x v="0"/>
    <x v="0"/>
    <x v="2"/>
    <x v="0"/>
    <x v="1"/>
    <x v="2"/>
    <x v="0"/>
    <x v="2"/>
    <x v="0"/>
    <x v="0"/>
    <x v="6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1"/>
    <x v="0"/>
    <x v="0"/>
    <x v="0"/>
    <x v="1"/>
    <x v="3"/>
    <x v="0"/>
    <x v="2"/>
    <x v="3"/>
    <x v="4"/>
    <x v="0"/>
    <x v="0"/>
    <x v="2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4"/>
    <x v="1"/>
    <x v="0"/>
    <x v="0"/>
    <x v="0"/>
    <x v="0"/>
    <x v="2"/>
    <x v="3"/>
    <x v="0"/>
    <x v="0"/>
    <x v="2"/>
    <x v="0"/>
    <x v="2"/>
    <x v="0"/>
    <x v="1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3"/>
    <x v="0"/>
    <x v="0"/>
    <x v="1"/>
    <x v="1"/>
    <x v="2"/>
    <x v="0"/>
    <x v="2"/>
    <x v="0"/>
    <x v="2"/>
    <x v="0"/>
    <x v="0"/>
    <x v="0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0"/>
    <x v="0"/>
    <x v="0"/>
    <x v="0"/>
    <x v="1"/>
    <x v="1"/>
    <x v="0"/>
    <x v="0"/>
    <x v="3"/>
    <x v="0"/>
    <x v="0"/>
    <x v="0"/>
    <x v="0"/>
    <x v="0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2"/>
    <x v="5"/>
    <x v="4"/>
    <x v="1"/>
    <x v="0"/>
    <x v="2"/>
    <x v="2"/>
    <x v="4"/>
    <x v="1"/>
    <x v="1"/>
    <x v="1"/>
    <x v="4"/>
    <x v="4"/>
    <x v="1"/>
    <x v="1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0"/>
    <x v="0"/>
    <x v="2"/>
    <x v="0"/>
    <x v="2"/>
    <x v="2"/>
    <x v="0"/>
    <x v="0"/>
    <x v="3"/>
    <x v="1"/>
    <x v="3"/>
    <x v="0"/>
    <x v="0"/>
    <x v="2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0"/>
    <x v="2"/>
    <x v="0"/>
    <x v="0"/>
    <x v="0"/>
    <x v="0"/>
    <x v="0"/>
    <x v="0"/>
    <x v="3"/>
    <x v="3"/>
    <x v="3"/>
    <x v="0"/>
    <x v="4"/>
    <x v="1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3"/>
    <x v="1"/>
    <x v="0"/>
    <x v="0"/>
    <x v="0"/>
    <x v="1"/>
    <x v="1"/>
    <x v="3"/>
    <x v="0"/>
    <x v="3"/>
    <x v="0"/>
    <x v="2"/>
    <x v="0"/>
    <x v="0"/>
    <x v="1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3"/>
    <x v="0"/>
    <x v="1"/>
    <x v="1"/>
    <x v="1"/>
    <x v="1"/>
    <x v="3"/>
    <x v="0"/>
    <x v="0"/>
    <x v="0"/>
    <x v="0"/>
    <x v="0"/>
    <x v="0"/>
    <x v="1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2"/>
    <x v="1"/>
    <x v="0"/>
    <x v="0"/>
    <x v="0"/>
    <x v="1"/>
    <x v="1"/>
    <x v="0"/>
    <x v="1"/>
    <x v="3"/>
    <x v="0"/>
    <x v="2"/>
    <x v="0"/>
    <x v="0"/>
    <x v="1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0"/>
    <x v="0"/>
    <x v="0"/>
    <x v="1"/>
    <x v="0"/>
    <x v="0"/>
    <x v="2"/>
    <x v="2"/>
    <x v="0"/>
    <x v="2"/>
    <x v="0"/>
    <x v="4"/>
    <x v="1"/>
    <x v="0"/>
    <x v="0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0"/>
    <x v="1"/>
    <x v="0"/>
    <x v="1"/>
    <x v="2"/>
    <x v="1"/>
    <x v="3"/>
    <x v="6"/>
    <x v="2"/>
    <x v="0"/>
    <x v="0"/>
    <x v="1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4"/>
    <x v="0"/>
    <x v="3"/>
    <x v="1"/>
    <x v="0"/>
    <x v="1"/>
    <x v="4"/>
    <x v="3"/>
    <x v="1"/>
    <x v="0"/>
    <x v="1"/>
    <x v="3"/>
    <x v="3"/>
    <x v="5"/>
    <x v="0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0"/>
    <x v="0"/>
    <x v="2"/>
    <x v="2"/>
    <x v="0"/>
    <x v="2"/>
    <x v="2"/>
    <x v="3"/>
    <x v="0"/>
    <x v="1"/>
    <x v="3"/>
    <x v="0"/>
    <x v="0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2"/>
    <x v="4"/>
    <x v="3"/>
    <x v="0"/>
    <x v="0"/>
    <x v="0"/>
    <x v="1"/>
    <x v="1"/>
    <x v="0"/>
    <x v="1"/>
    <x v="0"/>
    <x v="2"/>
    <x v="2"/>
    <x v="1"/>
    <x v="0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4"/>
    <x v="3"/>
    <x v="3"/>
    <x v="0"/>
    <x v="0"/>
    <x v="0"/>
    <x v="3"/>
    <x v="1"/>
    <x v="4"/>
    <x v="3"/>
    <x v="0"/>
    <x v="1"/>
    <x v="3"/>
    <x v="0"/>
    <x v="0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4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96:Z103" firstHeaderRow="1" firstDataRow="2" firstDataCol="1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>
      <items count="8">
        <item x="6"/>
        <item x="5"/>
        <item x="0"/>
        <item x="4"/>
        <item x="1"/>
        <item x="2"/>
        <item x="3"/>
        <item t="default"/>
      </items>
    </pivotField>
    <pivotField showAll="0">
      <items count="8">
        <item h="1" x="6"/>
        <item h="1" x="3"/>
        <item x="2"/>
        <item x="5"/>
        <item x="0"/>
        <item x="1"/>
        <item h="1" x="4"/>
        <item t="default"/>
      </items>
    </pivotField>
    <pivotField axis="axisRow" dataField="1" showAll="0">
      <items count="8">
        <item x="5"/>
        <item x="6"/>
        <item x="1"/>
        <item x="4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6">
    <i>
      <x/>
    </i>
    <i>
      <x v="2"/>
    </i>
    <i>
      <x v="3"/>
    </i>
    <i>
      <x v="4"/>
    </i>
    <i>
      <x v="5"/>
    </i>
    <i t="grand">
      <x/>
    </i>
  </rowItems>
  <colFields count="1">
    <field x="74"/>
  </colFields>
  <colItems count="2">
    <i>
      <x v="1"/>
    </i>
    <i t="grand">
      <x/>
    </i>
  </colItems>
  <pageFields count="2">
    <pageField fld="0" item="4" hier="-1"/>
    <pageField fld="1" item="1" hier="-1"/>
  </pageFields>
  <dataFields count="1">
    <dataField name="Contar de E15" fld="18" subtotal="count" showDataAs="percentOfTotal" baseField="0" baseItem="0" numFmtId="10"/>
  </dataFields>
  <formats count="19">
    <format dxfId="3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9">
      <pivotArea outline="0" collapsedLevelsAreSubtotals="1" fieldPosition="0"/>
    </format>
    <format dxfId="40">
      <pivotArea dataOnly="0" labelOnly="1" outline="0" fieldPosition="0">
        <references count="1">
          <reference field="0" count="0"/>
        </references>
      </pivotArea>
    </format>
    <format dxfId="41">
      <pivotArea type="topRight" dataOnly="0" labelOnly="1" outline="0" fieldPosition="0"/>
    </format>
    <format dxfId="4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3">
      <pivotArea dataOnly="0" labelOnly="1" grandCol="1" outline="0" fieldPosition="0"/>
    </format>
    <format dxfId="44">
      <pivotArea outline="0" collapsedLevelsAreSubtotals="1" fieldPosition="0"/>
    </format>
    <format dxfId="45">
      <pivotArea dataOnly="0" labelOnly="1" outline="0" fieldPosition="0">
        <references count="1">
          <reference field="0" count="0"/>
        </references>
      </pivotArea>
    </format>
    <format dxfId="46">
      <pivotArea field="74" type="button" dataOnly="0" labelOnly="1" outline="0" axis="axisCol" fieldPosition="0"/>
    </format>
    <format dxfId="47">
      <pivotArea type="topRight" dataOnly="0" labelOnly="1" outline="0" fieldPosition="0"/>
    </format>
    <format dxfId="4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9">
      <pivotArea dataOnly="0" labelOnly="1" grandCol="1" outline="0" fieldPosition="0"/>
    </format>
    <format dxfId="5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51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52">
      <pivotArea dataOnly="0" labelOnly="1" outline="0" fieldPosition="0">
        <references count="1">
          <reference field="1" count="1">
            <x v="1"/>
          </reference>
        </references>
      </pivotArea>
    </format>
    <format dxfId="53">
      <pivotArea field="74" type="button" dataOnly="0" labelOnly="1" outline="0" axis="axisCol" fieldPosition="0"/>
    </format>
    <format dxfId="54">
      <pivotArea dataOnly="0" labelOnly="1" fieldPosition="0">
        <references count="1">
          <reference field="7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20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3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1">
  <location ref="Q96:V10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>
      <items count="8">
        <item h="1" x="5"/>
        <item h="1" x="4"/>
        <item x="2"/>
        <item x="0"/>
        <item x="1"/>
        <item x="3"/>
        <item h="1" x="6"/>
        <item t="default"/>
      </items>
    </pivotField>
    <pivotField showAll="0"/>
    <pivotField axis="axisRow" dataField="1" showAll="0">
      <items count="8">
        <item h="1" x="6"/>
        <item h="1" x="5"/>
        <item x="0"/>
        <item x="4"/>
        <item x="1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3" fld="16" subtotal="count" showDataAs="percentOfTotal" baseField="0" baseItem="0" numFmtId="10"/>
  </dataFields>
  <formats count="19">
    <format dxfId="5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7">
      <pivotArea outline="0" collapsedLevelsAreSubtotals="1" fieldPosition="0"/>
    </format>
    <format dxfId="58">
      <pivotArea dataOnly="0" labelOnly="1" outline="0" fieldPosition="0">
        <references count="1">
          <reference field="0" count="0"/>
        </references>
      </pivotArea>
    </format>
    <format dxfId="59">
      <pivotArea type="topRight" dataOnly="0" labelOnly="1" outline="0" fieldPosition="0"/>
    </format>
    <format dxfId="6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1">
      <pivotArea dataOnly="0" labelOnly="1" grandCol="1" outline="0" fieldPosition="0"/>
    </format>
    <format dxfId="62">
      <pivotArea outline="0" collapsedLevelsAreSubtotals="1" fieldPosition="0"/>
    </format>
    <format dxfId="63">
      <pivotArea dataOnly="0" labelOnly="1" outline="0" fieldPosition="0">
        <references count="1">
          <reference field="0" count="0"/>
        </references>
      </pivotArea>
    </format>
    <format dxfId="64">
      <pivotArea field="74" type="button" dataOnly="0" labelOnly="1" outline="0" axis="axisCol" fieldPosition="0"/>
    </format>
    <format dxfId="65">
      <pivotArea type="topRight" dataOnly="0" labelOnly="1" outline="0" fieldPosition="0"/>
    </format>
    <format dxfId="6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7">
      <pivotArea dataOnly="0" labelOnly="1" grandCol="1" outline="0" fieldPosition="0"/>
    </format>
    <format dxfId="68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6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70">
      <pivotArea dataOnly="0" labelOnly="1" outline="0" fieldPosition="0">
        <references count="1">
          <reference field="1" count="1">
            <x v="1"/>
          </reference>
        </references>
      </pivotArea>
    </format>
    <format dxfId="71">
      <pivotArea field="74" type="button" dataOnly="0" labelOnly="1" outline="0" axis="axisCol" fieldPosition="0"/>
    </format>
    <format dxfId="72">
      <pivotArea dataOnly="0" labelOnly="1" fieldPosition="0">
        <references count="1">
          <reference field="74" count="1">
            <x v="0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2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12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Q81:V87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axis="axisRow" dataField="1" showAll="0">
      <items count="8">
        <item h="1" x="5"/>
        <item h="1" x="4"/>
        <item x="2"/>
        <item x="0"/>
        <item x="1"/>
        <item x="3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1" fld="14" subtotal="count" showDataAs="percentOfTotal" baseField="0" baseItem="0" numFmtId="10"/>
  </dataFields>
  <formats count="19">
    <format dxfId="7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7">
      <pivotArea outline="0" collapsedLevelsAreSubtotals="1" fieldPosition="0"/>
    </format>
    <format dxfId="78">
      <pivotArea dataOnly="0" labelOnly="1" outline="0" fieldPosition="0">
        <references count="1">
          <reference field="0" count="0"/>
        </references>
      </pivotArea>
    </format>
    <format dxfId="79">
      <pivotArea type="topRight" dataOnly="0" labelOnly="1" outline="0" fieldPosition="0"/>
    </format>
    <format dxfId="8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1">
      <pivotArea dataOnly="0" labelOnly="1" grandCol="1" outline="0" fieldPosition="0"/>
    </format>
    <format dxfId="82">
      <pivotArea outline="0" collapsedLevelsAreSubtotals="1" fieldPosition="0"/>
    </format>
    <format dxfId="83">
      <pivotArea dataOnly="0" labelOnly="1" outline="0" fieldPosition="0">
        <references count="1">
          <reference field="0" count="0"/>
        </references>
      </pivotArea>
    </format>
    <format dxfId="84">
      <pivotArea field="74" type="button" dataOnly="0" labelOnly="1" outline="0" axis="axisCol" fieldPosition="0"/>
    </format>
    <format dxfId="85">
      <pivotArea type="topRight" dataOnly="0" labelOnly="1" outline="0" fieldPosition="0"/>
    </format>
    <format dxfId="8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7">
      <pivotArea dataOnly="0" labelOnly="1" grandCol="1" outline="0" fieldPosition="0"/>
    </format>
    <format dxfId="88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8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90">
      <pivotArea dataOnly="0" labelOnly="1" outline="0" fieldPosition="0">
        <references count="1">
          <reference field="1" count="1">
            <x v="1"/>
          </reference>
        </references>
      </pivotArea>
    </format>
    <format dxfId="91">
      <pivotArea field="74" type="button" dataOnly="0" labelOnly="1" outline="0" axis="axisCol" fieldPosition="0"/>
    </format>
    <format dxfId="92">
      <pivotArea dataOnly="0" labelOnly="1" fieldPosition="0">
        <references count="1">
          <reference field="7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11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81:AC87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2" fld="15" subtotal="count" showDataAs="percentOfTotal" baseField="0" baseItem="0" numFmtId="10"/>
  </dataFields>
  <formats count="19">
    <format dxfId="9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5">
      <pivotArea outline="0" collapsedLevelsAreSubtotals="1" fieldPosition="0"/>
    </format>
    <format dxfId="96">
      <pivotArea dataOnly="0" labelOnly="1" outline="0" fieldPosition="0">
        <references count="1">
          <reference field="0" count="0"/>
        </references>
      </pivotArea>
    </format>
    <format dxfId="97">
      <pivotArea type="topRight" dataOnly="0" labelOnly="1" outline="0" fieldPosition="0"/>
    </format>
    <format dxfId="9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9">
      <pivotArea dataOnly="0" labelOnly="1" grandCol="1" outline="0" fieldPosition="0"/>
    </format>
    <format dxfId="100">
      <pivotArea outline="0" collapsedLevelsAreSubtotals="1" fieldPosition="0"/>
    </format>
    <format dxfId="101">
      <pivotArea dataOnly="0" labelOnly="1" outline="0" fieldPosition="0">
        <references count="1">
          <reference field="0" count="0"/>
        </references>
      </pivotArea>
    </format>
    <format dxfId="102">
      <pivotArea field="74" type="button" dataOnly="0" labelOnly="1" outline="0" axis="axisCol" fieldPosition="0"/>
    </format>
    <format dxfId="103">
      <pivotArea type="topRight" dataOnly="0" labelOnly="1" outline="0" fieldPosition="0"/>
    </format>
    <format dxfId="10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5">
      <pivotArea dataOnly="0" labelOnly="1" grandCol="1" outline="0" fieldPosition="0"/>
    </format>
    <format dxfId="106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07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08">
      <pivotArea dataOnly="0" labelOnly="1" outline="0" fieldPosition="0">
        <references count="1">
          <reference field="1" count="1">
            <x v="1"/>
          </reference>
        </references>
      </pivotArea>
    </format>
    <format dxfId="109">
      <pivotArea field="74" type="button" dataOnly="0" labelOnly="1" outline="0" axis="axisCol" fieldPosition="0"/>
    </format>
    <format dxfId="110">
      <pivotArea dataOnly="0" labelOnly="1" fieldPosition="0">
        <references count="1">
          <reference field="7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20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10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66:AC7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0" fld="13" subtotal="count" showDataAs="percentOfTotal" baseField="0" baseItem="0" numFmtId="10"/>
  </dataFields>
  <formats count="19">
    <format dxfId="15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4">
      <pivotArea outline="0" collapsedLevelsAreSubtotals="1" fieldPosition="0"/>
    </format>
    <format dxfId="155">
      <pivotArea dataOnly="0" labelOnly="1" outline="0" fieldPosition="0">
        <references count="1">
          <reference field="0" count="0"/>
        </references>
      </pivotArea>
    </format>
    <format dxfId="156">
      <pivotArea type="topRight" dataOnly="0" labelOnly="1" outline="0" fieldPosition="0"/>
    </format>
    <format dxfId="15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8">
      <pivotArea dataOnly="0" labelOnly="1" grandCol="1" outline="0" fieldPosition="0"/>
    </format>
    <format dxfId="159">
      <pivotArea outline="0" collapsedLevelsAreSubtotals="1" fieldPosition="0"/>
    </format>
    <format dxfId="160">
      <pivotArea dataOnly="0" labelOnly="1" outline="0" fieldPosition="0">
        <references count="1">
          <reference field="0" count="0"/>
        </references>
      </pivotArea>
    </format>
    <format dxfId="161">
      <pivotArea field="74" type="button" dataOnly="0" labelOnly="1" outline="0" axis="axisCol" fieldPosition="0"/>
    </format>
    <format dxfId="162">
      <pivotArea type="topRight" dataOnly="0" labelOnly="1" outline="0" fieldPosition="0"/>
    </format>
    <format dxfId="16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4">
      <pivotArea dataOnly="0" labelOnly="1" grandCol="1" outline="0" fieldPosition="0"/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2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1"/>
          </reference>
        </references>
      </pivotArea>
    </format>
    <format dxfId="127">
      <pivotArea field="74" type="button" dataOnly="0" labelOnly="1" outline="0" axis="axisCol" fieldPosition="0"/>
    </format>
    <format dxfId="126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5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9">
  <location ref="Q39:V43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3"/>
        <item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5" fld="8" subtotal="count" showDataAs="percentOfTotal" baseField="0" baseItem="0" numFmtId="10"/>
  </dataFields>
  <formats count="19">
    <format dxfId="27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5">
      <pivotArea outline="0" collapsedLevelsAreSubtotals="1" fieldPosition="0"/>
    </format>
    <format dxfId="276">
      <pivotArea dataOnly="0" labelOnly="1" outline="0" fieldPosition="0">
        <references count="1">
          <reference field="0" count="0"/>
        </references>
      </pivotArea>
    </format>
    <format dxfId="277">
      <pivotArea type="topRight" dataOnly="0" labelOnly="1" outline="0" fieldPosition="0"/>
    </format>
    <format dxfId="27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9">
      <pivotArea dataOnly="0" labelOnly="1" grandCol="1" outline="0" fieldPosition="0"/>
    </format>
    <format dxfId="280">
      <pivotArea outline="0" collapsedLevelsAreSubtotals="1" fieldPosition="0"/>
    </format>
    <format dxfId="281">
      <pivotArea dataOnly="0" labelOnly="1" outline="0" fieldPosition="0">
        <references count="1">
          <reference field="0" count="0"/>
        </references>
      </pivotArea>
    </format>
    <format dxfId="282">
      <pivotArea field="74" type="button" dataOnly="0" labelOnly="1" outline="0" axis="axisCol" fieldPosition="0"/>
    </format>
    <format dxfId="283">
      <pivotArea type="topRight" dataOnly="0" labelOnly="1" outline="0" fieldPosition="0"/>
    </format>
    <format dxfId="28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85">
      <pivotArea dataOnly="0" labelOnly="1" grandCol="1" outline="0" fieldPosition="0"/>
    </format>
    <format dxfId="286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4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1" count="1">
            <x v="1"/>
          </reference>
        </references>
      </pivotArea>
    </format>
    <format dxfId="147">
      <pivotArea field="74" type="button" dataOnly="0" labelOnly="1" outline="0" axis="axisCol" fieldPosition="0"/>
    </format>
    <format dxfId="146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ela dinâmica1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>
  <location ref="Q9:V16" firstHeaderRow="1" firstDataRow="2" firstDataCol="1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" fld="4" subtotal="count" showDataAs="percentOfTotal" baseField="0" baseItem="0" numFmtId="10"/>
  </dataFields>
  <formats count="16">
    <format dxfId="20">
      <pivotArea outline="0" collapsedLevelsAreSubtotals="1" fieldPosition="0"/>
    </format>
    <format dxfId="21">
      <pivotArea dataOnly="0" labelOnly="1" outline="0" fieldPosition="0">
        <references count="1">
          <reference field="0" count="0"/>
        </references>
      </pivotArea>
    </format>
    <format dxfId="22">
      <pivotArea type="topRight" dataOnly="0" labelOnly="1" outline="0" fieldPosition="0"/>
    </format>
    <format dxfId="2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">
      <pivotArea dataOnly="0" labelOnly="1" grandCol="1" outline="0" fieldPosition="0"/>
    </format>
    <format dxfId="25">
      <pivotArea outline="0" collapsedLevelsAreSubtotals="1" fieldPosition="0"/>
    </format>
    <format dxfId="26">
      <pivotArea dataOnly="0" labelOnly="1" outline="0" fieldPosition="0">
        <references count="1">
          <reference field="0" count="0"/>
        </references>
      </pivotArea>
    </format>
    <format dxfId="27">
      <pivotArea field="74" type="button" dataOnly="0" labelOnly="1" outline="0" axis="axisCol" fieldPosition="0"/>
    </format>
    <format dxfId="28">
      <pivotArea type="topRight" dataOnly="0" labelOnly="1" outline="0" fieldPosition="0"/>
    </format>
    <format dxfId="2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0">
      <pivotArea dataOnly="0" labelOnly="1" grandCol="1" outline="0" fieldPosition="0"/>
    </format>
    <format dxfId="31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32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33">
      <pivotArea dataOnly="0" labelOnly="1" outline="0" fieldPosition="0">
        <references count="1">
          <reference field="1" count="1">
            <x v="1"/>
          </reference>
        </references>
      </pivotArea>
    </format>
    <format dxfId="34">
      <pivotArea field="74" type="button" dataOnly="0" labelOnly="1" outline="0" axis="axisCol" fieldPosition="0"/>
    </format>
    <format dxfId="35">
      <pivotArea dataOnly="0" labelOnly="1" fieldPosition="0">
        <references count="1">
          <reference field="74" count="1">
            <x v="0"/>
          </reference>
        </references>
      </pivotArea>
    </format>
  </formats>
  <chartFormats count="27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1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1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1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1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1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1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1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1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1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74" count="1" selected="0">
            <x v="1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ela dinâmica9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7">
  <location ref="Q66:V7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9" fld="12" subtotal="count" showDataAs="percentOfTotal" baseField="0" baseItem="0" numFmtId="10"/>
  </dataFields>
  <formats count="19">
    <format dxfId="25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1">
      <pivotArea outline="0" collapsedLevelsAreSubtotals="1" fieldPosition="0"/>
    </format>
    <format dxfId="262">
      <pivotArea dataOnly="0" labelOnly="1" outline="0" fieldPosition="0">
        <references count="1">
          <reference field="0" count="0"/>
        </references>
      </pivotArea>
    </format>
    <format dxfId="263">
      <pivotArea type="topRight" dataOnly="0" labelOnly="1" outline="0" fieldPosition="0"/>
    </format>
    <format dxfId="26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5">
      <pivotArea dataOnly="0" labelOnly="1" grandCol="1" outline="0" fieldPosition="0"/>
    </format>
    <format dxfId="266">
      <pivotArea outline="0" collapsedLevelsAreSubtotals="1" fieldPosition="0"/>
    </format>
    <format dxfId="267">
      <pivotArea dataOnly="0" labelOnly="1" outline="0" fieldPosition="0">
        <references count="1">
          <reference field="0" count="0"/>
        </references>
      </pivotArea>
    </format>
    <format dxfId="268">
      <pivotArea field="74" type="button" dataOnly="0" labelOnly="1" outline="0" axis="axisCol" fieldPosition="0"/>
    </format>
    <format dxfId="269">
      <pivotArea type="topRight" dataOnly="0" labelOnly="1" outline="0" fieldPosition="0"/>
    </format>
    <format dxfId="27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1">
      <pivotArea dataOnly="0" labelOnly="1" grandCol="1" outline="0" fieldPosition="0"/>
    </format>
    <format dxfId="272">
      <pivotArea outline="0" fieldPosition="0">
        <references count="1">
          <reference field="4294967294" count="1">
            <x v="0"/>
          </reference>
        </references>
      </pivotArea>
    </format>
    <format dxfId="14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4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43">
      <pivotArea dataOnly="0" labelOnly="1" outline="0" fieldPosition="0">
        <references count="1">
          <reference field="1" count="1">
            <x v="1"/>
          </reference>
        </references>
      </pivotArea>
    </format>
    <format dxfId="142">
      <pivotArea field="74" type="button" dataOnly="0" labelOnly="1" outline="0" axis="axisCol" fieldPosition="0"/>
    </format>
    <format dxfId="141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ela dinâmica8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5">
  <location ref="X52:AC58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0"/>
        <item x="2"/>
        <item x="4"/>
        <item x="3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8" fld="11" subtotal="count" showDataAs="percentOfTotal" baseField="0" baseItem="0" numFmtId="10"/>
  </dataFields>
  <formats count="19">
    <format dxfId="16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7">
      <pivotArea outline="0" collapsedLevelsAreSubtotals="1" fieldPosition="0"/>
    </format>
    <format dxfId="168">
      <pivotArea dataOnly="0" labelOnly="1" outline="0" fieldPosition="0">
        <references count="1">
          <reference field="0" count="0"/>
        </references>
      </pivotArea>
    </format>
    <format dxfId="169">
      <pivotArea type="topRight" dataOnly="0" labelOnly="1" outline="0" fieldPosition="0"/>
    </format>
    <format dxfId="17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71">
      <pivotArea dataOnly="0" labelOnly="1" grandCol="1" outline="0" fieldPosition="0"/>
    </format>
    <format dxfId="172">
      <pivotArea outline="0" collapsedLevelsAreSubtotals="1" fieldPosition="0"/>
    </format>
    <format dxfId="173">
      <pivotArea dataOnly="0" labelOnly="1" outline="0" fieldPosition="0">
        <references count="1">
          <reference field="0" count="0"/>
        </references>
      </pivotArea>
    </format>
    <format dxfId="174">
      <pivotArea field="74" type="button" dataOnly="0" labelOnly="1" outline="0" axis="axisCol" fieldPosition="0"/>
    </format>
    <format dxfId="175">
      <pivotArea type="topRight" dataOnly="0" labelOnly="1" outline="0" fieldPosition="0"/>
    </format>
    <format dxfId="17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77">
      <pivotArea dataOnly="0" labelOnly="1" grandCol="1" outline="0" fieldPosition="0"/>
    </format>
    <format dxfId="178">
      <pivotArea outline="0" fieldPosition="0">
        <references count="1">
          <reference field="4294967294" count="1">
            <x v="0"/>
          </reference>
        </references>
      </pivotArea>
    </format>
    <format dxfId="12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2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23">
      <pivotArea dataOnly="0" labelOnly="1" outline="0" fieldPosition="0">
        <references count="1">
          <reference field="1" count="1">
            <x v="1"/>
          </reference>
        </references>
      </pivotArea>
    </format>
    <format dxfId="122">
      <pivotArea field="74" type="button" dataOnly="0" labelOnly="1" outline="0" axis="axisCol" fieldPosition="0"/>
    </format>
    <format dxfId="121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ela dinâmica4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7">
  <location ref="X25:AC29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% Sexo" fld="7" subtotal="count" showDataAs="percentOfTotal" baseField="0" baseItem="0" numFmtId="10"/>
  </dataFields>
  <formats count="19">
    <format dxfId="24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7">
      <pivotArea outline="0" collapsedLevelsAreSubtotals="1" fieldPosition="0"/>
    </format>
    <format dxfId="248">
      <pivotArea dataOnly="0" labelOnly="1" outline="0" fieldPosition="0">
        <references count="1">
          <reference field="0" count="0"/>
        </references>
      </pivotArea>
    </format>
    <format dxfId="249">
      <pivotArea type="topRight" dataOnly="0" labelOnly="1" outline="0" fieldPosition="0"/>
    </format>
    <format dxfId="25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51">
      <pivotArea dataOnly="0" labelOnly="1" grandCol="1" outline="0" fieldPosition="0"/>
    </format>
    <format dxfId="252">
      <pivotArea outline="0" collapsedLevelsAreSubtotals="1" fieldPosition="0"/>
    </format>
    <format dxfId="253">
      <pivotArea dataOnly="0" labelOnly="1" outline="0" fieldPosition="0">
        <references count="1">
          <reference field="0" count="0"/>
        </references>
      </pivotArea>
    </format>
    <format dxfId="254">
      <pivotArea field="74" type="button" dataOnly="0" labelOnly="1" outline="0" axis="axisCol" fieldPosition="0"/>
    </format>
    <format dxfId="255">
      <pivotArea type="topRight" dataOnly="0" labelOnly="1" outline="0" fieldPosition="0"/>
    </format>
    <format dxfId="25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57">
      <pivotArea dataOnly="0" labelOnly="1" grandCol="1" outline="0" fieldPosition="0"/>
    </format>
    <format dxfId="258">
      <pivotArea outline="0" fieldPosition="0">
        <references count="1">
          <reference field="4294967294" count="1">
            <x v="0"/>
          </reference>
        </references>
      </pivotArea>
    </format>
    <format dxfId="12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1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18">
      <pivotArea dataOnly="0" labelOnly="1" outline="0" fieldPosition="0">
        <references count="1">
          <reference field="1" count="1">
            <x v="1"/>
          </reference>
        </references>
      </pivotArea>
    </format>
    <format dxfId="117">
      <pivotArea field="74" type="button" dataOnly="0" labelOnly="1" outline="0" axis="axisCol" fieldPosition="0"/>
    </format>
    <format dxfId="116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ela dinâmica3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25:V31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3" fld="6" subtotal="count" showDataAs="percentOfTotal" baseField="0" baseItem="0" numFmtId="10"/>
  </dataFields>
  <formats count="19">
    <format dxfId="2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3">
      <pivotArea outline="0" fieldPosition="0">
        <references count="1">
          <reference field="4294967294" count="1">
            <x v="0"/>
          </reference>
        </references>
      </pivotArea>
    </format>
    <format dxfId="234">
      <pivotArea outline="0" collapsedLevelsAreSubtotals="1" fieldPosition="0"/>
    </format>
    <format dxfId="235">
      <pivotArea dataOnly="0" labelOnly="1" outline="0" fieldPosition="0">
        <references count="1">
          <reference field="0" count="0"/>
        </references>
      </pivotArea>
    </format>
    <format dxfId="236">
      <pivotArea type="topRight" dataOnly="0" labelOnly="1" outline="0" fieldPosition="0"/>
    </format>
    <format dxfId="23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8">
      <pivotArea dataOnly="0" labelOnly="1" grandCol="1" outline="0" fieldPosition="0"/>
    </format>
    <format dxfId="239">
      <pivotArea outline="0" collapsedLevelsAreSubtotals="1" fieldPosition="0"/>
    </format>
    <format dxfId="240">
      <pivotArea dataOnly="0" labelOnly="1" outline="0" fieldPosition="0">
        <references count="1">
          <reference field="0" count="0"/>
        </references>
      </pivotArea>
    </format>
    <format dxfId="241">
      <pivotArea field="74" type="button" dataOnly="0" labelOnly="1" outline="0" axis="axisCol" fieldPosition="0"/>
    </format>
    <format dxfId="242">
      <pivotArea type="topRight" dataOnly="0" labelOnly="1" outline="0" fieldPosition="0"/>
    </format>
    <format dxfId="24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4">
      <pivotArea dataOnly="0" labelOnly="1" grandCol="1" outline="0" fieldPosition="0"/>
    </format>
    <format dxfId="14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3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38">
      <pivotArea dataOnly="0" labelOnly="1" outline="0" fieldPosition="0">
        <references count="1">
          <reference field="1" count="1">
            <x v="1"/>
          </reference>
        </references>
      </pivotArea>
    </format>
    <format dxfId="137">
      <pivotArea field="74" type="button" dataOnly="0" labelOnly="1" outline="0" axis="axisCol" fieldPosition="0"/>
    </format>
    <format dxfId="136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ela dinâmica6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1">
  <location ref="X39:AC43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6" fld="9" subtotal="count" showDataAs="percentOfTotal" baseField="0" baseItem="0" numFmtId="10"/>
  </dataFields>
  <formats count="19">
    <format dxfId="21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1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19">
      <pivotArea outline="0" collapsedLevelsAreSubtotals="1" fieldPosition="0"/>
    </format>
    <format dxfId="220">
      <pivotArea dataOnly="0" labelOnly="1" outline="0" fieldPosition="0">
        <references count="1">
          <reference field="0" count="0"/>
        </references>
      </pivotArea>
    </format>
    <format dxfId="221">
      <pivotArea type="topRight" dataOnly="0" labelOnly="1" outline="0" fieldPosition="0"/>
    </format>
    <format dxfId="22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23">
      <pivotArea dataOnly="0" labelOnly="1" grandCol="1" outline="0" fieldPosition="0"/>
    </format>
    <format dxfId="224">
      <pivotArea outline="0" collapsedLevelsAreSubtotals="1" fieldPosition="0"/>
    </format>
    <format dxfId="225">
      <pivotArea dataOnly="0" labelOnly="1" outline="0" fieldPosition="0">
        <references count="1">
          <reference field="0" count="0"/>
        </references>
      </pivotArea>
    </format>
    <format dxfId="226">
      <pivotArea field="74" type="button" dataOnly="0" labelOnly="1" outline="0" axis="axisCol" fieldPosition="0"/>
    </format>
    <format dxfId="227">
      <pivotArea type="topRight" dataOnly="0" labelOnly="1" outline="0" fieldPosition="0"/>
    </format>
    <format dxfId="22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29">
      <pivotArea dataOnly="0" labelOnly="1" grandCol="1" outline="0" fieldPosition="0"/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1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13">
      <pivotArea dataOnly="0" labelOnly="1" outline="0" fieldPosition="0">
        <references count="1">
          <reference field="1" count="1">
            <x v="1"/>
          </reference>
        </references>
      </pivotArea>
    </format>
    <format dxfId="112">
      <pivotArea field="74" type="button" dataOnly="0" labelOnly="1" outline="0" axis="axisCol" fieldPosition="0"/>
    </format>
    <format dxfId="111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ela dinâmica2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X9:AC16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axis="axisRow" dataField="1"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% Q2" fld="5" subtotal="count" showDataAs="percentOfTotal" baseField="0" baseItem="0" numFmtId="10"/>
  </dataFields>
  <formats count="19">
    <format dxfId="1">
      <pivotArea collapsedLevelsAreSubtotals="1" fieldPosition="0">
        <references count="1">
          <reference field="5" count="5">
            <x v="2"/>
            <x v="3"/>
            <x v="4"/>
            <x v="5"/>
            <x v="6"/>
          </reference>
        </references>
      </pivotArea>
    </format>
    <format dxfId="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">
      <pivotArea outline="0" collapsedLevelsAreSubtotals="1" fieldPosition="0"/>
    </format>
    <format dxfId="5">
      <pivotArea dataOnly="0" labelOnly="1" outline="0" fieldPosition="0">
        <references count="1">
          <reference field="0" count="0"/>
        </references>
      </pivotArea>
    </format>
    <format dxfId="6">
      <pivotArea type="topRight" dataOnly="0" labelOnly="1" outline="0" fieldPosition="0"/>
    </format>
    <format dxfId="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">
      <pivotArea dataOnly="0" labelOnly="1" grandCol="1" outline="0" fieldPosition="0"/>
    </format>
    <format dxfId="9">
      <pivotArea outline="0" collapsedLevelsAreSubtotals="1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11">
      <pivotArea field="74" type="button" dataOnly="0" labelOnly="1" outline="0" axis="axisCol" fieldPosition="0"/>
    </format>
    <format dxfId="12">
      <pivotArea type="topRight" dataOnly="0" labelOnly="1" outline="0" fieldPosition="0"/>
    </format>
    <format dxfId="1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4">
      <pivotArea dataOnly="0" labelOnly="1" grandCol="1" outline="0" fieldPosition="0"/>
    </format>
    <format dxfId="1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6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7">
      <pivotArea dataOnly="0" labelOnly="1" outline="0" fieldPosition="0">
        <references count="1">
          <reference field="1" count="1">
            <x v="1"/>
          </reference>
        </references>
      </pivotArea>
    </format>
    <format dxfId="18">
      <pivotArea field="74" type="button" dataOnly="0" labelOnly="1" outline="0" axis="axisCol" fieldPosition="0"/>
    </format>
    <format dxfId="19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Tabela dinâmica7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3">
  <location ref="Q52:V58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4"/>
        <item x="3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7" fld="10" subtotal="count" showDataAs="percentOfTotal" baseField="0" baseItem="0" numFmtId="10"/>
  </dataFields>
  <formats count="19">
    <format dxfId="17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1">
      <pivotArea outline="0" collapsedLevelsAreSubtotals="1" fieldPosition="0"/>
    </format>
    <format dxfId="182">
      <pivotArea dataOnly="0" labelOnly="1" outline="0" fieldPosition="0">
        <references count="1">
          <reference field="0" count="0"/>
        </references>
      </pivotArea>
    </format>
    <format dxfId="183">
      <pivotArea type="topRight" dataOnly="0" labelOnly="1" outline="0" fieldPosition="0"/>
    </format>
    <format dxfId="18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5">
      <pivotArea dataOnly="0" labelOnly="1" grandCol="1" outline="0" fieldPosition="0"/>
    </format>
    <format dxfId="186">
      <pivotArea outline="0" collapsedLevelsAreSubtotals="1" fieldPosition="0"/>
    </format>
    <format dxfId="187">
      <pivotArea dataOnly="0" labelOnly="1" outline="0" fieldPosition="0">
        <references count="1">
          <reference field="0" count="0"/>
        </references>
      </pivotArea>
    </format>
    <format dxfId="188">
      <pivotArea field="74" type="button" dataOnly="0" labelOnly="1" outline="0" axis="axisCol" fieldPosition="0"/>
    </format>
    <format dxfId="189">
      <pivotArea type="topRight" dataOnly="0" labelOnly="1" outline="0" fieldPosition="0"/>
    </format>
    <format dxfId="19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91">
      <pivotArea dataOnly="0" labelOnly="1" grandCol="1" outline="0" fieldPosition="0"/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3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33">
      <pivotArea dataOnly="0" labelOnly="1" outline="0" fieldPosition="0">
        <references count="1">
          <reference field="1" count="1">
            <x v="1"/>
          </reference>
        </references>
      </pivotArea>
    </format>
    <format dxfId="132">
      <pivotArea field="74" type="button" dataOnly="0" labelOnly="1" outline="0" axis="axisCol" fieldPosition="0"/>
    </format>
    <format dxfId="131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Tabela dinâmica15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M4:R5" firstHeaderRow="1" firstDataRow="2" firstDataCol="0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x="9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>
      <items count="8">
        <item h="1" x="5"/>
        <item x="0"/>
        <item x="2"/>
        <item x="4"/>
        <item x="3"/>
        <item x="1"/>
        <item h="1" x="6"/>
        <item t="default"/>
      </items>
    </pivotField>
    <pivotField showAll="0">
      <items count="9">
        <item h="1" x="6"/>
        <item h="1" x="2"/>
        <item x="5"/>
        <item x="1"/>
        <item x="3"/>
        <item x="4"/>
        <item x="0"/>
        <item h="1" x="7"/>
        <item t="default"/>
      </items>
    </pivotField>
    <pivotField showAll="0">
      <items count="7">
        <item x="5"/>
        <item x="2"/>
        <item x="3"/>
        <item x="1"/>
        <item x="4"/>
        <item x="0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74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0" hier="-1"/>
    <pageField fld="1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2.bin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4" t="s">
        <v>128</v>
      </c>
      <c r="C2" s="74"/>
      <c r="D2" s="74"/>
      <c r="E2" s="74"/>
      <c r="F2" s="75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6" t="s">
        <v>139</v>
      </c>
      <c r="C9" s="76"/>
      <c r="D9" s="76"/>
      <c r="E9" s="76"/>
      <c r="F9" s="77"/>
    </row>
    <row r="10" spans="1:7">
      <c r="A10" s="32">
        <v>2</v>
      </c>
      <c r="B10" s="78" t="s">
        <v>140</v>
      </c>
      <c r="C10" s="78"/>
      <c r="D10" s="78"/>
      <c r="E10" s="78"/>
      <c r="F10" s="79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72" t="s">
        <v>126</v>
      </c>
      <c r="D20" s="72"/>
      <c r="E20" s="72"/>
      <c r="F20" s="73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9" t="s">
        <v>127</v>
      </c>
      <c r="B94" s="70"/>
      <c r="C94" s="70"/>
      <c r="D94" s="70"/>
      <c r="E94" s="70"/>
      <c r="F94" s="71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A1:AC108"/>
  <sheetViews>
    <sheetView topLeftCell="C1" zoomScale="70" zoomScaleNormal="70" workbookViewId="0">
      <selection activeCell="R13" sqref="R13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18.85546875" customWidth="1"/>
    <col min="18" max="18" width="23.5703125" style="2" customWidth="1"/>
    <col min="19" max="19" width="7.28515625" style="2" customWidth="1"/>
    <col min="20" max="20" width="7.140625" style="2" customWidth="1"/>
    <col min="21" max="21" width="7.28515625" style="2" customWidth="1"/>
    <col min="22" max="22" width="10.42578125" style="2" customWidth="1"/>
    <col min="23" max="23" width="7.42578125" customWidth="1"/>
    <col min="24" max="24" width="18.85546875" customWidth="1"/>
    <col min="25" max="25" width="23.5703125" style="56" customWidth="1"/>
    <col min="26" max="26" width="10.42578125" customWidth="1"/>
    <col min="27" max="27" width="7.140625" customWidth="1"/>
    <col min="28" max="28" width="7.28515625" customWidth="1"/>
    <col min="29" max="29" width="10.42578125" customWidth="1"/>
    <col min="30" max="30" width="11" customWidth="1"/>
    <col min="31" max="31" width="13" customWidth="1"/>
    <col min="32" max="34" width="9.140625" customWidth="1"/>
    <col min="35" max="35" width="9.5703125" customWidth="1"/>
    <col min="36" max="37" width="9.140625" customWidth="1"/>
    <col min="38" max="38" width="9.5703125" customWidth="1"/>
    <col min="39" max="39" width="9.140625" customWidth="1"/>
    <col min="40" max="46" width="9.5703125" customWidth="1"/>
    <col min="47" max="49" width="10" customWidth="1"/>
    <col min="50" max="50" width="9.5703125" customWidth="1"/>
    <col min="51" max="54" width="10" customWidth="1"/>
    <col min="55" max="55" width="9.5703125" customWidth="1"/>
    <col min="56" max="56" width="9.140625" customWidth="1"/>
    <col min="57" max="61" width="9.5703125" customWidth="1"/>
    <col min="62" max="62" width="9.140625" customWidth="1"/>
    <col min="63" max="63" width="8.7109375" customWidth="1"/>
    <col min="64" max="74" width="9.140625" customWidth="1"/>
    <col min="75" max="75" width="9.5703125" customWidth="1"/>
    <col min="76" max="76" width="8.7109375" customWidth="1"/>
    <col min="77" max="78" width="9.140625" customWidth="1"/>
    <col min="79" max="85" width="9.5703125" customWidth="1"/>
    <col min="86" max="86" width="9.140625" customWidth="1"/>
    <col min="87" max="87" width="9.5703125" customWidth="1"/>
    <col min="88" max="89" width="9.140625" customWidth="1"/>
    <col min="90" max="90" width="9.5703125" customWidth="1"/>
    <col min="91" max="91" width="9.140625" customWidth="1"/>
    <col min="92" max="93" width="8.7109375" customWidth="1"/>
    <col min="94" max="98" width="9.140625" customWidth="1"/>
    <col min="99" max="99" width="8.7109375" customWidth="1"/>
    <col min="100" max="108" width="9.140625" customWidth="1"/>
    <col min="109" max="111" width="8.7109375" customWidth="1"/>
    <col min="112" max="117" width="9.140625" customWidth="1"/>
    <col min="118" max="118" width="9.5703125" customWidth="1"/>
    <col min="119" max="119" width="8.7109375" customWidth="1"/>
    <col min="120" max="121" width="9.5703125" customWidth="1"/>
    <col min="122" max="124" width="9.140625" customWidth="1"/>
    <col min="125" max="125" width="8.7109375" customWidth="1"/>
    <col min="126" max="126" width="9.140625" customWidth="1"/>
    <col min="127" max="138" width="9.5703125" customWidth="1"/>
    <col min="139" max="139" width="8.7109375" customWidth="1"/>
    <col min="140" max="140" width="9.140625" customWidth="1"/>
    <col min="141" max="153" width="9.5703125" customWidth="1"/>
    <col min="154" max="154" width="9.140625" customWidth="1"/>
    <col min="155" max="165" width="9.5703125" customWidth="1"/>
    <col min="166" max="168" width="9.140625" customWidth="1"/>
    <col min="169" max="174" width="9.5703125" customWidth="1"/>
    <col min="175" max="175" width="9.140625" customWidth="1"/>
    <col min="176" max="183" width="9.5703125" customWidth="1"/>
    <col min="184" max="184" width="9.140625" customWidth="1"/>
    <col min="185" max="190" width="9.5703125" customWidth="1"/>
    <col min="191" max="191" width="9.140625" customWidth="1"/>
    <col min="192" max="201" width="9.5703125" customWidth="1"/>
    <col min="202" max="202" width="9.140625" customWidth="1"/>
    <col min="203" max="203" width="9.5703125" customWidth="1"/>
    <col min="204" max="207" width="9.140625" customWidth="1"/>
    <col min="208" max="210" width="8.7109375" customWidth="1"/>
    <col min="211" max="216" width="9.140625" customWidth="1"/>
    <col min="217" max="217" width="8.7109375" customWidth="1"/>
    <col min="218" max="221" width="9.140625" customWidth="1"/>
    <col min="222" max="222" width="8.7109375" customWidth="1"/>
    <col min="223" max="225" width="9.140625" customWidth="1"/>
    <col min="226" max="226" width="8.7109375" customWidth="1"/>
    <col min="227" max="228" width="9.140625" customWidth="1"/>
    <col min="229" max="229" width="8.7109375" customWidth="1"/>
    <col min="230" max="236" width="9.140625" customWidth="1"/>
    <col min="237" max="237" width="8.7109375" customWidth="1"/>
    <col min="238" max="238" width="9.5703125" customWidth="1"/>
    <col min="239" max="239" width="9.140625" customWidth="1"/>
    <col min="240" max="240" width="8.7109375" customWidth="1"/>
    <col min="241" max="241" width="9.140625" customWidth="1"/>
    <col min="242" max="246" width="9.5703125" customWidth="1"/>
    <col min="247" max="247" width="9.140625" customWidth="1"/>
    <col min="248" max="249" width="9.5703125" customWidth="1"/>
    <col min="250" max="251" width="13" customWidth="1"/>
    <col min="252" max="252" width="15.28515625" customWidth="1"/>
    <col min="253" max="253" width="14.85546875" customWidth="1"/>
    <col min="254" max="254" width="15.28515625" customWidth="1"/>
    <col min="255" max="255" width="14.85546875" customWidth="1"/>
    <col min="256" max="256" width="15.28515625" customWidth="1"/>
    <col min="257" max="257" width="14.85546875" customWidth="1"/>
    <col min="258" max="258" width="15.28515625" customWidth="1"/>
    <col min="259" max="259" width="14.85546875" customWidth="1"/>
    <col min="260" max="260" width="15.28515625" customWidth="1"/>
    <col min="261" max="261" width="14.85546875" customWidth="1"/>
    <col min="262" max="262" width="15.28515625" customWidth="1"/>
    <col min="263" max="263" width="14.85546875" customWidth="1"/>
    <col min="264" max="264" width="15.28515625" customWidth="1"/>
    <col min="265" max="265" width="14.85546875" customWidth="1"/>
    <col min="266" max="266" width="15.28515625" customWidth="1"/>
    <col min="267" max="267" width="14.85546875" customWidth="1"/>
    <col min="268" max="268" width="15.28515625" customWidth="1"/>
    <col min="269" max="269" width="14.85546875" customWidth="1"/>
    <col min="270" max="270" width="15.28515625" customWidth="1"/>
    <col min="271" max="271" width="14.85546875" customWidth="1"/>
    <col min="272" max="272" width="15.28515625" customWidth="1"/>
    <col min="273" max="273" width="14.85546875" customWidth="1"/>
    <col min="274" max="274" width="15.28515625" customWidth="1"/>
    <col min="275" max="275" width="14.85546875" customWidth="1"/>
    <col min="276" max="276" width="15.28515625" customWidth="1"/>
    <col min="277" max="277" width="14.85546875" customWidth="1"/>
    <col min="278" max="278" width="15.28515625" customWidth="1"/>
    <col min="279" max="279" width="14.85546875" customWidth="1"/>
    <col min="280" max="280" width="15.28515625" customWidth="1"/>
    <col min="281" max="281" width="14.85546875" customWidth="1"/>
    <col min="282" max="282" width="15.28515625" customWidth="1"/>
    <col min="283" max="283" width="14.85546875" customWidth="1"/>
    <col min="284" max="284" width="15.28515625" customWidth="1"/>
    <col min="285" max="285" width="14.85546875" customWidth="1"/>
    <col min="286" max="286" width="15.28515625" customWidth="1"/>
    <col min="287" max="287" width="14.85546875" customWidth="1"/>
    <col min="288" max="288" width="15.28515625" customWidth="1"/>
    <col min="289" max="289" width="14.85546875" customWidth="1"/>
    <col min="290" max="290" width="15.28515625" customWidth="1"/>
    <col min="291" max="291" width="14.85546875" customWidth="1"/>
    <col min="292" max="292" width="15.28515625" customWidth="1"/>
    <col min="293" max="293" width="14.85546875" customWidth="1"/>
    <col min="294" max="294" width="15.28515625" customWidth="1"/>
    <col min="295" max="295" width="14.85546875" customWidth="1"/>
    <col min="296" max="296" width="15.28515625" customWidth="1"/>
    <col min="297" max="297" width="14.85546875" customWidth="1"/>
    <col min="298" max="298" width="15.28515625" customWidth="1"/>
    <col min="299" max="299" width="14.85546875" customWidth="1"/>
    <col min="300" max="300" width="15.28515625" customWidth="1"/>
    <col min="301" max="301" width="14.85546875" customWidth="1"/>
    <col min="302" max="302" width="15.28515625" customWidth="1"/>
    <col min="303" max="303" width="14.85546875" customWidth="1"/>
    <col min="304" max="304" width="15.28515625" customWidth="1"/>
    <col min="305" max="305" width="14.85546875" customWidth="1"/>
    <col min="306" max="306" width="15.28515625" customWidth="1"/>
    <col min="307" max="307" width="14.85546875" customWidth="1"/>
    <col min="308" max="308" width="15.28515625" customWidth="1"/>
    <col min="309" max="309" width="14.85546875" customWidth="1"/>
    <col min="310" max="310" width="15.28515625" customWidth="1"/>
    <col min="311" max="311" width="14.85546875" customWidth="1"/>
    <col min="312" max="312" width="15.28515625" customWidth="1"/>
    <col min="313" max="313" width="14.85546875" customWidth="1"/>
    <col min="314" max="314" width="15.28515625" customWidth="1"/>
    <col min="315" max="315" width="14.85546875" customWidth="1"/>
    <col min="316" max="316" width="15.28515625" customWidth="1"/>
    <col min="317" max="317" width="14.85546875" customWidth="1"/>
    <col min="318" max="318" width="15.28515625" customWidth="1"/>
    <col min="319" max="319" width="14.85546875" customWidth="1"/>
    <col min="320" max="320" width="15.28515625" customWidth="1"/>
    <col min="321" max="321" width="14.85546875" customWidth="1"/>
    <col min="322" max="322" width="15.28515625" customWidth="1"/>
    <col min="323" max="323" width="14.85546875" customWidth="1"/>
    <col min="324" max="324" width="15.28515625" customWidth="1"/>
    <col min="325" max="325" width="14.85546875" customWidth="1"/>
    <col min="326" max="326" width="15.28515625" customWidth="1"/>
    <col min="327" max="327" width="14.85546875" customWidth="1"/>
    <col min="328" max="328" width="15.28515625" customWidth="1"/>
    <col min="329" max="329" width="14.85546875" customWidth="1"/>
    <col min="330" max="330" width="15.28515625" customWidth="1"/>
    <col min="331" max="331" width="14.85546875" customWidth="1"/>
    <col min="332" max="332" width="15.28515625" customWidth="1"/>
    <col min="333" max="333" width="14.85546875" customWidth="1"/>
    <col min="334" max="334" width="15.28515625" customWidth="1"/>
    <col min="335" max="335" width="14.85546875" customWidth="1"/>
    <col min="336" max="336" width="15.28515625" customWidth="1"/>
    <col min="337" max="337" width="14.85546875" customWidth="1"/>
    <col min="338" max="338" width="15.28515625" customWidth="1"/>
    <col min="339" max="339" width="14.85546875" customWidth="1"/>
    <col min="340" max="340" width="15.28515625" customWidth="1"/>
    <col min="341" max="341" width="14.85546875" customWidth="1"/>
    <col min="342" max="342" width="15.28515625" customWidth="1"/>
    <col min="343" max="343" width="14.85546875" customWidth="1"/>
    <col min="344" max="344" width="15.28515625" customWidth="1"/>
    <col min="345" max="345" width="14.85546875" customWidth="1"/>
    <col min="346" max="346" width="15.28515625" customWidth="1"/>
    <col min="347" max="347" width="14.85546875" customWidth="1"/>
    <col min="348" max="348" width="15.28515625" customWidth="1"/>
    <col min="349" max="349" width="14.85546875" customWidth="1"/>
    <col min="350" max="350" width="15.28515625" customWidth="1"/>
    <col min="351" max="351" width="14.85546875" customWidth="1"/>
    <col min="352" max="352" width="15.28515625" customWidth="1"/>
    <col min="353" max="353" width="14.85546875" customWidth="1"/>
    <col min="354" max="354" width="15.28515625" customWidth="1"/>
    <col min="355" max="355" width="14.85546875" customWidth="1"/>
    <col min="356" max="356" width="15.28515625" customWidth="1"/>
    <col min="357" max="357" width="14.85546875" customWidth="1"/>
    <col min="358" max="358" width="15.28515625" customWidth="1"/>
    <col min="359" max="359" width="14.85546875" customWidth="1"/>
    <col min="360" max="360" width="15.28515625" customWidth="1"/>
    <col min="361" max="361" width="14.85546875" customWidth="1"/>
    <col min="362" max="362" width="15.28515625" customWidth="1"/>
    <col min="363" max="363" width="14.85546875" customWidth="1"/>
    <col min="364" max="364" width="15.28515625" customWidth="1"/>
    <col min="365" max="365" width="14.85546875" customWidth="1"/>
    <col min="366" max="366" width="15.28515625" customWidth="1"/>
    <col min="367" max="367" width="14.85546875" customWidth="1"/>
    <col min="368" max="368" width="15.28515625" customWidth="1"/>
    <col min="369" max="369" width="14.85546875" customWidth="1"/>
    <col min="370" max="370" width="15.28515625" customWidth="1"/>
    <col min="371" max="371" width="14.85546875" customWidth="1"/>
    <col min="372" max="372" width="15.28515625" customWidth="1"/>
    <col min="373" max="373" width="14.85546875" customWidth="1"/>
    <col min="374" max="374" width="15.28515625" customWidth="1"/>
    <col min="375" max="375" width="14.85546875" customWidth="1"/>
    <col min="376" max="376" width="15.28515625" customWidth="1"/>
    <col min="377" max="377" width="14.85546875" customWidth="1"/>
    <col min="378" max="378" width="15.28515625" customWidth="1"/>
    <col min="379" max="379" width="14.85546875" customWidth="1"/>
    <col min="380" max="380" width="15.28515625" customWidth="1"/>
    <col min="381" max="381" width="14.85546875" customWidth="1"/>
    <col min="382" max="382" width="15.28515625" customWidth="1"/>
    <col min="383" max="383" width="14.85546875" customWidth="1"/>
    <col min="384" max="384" width="15.28515625" customWidth="1"/>
    <col min="385" max="385" width="14.85546875" customWidth="1"/>
    <col min="386" max="386" width="15.28515625" customWidth="1"/>
    <col min="387" max="387" width="14.85546875" customWidth="1"/>
    <col min="388" max="388" width="15.28515625" customWidth="1"/>
    <col min="389" max="389" width="14.85546875" customWidth="1"/>
    <col min="390" max="390" width="15.28515625" customWidth="1"/>
    <col min="391" max="391" width="14.85546875" customWidth="1"/>
    <col min="392" max="392" width="15.28515625" customWidth="1"/>
    <col min="393" max="393" width="14.85546875" customWidth="1"/>
    <col min="394" max="394" width="15.28515625" customWidth="1"/>
    <col min="395" max="395" width="14.85546875" customWidth="1"/>
    <col min="396" max="396" width="15.28515625" customWidth="1"/>
    <col min="397" max="397" width="14.85546875" customWidth="1"/>
    <col min="398" max="398" width="15.28515625" customWidth="1"/>
    <col min="399" max="399" width="14.85546875" customWidth="1"/>
    <col min="400" max="400" width="15.28515625" customWidth="1"/>
    <col min="401" max="401" width="14.85546875" customWidth="1"/>
    <col min="402" max="402" width="15.28515625" customWidth="1"/>
    <col min="403" max="403" width="14.85546875" customWidth="1"/>
    <col min="404" max="404" width="15.28515625" customWidth="1"/>
    <col min="405" max="405" width="14.85546875" customWidth="1"/>
    <col min="406" max="406" width="15.28515625" customWidth="1"/>
    <col min="407" max="407" width="14.85546875" customWidth="1"/>
    <col min="408" max="408" width="15.28515625" customWidth="1"/>
    <col min="409" max="409" width="14.85546875" customWidth="1"/>
    <col min="410" max="410" width="15.28515625" customWidth="1"/>
    <col min="411" max="411" width="14.85546875" customWidth="1"/>
    <col min="412" max="412" width="15.28515625" customWidth="1"/>
    <col min="413" max="413" width="14.85546875" customWidth="1"/>
    <col min="414" max="414" width="15.28515625" customWidth="1"/>
    <col min="415" max="415" width="14.85546875" customWidth="1"/>
    <col min="416" max="416" width="15.28515625" customWidth="1"/>
    <col min="417" max="417" width="14.85546875" customWidth="1"/>
    <col min="418" max="418" width="15.28515625" customWidth="1"/>
    <col min="419" max="419" width="14.85546875" customWidth="1"/>
    <col min="420" max="420" width="15.28515625" customWidth="1"/>
    <col min="421" max="421" width="14.85546875" customWidth="1"/>
    <col min="422" max="422" width="15.28515625" customWidth="1"/>
    <col min="423" max="423" width="14.85546875" customWidth="1"/>
    <col min="424" max="424" width="15.28515625" customWidth="1"/>
    <col min="425" max="425" width="14.85546875" customWidth="1"/>
    <col min="426" max="426" width="15.28515625" customWidth="1"/>
    <col min="427" max="427" width="14.85546875" customWidth="1"/>
    <col min="428" max="428" width="15.28515625" customWidth="1"/>
    <col min="429" max="429" width="14.85546875" customWidth="1"/>
    <col min="430" max="430" width="15.28515625" customWidth="1"/>
    <col min="431" max="431" width="14.85546875" customWidth="1"/>
    <col min="432" max="432" width="15.28515625" customWidth="1"/>
    <col min="433" max="433" width="14.85546875" customWidth="1"/>
    <col min="434" max="434" width="15.28515625" customWidth="1"/>
    <col min="435" max="435" width="14.85546875" customWidth="1"/>
    <col min="436" max="436" width="15.28515625" customWidth="1"/>
    <col min="437" max="437" width="14.85546875" customWidth="1"/>
    <col min="438" max="438" width="15.28515625" customWidth="1"/>
    <col min="439" max="439" width="14.85546875" customWidth="1"/>
    <col min="440" max="440" width="15.28515625" customWidth="1"/>
    <col min="441" max="441" width="14.85546875" customWidth="1"/>
    <col min="442" max="442" width="15.28515625" customWidth="1"/>
    <col min="443" max="443" width="14.85546875" customWidth="1"/>
    <col min="444" max="444" width="15.28515625" customWidth="1"/>
    <col min="445" max="445" width="14.85546875" customWidth="1"/>
    <col min="446" max="446" width="15.28515625" customWidth="1"/>
    <col min="447" max="447" width="14.85546875" customWidth="1"/>
    <col min="448" max="448" width="15.28515625" customWidth="1"/>
    <col min="449" max="449" width="14.85546875" customWidth="1"/>
    <col min="450" max="450" width="15.28515625" customWidth="1"/>
    <col min="451" max="451" width="14.85546875" customWidth="1"/>
    <col min="452" max="452" width="15.28515625" customWidth="1"/>
    <col min="453" max="453" width="14.85546875" customWidth="1"/>
    <col min="454" max="454" width="15.28515625" customWidth="1"/>
    <col min="455" max="455" width="14.85546875" customWidth="1"/>
    <col min="456" max="456" width="15.28515625" customWidth="1"/>
    <col min="457" max="457" width="14.85546875" customWidth="1"/>
    <col min="458" max="458" width="15.28515625" customWidth="1"/>
    <col min="459" max="459" width="14.85546875" customWidth="1"/>
    <col min="460" max="460" width="15.28515625" customWidth="1"/>
    <col min="461" max="461" width="14.85546875" customWidth="1"/>
    <col min="462" max="462" width="15.28515625" customWidth="1"/>
    <col min="463" max="463" width="14.85546875" customWidth="1"/>
    <col min="464" max="464" width="15.28515625" customWidth="1"/>
    <col min="465" max="465" width="14.85546875" customWidth="1"/>
    <col min="466" max="466" width="15.28515625" customWidth="1"/>
    <col min="467" max="467" width="14.85546875" customWidth="1"/>
    <col min="468" max="468" width="15.28515625" customWidth="1"/>
    <col min="469" max="469" width="14.85546875" customWidth="1"/>
    <col min="470" max="470" width="15.28515625" customWidth="1"/>
    <col min="471" max="471" width="14.85546875" customWidth="1"/>
    <col min="472" max="472" width="15.28515625" customWidth="1"/>
    <col min="473" max="473" width="14.85546875" customWidth="1"/>
    <col min="474" max="474" width="15.28515625" customWidth="1"/>
    <col min="475" max="475" width="14.85546875" customWidth="1"/>
    <col min="476" max="476" width="15.28515625" customWidth="1"/>
    <col min="477" max="477" width="14.85546875" customWidth="1"/>
    <col min="478" max="478" width="15.28515625" customWidth="1"/>
    <col min="479" max="479" width="14.85546875" customWidth="1"/>
    <col min="480" max="480" width="15.28515625" customWidth="1"/>
    <col min="481" max="481" width="14.85546875" customWidth="1"/>
    <col min="482" max="482" width="15.28515625" customWidth="1"/>
    <col min="483" max="483" width="21.140625" customWidth="1"/>
    <col min="484" max="484" width="21.5703125" customWidth="1"/>
    <col min="485" max="487" width="24.5703125" bestFit="1" customWidth="1"/>
    <col min="488" max="488" width="21.140625" bestFit="1" customWidth="1"/>
    <col min="489" max="489" width="21.5703125" bestFit="1" customWidth="1"/>
  </cols>
  <sheetData>
    <row r="1" spans="1:29" ht="15.75" thickBot="1"/>
    <row r="2" spans="1:29" ht="17.25" thickBot="1">
      <c r="Q2" s="85" t="s">
        <v>313</v>
      </c>
      <c r="R2" s="86">
        <v>41946</v>
      </c>
    </row>
    <row r="3" spans="1:29" ht="17.25" thickBot="1">
      <c r="Q3" s="85" t="s">
        <v>320</v>
      </c>
      <c r="R3" s="88">
        <v>3</v>
      </c>
    </row>
    <row r="5" spans="1:29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Q5" s="80" t="str">
        <f>"Q" &amp; CONFIG!B2 &amp;"-"&amp;CONFIG!H2</f>
        <v>Q1-Faixa etária</v>
      </c>
      <c r="R5" s="80"/>
      <c r="S5" s="80"/>
      <c r="T5" s="80"/>
      <c r="U5" s="80"/>
      <c r="V5" s="80"/>
      <c r="X5" s="80" t="str">
        <f>"Q" &amp; CONFIG!B3 &amp;"-"&amp;CONFIG!H3</f>
        <v>Q2-Faixa etária</v>
      </c>
      <c r="Y5" s="80"/>
      <c r="Z5" s="80"/>
      <c r="AA5" s="80"/>
      <c r="AB5" s="80"/>
      <c r="AC5" s="80"/>
    </row>
    <row r="6" spans="1:29">
      <c r="Q6" s="57" t="s">
        <v>277</v>
      </c>
      <c r="R6" s="2" t="s">
        <v>303</v>
      </c>
      <c r="X6" s="57" t="s">
        <v>277</v>
      </c>
      <c r="Y6" s="2" t="s">
        <v>303</v>
      </c>
    </row>
    <row r="7" spans="1:29">
      <c r="Q7" s="57" t="s">
        <v>314</v>
      </c>
      <c r="R7" s="87">
        <v>41946</v>
      </c>
      <c r="X7" s="57" t="s">
        <v>314</v>
      </c>
      <c r="Y7" s="87">
        <v>41946</v>
      </c>
      <c r="Z7" s="2"/>
      <c r="AA7" s="2"/>
      <c r="AB7" s="2"/>
      <c r="AC7" s="2"/>
    </row>
    <row r="8" spans="1:29">
      <c r="Y8" s="2"/>
      <c r="Z8" s="2"/>
      <c r="AA8" s="2"/>
      <c r="AB8" s="2"/>
      <c r="AC8" s="2"/>
    </row>
    <row r="9" spans="1:29">
      <c r="Q9" s="57" t="s">
        <v>284</v>
      </c>
      <c r="R9" s="66" t="s">
        <v>286</v>
      </c>
      <c r="X9" s="57" t="s">
        <v>304</v>
      </c>
      <c r="Y9" s="66" t="s">
        <v>286</v>
      </c>
      <c r="Z9" s="2"/>
      <c r="AA9" s="2"/>
      <c r="AB9" s="2"/>
      <c r="AC9" s="2"/>
    </row>
    <row r="10" spans="1:29">
      <c r="Q10" s="57" t="s">
        <v>152</v>
      </c>
      <c r="R10" s="2" t="s">
        <v>291</v>
      </c>
      <c r="S10" s="2" t="s">
        <v>290</v>
      </c>
      <c r="T10" s="2" t="s">
        <v>292</v>
      </c>
      <c r="U10" s="2" t="s">
        <v>293</v>
      </c>
      <c r="V10" s="2" t="s">
        <v>153</v>
      </c>
      <c r="X10" s="57" t="s">
        <v>152</v>
      </c>
      <c r="Y10" s="68" t="s">
        <v>291</v>
      </c>
      <c r="Z10" s="68" t="s">
        <v>290</v>
      </c>
      <c r="AA10" s="68" t="s">
        <v>292</v>
      </c>
      <c r="AB10" s="68" t="s">
        <v>293</v>
      </c>
      <c r="AC10" s="2" t="s">
        <v>153</v>
      </c>
    </row>
    <row r="11" spans="1:29">
      <c r="Q11" s="58" t="s">
        <v>154</v>
      </c>
      <c r="R11" s="67">
        <v>0.04</v>
      </c>
      <c r="S11" s="67">
        <v>3.3333333333333333E-2</v>
      </c>
      <c r="T11" s="67">
        <v>6.6666666666666671E-3</v>
      </c>
      <c r="U11" s="67">
        <v>3.3333333333333333E-2</v>
      </c>
      <c r="V11" s="67">
        <v>0.11333333333333333</v>
      </c>
      <c r="X11" s="58" t="s">
        <v>161</v>
      </c>
      <c r="Y11" s="67">
        <v>0.04</v>
      </c>
      <c r="Z11" s="67">
        <v>0.02</v>
      </c>
      <c r="AA11" s="67">
        <v>0</v>
      </c>
      <c r="AB11" s="67">
        <v>3.3333333333333333E-2</v>
      </c>
      <c r="AC11" s="67">
        <v>9.3333333333333338E-2</v>
      </c>
    </row>
    <row r="12" spans="1:29">
      <c r="Q12" s="58" t="s">
        <v>162</v>
      </c>
      <c r="R12" s="67">
        <v>2.6666666666666668E-2</v>
      </c>
      <c r="S12" s="67">
        <v>0.12</v>
      </c>
      <c r="T12" s="67">
        <v>3.3333333333333333E-2</v>
      </c>
      <c r="U12" s="67">
        <v>0.04</v>
      </c>
      <c r="V12" s="67">
        <v>0.22</v>
      </c>
      <c r="X12" s="58" t="s">
        <v>157</v>
      </c>
      <c r="Y12" s="67">
        <v>0.12666666666666668</v>
      </c>
      <c r="Z12" s="67">
        <v>0.24</v>
      </c>
      <c r="AA12" s="67">
        <v>8.666666666666667E-2</v>
      </c>
      <c r="AB12" s="67">
        <v>0.13333333333333333</v>
      </c>
      <c r="AC12" s="67">
        <v>0.58666666666666667</v>
      </c>
    </row>
    <row r="13" spans="1:29">
      <c r="Q13" s="58" t="s">
        <v>163</v>
      </c>
      <c r="R13" s="67">
        <v>0.04</v>
      </c>
      <c r="S13" s="67">
        <v>0.06</v>
      </c>
      <c r="T13" s="67">
        <v>1.3333333333333334E-2</v>
      </c>
      <c r="U13" s="67">
        <v>2.6666666666666668E-2</v>
      </c>
      <c r="V13" s="67">
        <v>0.14000000000000001</v>
      </c>
      <c r="X13" s="58" t="s">
        <v>158</v>
      </c>
      <c r="Y13" s="67">
        <v>3.3333333333333333E-2</v>
      </c>
      <c r="Z13" s="67">
        <v>0.06</v>
      </c>
      <c r="AA13" s="67">
        <v>6.6666666666666671E-3</v>
      </c>
      <c r="AB13" s="67">
        <v>2.6666666666666668E-2</v>
      </c>
      <c r="AC13" s="67">
        <v>0.12666666666666668</v>
      </c>
    </row>
    <row r="14" spans="1:29">
      <c r="Q14" s="58" t="s">
        <v>155</v>
      </c>
      <c r="R14" s="67">
        <v>2.6666666666666668E-2</v>
      </c>
      <c r="S14" s="67">
        <v>3.3333333333333333E-2</v>
      </c>
      <c r="T14" s="67">
        <v>0</v>
      </c>
      <c r="U14" s="67">
        <v>2.6666666666666668E-2</v>
      </c>
      <c r="V14" s="67">
        <v>8.666666666666667E-2</v>
      </c>
      <c r="X14" s="58" t="s">
        <v>159</v>
      </c>
      <c r="Y14" s="67">
        <v>6.6666666666666671E-3</v>
      </c>
      <c r="Z14" s="67">
        <v>0.02</v>
      </c>
      <c r="AA14" s="67">
        <v>6.6666666666666671E-3</v>
      </c>
      <c r="AB14" s="67">
        <v>0.02</v>
      </c>
      <c r="AC14" s="67">
        <v>5.3333333333333337E-2</v>
      </c>
    </row>
    <row r="15" spans="1:29">
      <c r="Q15" s="58" t="s">
        <v>156</v>
      </c>
      <c r="R15" s="67">
        <v>8.666666666666667E-2</v>
      </c>
      <c r="S15" s="67">
        <v>0.2</v>
      </c>
      <c r="T15" s="67">
        <v>0.06</v>
      </c>
      <c r="U15" s="67">
        <v>9.3333333333333338E-2</v>
      </c>
      <c r="V15" s="67">
        <v>0.44</v>
      </c>
      <c r="X15" s="58" t="s">
        <v>160</v>
      </c>
      <c r="Y15" s="67">
        <v>1.3333333333333334E-2</v>
      </c>
      <c r="Z15" s="67">
        <v>0.10666666666666667</v>
      </c>
      <c r="AA15" s="67">
        <v>1.3333333333333334E-2</v>
      </c>
      <c r="AB15" s="67">
        <v>6.6666666666666671E-3</v>
      </c>
      <c r="AC15" s="67">
        <v>0.14000000000000001</v>
      </c>
    </row>
    <row r="16" spans="1:29">
      <c r="Q16" s="58" t="s">
        <v>153</v>
      </c>
      <c r="R16" s="67">
        <v>0.22</v>
      </c>
      <c r="S16" s="67">
        <v>0.44666666666666666</v>
      </c>
      <c r="T16" s="67">
        <v>0.11333333333333333</v>
      </c>
      <c r="U16" s="67">
        <v>0.22</v>
      </c>
      <c r="V16" s="67">
        <v>1</v>
      </c>
      <c r="X16" s="58" t="s">
        <v>153</v>
      </c>
      <c r="Y16" s="67">
        <v>0.22</v>
      </c>
      <c r="Z16" s="67">
        <v>0.44666666666666666</v>
      </c>
      <c r="AA16" s="67">
        <v>0.11333333333333333</v>
      </c>
      <c r="AB16" s="67">
        <v>0.22</v>
      </c>
      <c r="AC16" s="67">
        <v>1</v>
      </c>
    </row>
    <row r="21" spans="17:29">
      <c r="Q21" s="80" t="str">
        <f>"Q" &amp; CONFIG!B4 &amp;"-"&amp;CONFIG!H4</f>
        <v>Q3-Tempo de empresa</v>
      </c>
      <c r="R21" s="80"/>
      <c r="S21" s="80"/>
      <c r="T21" s="80"/>
      <c r="U21" s="80"/>
      <c r="V21" s="80"/>
      <c r="X21" s="80" t="str">
        <f>"Q" &amp; CONFIG!B5 &amp;"-"&amp;CONFIG!H5</f>
        <v>Q4-Sexo</v>
      </c>
      <c r="Y21" s="80"/>
      <c r="Z21" s="80"/>
      <c r="AA21" s="80"/>
      <c r="AB21" s="80"/>
      <c r="AC21" s="80"/>
    </row>
    <row r="22" spans="17:29">
      <c r="Q22" s="57" t="s">
        <v>277</v>
      </c>
      <c r="R22" s="2" t="s">
        <v>303</v>
      </c>
      <c r="X22" s="57" t="s">
        <v>277</v>
      </c>
      <c r="Y22" s="2" t="s">
        <v>303</v>
      </c>
    </row>
    <row r="23" spans="17:29">
      <c r="Q23" s="57" t="s">
        <v>314</v>
      </c>
      <c r="R23" s="87">
        <v>41946</v>
      </c>
      <c r="X23" s="57" t="s">
        <v>314</v>
      </c>
      <c r="Y23" s="87">
        <v>41946</v>
      </c>
      <c r="Z23" s="2"/>
      <c r="AA23" s="2"/>
      <c r="AB23" s="2"/>
      <c r="AC23" s="2"/>
    </row>
    <row r="24" spans="17:29">
      <c r="Y24" s="2"/>
      <c r="Z24" s="2"/>
      <c r="AA24" s="2"/>
      <c r="AB24" s="2"/>
      <c r="AC24" s="2"/>
    </row>
    <row r="25" spans="17:29">
      <c r="Q25" s="57" t="s">
        <v>285</v>
      </c>
      <c r="R25" s="66" t="s">
        <v>286</v>
      </c>
      <c r="X25" s="57" t="s">
        <v>305</v>
      </c>
      <c r="Y25" s="66" t="s">
        <v>286</v>
      </c>
      <c r="Z25" s="2"/>
      <c r="AA25" s="2"/>
      <c r="AB25" s="2"/>
      <c r="AC25" s="2"/>
    </row>
    <row r="26" spans="17:29">
      <c r="Q26" s="57" t="s">
        <v>152</v>
      </c>
      <c r="R26" s="68" t="s">
        <v>291</v>
      </c>
      <c r="S26" s="68" t="s">
        <v>290</v>
      </c>
      <c r="T26" s="68" t="s">
        <v>292</v>
      </c>
      <c r="U26" s="68" t="s">
        <v>293</v>
      </c>
      <c r="V26" s="2" t="s">
        <v>153</v>
      </c>
      <c r="X26" s="57" t="s">
        <v>152</v>
      </c>
      <c r="Y26" s="68" t="s">
        <v>291</v>
      </c>
      <c r="Z26" s="68" t="s">
        <v>290</v>
      </c>
      <c r="AA26" s="68" t="s">
        <v>292</v>
      </c>
      <c r="AB26" s="68" t="s">
        <v>293</v>
      </c>
      <c r="AC26" s="2" t="s">
        <v>153</v>
      </c>
    </row>
    <row r="27" spans="17:29">
      <c r="Q27" s="58" t="s">
        <v>170</v>
      </c>
      <c r="R27" s="67">
        <v>0.10666666666666667</v>
      </c>
      <c r="S27" s="67">
        <v>0.14666666666666667</v>
      </c>
      <c r="T27" s="67">
        <v>5.3333333333333337E-2</v>
      </c>
      <c r="U27" s="67">
        <v>9.3333333333333338E-2</v>
      </c>
      <c r="V27" s="67">
        <v>0.4</v>
      </c>
      <c r="X27" s="58" t="s">
        <v>174</v>
      </c>
      <c r="Y27" s="67">
        <v>0.21276595744680851</v>
      </c>
      <c r="Z27" s="67">
        <v>0.36170212765957449</v>
      </c>
      <c r="AA27" s="67">
        <v>0.10638297872340426</v>
      </c>
      <c r="AB27" s="67">
        <v>0.10638297872340426</v>
      </c>
      <c r="AC27" s="67">
        <v>0.78723404255319152</v>
      </c>
    </row>
    <row r="28" spans="17:29">
      <c r="Q28" s="58" t="s">
        <v>171</v>
      </c>
      <c r="R28" s="67">
        <v>0.04</v>
      </c>
      <c r="S28" s="67">
        <v>0.13333333333333333</v>
      </c>
      <c r="T28" s="67">
        <v>2.6666666666666668E-2</v>
      </c>
      <c r="U28" s="67">
        <v>2.6666666666666668E-2</v>
      </c>
      <c r="V28" s="67">
        <v>0.22666666666666666</v>
      </c>
      <c r="X28" s="58" t="s">
        <v>175</v>
      </c>
      <c r="Y28" s="67">
        <v>2.1276595744680851E-2</v>
      </c>
      <c r="Z28" s="67">
        <v>0.1276595744680851</v>
      </c>
      <c r="AA28" s="67">
        <v>2.1276595744680851E-2</v>
      </c>
      <c r="AB28" s="67">
        <v>4.2553191489361701E-2</v>
      </c>
      <c r="AC28" s="67">
        <v>0.21276595744680851</v>
      </c>
    </row>
    <row r="29" spans="17:29">
      <c r="Q29" s="58" t="s">
        <v>172</v>
      </c>
      <c r="R29" s="67">
        <v>0.04</v>
      </c>
      <c r="S29" s="67">
        <v>5.3333333333333337E-2</v>
      </c>
      <c r="T29" s="67">
        <v>0</v>
      </c>
      <c r="U29" s="67">
        <v>9.3333333333333338E-2</v>
      </c>
      <c r="V29" s="67">
        <v>0.18666666666666668</v>
      </c>
      <c r="X29" s="58" t="s">
        <v>153</v>
      </c>
      <c r="Y29" s="67">
        <v>0.23404255319148937</v>
      </c>
      <c r="Z29" s="67">
        <v>0.48936170212765956</v>
      </c>
      <c r="AA29" s="67">
        <v>0.1276595744680851</v>
      </c>
      <c r="AB29" s="67">
        <v>0.14893617021276595</v>
      </c>
      <c r="AC29" s="67">
        <v>1</v>
      </c>
    </row>
    <row r="30" spans="17:29">
      <c r="Q30" s="58" t="s">
        <v>173</v>
      </c>
      <c r="R30" s="67">
        <v>2.6666666666666668E-2</v>
      </c>
      <c r="S30" s="67">
        <v>9.3333333333333338E-2</v>
      </c>
      <c r="T30" s="67">
        <v>1.3333333333333334E-2</v>
      </c>
      <c r="U30" s="67">
        <v>5.3333333333333337E-2</v>
      </c>
      <c r="V30" s="67">
        <v>0.18666666666666668</v>
      </c>
    </row>
    <row r="31" spans="17:29">
      <c r="Q31" s="58" t="s">
        <v>153</v>
      </c>
      <c r="R31" s="67">
        <v>0.21333333333333335</v>
      </c>
      <c r="S31" s="67">
        <v>0.42666666666666669</v>
      </c>
      <c r="T31" s="67">
        <v>9.3333333333333338E-2</v>
      </c>
      <c r="U31" s="67">
        <v>0.26666666666666666</v>
      </c>
      <c r="V31" s="67">
        <v>1</v>
      </c>
    </row>
    <row r="35" spans="17:29">
      <c r="Q35" s="80" t="str">
        <f>"Q" &amp; CONFIG!B6 &amp;"-"&amp;CONFIG!H6</f>
        <v>Q5-Area de atuação</v>
      </c>
      <c r="R35" s="80"/>
      <c r="S35" s="80"/>
      <c r="T35" s="80"/>
      <c r="U35" s="80"/>
      <c r="V35" s="80"/>
      <c r="X35" s="80" t="str">
        <f>"Q" &amp; CONFIG!B7 &amp;"-"&amp;CONFIG!H7</f>
        <v>Q6-Posição do Cargo</v>
      </c>
      <c r="Y35" s="80"/>
      <c r="Z35" s="80"/>
      <c r="AA35" s="80"/>
      <c r="AB35" s="80"/>
      <c r="AC35" s="80"/>
    </row>
    <row r="36" spans="17:29">
      <c r="Q36" s="57" t="s">
        <v>277</v>
      </c>
      <c r="R36" s="2" t="s">
        <v>303</v>
      </c>
      <c r="X36" s="57" t="s">
        <v>277</v>
      </c>
      <c r="Y36" s="2" t="s">
        <v>303</v>
      </c>
    </row>
    <row r="37" spans="17:29">
      <c r="Q37" s="57" t="s">
        <v>314</v>
      </c>
      <c r="R37" s="87">
        <v>41946</v>
      </c>
      <c r="X37" s="57" t="s">
        <v>314</v>
      </c>
      <c r="Y37" s="87">
        <v>41946</v>
      </c>
      <c r="Z37" s="2"/>
      <c r="AA37" s="2"/>
      <c r="AB37" s="2"/>
      <c r="AC37" s="2"/>
    </row>
    <row r="38" spans="17:29">
      <c r="Y38" s="2"/>
      <c r="Z38" s="2"/>
      <c r="AA38" s="2"/>
      <c r="AB38" s="2"/>
      <c r="AC38" s="2"/>
    </row>
    <row r="39" spans="17:29">
      <c r="Q39" s="57" t="s">
        <v>306</v>
      </c>
      <c r="R39" s="66" t="s">
        <v>286</v>
      </c>
      <c r="X39" s="57" t="s">
        <v>307</v>
      </c>
      <c r="Y39" s="66" t="s">
        <v>286</v>
      </c>
      <c r="Z39" s="2"/>
      <c r="AA39" s="2"/>
      <c r="AB39" s="2"/>
      <c r="AC39" s="2"/>
    </row>
    <row r="40" spans="17:29">
      <c r="Q40" s="57" t="s">
        <v>152</v>
      </c>
      <c r="R40" s="68" t="s">
        <v>291</v>
      </c>
      <c r="S40" s="68" t="s">
        <v>290</v>
      </c>
      <c r="T40" s="68" t="s">
        <v>292</v>
      </c>
      <c r="U40" s="68" t="s">
        <v>293</v>
      </c>
      <c r="V40" s="2" t="s">
        <v>153</v>
      </c>
      <c r="X40" s="57" t="s">
        <v>152</v>
      </c>
      <c r="Y40" s="68" t="s">
        <v>291</v>
      </c>
      <c r="Z40" s="68" t="s">
        <v>290</v>
      </c>
      <c r="AA40" s="68" t="s">
        <v>292</v>
      </c>
      <c r="AB40" s="68" t="s">
        <v>293</v>
      </c>
      <c r="AC40" s="2" t="s">
        <v>153</v>
      </c>
    </row>
    <row r="41" spans="17:29">
      <c r="Q41" s="58" t="s">
        <v>176</v>
      </c>
      <c r="R41" s="67">
        <v>0.1</v>
      </c>
      <c r="S41" s="67">
        <v>0.05</v>
      </c>
      <c r="T41" s="67">
        <v>0</v>
      </c>
      <c r="U41" s="67">
        <v>0.15</v>
      </c>
      <c r="V41" s="67">
        <v>0.3</v>
      </c>
      <c r="X41" s="58" t="s">
        <v>178</v>
      </c>
      <c r="Y41" s="67">
        <v>0.17460317460317459</v>
      </c>
      <c r="Z41" s="67">
        <v>0.26984126984126983</v>
      </c>
      <c r="AA41" s="67">
        <v>9.5238095238095233E-2</v>
      </c>
      <c r="AB41" s="67">
        <v>0.14285714285714285</v>
      </c>
      <c r="AC41" s="67">
        <v>0.68253968253968256</v>
      </c>
    </row>
    <row r="42" spans="17:29">
      <c r="Q42" s="58" t="s">
        <v>177</v>
      </c>
      <c r="R42" s="67">
        <v>0.15</v>
      </c>
      <c r="S42" s="67">
        <v>0.3</v>
      </c>
      <c r="T42" s="67">
        <v>0.1</v>
      </c>
      <c r="U42" s="67">
        <v>0.15</v>
      </c>
      <c r="V42" s="67">
        <v>0.7</v>
      </c>
      <c r="X42" s="58" t="s">
        <v>179</v>
      </c>
      <c r="Y42" s="67">
        <v>3.1746031746031744E-2</v>
      </c>
      <c r="Z42" s="67">
        <v>0.19047619047619047</v>
      </c>
      <c r="AA42" s="67">
        <v>3.1746031746031744E-2</v>
      </c>
      <c r="AB42" s="67">
        <v>6.3492063492063489E-2</v>
      </c>
      <c r="AC42" s="67">
        <v>0.31746031746031744</v>
      </c>
    </row>
    <row r="43" spans="17:29">
      <c r="Q43" s="58" t="s">
        <v>153</v>
      </c>
      <c r="R43" s="67">
        <v>0.25</v>
      </c>
      <c r="S43" s="67">
        <v>0.35</v>
      </c>
      <c r="T43" s="67">
        <v>0.1</v>
      </c>
      <c r="U43" s="67">
        <v>0.3</v>
      </c>
      <c r="V43" s="67">
        <v>1</v>
      </c>
      <c r="X43" s="58" t="s">
        <v>153</v>
      </c>
      <c r="Y43" s="67">
        <v>0.20634920634920634</v>
      </c>
      <c r="Z43" s="67">
        <v>0.46031746031746029</v>
      </c>
      <c r="AA43" s="67">
        <v>0.12698412698412698</v>
      </c>
      <c r="AB43" s="67">
        <v>0.20634920634920634</v>
      </c>
      <c r="AC43" s="67">
        <v>1</v>
      </c>
    </row>
    <row r="47" spans="17:29">
      <c r="R47" s="56"/>
      <c r="S47"/>
      <c r="T47"/>
      <c r="U47"/>
      <c r="V47"/>
    </row>
    <row r="48" spans="17:29">
      <c r="Q48" s="80" t="str">
        <f>"Q" &amp; CONFIG!B8 &amp;"-"&amp;CONFIG!H8</f>
        <v xml:space="preserve">Q7-Eu me sinto valorizado pelo Olimpo.      </v>
      </c>
      <c r="R48" s="80"/>
      <c r="S48" s="80"/>
      <c r="T48" s="80"/>
      <c r="U48" s="80"/>
      <c r="V48" s="80"/>
      <c r="X48" s="80" t="str">
        <f>"Q" &amp; CONFIG!B9 &amp;"-"&amp;CONFIG!H9</f>
        <v xml:space="preserve">Q8-Meu superior age corretamente quanto às pessoas que apresentam desempenho inferior.      </v>
      </c>
      <c r="Y48" s="80"/>
      <c r="Z48" s="80"/>
      <c r="AA48" s="80"/>
      <c r="AB48" s="80"/>
      <c r="AC48" s="80"/>
    </row>
    <row r="49" spans="17:29">
      <c r="Q49" s="57" t="s">
        <v>277</v>
      </c>
      <c r="R49" s="2" t="s">
        <v>303</v>
      </c>
      <c r="X49" s="57" t="s">
        <v>277</v>
      </c>
      <c r="Y49" s="2" t="s">
        <v>303</v>
      </c>
    </row>
    <row r="50" spans="17:29">
      <c r="Q50" s="57" t="s">
        <v>314</v>
      </c>
      <c r="R50" s="87">
        <v>41946</v>
      </c>
      <c r="X50" s="57" t="s">
        <v>314</v>
      </c>
      <c r="Y50" s="87">
        <v>41946</v>
      </c>
      <c r="Z50" s="2"/>
      <c r="AA50" s="2"/>
      <c r="AB50" s="2"/>
      <c r="AC50" s="2"/>
    </row>
    <row r="51" spans="17:29">
      <c r="Y51" s="2"/>
      <c r="Z51" s="2"/>
      <c r="AA51" s="2"/>
      <c r="AB51" s="2"/>
      <c r="AC51" s="2"/>
    </row>
    <row r="52" spans="17:29">
      <c r="Q52" s="57" t="s">
        <v>308</v>
      </c>
      <c r="R52" s="66" t="s">
        <v>286</v>
      </c>
      <c r="X52" s="57" t="s">
        <v>309</v>
      </c>
      <c r="Y52" s="66" t="s">
        <v>286</v>
      </c>
      <c r="Z52" s="2"/>
      <c r="AA52" s="2"/>
      <c r="AB52" s="2"/>
      <c r="AC52" s="2"/>
    </row>
    <row r="53" spans="17:29">
      <c r="Q53" s="57" t="s">
        <v>152</v>
      </c>
      <c r="R53" s="68" t="s">
        <v>291</v>
      </c>
      <c r="S53" s="68" t="s">
        <v>290</v>
      </c>
      <c r="T53" s="68" t="s">
        <v>292</v>
      </c>
      <c r="U53" s="68" t="s">
        <v>293</v>
      </c>
      <c r="V53" s="2" t="s">
        <v>153</v>
      </c>
      <c r="X53" s="57" t="s">
        <v>152</v>
      </c>
      <c r="Y53" s="68" t="s">
        <v>291</v>
      </c>
      <c r="Z53" s="68" t="s">
        <v>290</v>
      </c>
      <c r="AA53" s="68" t="s">
        <v>292</v>
      </c>
      <c r="AB53" s="68" t="s">
        <v>293</v>
      </c>
      <c r="AC53" s="2" t="s">
        <v>153</v>
      </c>
    </row>
    <row r="54" spans="17:29">
      <c r="Q54" s="58" t="s">
        <v>134</v>
      </c>
      <c r="R54" s="67">
        <v>0.15294117647058825</v>
      </c>
      <c r="S54" s="67">
        <v>0.2</v>
      </c>
      <c r="T54" s="67">
        <v>2.3529411764705882E-2</v>
      </c>
      <c r="U54" s="67">
        <v>0.10588235294117647</v>
      </c>
      <c r="V54" s="67">
        <v>0.4823529411764706</v>
      </c>
      <c r="X54" s="58" t="s">
        <v>134</v>
      </c>
      <c r="Y54" s="67">
        <v>8.9552238805970144E-2</v>
      </c>
      <c r="Z54" s="67">
        <v>0.17164179104477612</v>
      </c>
      <c r="AA54" s="67">
        <v>1.4925373134328358E-2</v>
      </c>
      <c r="AB54" s="67">
        <v>0.1044776119402985</v>
      </c>
      <c r="AC54" s="67">
        <v>0.38059701492537312</v>
      </c>
    </row>
    <row r="55" spans="17:29">
      <c r="Q55" s="58" t="s">
        <v>133</v>
      </c>
      <c r="R55" s="67">
        <v>5.8823529411764705E-2</v>
      </c>
      <c r="S55" s="67">
        <v>0.14117647058823529</v>
      </c>
      <c r="T55" s="67">
        <v>1.1764705882352941E-2</v>
      </c>
      <c r="U55" s="67">
        <v>1.1764705882352941E-2</v>
      </c>
      <c r="V55" s="67">
        <v>0.22352941176470589</v>
      </c>
      <c r="X55" s="58" t="s">
        <v>133</v>
      </c>
      <c r="Y55" s="67">
        <v>8.2089552238805971E-2</v>
      </c>
      <c r="Z55" s="67">
        <v>0.13432835820895522</v>
      </c>
      <c r="AA55" s="67">
        <v>5.2238805970149252E-2</v>
      </c>
      <c r="AB55" s="67">
        <v>3.7313432835820892E-2</v>
      </c>
      <c r="AC55" s="67">
        <v>0.30597014925373134</v>
      </c>
    </row>
    <row r="56" spans="17:29">
      <c r="Q56" s="58" t="s">
        <v>136</v>
      </c>
      <c r="R56" s="67">
        <v>1.1764705882352941E-2</v>
      </c>
      <c r="S56" s="67">
        <v>7.0588235294117646E-2</v>
      </c>
      <c r="T56" s="67">
        <v>1.1764705882352941E-2</v>
      </c>
      <c r="U56" s="67">
        <v>2.3529411764705882E-2</v>
      </c>
      <c r="V56" s="67">
        <v>0.11764705882352941</v>
      </c>
      <c r="X56" s="58" t="s">
        <v>136</v>
      </c>
      <c r="Y56" s="67">
        <v>2.2388059701492536E-2</v>
      </c>
      <c r="Z56" s="67">
        <v>8.2089552238805971E-2</v>
      </c>
      <c r="AA56" s="67">
        <v>1.4925373134328358E-2</v>
      </c>
      <c r="AB56" s="67">
        <v>2.9850746268656716E-2</v>
      </c>
      <c r="AC56" s="67">
        <v>0.14925373134328357</v>
      </c>
    </row>
    <row r="57" spans="17:29">
      <c r="Q57" s="58" t="s">
        <v>135</v>
      </c>
      <c r="R57" s="67">
        <v>2.3529411764705882E-2</v>
      </c>
      <c r="S57" s="67">
        <v>8.2352941176470587E-2</v>
      </c>
      <c r="T57" s="67">
        <v>0</v>
      </c>
      <c r="U57" s="67">
        <v>7.0588235294117646E-2</v>
      </c>
      <c r="V57" s="67">
        <v>0.17647058823529413</v>
      </c>
      <c r="X57" s="58" t="s">
        <v>135</v>
      </c>
      <c r="Y57" s="67">
        <v>2.9850746268656716E-2</v>
      </c>
      <c r="Z57" s="67">
        <v>5.9701492537313432E-2</v>
      </c>
      <c r="AA57" s="67">
        <v>2.2388059701492536E-2</v>
      </c>
      <c r="AB57" s="67">
        <v>5.2238805970149252E-2</v>
      </c>
      <c r="AC57" s="67">
        <v>0.16417910447761194</v>
      </c>
    </row>
    <row r="58" spans="17:29">
      <c r="Q58" s="58" t="s">
        <v>153</v>
      </c>
      <c r="R58" s="67">
        <v>0.24705882352941178</v>
      </c>
      <c r="S58" s="67">
        <v>0.49411764705882355</v>
      </c>
      <c r="T58" s="67">
        <v>4.7058823529411764E-2</v>
      </c>
      <c r="U58" s="67">
        <v>0.21176470588235294</v>
      </c>
      <c r="V58" s="67">
        <v>1</v>
      </c>
      <c r="X58" s="58" t="s">
        <v>153</v>
      </c>
      <c r="Y58" s="67">
        <v>0.22388059701492538</v>
      </c>
      <c r="Z58" s="67">
        <v>0.44776119402985076</v>
      </c>
      <c r="AA58" s="67">
        <v>0.1044776119402985</v>
      </c>
      <c r="AB58" s="67">
        <v>0.22388059701492538</v>
      </c>
      <c r="AC58" s="67">
        <v>1</v>
      </c>
    </row>
    <row r="62" spans="17:29">
      <c r="Q62" s="80" t="str">
        <f>"Q" &amp; CONFIG!B10 &amp;"-"&amp;CONFIG!H10</f>
        <v xml:space="preserve">Q9-As normas de Segurança do Trabalho são aplicadas no Olimpo.      </v>
      </c>
      <c r="R62" s="80"/>
      <c r="S62" s="80"/>
      <c r="T62" s="80"/>
      <c r="U62" s="80"/>
      <c r="V62" s="80"/>
      <c r="X62" s="80" t="str">
        <f>"Q" &amp; CONFIG!B11 &amp;"-"&amp;CONFIG!H11</f>
        <v xml:space="preserve">Q10-As oportunidades de carreira no Olimpo atendem minhas expectativas.      </v>
      </c>
      <c r="Y62" s="80"/>
      <c r="Z62" s="80"/>
      <c r="AA62" s="80"/>
      <c r="AB62" s="80"/>
      <c r="AC62" s="80"/>
    </row>
    <row r="63" spans="17:29">
      <c r="Q63" s="57" t="s">
        <v>277</v>
      </c>
      <c r="R63" s="2" t="s">
        <v>303</v>
      </c>
      <c r="X63" s="57" t="s">
        <v>277</v>
      </c>
      <c r="Y63" s="2" t="s">
        <v>303</v>
      </c>
      <c r="Z63" s="2"/>
      <c r="AA63" s="2"/>
      <c r="AB63" s="2"/>
      <c r="AC63" s="2"/>
    </row>
    <row r="64" spans="17:29">
      <c r="Q64" s="57" t="s">
        <v>314</v>
      </c>
      <c r="R64" s="87">
        <v>41946</v>
      </c>
      <c r="X64" s="57" t="s">
        <v>314</v>
      </c>
      <c r="Y64" s="87">
        <v>41946</v>
      </c>
      <c r="Z64" s="2"/>
      <c r="AA64" s="2"/>
      <c r="AB64" s="2"/>
      <c r="AC64" s="2"/>
    </row>
    <row r="65" spans="17:29">
      <c r="Y65" s="2"/>
      <c r="Z65" s="2"/>
      <c r="AA65" s="2"/>
      <c r="AB65" s="2"/>
      <c r="AC65" s="2"/>
    </row>
    <row r="66" spans="17:29">
      <c r="Q66" s="57" t="s">
        <v>310</v>
      </c>
      <c r="R66" s="66" t="s">
        <v>286</v>
      </c>
      <c r="X66" s="57" t="s">
        <v>316</v>
      </c>
      <c r="Y66" s="66" t="s">
        <v>286</v>
      </c>
      <c r="Z66" s="2"/>
      <c r="AA66" s="2"/>
      <c r="AB66" s="2"/>
      <c r="AC66" s="2"/>
    </row>
    <row r="67" spans="17:29">
      <c r="Q67" s="57" t="s">
        <v>152</v>
      </c>
      <c r="R67" s="68" t="s">
        <v>291</v>
      </c>
      <c r="S67" s="68" t="s">
        <v>290</v>
      </c>
      <c r="T67" s="68" t="s">
        <v>292</v>
      </c>
      <c r="U67" s="68" t="s">
        <v>293</v>
      </c>
      <c r="V67" s="2" t="s">
        <v>153</v>
      </c>
      <c r="X67" s="57" t="s">
        <v>152</v>
      </c>
      <c r="Y67" s="68" t="s">
        <v>291</v>
      </c>
      <c r="Z67" s="68" t="s">
        <v>290</v>
      </c>
      <c r="AA67" s="68" t="s">
        <v>292</v>
      </c>
      <c r="AB67" s="68" t="s">
        <v>293</v>
      </c>
      <c r="AC67" s="2" t="s">
        <v>153</v>
      </c>
    </row>
    <row r="68" spans="17:29">
      <c r="Q68" s="58" t="s">
        <v>134</v>
      </c>
      <c r="R68" s="67">
        <v>4.8275862068965517E-2</v>
      </c>
      <c r="S68" s="67">
        <v>1.3793103448275862E-2</v>
      </c>
      <c r="T68" s="67">
        <v>6.8965517241379309E-3</v>
      </c>
      <c r="U68" s="67">
        <v>2.7586206896551724E-2</v>
      </c>
      <c r="V68" s="67">
        <v>9.6551724137931033E-2</v>
      </c>
      <c r="X68" s="58" t="s">
        <v>134</v>
      </c>
      <c r="Y68" s="67">
        <v>4.5045045045045043E-2</v>
      </c>
      <c r="Z68" s="67">
        <v>6.3063063063063057E-2</v>
      </c>
      <c r="AA68" s="67">
        <v>2.7027027027027029E-2</v>
      </c>
      <c r="AB68" s="67">
        <v>2.7027027027027029E-2</v>
      </c>
      <c r="AC68" s="67">
        <v>0.16216216216216217</v>
      </c>
    </row>
    <row r="69" spans="17:29">
      <c r="Q69" s="58" t="s">
        <v>133</v>
      </c>
      <c r="R69" s="67">
        <v>0.12413793103448276</v>
      </c>
      <c r="S69" s="67">
        <v>0.32413793103448274</v>
      </c>
      <c r="T69" s="67">
        <v>8.9655172413793102E-2</v>
      </c>
      <c r="U69" s="67">
        <v>0.1310344827586207</v>
      </c>
      <c r="V69" s="67">
        <v>0.66896551724137931</v>
      </c>
      <c r="X69" s="58" t="s">
        <v>133</v>
      </c>
      <c r="Y69" s="67">
        <v>3.6036036036036036E-2</v>
      </c>
      <c r="Z69" s="67">
        <v>8.1081081081081086E-2</v>
      </c>
      <c r="AA69" s="67">
        <v>3.6036036036036036E-2</v>
      </c>
      <c r="AB69" s="67">
        <v>5.4054054054054057E-2</v>
      </c>
      <c r="AC69" s="67">
        <v>0.2072072072072072</v>
      </c>
    </row>
    <row r="70" spans="17:29">
      <c r="Q70" s="58" t="s">
        <v>136</v>
      </c>
      <c r="R70" s="67">
        <v>2.0689655172413793E-2</v>
      </c>
      <c r="S70" s="67">
        <v>2.7586206896551724E-2</v>
      </c>
      <c r="T70" s="67">
        <v>0</v>
      </c>
      <c r="U70" s="67">
        <v>1.3793103448275862E-2</v>
      </c>
      <c r="V70" s="67">
        <v>6.2068965517241378E-2</v>
      </c>
      <c r="X70" s="58" t="s">
        <v>136</v>
      </c>
      <c r="Y70" s="67">
        <v>0.11711711711711711</v>
      </c>
      <c r="Z70" s="67">
        <v>0.26126126126126126</v>
      </c>
      <c r="AA70" s="67">
        <v>3.6036036036036036E-2</v>
      </c>
      <c r="AB70" s="67">
        <v>0.10810810810810811</v>
      </c>
      <c r="AC70" s="67">
        <v>0.52252252252252251</v>
      </c>
    </row>
    <row r="71" spans="17:29">
      <c r="Q71" s="58" t="s">
        <v>135</v>
      </c>
      <c r="R71" s="67">
        <v>3.4482758620689655E-2</v>
      </c>
      <c r="S71" s="67">
        <v>7.586206896551724E-2</v>
      </c>
      <c r="T71" s="67">
        <v>2.0689655172413793E-2</v>
      </c>
      <c r="U71" s="67">
        <v>4.1379310344827586E-2</v>
      </c>
      <c r="V71" s="67">
        <v>0.17241379310344829</v>
      </c>
      <c r="X71" s="58" t="s">
        <v>135</v>
      </c>
      <c r="Y71" s="67">
        <v>2.7027027027027029E-2</v>
      </c>
      <c r="Z71" s="67">
        <v>3.6036036036036036E-2</v>
      </c>
      <c r="AA71" s="67">
        <v>0</v>
      </c>
      <c r="AB71" s="67">
        <v>4.5045045045045043E-2</v>
      </c>
      <c r="AC71" s="67">
        <v>0.10810810810810811</v>
      </c>
    </row>
    <row r="72" spans="17:29">
      <c r="Q72" s="58" t="s">
        <v>153</v>
      </c>
      <c r="R72" s="67">
        <v>0.22758620689655173</v>
      </c>
      <c r="S72" s="67">
        <v>0.44137931034482758</v>
      </c>
      <c r="T72" s="67">
        <v>0.11724137931034483</v>
      </c>
      <c r="U72" s="67">
        <v>0.21379310344827587</v>
      </c>
      <c r="V72" s="67">
        <v>1</v>
      </c>
      <c r="X72" s="58" t="s">
        <v>153</v>
      </c>
      <c r="Y72" s="67">
        <v>0.22522522522522523</v>
      </c>
      <c r="Z72" s="67">
        <v>0.44144144144144143</v>
      </c>
      <c r="AA72" s="67">
        <v>9.90990990990991E-2</v>
      </c>
      <c r="AB72" s="67">
        <v>0.23423423423423423</v>
      </c>
      <c r="AC72" s="67">
        <v>1</v>
      </c>
    </row>
    <row r="76" spans="17:29">
      <c r="R76" s="56"/>
      <c r="S76"/>
      <c r="T76"/>
      <c r="U76"/>
      <c r="V76"/>
    </row>
    <row r="77" spans="17:29">
      <c r="Q77" s="80" t="str">
        <f>"Q" &amp; CONFIG!B12 &amp;"-"&amp;CONFIG!H12</f>
        <v xml:space="preserve">Q11-Meu superior oferece oportunidades para aqueles que se destacam em seu trabalho.      </v>
      </c>
      <c r="R77" s="80"/>
      <c r="S77" s="80"/>
      <c r="T77" s="80"/>
      <c r="U77" s="80"/>
      <c r="V77" s="80"/>
      <c r="X77" s="80" t="str">
        <f>"Q" &amp; CONFIG!B13 &amp;"-"&amp;CONFIG!H13</f>
        <v xml:space="preserve">Q12-A capacitação que recebo na empresa é adequada às funções que desempenho.      </v>
      </c>
      <c r="Y77" s="80"/>
      <c r="Z77" s="80"/>
      <c r="AA77" s="80"/>
      <c r="AB77" s="80"/>
      <c r="AC77" s="80"/>
    </row>
    <row r="78" spans="17:29">
      <c r="Q78" s="57" t="s">
        <v>277</v>
      </c>
      <c r="R78" s="2" t="s">
        <v>303</v>
      </c>
      <c r="X78" s="57" t="s">
        <v>277</v>
      </c>
      <c r="Y78" s="2" t="s">
        <v>303</v>
      </c>
      <c r="Z78" s="2"/>
      <c r="AA78" s="2"/>
      <c r="AB78" s="2"/>
      <c r="AC78" s="2"/>
    </row>
    <row r="79" spans="17:29">
      <c r="Q79" s="57" t="s">
        <v>314</v>
      </c>
      <c r="R79" s="87">
        <v>41946</v>
      </c>
      <c r="X79" s="57" t="s">
        <v>314</v>
      </c>
      <c r="Y79" s="87">
        <v>41946</v>
      </c>
      <c r="Z79" s="2"/>
      <c r="AA79" s="2"/>
      <c r="AB79" s="2"/>
      <c r="AC79" s="2"/>
    </row>
    <row r="80" spans="17:29">
      <c r="Y80" s="2"/>
      <c r="Z80" s="2"/>
      <c r="AA80" s="2"/>
      <c r="AB80" s="2"/>
      <c r="AC80" s="2"/>
    </row>
    <row r="81" spans="17:29">
      <c r="Q81" s="57" t="s">
        <v>317</v>
      </c>
      <c r="R81" s="66" t="s">
        <v>286</v>
      </c>
      <c r="X81" s="57" t="s">
        <v>318</v>
      </c>
      <c r="Y81" s="66" t="s">
        <v>286</v>
      </c>
      <c r="Z81" s="2"/>
      <c r="AA81" s="2"/>
      <c r="AB81" s="2"/>
      <c r="AC81" s="2"/>
    </row>
    <row r="82" spans="17:29">
      <c r="Q82" s="57" t="s">
        <v>152</v>
      </c>
      <c r="R82" s="68" t="s">
        <v>291</v>
      </c>
      <c r="S82" s="68" t="s">
        <v>290</v>
      </c>
      <c r="T82" s="68" t="s">
        <v>292</v>
      </c>
      <c r="U82" s="68" t="s">
        <v>293</v>
      </c>
      <c r="V82" s="2" t="s">
        <v>153</v>
      </c>
      <c r="X82" s="57" t="s">
        <v>152</v>
      </c>
      <c r="Y82" s="68" t="s">
        <v>291</v>
      </c>
      <c r="Z82" s="68" t="s">
        <v>290</v>
      </c>
      <c r="AA82" s="68" t="s">
        <v>292</v>
      </c>
      <c r="AB82" s="68" t="s">
        <v>293</v>
      </c>
      <c r="AC82" s="2" t="s">
        <v>153</v>
      </c>
    </row>
    <row r="83" spans="17:29">
      <c r="Q83" s="58" t="s">
        <v>134</v>
      </c>
      <c r="R83" s="67">
        <v>1.4598540145985401E-2</v>
      </c>
      <c r="S83" s="67">
        <v>5.1094890510948905E-2</v>
      </c>
      <c r="T83" s="67">
        <v>0</v>
      </c>
      <c r="U83" s="67">
        <v>2.9197080291970802E-2</v>
      </c>
      <c r="V83" s="67">
        <v>9.4890510948905105E-2</v>
      </c>
      <c r="X83" s="58" t="s">
        <v>134</v>
      </c>
      <c r="Y83" s="67">
        <v>3.1746031746031744E-2</v>
      </c>
      <c r="Z83" s="67">
        <v>9.5238095238095233E-2</v>
      </c>
      <c r="AA83" s="67">
        <v>1.5873015873015872E-2</v>
      </c>
      <c r="AB83" s="67">
        <v>7.9365079365079361E-3</v>
      </c>
      <c r="AC83" s="67">
        <v>0.15079365079365079</v>
      </c>
    </row>
    <row r="84" spans="17:29">
      <c r="Q84" s="58" t="s">
        <v>133</v>
      </c>
      <c r="R84" s="67">
        <v>0.12408759124087591</v>
      </c>
      <c r="S84" s="67">
        <v>0.21897810218978103</v>
      </c>
      <c r="T84" s="67">
        <v>7.2992700729927001E-2</v>
      </c>
      <c r="U84" s="67">
        <v>0.11678832116788321</v>
      </c>
      <c r="V84" s="67">
        <v>0.53284671532846717</v>
      </c>
      <c r="X84" s="58" t="s">
        <v>133</v>
      </c>
      <c r="Y84" s="67">
        <v>4.7619047619047616E-2</v>
      </c>
      <c r="Z84" s="67">
        <v>0.1111111111111111</v>
      </c>
      <c r="AA84" s="67">
        <v>2.3809523809523808E-2</v>
      </c>
      <c r="AB84" s="67">
        <v>7.9365079365079361E-2</v>
      </c>
      <c r="AC84" s="67">
        <v>0.26190476190476192</v>
      </c>
    </row>
    <row r="85" spans="17:29">
      <c r="Q85" s="58" t="s">
        <v>136</v>
      </c>
      <c r="R85" s="67">
        <v>5.1094890510948905E-2</v>
      </c>
      <c r="S85" s="67">
        <v>0.10218978102189781</v>
      </c>
      <c r="T85" s="67">
        <v>2.1897810218978103E-2</v>
      </c>
      <c r="U85" s="67">
        <v>3.6496350364963501E-2</v>
      </c>
      <c r="V85" s="67">
        <v>0.21167883211678831</v>
      </c>
      <c r="X85" s="58" t="s">
        <v>136</v>
      </c>
      <c r="Y85" s="67">
        <v>8.7301587301587297E-2</v>
      </c>
      <c r="Z85" s="67">
        <v>0.15079365079365079</v>
      </c>
      <c r="AA85" s="67">
        <v>3.968253968253968E-2</v>
      </c>
      <c r="AB85" s="67">
        <v>8.7301587301587297E-2</v>
      </c>
      <c r="AC85" s="67">
        <v>0.36507936507936506</v>
      </c>
    </row>
    <row r="86" spans="17:29">
      <c r="Q86" s="58" t="s">
        <v>135</v>
      </c>
      <c r="R86" s="67">
        <v>2.1897810218978103E-2</v>
      </c>
      <c r="S86" s="67">
        <v>7.2992700729927001E-2</v>
      </c>
      <c r="T86" s="67">
        <v>2.1897810218978103E-2</v>
      </c>
      <c r="U86" s="67">
        <v>4.3795620437956206E-2</v>
      </c>
      <c r="V86" s="67">
        <v>0.16058394160583941</v>
      </c>
      <c r="X86" s="58" t="s">
        <v>135</v>
      </c>
      <c r="Y86" s="67">
        <v>5.5555555555555552E-2</v>
      </c>
      <c r="Z86" s="67">
        <v>0.1111111111111111</v>
      </c>
      <c r="AA86" s="67">
        <v>3.1746031746031744E-2</v>
      </c>
      <c r="AB86" s="67">
        <v>2.3809523809523808E-2</v>
      </c>
      <c r="AC86" s="67">
        <v>0.22222222222222221</v>
      </c>
    </row>
    <row r="87" spans="17:29">
      <c r="Q87" s="58" t="s">
        <v>153</v>
      </c>
      <c r="R87" s="67">
        <v>0.21167883211678831</v>
      </c>
      <c r="S87" s="67">
        <v>0.44525547445255476</v>
      </c>
      <c r="T87" s="67">
        <v>0.11678832116788321</v>
      </c>
      <c r="U87" s="67">
        <v>0.22627737226277372</v>
      </c>
      <c r="V87" s="67">
        <v>1</v>
      </c>
      <c r="X87" s="58" t="s">
        <v>153</v>
      </c>
      <c r="Y87" s="67">
        <v>0.22222222222222221</v>
      </c>
      <c r="Z87" s="67">
        <v>0.46825396825396826</v>
      </c>
      <c r="AA87" s="67">
        <v>0.1111111111111111</v>
      </c>
      <c r="AB87" s="67">
        <v>0.1984126984126984</v>
      </c>
      <c r="AC87" s="67">
        <v>1</v>
      </c>
    </row>
    <row r="88" spans="17:29">
      <c r="R88"/>
      <c r="S88"/>
      <c r="T88"/>
      <c r="U88"/>
      <c r="V88"/>
      <c r="Y88"/>
    </row>
    <row r="89" spans="17:29">
      <c r="R89"/>
      <c r="S89"/>
      <c r="T89"/>
      <c r="U89"/>
      <c r="V89"/>
      <c r="Y89"/>
    </row>
    <row r="90" spans="17:29">
      <c r="R90"/>
      <c r="S90"/>
      <c r="T90"/>
      <c r="U90"/>
      <c r="V90"/>
    </row>
    <row r="92" spans="17:29">
      <c r="Q92" s="80" t="str">
        <f>"Q" &amp; CONFIG!B14 &amp;"-"&amp;CONFIG!H14</f>
        <v xml:space="preserve">Q13-Meu superior oferece condições para que eu possa me capacitar profissionalmente.      </v>
      </c>
      <c r="R92" s="80"/>
      <c r="S92" s="80"/>
      <c r="T92" s="80"/>
      <c r="U92" s="80"/>
      <c r="V92" s="80"/>
      <c r="X92" s="80" t="str">
        <f>"Q" &amp; CONFIG!B15 &amp;"-"&amp;CONFIG!H15</f>
        <v xml:space="preserve">Q14-A minha motivação para o trabalho é alta.      </v>
      </c>
      <c r="Y92" s="80"/>
      <c r="Z92" s="80"/>
      <c r="AA92" s="80"/>
      <c r="AB92" s="80"/>
      <c r="AC92" s="80"/>
    </row>
    <row r="93" spans="17:29">
      <c r="Q93" s="57" t="s">
        <v>277</v>
      </c>
      <c r="R93" s="2" t="s">
        <v>303</v>
      </c>
      <c r="X93" s="57" t="s">
        <v>277</v>
      </c>
      <c r="Y93" s="2" t="s">
        <v>294</v>
      </c>
      <c r="Z93" s="2"/>
      <c r="AA93" s="2"/>
      <c r="AB93" s="2"/>
      <c r="AC93" s="2"/>
    </row>
    <row r="94" spans="17:29">
      <c r="Q94" s="57" t="s">
        <v>314</v>
      </c>
      <c r="R94" s="87">
        <v>41946</v>
      </c>
      <c r="X94" s="57" t="s">
        <v>314</v>
      </c>
      <c r="Y94" s="87">
        <v>41946</v>
      </c>
      <c r="Z94" s="2"/>
      <c r="AA94" s="2"/>
      <c r="AB94" s="2"/>
      <c r="AC94" s="2"/>
    </row>
    <row r="95" spans="17:29">
      <c r="Y95" s="2"/>
      <c r="Z95" s="2"/>
      <c r="AA95" s="2"/>
      <c r="AB95" s="2"/>
      <c r="AC95" s="2"/>
    </row>
    <row r="96" spans="17:29">
      <c r="Q96" s="57" t="s">
        <v>319</v>
      </c>
      <c r="R96" s="66" t="s">
        <v>286</v>
      </c>
      <c r="X96" s="57" t="s">
        <v>321</v>
      </c>
      <c r="Y96" s="66" t="s">
        <v>286</v>
      </c>
      <c r="Z96" s="2"/>
    </row>
    <row r="97" spans="17:26">
      <c r="Q97" s="57" t="s">
        <v>152</v>
      </c>
      <c r="R97" s="68" t="s">
        <v>291</v>
      </c>
      <c r="S97" s="68" t="s">
        <v>290</v>
      </c>
      <c r="T97" s="68" t="s">
        <v>292</v>
      </c>
      <c r="U97" s="68" t="s">
        <v>293</v>
      </c>
      <c r="V97" s="2" t="s">
        <v>153</v>
      </c>
      <c r="X97" s="57" t="s">
        <v>152</v>
      </c>
      <c r="Y97" s="68" t="s">
        <v>290</v>
      </c>
      <c r="Z97" s="2" t="s">
        <v>153</v>
      </c>
    </row>
    <row r="98" spans="17:26">
      <c r="Q98" s="58" t="s">
        <v>134</v>
      </c>
      <c r="R98" s="67">
        <v>0.14173228346456693</v>
      </c>
      <c r="S98" s="67">
        <v>0.24409448818897639</v>
      </c>
      <c r="T98" s="67">
        <v>7.874015748031496E-2</v>
      </c>
      <c r="U98" s="67">
        <v>0.13385826771653545</v>
      </c>
      <c r="V98" s="67">
        <v>0.59842519685039375</v>
      </c>
      <c r="X98" s="58" t="s">
        <v>276</v>
      </c>
      <c r="Y98" s="67">
        <v>5.8823529411764705E-2</v>
      </c>
      <c r="Z98" s="67">
        <v>5.8823529411764705E-2</v>
      </c>
    </row>
    <row r="99" spans="17:26">
      <c r="Q99" s="58" t="s">
        <v>133</v>
      </c>
      <c r="R99" s="67">
        <v>2.3622047244094488E-2</v>
      </c>
      <c r="S99" s="67">
        <v>3.1496062992125984E-2</v>
      </c>
      <c r="T99" s="67">
        <v>0</v>
      </c>
      <c r="U99" s="67">
        <v>2.3622047244094488E-2</v>
      </c>
      <c r="V99" s="67">
        <v>7.874015748031496E-2</v>
      </c>
      <c r="X99" s="58" t="s">
        <v>134</v>
      </c>
      <c r="Y99" s="67">
        <v>0.17647058823529413</v>
      </c>
      <c r="Z99" s="67">
        <v>0.17647058823529413</v>
      </c>
    </row>
    <row r="100" spans="17:26">
      <c r="Q100" s="58" t="s">
        <v>136</v>
      </c>
      <c r="R100" s="67">
        <v>1.5748031496062992E-2</v>
      </c>
      <c r="S100" s="67">
        <v>9.4488188976377951E-2</v>
      </c>
      <c r="T100" s="67">
        <v>3.937007874015748E-2</v>
      </c>
      <c r="U100" s="67">
        <v>3.937007874015748E-2</v>
      </c>
      <c r="V100" s="67">
        <v>0.1889763779527559</v>
      </c>
      <c r="X100" s="58" t="s">
        <v>133</v>
      </c>
      <c r="Y100" s="67">
        <v>5.8823529411764705E-2</v>
      </c>
      <c r="Z100" s="67">
        <v>5.8823529411764705E-2</v>
      </c>
    </row>
    <row r="101" spans="17:26">
      <c r="Q101" s="58" t="s">
        <v>135</v>
      </c>
      <c r="R101" s="67">
        <v>2.3622047244094488E-2</v>
      </c>
      <c r="S101" s="67">
        <v>4.7244094488188976E-2</v>
      </c>
      <c r="T101" s="67">
        <v>7.874015748031496E-3</v>
      </c>
      <c r="U101" s="67">
        <v>5.5118110236220472E-2</v>
      </c>
      <c r="V101" s="67">
        <v>0.13385826771653545</v>
      </c>
      <c r="X101" s="58" t="s">
        <v>136</v>
      </c>
      <c r="Y101" s="67">
        <v>5.8823529411764705E-2</v>
      </c>
      <c r="Z101" s="67">
        <v>5.8823529411764705E-2</v>
      </c>
    </row>
    <row r="102" spans="17:26">
      <c r="Q102" s="58" t="s">
        <v>153</v>
      </c>
      <c r="R102" s="67">
        <v>0.20472440944881889</v>
      </c>
      <c r="S102" s="67">
        <v>0.41732283464566927</v>
      </c>
      <c r="T102" s="67">
        <v>0.12598425196850394</v>
      </c>
      <c r="U102" s="67">
        <v>0.25196850393700787</v>
      </c>
      <c r="V102" s="67">
        <v>1</v>
      </c>
      <c r="X102" s="58" t="s">
        <v>135</v>
      </c>
      <c r="Y102" s="67">
        <v>0.6470588235294118</v>
      </c>
      <c r="Z102" s="67">
        <v>0.6470588235294118</v>
      </c>
    </row>
    <row r="103" spans="17:26">
      <c r="R103"/>
      <c r="S103"/>
      <c r="T103"/>
      <c r="U103"/>
      <c r="V103"/>
      <c r="X103" s="58" t="s">
        <v>153</v>
      </c>
      <c r="Y103" s="67">
        <v>1</v>
      </c>
      <c r="Z103" s="67">
        <v>1</v>
      </c>
    </row>
    <row r="104" spans="17:26">
      <c r="R104"/>
      <c r="S104"/>
      <c r="T104"/>
      <c r="U104"/>
      <c r="V104"/>
      <c r="Y104"/>
    </row>
    <row r="105" spans="17:26">
      <c r="Y105"/>
    </row>
    <row r="106" spans="17:26">
      <c r="Y106"/>
    </row>
    <row r="107" spans="17:26">
      <c r="Y107"/>
    </row>
    <row r="108" spans="17:26">
      <c r="Y108"/>
    </row>
  </sheetData>
  <mergeCells count="14">
    <mergeCell ref="Q77:V77"/>
    <mergeCell ref="X77:AC77"/>
    <mergeCell ref="Q92:V92"/>
    <mergeCell ref="X92:AC92"/>
    <mergeCell ref="Q48:V48"/>
    <mergeCell ref="X48:AC48"/>
    <mergeCell ref="Q62:V62"/>
    <mergeCell ref="Q21:V21"/>
    <mergeCell ref="Q35:V35"/>
    <mergeCell ref="X35:AC35"/>
    <mergeCell ref="X21:AC21"/>
    <mergeCell ref="Q5:V5"/>
    <mergeCell ref="X5:AC5"/>
    <mergeCell ref="X62:AC62"/>
  </mergeCells>
  <dataValidations count="2">
    <dataValidation type="list" allowBlank="1" showInputMessage="1" showErrorMessage="1" sqref="R2">
      <formula1>data</formula1>
    </dataValidation>
    <dataValidation type="list" allowBlank="1" showInputMessage="1" showErrorMessage="1" sqref="R3">
      <formula1>Questões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5"/>
  <drawing r:id="rId16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CQ271"/>
  <sheetViews>
    <sheetView topLeftCell="A206" workbookViewId="0">
      <selection sqref="A1:XFD1048576"/>
    </sheetView>
  </sheetViews>
  <sheetFormatPr defaultRowHeight="15"/>
  <cols>
    <col min="1" max="1" width="13.7109375" customWidth="1"/>
    <col min="2" max="2" width="15.85546875" style="81" customWidth="1"/>
    <col min="3" max="3" width="15" customWidth="1"/>
  </cols>
  <sheetData>
    <row r="1" spans="1:95">
      <c r="A1" t="s">
        <v>277</v>
      </c>
      <c r="B1" s="81" t="s">
        <v>314</v>
      </c>
      <c r="C1" t="s">
        <v>180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 t="s">
        <v>220</v>
      </c>
      <c r="AR1" t="s">
        <v>221</v>
      </c>
      <c r="AS1" t="s">
        <v>222</v>
      </c>
      <c r="AT1" t="s">
        <v>223</v>
      </c>
      <c r="AU1" t="s">
        <v>224</v>
      </c>
      <c r="AV1" t="s">
        <v>225</v>
      </c>
      <c r="AW1" t="s">
        <v>226</v>
      </c>
      <c r="AX1" t="s">
        <v>227</v>
      </c>
      <c r="AY1" t="s">
        <v>228</v>
      </c>
      <c r="AZ1" t="s">
        <v>229</v>
      </c>
      <c r="BA1" t="s">
        <v>230</v>
      </c>
      <c r="BB1" t="s">
        <v>231</v>
      </c>
      <c r="BC1" t="s">
        <v>232</v>
      </c>
      <c r="BD1" t="s">
        <v>233</v>
      </c>
      <c r="BE1" t="s">
        <v>234</v>
      </c>
      <c r="BF1" t="s">
        <v>235</v>
      </c>
      <c r="BG1" t="s">
        <v>236</v>
      </c>
      <c r="BH1" t="s">
        <v>237</v>
      </c>
      <c r="BI1" t="s">
        <v>238</v>
      </c>
      <c r="BJ1" t="s">
        <v>239</v>
      </c>
      <c r="BK1" t="s">
        <v>240</v>
      </c>
      <c r="BL1" t="s">
        <v>241</v>
      </c>
      <c r="BM1" t="s">
        <v>242</v>
      </c>
      <c r="BN1" t="s">
        <v>243</v>
      </c>
      <c r="BO1" t="s">
        <v>244</v>
      </c>
      <c r="BP1" t="s">
        <v>245</v>
      </c>
      <c r="BQ1" t="s">
        <v>246</v>
      </c>
      <c r="BR1" t="s">
        <v>247</v>
      </c>
      <c r="BS1" t="s">
        <v>248</v>
      </c>
      <c r="BT1" t="s">
        <v>249</v>
      </c>
      <c r="BU1" t="s">
        <v>250</v>
      </c>
      <c r="BV1" t="s">
        <v>251</v>
      </c>
      <c r="BW1" t="s">
        <v>289</v>
      </c>
      <c r="BX1" t="s">
        <v>252</v>
      </c>
      <c r="BY1" t="s">
        <v>253</v>
      </c>
      <c r="BZ1" t="s">
        <v>254</v>
      </c>
      <c r="CA1" t="s">
        <v>255</v>
      </c>
      <c r="CB1" t="s">
        <v>256</v>
      </c>
      <c r="CC1" t="s">
        <v>257</v>
      </c>
      <c r="CD1" t="s">
        <v>258</v>
      </c>
      <c r="CE1" t="s">
        <v>259</v>
      </c>
      <c r="CF1" t="s">
        <v>260</v>
      </c>
      <c r="CG1" t="s">
        <v>261</v>
      </c>
      <c r="CH1" t="s">
        <v>262</v>
      </c>
      <c r="CI1" t="s">
        <v>263</v>
      </c>
      <c r="CJ1" t="s">
        <v>264</v>
      </c>
      <c r="CK1" t="s">
        <v>265</v>
      </c>
      <c r="CL1" t="s">
        <v>266</v>
      </c>
      <c r="CM1" t="s">
        <v>267</v>
      </c>
      <c r="CN1" t="s">
        <v>268</v>
      </c>
      <c r="CO1" t="s">
        <v>269</v>
      </c>
      <c r="CP1" t="s">
        <v>270</v>
      </c>
      <c r="CQ1" t="s">
        <v>271</v>
      </c>
    </row>
    <row r="2" spans="1:95">
      <c r="A2" s="65" t="s">
        <v>294</v>
      </c>
      <c r="B2" s="82">
        <v>41944</v>
      </c>
      <c r="C2" t="s">
        <v>272</v>
      </c>
      <c r="D2" t="s">
        <v>273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BW2" t="s">
        <v>290</v>
      </c>
      <c r="CQ2" t="s">
        <v>274</v>
      </c>
    </row>
    <row r="3" spans="1:95">
      <c r="A3" s="65" t="s">
        <v>295</v>
      </c>
      <c r="B3" s="82">
        <v>41944</v>
      </c>
      <c r="C3" t="s">
        <v>272</v>
      </c>
      <c r="D3" t="s">
        <v>272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BW3" t="s">
        <v>290</v>
      </c>
      <c r="CQ3" t="s">
        <v>274</v>
      </c>
    </row>
    <row r="4" spans="1:95">
      <c r="A4" s="65" t="s">
        <v>296</v>
      </c>
      <c r="B4" s="82">
        <v>41944</v>
      </c>
      <c r="C4" t="s">
        <v>272</v>
      </c>
      <c r="D4" t="s">
        <v>272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BW4" t="s">
        <v>290</v>
      </c>
      <c r="CQ4" t="s">
        <v>274</v>
      </c>
    </row>
    <row r="5" spans="1:95">
      <c r="A5" s="65" t="s">
        <v>297</v>
      </c>
      <c r="B5" s="82">
        <v>41944</v>
      </c>
      <c r="C5" t="s">
        <v>272</v>
      </c>
      <c r="D5" t="s">
        <v>272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BW5" t="s">
        <v>290</v>
      </c>
      <c r="CN5" s="62" t="s">
        <v>275</v>
      </c>
      <c r="CQ5" t="s">
        <v>274</v>
      </c>
    </row>
    <row r="6" spans="1:95">
      <c r="A6" s="65" t="s">
        <v>298</v>
      </c>
      <c r="B6" s="82">
        <v>41944</v>
      </c>
      <c r="C6" t="s">
        <v>272</v>
      </c>
      <c r="D6" t="s">
        <v>272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BW6" t="s">
        <v>291</v>
      </c>
      <c r="CQ6" t="s">
        <v>274</v>
      </c>
    </row>
    <row r="7" spans="1:95" ht="30">
      <c r="A7" s="65" t="s">
        <v>299</v>
      </c>
      <c r="B7" s="82">
        <v>41944</v>
      </c>
      <c r="C7" t="s">
        <v>272</v>
      </c>
      <c r="D7" t="s">
        <v>272</v>
      </c>
      <c r="E7" t="s">
        <v>162</v>
      </c>
      <c r="F7" s="62" t="s">
        <v>275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BW7" t="s">
        <v>291</v>
      </c>
      <c r="CQ7" t="s">
        <v>274</v>
      </c>
    </row>
    <row r="8" spans="1:95">
      <c r="A8" s="65" t="s">
        <v>300</v>
      </c>
      <c r="B8" s="82">
        <v>41944</v>
      </c>
      <c r="C8" t="s">
        <v>272</v>
      </c>
      <c r="D8" t="s">
        <v>272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2" t="s">
        <v>275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BW8" t="s">
        <v>293</v>
      </c>
      <c r="CQ8" t="s">
        <v>274</v>
      </c>
    </row>
    <row r="9" spans="1:95">
      <c r="A9" s="65" t="s">
        <v>301</v>
      </c>
      <c r="B9" s="82">
        <v>41944</v>
      </c>
      <c r="C9" t="s">
        <v>272</v>
      </c>
      <c r="D9" t="s">
        <v>272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BW9" t="s">
        <v>293</v>
      </c>
      <c r="CQ9" t="s">
        <v>274</v>
      </c>
    </row>
    <row r="10" spans="1:95">
      <c r="A10" s="65" t="s">
        <v>302</v>
      </c>
      <c r="B10" s="82">
        <v>41944</v>
      </c>
      <c r="C10" t="s">
        <v>272</v>
      </c>
      <c r="D10" t="s">
        <v>272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BW10" t="s">
        <v>292</v>
      </c>
      <c r="CQ10" t="s">
        <v>274</v>
      </c>
    </row>
    <row r="11" spans="1:95">
      <c r="A11" s="65" t="s">
        <v>294</v>
      </c>
      <c r="B11" s="82">
        <v>41944</v>
      </c>
      <c r="C11" t="s">
        <v>272</v>
      </c>
      <c r="D11" t="s">
        <v>272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BW11" t="s">
        <v>290</v>
      </c>
      <c r="CQ11" t="s">
        <v>274</v>
      </c>
    </row>
    <row r="12" spans="1:95">
      <c r="A12" s="65" t="s">
        <v>295</v>
      </c>
      <c r="B12" s="82">
        <v>41944</v>
      </c>
      <c r="C12" t="s">
        <v>272</v>
      </c>
      <c r="D12" t="s">
        <v>272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BW12" t="s">
        <v>290</v>
      </c>
      <c r="CQ12" t="s">
        <v>274</v>
      </c>
    </row>
    <row r="13" spans="1:95">
      <c r="A13" s="65" t="s">
        <v>296</v>
      </c>
      <c r="B13" s="82">
        <v>41944</v>
      </c>
      <c r="C13" t="s">
        <v>272</v>
      </c>
      <c r="D13" t="s">
        <v>272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BW13" t="s">
        <v>290</v>
      </c>
      <c r="CQ13" t="s">
        <v>274</v>
      </c>
    </row>
    <row r="14" spans="1:95">
      <c r="A14" s="65" t="s">
        <v>297</v>
      </c>
      <c r="B14" s="82">
        <v>41944</v>
      </c>
      <c r="C14" t="s">
        <v>272</v>
      </c>
      <c r="D14" t="s">
        <v>272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BW14" t="s">
        <v>290</v>
      </c>
      <c r="CQ14" t="s">
        <v>274</v>
      </c>
    </row>
    <row r="15" spans="1:95">
      <c r="A15" s="65" t="s">
        <v>298</v>
      </c>
      <c r="B15" s="82">
        <v>41944</v>
      </c>
      <c r="C15" t="s">
        <v>272</v>
      </c>
      <c r="D15" t="s">
        <v>272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BW15" t="s">
        <v>291</v>
      </c>
      <c r="CQ15" t="s">
        <v>274</v>
      </c>
    </row>
    <row r="16" spans="1:95" ht="30">
      <c r="A16" s="65" t="s">
        <v>299</v>
      </c>
      <c r="B16" s="82">
        <v>41944</v>
      </c>
      <c r="C16" t="s">
        <v>272</v>
      </c>
      <c r="D16" t="s">
        <v>272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1" t="s">
        <v>276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BW16" t="s">
        <v>291</v>
      </c>
      <c r="CQ16" t="s">
        <v>274</v>
      </c>
    </row>
    <row r="17" spans="1:95">
      <c r="A17" s="65" t="s">
        <v>300</v>
      </c>
      <c r="B17" s="82">
        <v>41944</v>
      </c>
      <c r="C17" t="s">
        <v>272</v>
      </c>
      <c r="D17" t="s">
        <v>272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2" t="s">
        <v>275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BW17" t="s">
        <v>293</v>
      </c>
      <c r="CQ17" t="s">
        <v>274</v>
      </c>
    </row>
    <row r="18" spans="1:95">
      <c r="A18" s="65" t="s">
        <v>301</v>
      </c>
      <c r="B18" s="82">
        <v>41944</v>
      </c>
      <c r="C18" t="s">
        <v>272</v>
      </c>
      <c r="D18" t="s">
        <v>272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BW18" t="s">
        <v>293</v>
      </c>
      <c r="CQ18" t="s">
        <v>274</v>
      </c>
    </row>
    <row r="19" spans="1:95">
      <c r="A19" s="65" t="s">
        <v>302</v>
      </c>
      <c r="B19" s="82">
        <v>41944</v>
      </c>
      <c r="C19" t="s">
        <v>272</v>
      </c>
      <c r="D19" t="s">
        <v>272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BW19" t="s">
        <v>292</v>
      </c>
      <c r="CQ19" t="s">
        <v>274</v>
      </c>
    </row>
    <row r="20" spans="1:95">
      <c r="A20" s="65" t="s">
        <v>294</v>
      </c>
      <c r="B20" s="82">
        <v>41944</v>
      </c>
      <c r="C20" t="s">
        <v>272</v>
      </c>
      <c r="D20" t="s">
        <v>272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BW20" t="s">
        <v>290</v>
      </c>
      <c r="CQ20" t="s">
        <v>274</v>
      </c>
    </row>
    <row r="21" spans="1:95">
      <c r="A21" s="65" t="s">
        <v>295</v>
      </c>
      <c r="B21" s="82">
        <v>41944</v>
      </c>
      <c r="C21" t="s">
        <v>272</v>
      </c>
      <c r="D21" t="s">
        <v>272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BW21" t="s">
        <v>290</v>
      </c>
      <c r="CQ21" t="s">
        <v>274</v>
      </c>
    </row>
    <row r="22" spans="1:95">
      <c r="A22" s="65" t="s">
        <v>296</v>
      </c>
      <c r="B22" s="82">
        <v>41944</v>
      </c>
      <c r="C22" t="s">
        <v>272</v>
      </c>
      <c r="D22" t="s">
        <v>272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BW22" t="s">
        <v>290</v>
      </c>
      <c r="CQ22" t="s">
        <v>274</v>
      </c>
    </row>
    <row r="23" spans="1:95">
      <c r="A23" s="65" t="s">
        <v>297</v>
      </c>
      <c r="B23" s="82">
        <v>41944</v>
      </c>
      <c r="C23" t="s">
        <v>272</v>
      </c>
      <c r="D23" t="s">
        <v>272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BW23" t="s">
        <v>290</v>
      </c>
      <c r="CQ23" t="s">
        <v>274</v>
      </c>
    </row>
    <row r="24" spans="1:95">
      <c r="A24" s="65" t="s">
        <v>298</v>
      </c>
      <c r="B24" s="82">
        <v>41944</v>
      </c>
      <c r="C24" t="s">
        <v>272</v>
      </c>
      <c r="D24" t="s">
        <v>272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BW24" t="s">
        <v>291</v>
      </c>
      <c r="CQ24" t="s">
        <v>274</v>
      </c>
    </row>
    <row r="25" spans="1:95" ht="30">
      <c r="A25" s="65" t="s">
        <v>299</v>
      </c>
      <c r="B25" s="82">
        <v>41944</v>
      </c>
      <c r="C25" t="s">
        <v>272</v>
      </c>
      <c r="D25" t="s">
        <v>272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BW25" t="s">
        <v>291</v>
      </c>
      <c r="CQ25" t="s">
        <v>274</v>
      </c>
    </row>
    <row r="26" spans="1:95">
      <c r="A26" s="65" t="s">
        <v>300</v>
      </c>
      <c r="B26" s="82">
        <v>41944</v>
      </c>
      <c r="C26" t="s">
        <v>272</v>
      </c>
      <c r="D26" t="s">
        <v>272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2" t="s">
        <v>275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BW26" t="s">
        <v>293</v>
      </c>
      <c r="CQ26" t="s">
        <v>274</v>
      </c>
    </row>
    <row r="27" spans="1:95">
      <c r="A27" s="65" t="s">
        <v>301</v>
      </c>
      <c r="B27" s="82">
        <v>41944</v>
      </c>
      <c r="C27" t="s">
        <v>272</v>
      </c>
      <c r="D27" t="s">
        <v>272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BW27" t="s">
        <v>293</v>
      </c>
      <c r="CQ27" t="s">
        <v>274</v>
      </c>
    </row>
    <row r="28" spans="1:95">
      <c r="A28" s="65" t="s">
        <v>302</v>
      </c>
      <c r="B28" s="82">
        <v>41944</v>
      </c>
      <c r="C28" t="s">
        <v>272</v>
      </c>
      <c r="D28" t="s">
        <v>272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BW28" t="s">
        <v>292</v>
      </c>
      <c r="CI28" s="62" t="s">
        <v>275</v>
      </c>
      <c r="CQ28" t="s">
        <v>274</v>
      </c>
    </row>
    <row r="29" spans="1:95">
      <c r="A29" s="65" t="s">
        <v>294</v>
      </c>
      <c r="B29" s="82">
        <v>41944</v>
      </c>
      <c r="C29" t="s">
        <v>272</v>
      </c>
      <c r="D29" t="s">
        <v>272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2" t="s">
        <v>275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BW29" t="s">
        <v>290</v>
      </c>
      <c r="CQ29" t="s">
        <v>274</v>
      </c>
    </row>
    <row r="30" spans="1:95">
      <c r="A30" s="65" t="s">
        <v>295</v>
      </c>
      <c r="B30" s="82">
        <v>41944</v>
      </c>
      <c r="C30" t="s">
        <v>272</v>
      </c>
      <c r="D30" t="s">
        <v>272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1" t="s">
        <v>276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BW30" t="s">
        <v>290</v>
      </c>
      <c r="CQ30" t="s">
        <v>274</v>
      </c>
    </row>
    <row r="31" spans="1:95">
      <c r="A31" s="65" t="s">
        <v>296</v>
      </c>
      <c r="B31" s="82">
        <v>41944</v>
      </c>
      <c r="C31" t="s">
        <v>272</v>
      </c>
      <c r="D31" t="s">
        <v>272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2" t="s">
        <v>275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BW31" t="s">
        <v>290</v>
      </c>
      <c r="CQ31" t="s">
        <v>274</v>
      </c>
    </row>
    <row r="32" spans="1:95">
      <c r="A32" s="65" t="s">
        <v>297</v>
      </c>
      <c r="B32" s="82">
        <v>41944</v>
      </c>
      <c r="C32" t="s">
        <v>272</v>
      </c>
      <c r="D32" t="s">
        <v>272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2" t="s">
        <v>275</v>
      </c>
      <c r="BU32" t="s">
        <v>136</v>
      </c>
      <c r="BV32" t="s">
        <v>136</v>
      </c>
      <c r="BW32" t="s">
        <v>290</v>
      </c>
      <c r="CQ32" t="s">
        <v>274</v>
      </c>
    </row>
    <row r="33" spans="1:95">
      <c r="A33" s="65" t="s">
        <v>298</v>
      </c>
      <c r="B33" s="82">
        <v>41944</v>
      </c>
      <c r="C33" t="s">
        <v>272</v>
      </c>
      <c r="D33" t="s">
        <v>272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BW33" t="s">
        <v>291</v>
      </c>
      <c r="CQ33" t="s">
        <v>274</v>
      </c>
    </row>
    <row r="34" spans="1:95" ht="30">
      <c r="A34" s="65" t="s">
        <v>299</v>
      </c>
      <c r="B34" s="82">
        <v>41944</v>
      </c>
      <c r="C34" t="s">
        <v>275</v>
      </c>
      <c r="D34" t="s">
        <v>273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BW34" t="s">
        <v>291</v>
      </c>
      <c r="CQ34" t="s">
        <v>274</v>
      </c>
    </row>
    <row r="35" spans="1:95">
      <c r="A35" s="65" t="s">
        <v>300</v>
      </c>
      <c r="B35" s="82">
        <v>41944</v>
      </c>
      <c r="C35" t="s">
        <v>272</v>
      </c>
      <c r="D35" t="s">
        <v>273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BW35" t="s">
        <v>293</v>
      </c>
      <c r="CQ35" t="s">
        <v>274</v>
      </c>
    </row>
    <row r="36" spans="1:95">
      <c r="A36" s="65" t="s">
        <v>301</v>
      </c>
      <c r="B36" s="82">
        <v>41944</v>
      </c>
      <c r="C36" t="s">
        <v>272</v>
      </c>
      <c r="D36" t="s">
        <v>273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BW36" t="s">
        <v>293</v>
      </c>
      <c r="CQ36" t="s">
        <v>274</v>
      </c>
    </row>
    <row r="37" spans="1:95">
      <c r="A37" s="65" t="s">
        <v>302</v>
      </c>
      <c r="B37" s="82">
        <v>41944</v>
      </c>
      <c r="C37" t="s">
        <v>272</v>
      </c>
      <c r="D37" t="s">
        <v>273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BW37" t="s">
        <v>292</v>
      </c>
      <c r="CQ37" t="s">
        <v>274</v>
      </c>
    </row>
    <row r="38" spans="1:95">
      <c r="A38" s="65" t="s">
        <v>294</v>
      </c>
      <c r="B38" s="82">
        <v>41944</v>
      </c>
      <c r="C38" t="s">
        <v>272</v>
      </c>
      <c r="D38" t="s">
        <v>273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BW38" t="s">
        <v>290</v>
      </c>
      <c r="CB38" s="62" t="s">
        <v>275</v>
      </c>
      <c r="CQ38" t="s">
        <v>274</v>
      </c>
    </row>
    <row r="39" spans="1:95">
      <c r="A39" s="65" t="s">
        <v>295</v>
      </c>
      <c r="B39" s="82">
        <v>41944</v>
      </c>
      <c r="C39" t="s">
        <v>272</v>
      </c>
      <c r="D39" t="s">
        <v>273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BW39" t="s">
        <v>290</v>
      </c>
      <c r="CQ39" t="s">
        <v>274</v>
      </c>
    </row>
    <row r="40" spans="1:95">
      <c r="A40" s="65" t="s">
        <v>296</v>
      </c>
      <c r="B40" s="82">
        <v>41944</v>
      </c>
      <c r="C40" t="s">
        <v>272</v>
      </c>
      <c r="D40" t="s">
        <v>273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1" t="s">
        <v>276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BW40" t="s">
        <v>290</v>
      </c>
      <c r="CQ40" t="s">
        <v>274</v>
      </c>
    </row>
    <row r="41" spans="1:95">
      <c r="A41" s="65" t="s">
        <v>297</v>
      </c>
      <c r="B41" s="82">
        <v>41944</v>
      </c>
      <c r="C41" t="s">
        <v>272</v>
      </c>
      <c r="D41" t="s">
        <v>273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BW41" t="s">
        <v>290</v>
      </c>
      <c r="CQ41" t="s">
        <v>274</v>
      </c>
    </row>
    <row r="42" spans="1:95">
      <c r="A42" s="65" t="s">
        <v>298</v>
      </c>
      <c r="B42" s="82">
        <v>41944</v>
      </c>
      <c r="C42" t="s">
        <v>272</v>
      </c>
      <c r="D42" t="s">
        <v>273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BW42" t="s">
        <v>291</v>
      </c>
      <c r="CQ42" t="s">
        <v>274</v>
      </c>
    </row>
    <row r="43" spans="1:95" ht="30">
      <c r="A43" s="65" t="s">
        <v>299</v>
      </c>
      <c r="B43" s="82">
        <v>41944</v>
      </c>
      <c r="C43" t="s">
        <v>272</v>
      </c>
      <c r="D43" t="s">
        <v>273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1" t="s">
        <v>276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BW43" t="s">
        <v>291</v>
      </c>
      <c r="CQ43" t="s">
        <v>274</v>
      </c>
    </row>
    <row r="44" spans="1:95">
      <c r="A44" s="65" t="s">
        <v>300</v>
      </c>
      <c r="B44" s="82">
        <v>41944</v>
      </c>
      <c r="C44" t="s">
        <v>272</v>
      </c>
      <c r="D44" t="s">
        <v>273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BW44" t="s">
        <v>293</v>
      </c>
      <c r="CQ44" t="s">
        <v>274</v>
      </c>
    </row>
    <row r="45" spans="1:95">
      <c r="A45" s="65" t="s">
        <v>301</v>
      </c>
      <c r="B45" s="82">
        <v>41944</v>
      </c>
      <c r="C45" t="s">
        <v>272</v>
      </c>
      <c r="D45" t="s">
        <v>273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BW45" t="s">
        <v>293</v>
      </c>
      <c r="CQ45" t="s">
        <v>274</v>
      </c>
    </row>
    <row r="46" spans="1:95">
      <c r="A46" s="65" t="s">
        <v>302</v>
      </c>
      <c r="B46" s="82">
        <v>41944</v>
      </c>
      <c r="C46" t="s">
        <v>272</v>
      </c>
      <c r="D46" t="s">
        <v>273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BW46" t="s">
        <v>292</v>
      </c>
      <c r="CQ46" t="s">
        <v>274</v>
      </c>
    </row>
    <row r="47" spans="1:95">
      <c r="A47" s="65" t="s">
        <v>294</v>
      </c>
      <c r="B47" s="82">
        <v>41944</v>
      </c>
      <c r="C47" t="s">
        <v>272</v>
      </c>
      <c r="D47" t="s">
        <v>273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BW47" t="s">
        <v>290</v>
      </c>
      <c r="CQ47" t="s">
        <v>274</v>
      </c>
    </row>
    <row r="48" spans="1:95">
      <c r="A48" s="65" t="s">
        <v>295</v>
      </c>
      <c r="B48" s="82">
        <v>41944</v>
      </c>
      <c r="C48" t="s">
        <v>272</v>
      </c>
      <c r="D48" t="s">
        <v>273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BW48" t="s">
        <v>290</v>
      </c>
      <c r="CQ48" t="s">
        <v>274</v>
      </c>
    </row>
    <row r="49" spans="1:95">
      <c r="A49" s="65" t="s">
        <v>296</v>
      </c>
      <c r="B49" s="82">
        <v>41944</v>
      </c>
      <c r="C49" t="s">
        <v>272</v>
      </c>
      <c r="D49" t="s">
        <v>273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BW49" t="s">
        <v>290</v>
      </c>
      <c r="CQ49" t="s">
        <v>274</v>
      </c>
    </row>
    <row r="50" spans="1:95">
      <c r="A50" s="65" t="s">
        <v>297</v>
      </c>
      <c r="B50" s="82">
        <v>41944</v>
      </c>
      <c r="C50" t="s">
        <v>272</v>
      </c>
      <c r="D50" t="s">
        <v>272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BW50" t="s">
        <v>290</v>
      </c>
      <c r="CQ50" t="s">
        <v>274</v>
      </c>
    </row>
    <row r="51" spans="1:95">
      <c r="A51" s="65" t="s">
        <v>298</v>
      </c>
      <c r="B51" s="82">
        <v>41944</v>
      </c>
      <c r="C51" t="s">
        <v>272</v>
      </c>
      <c r="D51" t="s">
        <v>272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2" t="s">
        <v>275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BW51" t="s">
        <v>291</v>
      </c>
      <c r="CD51" s="62" t="s">
        <v>275</v>
      </c>
      <c r="CQ51" t="s">
        <v>274</v>
      </c>
    </row>
    <row r="52" spans="1:95" ht="30">
      <c r="A52" s="65" t="s">
        <v>299</v>
      </c>
      <c r="B52" s="82">
        <v>41944</v>
      </c>
      <c r="C52" t="s">
        <v>272</v>
      </c>
      <c r="D52" t="s">
        <v>272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1" t="s">
        <v>276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BW52" t="s">
        <v>291</v>
      </c>
      <c r="CQ52" t="s">
        <v>274</v>
      </c>
    </row>
    <row r="53" spans="1:95">
      <c r="A53" s="65" t="s">
        <v>300</v>
      </c>
      <c r="B53" s="82">
        <v>41944</v>
      </c>
      <c r="C53" t="s">
        <v>272</v>
      </c>
      <c r="D53" t="s">
        <v>272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BW53" t="s">
        <v>293</v>
      </c>
      <c r="CQ53" t="s">
        <v>274</v>
      </c>
    </row>
    <row r="54" spans="1:95">
      <c r="A54" s="65" t="s">
        <v>301</v>
      </c>
      <c r="B54" s="82">
        <v>41944</v>
      </c>
      <c r="C54" t="s">
        <v>272</v>
      </c>
      <c r="D54" t="s">
        <v>272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BW54" t="s">
        <v>293</v>
      </c>
      <c r="CQ54" t="s">
        <v>274</v>
      </c>
    </row>
    <row r="55" spans="1:95">
      <c r="A55" s="65" t="s">
        <v>302</v>
      </c>
      <c r="B55" s="82">
        <v>41944</v>
      </c>
      <c r="C55" t="s">
        <v>272</v>
      </c>
      <c r="D55" t="s">
        <v>272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BW55" t="s">
        <v>292</v>
      </c>
      <c r="CQ55" t="s">
        <v>274</v>
      </c>
    </row>
    <row r="56" spans="1:95">
      <c r="A56" s="65" t="s">
        <v>294</v>
      </c>
      <c r="B56" s="82">
        <v>41944</v>
      </c>
      <c r="C56" t="s">
        <v>272</v>
      </c>
      <c r="D56" t="s">
        <v>272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2" t="s">
        <v>275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BW56" t="s">
        <v>290</v>
      </c>
      <c r="CQ56" t="s">
        <v>274</v>
      </c>
    </row>
    <row r="57" spans="1:95">
      <c r="A57" s="65" t="s">
        <v>295</v>
      </c>
      <c r="B57" s="82">
        <v>41944</v>
      </c>
      <c r="C57" t="s">
        <v>272</v>
      </c>
      <c r="D57" t="s">
        <v>272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1" t="s">
        <v>276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BW57" t="s">
        <v>290</v>
      </c>
      <c r="CQ57" t="s">
        <v>274</v>
      </c>
    </row>
    <row r="58" spans="1:95">
      <c r="A58" s="65" t="s">
        <v>296</v>
      </c>
      <c r="B58" s="82">
        <v>41944</v>
      </c>
      <c r="C58" t="s">
        <v>272</v>
      </c>
      <c r="D58" t="s">
        <v>272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1" t="s">
        <v>276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BW58" t="s">
        <v>290</v>
      </c>
      <c r="CQ58" t="s">
        <v>274</v>
      </c>
    </row>
    <row r="59" spans="1:95">
      <c r="A59" s="65" t="s">
        <v>297</v>
      </c>
      <c r="B59" s="82">
        <v>41944</v>
      </c>
      <c r="C59" t="s">
        <v>272</v>
      </c>
      <c r="D59" t="s">
        <v>272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2" t="s">
        <v>275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BW59" t="s">
        <v>290</v>
      </c>
      <c r="CQ59" t="s">
        <v>274</v>
      </c>
    </row>
    <row r="60" spans="1:95">
      <c r="A60" s="65" t="s">
        <v>298</v>
      </c>
      <c r="B60" s="82">
        <v>41944</v>
      </c>
      <c r="C60" t="s">
        <v>272</v>
      </c>
      <c r="D60" t="s">
        <v>272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2" t="s">
        <v>275</v>
      </c>
      <c r="BW60" s="61" t="s">
        <v>291</v>
      </c>
      <c r="BX60" s="62" t="s">
        <v>275</v>
      </c>
      <c r="CL60" s="62" t="s">
        <v>275</v>
      </c>
      <c r="CQ60" t="s">
        <v>274</v>
      </c>
    </row>
    <row r="61" spans="1:95" ht="30">
      <c r="A61" s="65" t="s">
        <v>299</v>
      </c>
      <c r="B61" s="82">
        <v>41944</v>
      </c>
      <c r="C61" t="s">
        <v>272</v>
      </c>
      <c r="D61" t="s">
        <v>272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BW61" t="s">
        <v>291</v>
      </c>
      <c r="CQ61" t="s">
        <v>274</v>
      </c>
    </row>
    <row r="62" spans="1:95">
      <c r="A62" s="65" t="s">
        <v>300</v>
      </c>
      <c r="B62" s="82">
        <v>41944</v>
      </c>
      <c r="C62" t="s">
        <v>272</v>
      </c>
      <c r="D62" t="s">
        <v>272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BW62" t="s">
        <v>293</v>
      </c>
      <c r="CQ62" t="s">
        <v>274</v>
      </c>
    </row>
    <row r="63" spans="1:95">
      <c r="A63" s="65" t="s">
        <v>301</v>
      </c>
      <c r="B63" s="82">
        <v>41944</v>
      </c>
      <c r="C63" t="s">
        <v>272</v>
      </c>
      <c r="D63" t="s">
        <v>272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BW63" t="s">
        <v>293</v>
      </c>
      <c r="CQ63" t="s">
        <v>274</v>
      </c>
    </row>
    <row r="64" spans="1:95">
      <c r="A64" s="65" t="s">
        <v>302</v>
      </c>
      <c r="B64" s="82">
        <v>41944</v>
      </c>
      <c r="C64" t="s">
        <v>272</v>
      </c>
      <c r="D64" t="s">
        <v>272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BW64" t="s">
        <v>292</v>
      </c>
      <c r="CD64" s="62" t="s">
        <v>275</v>
      </c>
      <c r="CQ64" t="s">
        <v>274</v>
      </c>
    </row>
    <row r="65" spans="1:95">
      <c r="A65" s="65" t="s">
        <v>294</v>
      </c>
      <c r="B65" s="82">
        <v>41944</v>
      </c>
      <c r="C65" t="s">
        <v>272</v>
      </c>
      <c r="D65" t="s">
        <v>272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BW65" t="s">
        <v>290</v>
      </c>
      <c r="CQ65" t="s">
        <v>274</v>
      </c>
    </row>
    <row r="66" spans="1:95">
      <c r="A66" s="65" t="s">
        <v>295</v>
      </c>
      <c r="B66" s="82">
        <v>41944</v>
      </c>
      <c r="C66" t="s">
        <v>272</v>
      </c>
      <c r="D66" t="s">
        <v>272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W66" t="s">
        <v>290</v>
      </c>
      <c r="BX66" s="62" t="s">
        <v>275</v>
      </c>
      <c r="CQ66" t="s">
        <v>274</v>
      </c>
    </row>
    <row r="67" spans="1:95">
      <c r="A67" s="65" t="s">
        <v>296</v>
      </c>
      <c r="B67" s="82">
        <v>41944</v>
      </c>
      <c r="C67" t="s">
        <v>272</v>
      </c>
      <c r="D67" t="s">
        <v>273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1" t="s">
        <v>276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BW67" t="s">
        <v>290</v>
      </c>
      <c r="CQ67" t="s">
        <v>274</v>
      </c>
    </row>
    <row r="68" spans="1:95">
      <c r="A68" s="65" t="s">
        <v>297</v>
      </c>
      <c r="B68" s="82">
        <v>41944</v>
      </c>
      <c r="C68" t="s">
        <v>272</v>
      </c>
      <c r="D68" t="s">
        <v>273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2" t="s">
        <v>275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2" t="s">
        <v>275</v>
      </c>
      <c r="BW68" t="s">
        <v>290</v>
      </c>
      <c r="CQ68" t="s">
        <v>274</v>
      </c>
    </row>
    <row r="69" spans="1:95">
      <c r="A69" s="65" t="s">
        <v>298</v>
      </c>
      <c r="B69" s="82">
        <v>41944</v>
      </c>
      <c r="C69" t="s">
        <v>272</v>
      </c>
      <c r="D69" t="s">
        <v>273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BW69" t="s">
        <v>291</v>
      </c>
      <c r="CQ69" t="s">
        <v>274</v>
      </c>
    </row>
    <row r="70" spans="1:95" ht="30">
      <c r="A70" s="65" t="s">
        <v>299</v>
      </c>
      <c r="B70" s="82">
        <v>41944</v>
      </c>
      <c r="C70" t="s">
        <v>272</v>
      </c>
      <c r="D70" t="s">
        <v>273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BW70" t="s">
        <v>291</v>
      </c>
      <c r="CQ70" t="s">
        <v>274</v>
      </c>
    </row>
    <row r="71" spans="1:95">
      <c r="A71" s="65" t="s">
        <v>300</v>
      </c>
      <c r="B71" s="82">
        <v>41944</v>
      </c>
      <c r="C71" t="s">
        <v>272</v>
      </c>
      <c r="D71" t="s">
        <v>273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BW71" t="s">
        <v>293</v>
      </c>
      <c r="CQ71" t="s">
        <v>274</v>
      </c>
    </row>
    <row r="72" spans="1:95">
      <c r="A72" s="65" t="s">
        <v>301</v>
      </c>
      <c r="B72" s="82">
        <v>41944</v>
      </c>
      <c r="C72" t="s">
        <v>272</v>
      </c>
      <c r="D72" t="s">
        <v>273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1" t="s">
        <v>276</v>
      </c>
      <c r="BD72" s="61" t="s">
        <v>276</v>
      </c>
      <c r="BE72" s="61" t="s">
        <v>276</v>
      </c>
      <c r="BF72" s="61" t="s">
        <v>276</v>
      </c>
      <c r="BG72" s="61" t="s">
        <v>276</v>
      </c>
      <c r="BH72" s="61" t="s">
        <v>276</v>
      </c>
      <c r="BI72" s="61" t="s">
        <v>276</v>
      </c>
      <c r="BJ72" s="61" t="s">
        <v>276</v>
      </c>
      <c r="BK72" s="61" t="s">
        <v>276</v>
      </c>
      <c r="BL72" s="61" t="s">
        <v>276</v>
      </c>
      <c r="BM72" s="61" t="s">
        <v>276</v>
      </c>
      <c r="BN72" s="61" t="s">
        <v>276</v>
      </c>
      <c r="BO72" s="61" t="s">
        <v>276</v>
      </c>
      <c r="BP72" s="61" t="s">
        <v>276</v>
      </c>
      <c r="BQ72" s="61" t="s">
        <v>276</v>
      </c>
      <c r="BR72" s="61" t="s">
        <v>276</v>
      </c>
      <c r="BS72" s="61" t="s">
        <v>276</v>
      </c>
      <c r="BT72" s="61" t="s">
        <v>276</v>
      </c>
      <c r="BU72" s="61" t="s">
        <v>276</v>
      </c>
      <c r="BV72" s="61" t="s">
        <v>276</v>
      </c>
      <c r="BW72" s="61" t="s">
        <v>293</v>
      </c>
      <c r="BX72" s="61" t="s">
        <v>276</v>
      </c>
      <c r="BY72" s="61" t="s">
        <v>276</v>
      </c>
      <c r="BZ72" s="61" t="s">
        <v>276</v>
      </c>
      <c r="CA72" s="61" t="s">
        <v>276</v>
      </c>
      <c r="CB72" s="61" t="s">
        <v>276</v>
      </c>
      <c r="CC72" s="61" t="s">
        <v>276</v>
      </c>
      <c r="CD72" s="61" t="s">
        <v>276</v>
      </c>
      <c r="CE72" s="61" t="s">
        <v>276</v>
      </c>
      <c r="CF72" s="61" t="s">
        <v>276</v>
      </c>
      <c r="CG72" s="61" t="s">
        <v>276</v>
      </c>
      <c r="CH72" s="61" t="s">
        <v>276</v>
      </c>
      <c r="CI72" s="61" t="s">
        <v>276</v>
      </c>
      <c r="CJ72" s="61" t="s">
        <v>276</v>
      </c>
      <c r="CK72" s="61" t="s">
        <v>276</v>
      </c>
      <c r="CL72" s="61" t="s">
        <v>276</v>
      </c>
      <c r="CM72" s="61" t="s">
        <v>276</v>
      </c>
      <c r="CN72" s="61" t="s">
        <v>276</v>
      </c>
      <c r="CO72" s="61" t="s">
        <v>276</v>
      </c>
      <c r="CP72" s="61" t="s">
        <v>276</v>
      </c>
      <c r="CQ72" t="s">
        <v>274</v>
      </c>
    </row>
    <row r="73" spans="1:95">
      <c r="A73" s="65" t="s">
        <v>302</v>
      </c>
      <c r="B73" s="82">
        <v>41944</v>
      </c>
      <c r="C73" t="s">
        <v>272</v>
      </c>
      <c r="D73" t="s">
        <v>273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1" t="s">
        <v>276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BW73" t="s">
        <v>292</v>
      </c>
      <c r="CQ73" t="s">
        <v>274</v>
      </c>
    </row>
    <row r="74" spans="1:95">
      <c r="A74" s="65" t="s">
        <v>294</v>
      </c>
      <c r="B74" s="82">
        <v>41944</v>
      </c>
      <c r="C74" t="s">
        <v>272</v>
      </c>
      <c r="D74" t="s">
        <v>273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BW74" t="s">
        <v>290</v>
      </c>
      <c r="CQ74" t="s">
        <v>274</v>
      </c>
    </row>
    <row r="75" spans="1:95">
      <c r="A75" s="65" t="s">
        <v>295</v>
      </c>
      <c r="B75" s="82">
        <v>41944</v>
      </c>
      <c r="C75" t="s">
        <v>272</v>
      </c>
      <c r="D75" t="s">
        <v>272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1" t="s">
        <v>276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BW75" t="s">
        <v>290</v>
      </c>
      <c r="CQ75" t="s">
        <v>274</v>
      </c>
    </row>
    <row r="76" spans="1:95">
      <c r="A76" s="65" t="s">
        <v>296</v>
      </c>
      <c r="B76" s="82">
        <v>41944</v>
      </c>
      <c r="C76" t="s">
        <v>272</v>
      </c>
      <c r="D76" t="s">
        <v>272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BW76" t="s">
        <v>290</v>
      </c>
      <c r="CC76" s="61" t="s">
        <v>276</v>
      </c>
      <c r="CH76" s="62" t="s">
        <v>275</v>
      </c>
      <c r="CN76" s="61" t="s">
        <v>276</v>
      </c>
      <c r="CO76" s="61" t="s">
        <v>276</v>
      </c>
      <c r="CP76" s="61" t="s">
        <v>276</v>
      </c>
      <c r="CQ76" t="s">
        <v>274</v>
      </c>
    </row>
    <row r="77" spans="1:95">
      <c r="A77" s="65" t="s">
        <v>297</v>
      </c>
      <c r="B77" s="82">
        <v>41944</v>
      </c>
      <c r="C77" t="s">
        <v>272</v>
      </c>
      <c r="D77" t="s">
        <v>272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BW77" t="s">
        <v>290</v>
      </c>
      <c r="CA77" s="61" t="s">
        <v>276</v>
      </c>
      <c r="CQ77" t="s">
        <v>274</v>
      </c>
    </row>
    <row r="78" spans="1:95">
      <c r="A78" s="65" t="s">
        <v>298</v>
      </c>
      <c r="B78" s="82">
        <v>41944</v>
      </c>
      <c r="C78" t="s">
        <v>272</v>
      </c>
      <c r="D78" t="s">
        <v>272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BW78" t="s">
        <v>291</v>
      </c>
      <c r="CQ78" t="s">
        <v>274</v>
      </c>
    </row>
    <row r="79" spans="1:95" ht="30">
      <c r="A79" s="65" t="s">
        <v>299</v>
      </c>
      <c r="B79" s="82">
        <v>41944</v>
      </c>
      <c r="C79" t="s">
        <v>272</v>
      </c>
      <c r="D79" t="s">
        <v>272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BW79" t="s">
        <v>291</v>
      </c>
      <c r="CQ79" t="s">
        <v>274</v>
      </c>
    </row>
    <row r="80" spans="1:95">
      <c r="A80" s="65" t="s">
        <v>300</v>
      </c>
      <c r="B80" s="82">
        <v>41944</v>
      </c>
      <c r="C80" t="s">
        <v>272</v>
      </c>
      <c r="D80" t="s">
        <v>272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2" t="s">
        <v>275</v>
      </c>
      <c r="BW80" t="s">
        <v>293</v>
      </c>
      <c r="CQ80" t="s">
        <v>274</v>
      </c>
    </row>
    <row r="81" spans="1:95">
      <c r="A81" s="65" t="s">
        <v>301</v>
      </c>
      <c r="B81" s="82">
        <v>41944</v>
      </c>
      <c r="C81" t="s">
        <v>272</v>
      </c>
      <c r="D81" t="s">
        <v>272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1" t="s">
        <v>276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BW81" t="s">
        <v>293</v>
      </c>
      <c r="CE81" s="62" t="s">
        <v>275</v>
      </c>
      <c r="CQ81" t="s">
        <v>274</v>
      </c>
    </row>
    <row r="82" spans="1:95">
      <c r="A82" s="65" t="s">
        <v>302</v>
      </c>
      <c r="B82" s="82">
        <v>41944</v>
      </c>
      <c r="C82" t="s">
        <v>272</v>
      </c>
      <c r="D82" t="s">
        <v>272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BW82" t="s">
        <v>292</v>
      </c>
      <c r="CQ82" t="s">
        <v>274</v>
      </c>
    </row>
    <row r="83" spans="1:95">
      <c r="A83" s="65" t="s">
        <v>294</v>
      </c>
      <c r="B83" s="82">
        <v>41944</v>
      </c>
      <c r="C83" t="s">
        <v>272</v>
      </c>
      <c r="D83" t="s">
        <v>272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BW83" t="s">
        <v>290</v>
      </c>
      <c r="CQ83" t="s">
        <v>274</v>
      </c>
    </row>
    <row r="84" spans="1:95">
      <c r="A84" s="65" t="s">
        <v>295</v>
      </c>
      <c r="B84" s="82">
        <v>41944</v>
      </c>
      <c r="C84" t="s">
        <v>272</v>
      </c>
      <c r="D84" t="s">
        <v>272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2" t="s">
        <v>275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1" t="s">
        <v>276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BW84" t="s">
        <v>290</v>
      </c>
      <c r="CQ84" t="s">
        <v>274</v>
      </c>
    </row>
    <row r="85" spans="1:95">
      <c r="A85" s="65" t="s">
        <v>296</v>
      </c>
      <c r="B85" s="82">
        <v>41944</v>
      </c>
      <c r="C85" t="s">
        <v>272</v>
      </c>
      <c r="D85" t="s">
        <v>272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BW85" t="s">
        <v>290</v>
      </c>
      <c r="CQ85" t="s">
        <v>274</v>
      </c>
    </row>
    <row r="86" spans="1:95">
      <c r="A86" s="65" t="s">
        <v>297</v>
      </c>
      <c r="B86" s="82">
        <v>41944</v>
      </c>
      <c r="C86" t="s">
        <v>272</v>
      </c>
      <c r="D86" t="s">
        <v>272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BW86" t="s">
        <v>290</v>
      </c>
      <c r="CQ86" t="s">
        <v>274</v>
      </c>
    </row>
    <row r="87" spans="1:95">
      <c r="A87" s="65" t="s">
        <v>298</v>
      </c>
      <c r="B87" s="82">
        <v>41944</v>
      </c>
      <c r="C87" t="s">
        <v>272</v>
      </c>
      <c r="D87" t="s">
        <v>272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BW87" t="s">
        <v>291</v>
      </c>
      <c r="CF87" s="61" t="s">
        <v>276</v>
      </c>
      <c r="CQ87" t="s">
        <v>274</v>
      </c>
    </row>
    <row r="88" spans="1:95" ht="30">
      <c r="A88" s="65" t="s">
        <v>299</v>
      </c>
      <c r="B88" s="82">
        <v>41946</v>
      </c>
      <c r="C88" t="s">
        <v>272</v>
      </c>
      <c r="D88" t="s">
        <v>273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BW88" t="s">
        <v>291</v>
      </c>
      <c r="CQ88" t="s">
        <v>274</v>
      </c>
    </row>
    <row r="89" spans="1:95">
      <c r="A89" s="65" t="s">
        <v>300</v>
      </c>
      <c r="B89" s="82">
        <v>41946</v>
      </c>
      <c r="C89" t="s">
        <v>272</v>
      </c>
      <c r="D89" t="s">
        <v>273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1" t="s">
        <v>276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BW89" t="s">
        <v>293</v>
      </c>
      <c r="CQ89" t="s">
        <v>274</v>
      </c>
    </row>
    <row r="90" spans="1:95">
      <c r="A90" s="65" t="s">
        <v>301</v>
      </c>
      <c r="B90" s="82">
        <v>41946</v>
      </c>
      <c r="C90" t="s">
        <v>272</v>
      </c>
      <c r="D90" t="s">
        <v>273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BW90" t="s">
        <v>293</v>
      </c>
      <c r="CQ90" t="s">
        <v>274</v>
      </c>
    </row>
    <row r="91" spans="1:95">
      <c r="A91" s="65" t="s">
        <v>302</v>
      </c>
      <c r="B91" s="82">
        <v>41946</v>
      </c>
      <c r="C91" t="s">
        <v>272</v>
      </c>
      <c r="D91" t="s">
        <v>273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1" t="s">
        <v>276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BW91" t="s">
        <v>292</v>
      </c>
      <c r="CQ91" t="s">
        <v>274</v>
      </c>
    </row>
    <row r="92" spans="1:95">
      <c r="A92" s="65" t="s">
        <v>294</v>
      </c>
      <c r="B92" s="82">
        <v>41946</v>
      </c>
      <c r="C92" t="s">
        <v>272</v>
      </c>
      <c r="D92" t="s">
        <v>273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BW92" t="s">
        <v>290</v>
      </c>
      <c r="CA92" s="61" t="s">
        <v>276</v>
      </c>
      <c r="CQ92" t="s">
        <v>274</v>
      </c>
    </row>
    <row r="93" spans="1:95">
      <c r="A93" s="65" t="s">
        <v>295</v>
      </c>
      <c r="B93" s="82">
        <v>41946</v>
      </c>
      <c r="C93" t="s">
        <v>272</v>
      </c>
      <c r="D93" t="s">
        <v>273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2" t="s">
        <v>275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BW93" t="s">
        <v>290</v>
      </c>
      <c r="CQ93" t="s">
        <v>274</v>
      </c>
    </row>
    <row r="94" spans="1:95">
      <c r="A94" s="65" t="s">
        <v>296</v>
      </c>
      <c r="B94" s="82">
        <v>41946</v>
      </c>
      <c r="C94" t="s">
        <v>272</v>
      </c>
      <c r="D94" t="s">
        <v>273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2" t="s">
        <v>275</v>
      </c>
      <c r="AY94" s="62" t="s">
        <v>275</v>
      </c>
      <c r="AZ94" t="s">
        <v>135</v>
      </c>
      <c r="BA94" t="s">
        <v>134</v>
      </c>
      <c r="BB94" s="62" t="s">
        <v>275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BW94" t="s">
        <v>290</v>
      </c>
      <c r="CQ94" t="s">
        <v>274</v>
      </c>
    </row>
    <row r="95" spans="1:95">
      <c r="A95" s="65" t="s">
        <v>297</v>
      </c>
      <c r="B95" s="82">
        <v>41946</v>
      </c>
      <c r="C95" t="s">
        <v>272</v>
      </c>
      <c r="D95" t="s">
        <v>273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BW95" t="s">
        <v>290</v>
      </c>
      <c r="CQ95" t="s">
        <v>274</v>
      </c>
    </row>
    <row r="96" spans="1:95">
      <c r="A96" s="65" t="s">
        <v>298</v>
      </c>
      <c r="B96" s="82">
        <v>41946</v>
      </c>
      <c r="C96" t="s">
        <v>272</v>
      </c>
      <c r="D96" t="s">
        <v>273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BW96" t="s">
        <v>291</v>
      </c>
      <c r="CQ96" t="s">
        <v>274</v>
      </c>
    </row>
    <row r="97" spans="1:95" ht="30">
      <c r="A97" s="65" t="s">
        <v>299</v>
      </c>
      <c r="B97" s="82">
        <v>41946</v>
      </c>
      <c r="C97" t="s">
        <v>272</v>
      </c>
      <c r="D97" t="s">
        <v>273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BW97" t="s">
        <v>291</v>
      </c>
      <c r="CQ97" t="s">
        <v>274</v>
      </c>
    </row>
    <row r="98" spans="1:95">
      <c r="A98" s="65" t="s">
        <v>300</v>
      </c>
      <c r="B98" s="82">
        <v>41946</v>
      </c>
      <c r="C98" t="s">
        <v>272</v>
      </c>
      <c r="D98" t="s">
        <v>273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BW98" t="s">
        <v>293</v>
      </c>
      <c r="CQ98" t="s">
        <v>274</v>
      </c>
    </row>
    <row r="99" spans="1:95">
      <c r="A99" s="65" t="s">
        <v>301</v>
      </c>
      <c r="B99" s="82">
        <v>41946</v>
      </c>
      <c r="C99" t="s">
        <v>272</v>
      </c>
      <c r="D99" t="s">
        <v>273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BW99" t="s">
        <v>293</v>
      </c>
      <c r="CQ99" t="s">
        <v>274</v>
      </c>
    </row>
    <row r="100" spans="1:95">
      <c r="A100" s="65" t="s">
        <v>302</v>
      </c>
      <c r="B100" s="82">
        <v>41946</v>
      </c>
      <c r="C100" t="s">
        <v>272</v>
      </c>
      <c r="D100" t="s">
        <v>273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BW100" t="s">
        <v>292</v>
      </c>
      <c r="CQ100" t="s">
        <v>274</v>
      </c>
    </row>
    <row r="101" spans="1:95">
      <c r="A101" s="65" t="s">
        <v>294</v>
      </c>
      <c r="B101" s="82">
        <v>41946</v>
      </c>
      <c r="C101" t="s">
        <v>272</v>
      </c>
      <c r="D101" t="s">
        <v>273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BW101" t="s">
        <v>290</v>
      </c>
      <c r="CQ101" t="s">
        <v>274</v>
      </c>
    </row>
    <row r="102" spans="1:95">
      <c r="A102" s="65" t="s">
        <v>295</v>
      </c>
      <c r="B102" s="82">
        <v>41946</v>
      </c>
      <c r="C102" t="s">
        <v>272</v>
      </c>
      <c r="D102" t="s">
        <v>273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BW102" t="s">
        <v>290</v>
      </c>
      <c r="CQ102" t="s">
        <v>274</v>
      </c>
    </row>
    <row r="103" spans="1:95">
      <c r="A103" s="65" t="s">
        <v>296</v>
      </c>
      <c r="B103" s="82">
        <v>41946</v>
      </c>
      <c r="C103" t="s">
        <v>272</v>
      </c>
      <c r="D103" t="s">
        <v>272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BW103" t="s">
        <v>290</v>
      </c>
      <c r="CQ103" t="s">
        <v>274</v>
      </c>
    </row>
    <row r="104" spans="1:95">
      <c r="A104" s="65" t="s">
        <v>297</v>
      </c>
      <c r="B104" s="82">
        <v>41946</v>
      </c>
      <c r="C104" t="s">
        <v>272</v>
      </c>
      <c r="D104" t="s">
        <v>272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2" t="s">
        <v>275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BW104" t="s">
        <v>290</v>
      </c>
      <c r="CQ104" t="s">
        <v>274</v>
      </c>
    </row>
    <row r="105" spans="1:95">
      <c r="A105" s="65" t="s">
        <v>298</v>
      </c>
      <c r="B105" s="82">
        <v>41946</v>
      </c>
      <c r="C105" t="s">
        <v>272</v>
      </c>
      <c r="D105" t="s">
        <v>272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BW105" t="s">
        <v>291</v>
      </c>
      <c r="CQ105" t="s">
        <v>274</v>
      </c>
    </row>
    <row r="106" spans="1:95" ht="30">
      <c r="A106" s="65" t="s">
        <v>299</v>
      </c>
      <c r="B106" s="82">
        <v>41946</v>
      </c>
      <c r="C106" t="s">
        <v>272</v>
      </c>
      <c r="D106" t="s">
        <v>272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BW106" t="s">
        <v>291</v>
      </c>
      <c r="CQ106" t="s">
        <v>274</v>
      </c>
    </row>
    <row r="107" spans="1:95">
      <c r="A107" s="65" t="s">
        <v>300</v>
      </c>
      <c r="B107" s="82">
        <v>41946</v>
      </c>
      <c r="C107" t="s">
        <v>272</v>
      </c>
      <c r="D107" t="s">
        <v>272</v>
      </c>
      <c r="E107" s="61" t="s">
        <v>276</v>
      </c>
      <c r="F107" s="61" t="s">
        <v>276</v>
      </c>
      <c r="G107" s="61" t="s">
        <v>276</v>
      </c>
      <c r="H107" s="61" t="s">
        <v>276</v>
      </c>
      <c r="I107" s="61" t="s">
        <v>276</v>
      </c>
      <c r="J107" s="61" t="s">
        <v>276</v>
      </c>
      <c r="K107" s="61" t="s">
        <v>276</v>
      </c>
      <c r="L107" s="61" t="s">
        <v>276</v>
      </c>
      <c r="M107" s="61" t="s">
        <v>276</v>
      </c>
      <c r="N107" s="61" t="s">
        <v>276</v>
      </c>
      <c r="O107" s="61" t="s">
        <v>276</v>
      </c>
      <c r="P107" s="61" t="s">
        <v>276</v>
      </c>
      <c r="Q107" s="61" t="s">
        <v>276</v>
      </c>
      <c r="R107" s="61" t="s">
        <v>276</v>
      </c>
      <c r="S107" s="61" t="s">
        <v>276</v>
      </c>
      <c r="T107" s="61" t="s">
        <v>276</v>
      </c>
      <c r="U107" s="61" t="s">
        <v>276</v>
      </c>
      <c r="V107" s="61" t="s">
        <v>276</v>
      </c>
      <c r="W107" s="61" t="s">
        <v>276</v>
      </c>
      <c r="X107" s="61" t="s">
        <v>276</v>
      </c>
      <c r="Y107" s="61" t="s">
        <v>276</v>
      </c>
      <c r="Z107" s="61" t="s">
        <v>276</v>
      </c>
      <c r="AA107" s="61" t="s">
        <v>276</v>
      </c>
      <c r="AB107" s="61" t="s">
        <v>276</v>
      </c>
      <c r="AC107" s="61" t="s">
        <v>276</v>
      </c>
      <c r="AD107" s="61" t="s">
        <v>276</v>
      </c>
      <c r="AE107" s="61" t="s">
        <v>276</v>
      </c>
      <c r="AF107" s="61" t="s">
        <v>276</v>
      </c>
      <c r="AG107" s="61" t="s">
        <v>276</v>
      </c>
      <c r="AH107" s="61" t="s">
        <v>276</v>
      </c>
      <c r="AI107" s="61" t="s">
        <v>276</v>
      </c>
      <c r="AJ107" s="61" t="s">
        <v>276</v>
      </c>
      <c r="AK107" s="61" t="s">
        <v>276</v>
      </c>
      <c r="AL107" s="61" t="s">
        <v>276</v>
      </c>
      <c r="AM107" s="61" t="s">
        <v>276</v>
      </c>
      <c r="AN107" s="61" t="s">
        <v>276</v>
      </c>
      <c r="AO107" s="61" t="s">
        <v>276</v>
      </c>
      <c r="AP107" s="61" t="s">
        <v>276</v>
      </c>
      <c r="AQ107" s="61" t="s">
        <v>276</v>
      </c>
      <c r="AR107" s="61" t="s">
        <v>276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1" t="s">
        <v>276</v>
      </c>
      <c r="BD107" s="61" t="s">
        <v>276</v>
      </c>
      <c r="BE107" s="61" t="s">
        <v>276</v>
      </c>
      <c r="BF107" s="61" t="s">
        <v>276</v>
      </c>
      <c r="BG107" s="61" t="s">
        <v>276</v>
      </c>
      <c r="BH107" s="61" t="s">
        <v>276</v>
      </c>
      <c r="BI107" s="61" t="s">
        <v>276</v>
      </c>
      <c r="BJ107" s="61" t="s">
        <v>276</v>
      </c>
      <c r="BK107" s="61" t="s">
        <v>276</v>
      </c>
      <c r="BL107" s="61" t="s">
        <v>276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BW107" t="s">
        <v>293</v>
      </c>
      <c r="CQ107" t="s">
        <v>274</v>
      </c>
    </row>
    <row r="108" spans="1:95">
      <c r="A108" s="65" t="s">
        <v>301</v>
      </c>
      <c r="B108" s="82">
        <v>41946</v>
      </c>
      <c r="C108" t="s">
        <v>272</v>
      </c>
      <c r="D108" t="s">
        <v>272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1" t="s">
        <v>276</v>
      </c>
      <c r="BT108" t="s">
        <v>135</v>
      </c>
      <c r="BU108" t="s">
        <v>133</v>
      </c>
      <c r="BV108" t="s">
        <v>136</v>
      </c>
      <c r="BW108" t="s">
        <v>293</v>
      </c>
      <c r="CQ108" t="s">
        <v>274</v>
      </c>
    </row>
    <row r="109" spans="1:95">
      <c r="A109" s="65" t="s">
        <v>302</v>
      </c>
      <c r="B109" s="82">
        <v>41946</v>
      </c>
      <c r="C109" t="s">
        <v>272</v>
      </c>
      <c r="D109" t="s">
        <v>272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BW109" t="s">
        <v>292</v>
      </c>
      <c r="CQ109" t="s">
        <v>274</v>
      </c>
    </row>
    <row r="110" spans="1:95">
      <c r="A110" s="65" t="s">
        <v>294</v>
      </c>
      <c r="B110" s="82">
        <v>41946</v>
      </c>
      <c r="C110" t="s">
        <v>272</v>
      </c>
      <c r="D110" t="s">
        <v>272</v>
      </c>
      <c r="E110" s="61" t="s">
        <v>276</v>
      </c>
      <c r="F110" s="61" t="s">
        <v>276</v>
      </c>
      <c r="G110" s="61" t="s">
        <v>276</v>
      </c>
      <c r="H110" s="61" t="s">
        <v>276</v>
      </c>
      <c r="I110" s="61" t="s">
        <v>276</v>
      </c>
      <c r="J110" s="61" t="s">
        <v>276</v>
      </c>
      <c r="K110" s="61" t="s">
        <v>276</v>
      </c>
      <c r="L110" s="61" t="s">
        <v>276</v>
      </c>
      <c r="M110" s="61" t="s">
        <v>276</v>
      </c>
      <c r="N110" s="61" t="s">
        <v>276</v>
      </c>
      <c r="O110" s="61" t="s">
        <v>276</v>
      </c>
      <c r="P110" s="61" t="s">
        <v>276</v>
      </c>
      <c r="Q110" s="61" t="s">
        <v>276</v>
      </c>
      <c r="R110" s="61" t="s">
        <v>276</v>
      </c>
      <c r="S110" s="61" t="s">
        <v>276</v>
      </c>
      <c r="T110" s="61" t="s">
        <v>276</v>
      </c>
      <c r="U110" s="61" t="s">
        <v>276</v>
      </c>
      <c r="V110" s="61" t="s">
        <v>276</v>
      </c>
      <c r="W110" s="61" t="s">
        <v>276</v>
      </c>
      <c r="X110" s="61" t="s">
        <v>276</v>
      </c>
      <c r="Y110" s="61" t="s">
        <v>276</v>
      </c>
      <c r="Z110" s="61" t="s">
        <v>276</v>
      </c>
      <c r="AA110" s="61" t="s">
        <v>276</v>
      </c>
      <c r="AB110" s="61" t="s">
        <v>276</v>
      </c>
      <c r="AC110" s="61" t="s">
        <v>276</v>
      </c>
      <c r="AD110" s="61" t="s">
        <v>276</v>
      </c>
      <c r="AE110" s="61" t="s">
        <v>276</v>
      </c>
      <c r="AF110" s="61" t="s">
        <v>276</v>
      </c>
      <c r="AG110" s="61" t="s">
        <v>276</v>
      </c>
      <c r="AH110" s="61" t="s">
        <v>276</v>
      </c>
      <c r="AI110" s="61" t="s">
        <v>276</v>
      </c>
      <c r="AJ110" s="61" t="s">
        <v>276</v>
      </c>
      <c r="AK110" s="61" t="s">
        <v>276</v>
      </c>
      <c r="AL110" s="61" t="s">
        <v>276</v>
      </c>
      <c r="AM110" s="61" t="s">
        <v>276</v>
      </c>
      <c r="AN110" s="61" t="s">
        <v>276</v>
      </c>
      <c r="AO110" s="61" t="s">
        <v>276</v>
      </c>
      <c r="AP110" s="61" t="s">
        <v>276</v>
      </c>
      <c r="AQ110" s="61" t="s">
        <v>276</v>
      </c>
      <c r="AR110" s="61" t="s">
        <v>276</v>
      </c>
      <c r="AS110" s="61" t="s">
        <v>276</v>
      </c>
      <c r="AT110" s="61" t="s">
        <v>276</v>
      </c>
      <c r="AU110" s="61" t="s">
        <v>276</v>
      </c>
      <c r="AV110" s="61" t="s">
        <v>276</v>
      </c>
      <c r="AW110" s="61" t="s">
        <v>276</v>
      </c>
      <c r="AX110" s="61" t="s">
        <v>276</v>
      </c>
      <c r="AY110" s="61" t="s">
        <v>276</v>
      </c>
      <c r="AZ110" s="61" t="s">
        <v>276</v>
      </c>
      <c r="BA110" s="61" t="s">
        <v>276</v>
      </c>
      <c r="BB110" s="61" t="s">
        <v>276</v>
      </c>
      <c r="BC110" s="61" t="s">
        <v>276</v>
      </c>
      <c r="BD110" s="61" t="s">
        <v>276</v>
      </c>
      <c r="BE110" s="61" t="s">
        <v>276</v>
      </c>
      <c r="BF110" s="61" t="s">
        <v>276</v>
      </c>
      <c r="BG110" s="61" t="s">
        <v>276</v>
      </c>
      <c r="BH110" s="61" t="s">
        <v>276</v>
      </c>
      <c r="BI110" s="61" t="s">
        <v>276</v>
      </c>
      <c r="BJ110" s="61" t="s">
        <v>276</v>
      </c>
      <c r="BK110" s="61" t="s">
        <v>276</v>
      </c>
      <c r="BL110" s="61" t="s">
        <v>276</v>
      </c>
      <c r="BM110" s="61" t="s">
        <v>276</v>
      </c>
      <c r="BN110" s="61" t="s">
        <v>276</v>
      </c>
      <c r="BO110" s="61" t="s">
        <v>276</v>
      </c>
      <c r="BP110" s="61" t="s">
        <v>276</v>
      </c>
      <c r="BQ110" s="61" t="s">
        <v>276</v>
      </c>
      <c r="BR110" s="61" t="s">
        <v>276</v>
      </c>
      <c r="BS110" s="61" t="s">
        <v>276</v>
      </c>
      <c r="BT110" s="61" t="s">
        <v>276</v>
      </c>
      <c r="BU110" s="61" t="s">
        <v>276</v>
      </c>
      <c r="BV110" s="61" t="s">
        <v>276</v>
      </c>
      <c r="BW110" s="61" t="s">
        <v>290</v>
      </c>
      <c r="BX110" s="61" t="s">
        <v>276</v>
      </c>
      <c r="BY110" s="61" t="s">
        <v>276</v>
      </c>
      <c r="BZ110" s="61" t="s">
        <v>276</v>
      </c>
      <c r="CA110" s="61" t="s">
        <v>276</v>
      </c>
      <c r="CB110" s="61" t="s">
        <v>276</v>
      </c>
      <c r="CC110" s="61" t="s">
        <v>276</v>
      </c>
      <c r="CD110" s="61" t="s">
        <v>276</v>
      </c>
      <c r="CE110" s="61" t="s">
        <v>276</v>
      </c>
      <c r="CF110" s="61" t="s">
        <v>276</v>
      </c>
      <c r="CG110" s="61" t="s">
        <v>276</v>
      </c>
      <c r="CH110" s="61" t="s">
        <v>276</v>
      </c>
      <c r="CI110" s="61" t="s">
        <v>276</v>
      </c>
      <c r="CJ110" s="61" t="s">
        <v>276</v>
      </c>
      <c r="CK110" s="61" t="s">
        <v>276</v>
      </c>
      <c r="CL110" s="61" t="s">
        <v>276</v>
      </c>
      <c r="CM110" s="61" t="s">
        <v>276</v>
      </c>
      <c r="CN110" s="61" t="s">
        <v>276</v>
      </c>
      <c r="CO110" s="61" t="s">
        <v>276</v>
      </c>
      <c r="CP110" s="61" t="s">
        <v>276</v>
      </c>
      <c r="CQ110" t="s">
        <v>274</v>
      </c>
    </row>
    <row r="111" spans="1:95">
      <c r="A111" s="65" t="s">
        <v>295</v>
      </c>
      <c r="B111" s="82">
        <v>41946</v>
      </c>
      <c r="C111" t="s">
        <v>272</v>
      </c>
      <c r="D111" t="s">
        <v>272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BW111" t="s">
        <v>290</v>
      </c>
      <c r="CQ111" t="s">
        <v>274</v>
      </c>
    </row>
    <row r="112" spans="1:95">
      <c r="A112" s="65" t="s">
        <v>296</v>
      </c>
      <c r="B112" s="82">
        <v>41946</v>
      </c>
      <c r="C112" t="s">
        <v>272</v>
      </c>
      <c r="D112" t="s">
        <v>272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BW112" t="s">
        <v>290</v>
      </c>
      <c r="CQ112" t="s">
        <v>274</v>
      </c>
    </row>
    <row r="113" spans="1:95">
      <c r="A113" s="65" t="s">
        <v>297</v>
      </c>
      <c r="B113" s="82">
        <v>41946</v>
      </c>
      <c r="C113" t="s">
        <v>272</v>
      </c>
      <c r="D113" t="s">
        <v>272</v>
      </c>
      <c r="E113" t="s">
        <v>156</v>
      </c>
      <c r="F113" t="s">
        <v>157</v>
      </c>
      <c r="G113" s="61" t="s">
        <v>276</v>
      </c>
      <c r="K113" t="s">
        <v>134</v>
      </c>
      <c r="L113" t="s">
        <v>136</v>
      </c>
      <c r="M113" t="s">
        <v>133</v>
      </c>
      <c r="N113" t="s">
        <v>136</v>
      </c>
      <c r="O113" s="61" t="s">
        <v>276</v>
      </c>
      <c r="P113" s="61" t="s">
        <v>276</v>
      </c>
      <c r="Q113" t="s">
        <v>134</v>
      </c>
      <c r="R113" s="61" t="s">
        <v>276</v>
      </c>
      <c r="S113" t="s">
        <v>135</v>
      </c>
      <c r="T113" t="s">
        <v>135</v>
      </c>
      <c r="U113" t="s">
        <v>135</v>
      </c>
      <c r="V113" s="61" t="s">
        <v>276</v>
      </c>
      <c r="W113" t="s">
        <v>133</v>
      </c>
      <c r="X113" t="s">
        <v>134</v>
      </c>
      <c r="Y113" s="61" t="s">
        <v>276</v>
      </c>
      <c r="Z113" s="61" t="s">
        <v>276</v>
      </c>
      <c r="AA113" t="s">
        <v>136</v>
      </c>
      <c r="AB113" t="s">
        <v>136</v>
      </c>
      <c r="AC113" s="61" t="s">
        <v>276</v>
      </c>
      <c r="AE113" s="61" t="s">
        <v>276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1" t="s">
        <v>276</v>
      </c>
      <c r="AR113" t="s">
        <v>136</v>
      </c>
      <c r="AS113" s="61" t="s">
        <v>276</v>
      </c>
      <c r="AT113" s="61" t="s">
        <v>276</v>
      </c>
      <c r="AU113" s="61" t="s">
        <v>276</v>
      </c>
      <c r="AV113" s="61" t="s">
        <v>276</v>
      </c>
      <c r="AW113" t="s">
        <v>136</v>
      </c>
      <c r="AX113" t="s">
        <v>135</v>
      </c>
      <c r="AY113" s="62" t="s">
        <v>275</v>
      </c>
      <c r="AZ113" t="s">
        <v>136</v>
      </c>
      <c r="BA113" s="61" t="s">
        <v>276</v>
      </c>
      <c r="BB113" s="61" t="s">
        <v>276</v>
      </c>
      <c r="BC113" t="s">
        <v>135</v>
      </c>
      <c r="BD113" t="s">
        <v>133</v>
      </c>
      <c r="BF113" t="s">
        <v>134</v>
      </c>
      <c r="BG113" s="61" t="s">
        <v>276</v>
      </c>
      <c r="BH113" t="s">
        <v>133</v>
      </c>
      <c r="BI113" s="61" t="s">
        <v>276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1" t="s">
        <v>276</v>
      </c>
      <c r="BQ113" s="61" t="s">
        <v>276</v>
      </c>
      <c r="BR113" s="61" t="s">
        <v>276</v>
      </c>
      <c r="BS113" t="s">
        <v>133</v>
      </c>
      <c r="BT113" t="s">
        <v>134</v>
      </c>
      <c r="BV113" t="s">
        <v>136</v>
      </c>
      <c r="BW113" s="61" t="s">
        <v>290</v>
      </c>
      <c r="CA113" s="61" t="s">
        <v>276</v>
      </c>
      <c r="CC113" s="61" t="s">
        <v>276</v>
      </c>
      <c r="CD113" s="61" t="s">
        <v>276</v>
      </c>
      <c r="CE113" s="61" t="s">
        <v>276</v>
      </c>
      <c r="CF113" s="61" t="s">
        <v>276</v>
      </c>
      <c r="CQ113" t="s">
        <v>274</v>
      </c>
    </row>
    <row r="114" spans="1:95">
      <c r="A114" s="65" t="s">
        <v>298</v>
      </c>
      <c r="B114" s="82">
        <v>41946</v>
      </c>
      <c r="C114" t="s">
        <v>272</v>
      </c>
      <c r="D114" t="s">
        <v>272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BW114" t="s">
        <v>291</v>
      </c>
      <c r="CQ114" t="s">
        <v>274</v>
      </c>
    </row>
    <row r="115" spans="1:95" ht="30">
      <c r="A115" s="65" t="s">
        <v>299</v>
      </c>
      <c r="B115" s="82">
        <v>41946</v>
      </c>
      <c r="C115" t="s">
        <v>272</v>
      </c>
      <c r="D115" t="s">
        <v>272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1" t="s">
        <v>276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2" t="s">
        <v>275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BW115" t="s">
        <v>291</v>
      </c>
      <c r="CQ115" t="s">
        <v>274</v>
      </c>
    </row>
    <row r="116" spans="1:95">
      <c r="A116" s="65" t="s">
        <v>300</v>
      </c>
      <c r="B116" s="82">
        <v>41946</v>
      </c>
      <c r="C116" t="s">
        <v>272</v>
      </c>
      <c r="D116" t="s">
        <v>272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BW116" t="s">
        <v>293</v>
      </c>
      <c r="CQ116" t="s">
        <v>274</v>
      </c>
    </row>
    <row r="117" spans="1:95">
      <c r="A117" s="65" t="s">
        <v>301</v>
      </c>
      <c r="B117" s="82">
        <v>41946</v>
      </c>
      <c r="C117" t="s">
        <v>272</v>
      </c>
      <c r="D117" t="s">
        <v>272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2" t="s">
        <v>275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BW117" t="s">
        <v>293</v>
      </c>
      <c r="CQ117" t="s">
        <v>274</v>
      </c>
    </row>
    <row r="118" spans="1:95">
      <c r="A118" s="65" t="s">
        <v>302</v>
      </c>
      <c r="B118" s="82">
        <v>41946</v>
      </c>
      <c r="C118" t="s">
        <v>272</v>
      </c>
      <c r="D118" t="s">
        <v>272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BW118" t="s">
        <v>292</v>
      </c>
      <c r="CQ118" t="s">
        <v>274</v>
      </c>
    </row>
    <row r="119" spans="1:95">
      <c r="A119" s="65" t="s">
        <v>294</v>
      </c>
      <c r="B119" s="82">
        <v>41946</v>
      </c>
      <c r="C119" t="s">
        <v>272</v>
      </c>
      <c r="D119" t="s">
        <v>272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BW119" t="s">
        <v>290</v>
      </c>
      <c r="CQ119" t="s">
        <v>274</v>
      </c>
    </row>
    <row r="120" spans="1:95">
      <c r="A120" s="65" t="s">
        <v>295</v>
      </c>
      <c r="B120" s="82">
        <v>41946</v>
      </c>
      <c r="C120" t="s">
        <v>272</v>
      </c>
      <c r="D120" t="s">
        <v>273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BW120" t="s">
        <v>290</v>
      </c>
      <c r="CJ120" s="61" t="s">
        <v>276</v>
      </c>
      <c r="CQ120" t="s">
        <v>274</v>
      </c>
    </row>
    <row r="121" spans="1:95">
      <c r="A121" s="65" t="s">
        <v>296</v>
      </c>
      <c r="B121" s="82">
        <v>41946</v>
      </c>
      <c r="C121" t="s">
        <v>272</v>
      </c>
      <c r="D121" t="s">
        <v>273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1" t="s">
        <v>276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BW121" t="s">
        <v>290</v>
      </c>
      <c r="CQ121" t="s">
        <v>274</v>
      </c>
    </row>
    <row r="122" spans="1:95">
      <c r="A122" s="65" t="s">
        <v>297</v>
      </c>
      <c r="B122" s="82">
        <v>41946</v>
      </c>
      <c r="C122" t="s">
        <v>272</v>
      </c>
      <c r="D122" t="s">
        <v>273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BW122" t="s">
        <v>290</v>
      </c>
      <c r="CQ122" t="s">
        <v>274</v>
      </c>
    </row>
    <row r="123" spans="1:95">
      <c r="A123" s="65" t="s">
        <v>298</v>
      </c>
      <c r="B123" s="82">
        <v>41946</v>
      </c>
      <c r="C123" t="s">
        <v>272</v>
      </c>
      <c r="D123" t="s">
        <v>273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1" t="s">
        <v>276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BW123" t="s">
        <v>291</v>
      </c>
      <c r="CQ123" t="s">
        <v>274</v>
      </c>
    </row>
    <row r="124" spans="1:95" ht="30">
      <c r="A124" s="65" t="s">
        <v>299</v>
      </c>
      <c r="B124" s="82">
        <v>41946</v>
      </c>
      <c r="C124" t="s">
        <v>272</v>
      </c>
      <c r="D124" t="s">
        <v>273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BW124" t="s">
        <v>291</v>
      </c>
      <c r="CQ124" t="s">
        <v>274</v>
      </c>
    </row>
    <row r="125" spans="1:95">
      <c r="A125" s="65" t="s">
        <v>300</v>
      </c>
      <c r="B125" s="82">
        <v>41946</v>
      </c>
      <c r="C125" t="s">
        <v>272</v>
      </c>
      <c r="D125" t="s">
        <v>273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2" t="s">
        <v>275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BW125" t="s">
        <v>293</v>
      </c>
      <c r="CQ125" t="s">
        <v>274</v>
      </c>
    </row>
    <row r="126" spans="1:95">
      <c r="A126" s="65" t="s">
        <v>301</v>
      </c>
      <c r="B126" s="82">
        <v>41946</v>
      </c>
      <c r="C126" t="s">
        <v>272</v>
      </c>
      <c r="D126" t="s">
        <v>273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BW126" t="s">
        <v>293</v>
      </c>
      <c r="CQ126" t="s">
        <v>274</v>
      </c>
    </row>
    <row r="127" spans="1:95">
      <c r="A127" s="65" t="s">
        <v>302</v>
      </c>
      <c r="B127" s="82">
        <v>41946</v>
      </c>
      <c r="C127" t="s">
        <v>272</v>
      </c>
      <c r="D127" t="s">
        <v>273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BW127" t="s">
        <v>292</v>
      </c>
      <c r="CQ127" t="s">
        <v>274</v>
      </c>
    </row>
    <row r="128" spans="1:95">
      <c r="A128" s="65" t="s">
        <v>294</v>
      </c>
      <c r="B128" s="82">
        <v>41946</v>
      </c>
      <c r="C128" t="s">
        <v>272</v>
      </c>
      <c r="D128" t="s">
        <v>273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BW128" t="s">
        <v>290</v>
      </c>
      <c r="CQ128" t="s">
        <v>274</v>
      </c>
    </row>
    <row r="129" spans="1:95">
      <c r="A129" s="65" t="s">
        <v>295</v>
      </c>
      <c r="B129" s="82">
        <v>41946</v>
      </c>
      <c r="C129" t="s">
        <v>272</v>
      </c>
      <c r="D129" t="s">
        <v>273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BW129" t="s">
        <v>290</v>
      </c>
      <c r="CQ129" t="s">
        <v>274</v>
      </c>
    </row>
    <row r="130" spans="1:95">
      <c r="A130" s="65" t="s">
        <v>296</v>
      </c>
      <c r="B130" s="82">
        <v>41946</v>
      </c>
      <c r="C130" t="s">
        <v>272</v>
      </c>
      <c r="D130" t="s">
        <v>273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BW130" t="s">
        <v>290</v>
      </c>
      <c r="CQ130" t="s">
        <v>274</v>
      </c>
    </row>
    <row r="131" spans="1:95">
      <c r="A131" s="65" t="s">
        <v>297</v>
      </c>
      <c r="B131" s="82">
        <v>41946</v>
      </c>
      <c r="C131" t="s">
        <v>272</v>
      </c>
      <c r="D131" t="s">
        <v>273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BW131" t="s">
        <v>290</v>
      </c>
      <c r="CQ131" t="s">
        <v>274</v>
      </c>
    </row>
    <row r="132" spans="1:95">
      <c r="A132" s="65" t="s">
        <v>298</v>
      </c>
      <c r="B132" s="82">
        <v>41946</v>
      </c>
      <c r="C132" t="s">
        <v>272</v>
      </c>
      <c r="D132" t="s">
        <v>272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1" t="s">
        <v>276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1" t="s">
        <v>276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1" t="s">
        <v>276</v>
      </c>
      <c r="BA132" s="61" t="s">
        <v>276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BW132" t="s">
        <v>291</v>
      </c>
      <c r="CD132" s="61" t="s">
        <v>276</v>
      </c>
      <c r="CQ132" t="s">
        <v>274</v>
      </c>
    </row>
    <row r="133" spans="1:95" ht="30">
      <c r="A133" s="65" t="s">
        <v>299</v>
      </c>
      <c r="B133" s="82">
        <v>41946</v>
      </c>
      <c r="C133" t="s">
        <v>272</v>
      </c>
      <c r="D133" t="s">
        <v>272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BW133" t="s">
        <v>291</v>
      </c>
      <c r="CQ133" t="s">
        <v>274</v>
      </c>
    </row>
    <row r="134" spans="1:95">
      <c r="A134" s="65" t="s">
        <v>300</v>
      </c>
      <c r="B134" s="82">
        <v>41946</v>
      </c>
      <c r="C134" t="s">
        <v>272</v>
      </c>
      <c r="D134" t="s">
        <v>272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BW134" t="s">
        <v>293</v>
      </c>
      <c r="CA134" s="62" t="s">
        <v>275</v>
      </c>
      <c r="CQ134" t="s">
        <v>274</v>
      </c>
    </row>
    <row r="135" spans="1:95">
      <c r="A135" s="65" t="s">
        <v>301</v>
      </c>
      <c r="B135" s="82">
        <v>41946</v>
      </c>
      <c r="C135" t="s">
        <v>272</v>
      </c>
      <c r="D135" t="s">
        <v>272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BW135" t="s">
        <v>293</v>
      </c>
      <c r="CB135" s="62" t="s">
        <v>275</v>
      </c>
      <c r="CQ135" t="s">
        <v>274</v>
      </c>
    </row>
    <row r="136" spans="1:95">
      <c r="A136" s="65" t="s">
        <v>302</v>
      </c>
      <c r="B136" s="82">
        <v>41946</v>
      </c>
      <c r="C136" t="s">
        <v>272</v>
      </c>
      <c r="D136" t="s">
        <v>272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BW136" t="s">
        <v>292</v>
      </c>
      <c r="CQ136" t="s">
        <v>274</v>
      </c>
    </row>
    <row r="137" spans="1:95">
      <c r="A137" s="65" t="s">
        <v>294</v>
      </c>
      <c r="B137" s="82">
        <v>41946</v>
      </c>
      <c r="C137" t="s">
        <v>272</v>
      </c>
      <c r="D137" t="s">
        <v>272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BW137" t="s">
        <v>290</v>
      </c>
      <c r="CQ137" t="s">
        <v>274</v>
      </c>
    </row>
    <row r="138" spans="1:95">
      <c r="A138" s="65" t="s">
        <v>295</v>
      </c>
      <c r="B138" s="82">
        <v>41946</v>
      </c>
      <c r="C138" t="s">
        <v>272</v>
      </c>
      <c r="D138" t="s">
        <v>272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BW138" t="s">
        <v>290</v>
      </c>
      <c r="CQ138" t="s">
        <v>274</v>
      </c>
    </row>
    <row r="139" spans="1:95">
      <c r="A139" s="65" t="s">
        <v>296</v>
      </c>
      <c r="B139" s="82">
        <v>41946</v>
      </c>
      <c r="C139" t="s">
        <v>272</v>
      </c>
      <c r="D139" t="s">
        <v>272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BW139" t="s">
        <v>290</v>
      </c>
      <c r="CQ139" t="s">
        <v>274</v>
      </c>
    </row>
    <row r="140" spans="1:95">
      <c r="A140" s="65" t="s">
        <v>297</v>
      </c>
      <c r="B140" s="82">
        <v>41946</v>
      </c>
      <c r="C140" t="s">
        <v>272</v>
      </c>
      <c r="D140" t="s">
        <v>272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BW140" t="s">
        <v>290</v>
      </c>
      <c r="CQ140" t="s">
        <v>274</v>
      </c>
    </row>
    <row r="141" spans="1:95">
      <c r="A141" s="65" t="s">
        <v>298</v>
      </c>
      <c r="B141" s="82">
        <v>41946</v>
      </c>
      <c r="C141" t="s">
        <v>272</v>
      </c>
      <c r="D141" t="s">
        <v>272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BW141" t="s">
        <v>291</v>
      </c>
      <c r="CQ141" t="s">
        <v>274</v>
      </c>
    </row>
    <row r="142" spans="1:95" ht="30">
      <c r="A142" s="65" t="s">
        <v>299</v>
      </c>
      <c r="B142" s="82">
        <v>41946</v>
      </c>
      <c r="C142" t="s">
        <v>272</v>
      </c>
      <c r="D142" t="s">
        <v>272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BW142" t="s">
        <v>291</v>
      </c>
      <c r="CQ142" t="s">
        <v>274</v>
      </c>
    </row>
    <row r="143" spans="1:95">
      <c r="A143" s="65" t="s">
        <v>300</v>
      </c>
      <c r="B143" s="82">
        <v>41946</v>
      </c>
      <c r="C143" t="s">
        <v>272</v>
      </c>
      <c r="D143" t="s">
        <v>272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BW143" t="s">
        <v>293</v>
      </c>
      <c r="CQ143" t="s">
        <v>274</v>
      </c>
    </row>
    <row r="144" spans="1:95">
      <c r="A144" s="65" t="s">
        <v>301</v>
      </c>
      <c r="B144" s="82">
        <v>41946</v>
      </c>
      <c r="C144" t="s">
        <v>272</v>
      </c>
      <c r="D144" t="s">
        <v>272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1" t="s">
        <v>276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1" t="s">
        <v>276</v>
      </c>
      <c r="BS144" t="s">
        <v>133</v>
      </c>
      <c r="BT144" t="s">
        <v>134</v>
      </c>
      <c r="BU144" t="s">
        <v>133</v>
      </c>
      <c r="BV144" t="s">
        <v>136</v>
      </c>
      <c r="BW144" t="s">
        <v>293</v>
      </c>
      <c r="CQ144" t="s">
        <v>274</v>
      </c>
    </row>
    <row r="145" spans="1:95">
      <c r="A145" s="65" t="s">
        <v>302</v>
      </c>
      <c r="B145" s="82">
        <v>41946</v>
      </c>
      <c r="C145" t="s">
        <v>272</v>
      </c>
      <c r="D145" t="s">
        <v>272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2" t="s">
        <v>275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BW145" t="s">
        <v>292</v>
      </c>
      <c r="CQ145" t="s">
        <v>274</v>
      </c>
    </row>
    <row r="146" spans="1:95">
      <c r="A146" s="65" t="s">
        <v>294</v>
      </c>
      <c r="B146" s="82">
        <v>41946</v>
      </c>
      <c r="C146" t="s">
        <v>272</v>
      </c>
      <c r="D146" t="s">
        <v>272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BW146" t="s">
        <v>290</v>
      </c>
      <c r="CQ146" t="s">
        <v>274</v>
      </c>
    </row>
    <row r="147" spans="1:95">
      <c r="A147" s="65" t="s">
        <v>295</v>
      </c>
      <c r="B147" s="82">
        <v>41946</v>
      </c>
      <c r="C147" t="s">
        <v>272</v>
      </c>
      <c r="D147" t="s">
        <v>272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BW147" t="s">
        <v>290</v>
      </c>
      <c r="CQ147" t="s">
        <v>274</v>
      </c>
    </row>
    <row r="148" spans="1:95">
      <c r="A148" s="65" t="s">
        <v>296</v>
      </c>
      <c r="B148" s="82">
        <v>41946</v>
      </c>
      <c r="C148" t="s">
        <v>272</v>
      </c>
      <c r="D148" t="s">
        <v>272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BW148" t="s">
        <v>290</v>
      </c>
      <c r="CQ148" t="s">
        <v>274</v>
      </c>
    </row>
    <row r="149" spans="1:95">
      <c r="A149" s="65" t="s">
        <v>297</v>
      </c>
      <c r="B149" s="82">
        <v>41946</v>
      </c>
      <c r="C149" t="s">
        <v>272</v>
      </c>
      <c r="D149" t="s">
        <v>272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BW149" t="s">
        <v>290</v>
      </c>
      <c r="CQ149" t="s">
        <v>274</v>
      </c>
    </row>
    <row r="150" spans="1:95">
      <c r="A150" s="65" t="s">
        <v>298</v>
      </c>
      <c r="B150" s="82">
        <v>41946</v>
      </c>
      <c r="C150" t="s">
        <v>272</v>
      </c>
      <c r="D150" t="s">
        <v>272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BW150" t="s">
        <v>291</v>
      </c>
      <c r="CQ150" t="s">
        <v>274</v>
      </c>
    </row>
    <row r="151" spans="1:95" ht="30">
      <c r="A151" s="65" t="s">
        <v>299</v>
      </c>
      <c r="B151" s="82">
        <v>41946</v>
      </c>
      <c r="C151" t="s">
        <v>272</v>
      </c>
      <c r="D151" t="s">
        <v>272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BW151" t="s">
        <v>291</v>
      </c>
      <c r="CQ151" t="s">
        <v>274</v>
      </c>
    </row>
    <row r="152" spans="1:95">
      <c r="A152" s="65" t="s">
        <v>300</v>
      </c>
      <c r="B152" s="82">
        <v>41946</v>
      </c>
      <c r="C152" t="s">
        <v>272</v>
      </c>
      <c r="D152" t="s">
        <v>272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BW152" t="s">
        <v>293</v>
      </c>
      <c r="CQ152" t="s">
        <v>274</v>
      </c>
    </row>
    <row r="153" spans="1:95">
      <c r="A153" s="65" t="s">
        <v>301</v>
      </c>
      <c r="B153" s="82">
        <v>41946</v>
      </c>
      <c r="C153" t="s">
        <v>272</v>
      </c>
      <c r="D153" t="s">
        <v>272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BW153" t="s">
        <v>293</v>
      </c>
      <c r="CQ153" t="s">
        <v>274</v>
      </c>
    </row>
    <row r="154" spans="1:95">
      <c r="A154" s="65" t="s">
        <v>302</v>
      </c>
      <c r="B154" s="82">
        <v>41946</v>
      </c>
      <c r="C154" t="s">
        <v>272</v>
      </c>
      <c r="D154" t="s">
        <v>272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BW154" t="s">
        <v>292</v>
      </c>
      <c r="CQ154" t="s">
        <v>274</v>
      </c>
    </row>
    <row r="155" spans="1:95">
      <c r="A155" s="65" t="s">
        <v>294</v>
      </c>
      <c r="B155" s="82">
        <v>41946</v>
      </c>
      <c r="C155" t="s">
        <v>272</v>
      </c>
      <c r="D155" t="s">
        <v>273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BW155" t="s">
        <v>290</v>
      </c>
      <c r="CQ155" t="s">
        <v>274</v>
      </c>
    </row>
    <row r="156" spans="1:95">
      <c r="A156" s="65" t="s">
        <v>295</v>
      </c>
      <c r="B156" s="82">
        <v>41946</v>
      </c>
      <c r="C156" t="s">
        <v>272</v>
      </c>
      <c r="D156" t="s">
        <v>273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1" t="s">
        <v>276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BW156" t="s">
        <v>290</v>
      </c>
      <c r="CQ156" t="s">
        <v>274</v>
      </c>
    </row>
    <row r="157" spans="1:95">
      <c r="A157" s="65" t="s">
        <v>296</v>
      </c>
      <c r="B157" s="82">
        <v>41946</v>
      </c>
      <c r="C157" t="s">
        <v>272</v>
      </c>
      <c r="D157" t="s">
        <v>273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2" t="s">
        <v>275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BW157" t="s">
        <v>290</v>
      </c>
      <c r="CQ157" t="s">
        <v>274</v>
      </c>
    </row>
    <row r="158" spans="1:95">
      <c r="A158" s="65" t="s">
        <v>297</v>
      </c>
      <c r="B158" s="82">
        <v>41946</v>
      </c>
      <c r="C158" t="s">
        <v>272</v>
      </c>
      <c r="D158" t="s">
        <v>273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BW158" t="s">
        <v>290</v>
      </c>
      <c r="CN158" s="62" t="s">
        <v>275</v>
      </c>
      <c r="CQ158" t="s">
        <v>274</v>
      </c>
    </row>
    <row r="159" spans="1:95">
      <c r="A159" s="65" t="s">
        <v>298</v>
      </c>
      <c r="B159" s="82">
        <v>41946</v>
      </c>
      <c r="C159" t="s">
        <v>272</v>
      </c>
      <c r="D159" t="s">
        <v>273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BW159" t="s">
        <v>291</v>
      </c>
      <c r="CQ159" t="s">
        <v>274</v>
      </c>
    </row>
    <row r="160" spans="1:95" ht="30">
      <c r="A160" s="65" t="s">
        <v>299</v>
      </c>
      <c r="B160" s="82">
        <v>41946</v>
      </c>
      <c r="C160" t="s">
        <v>272</v>
      </c>
      <c r="D160" t="s">
        <v>273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BW160" t="s">
        <v>291</v>
      </c>
      <c r="CQ160" t="s">
        <v>274</v>
      </c>
    </row>
    <row r="161" spans="1:95">
      <c r="A161" s="65" t="s">
        <v>300</v>
      </c>
      <c r="B161" s="82">
        <v>41946</v>
      </c>
      <c r="C161" t="s">
        <v>272</v>
      </c>
      <c r="D161" t="s">
        <v>273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BW161" t="s">
        <v>293</v>
      </c>
      <c r="CQ161" t="s">
        <v>274</v>
      </c>
    </row>
    <row r="162" spans="1:95">
      <c r="A162" s="65" t="s">
        <v>301</v>
      </c>
      <c r="B162" s="82">
        <v>41946</v>
      </c>
      <c r="C162" t="s">
        <v>272</v>
      </c>
      <c r="D162" t="s">
        <v>273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BW162" t="s">
        <v>293</v>
      </c>
      <c r="CQ162" t="s">
        <v>274</v>
      </c>
    </row>
    <row r="163" spans="1:95">
      <c r="A163" s="65" t="s">
        <v>302</v>
      </c>
      <c r="B163" s="82">
        <v>41946</v>
      </c>
      <c r="C163" t="s">
        <v>272</v>
      </c>
      <c r="D163" t="s">
        <v>273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2" t="s">
        <v>275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BW163" t="s">
        <v>292</v>
      </c>
      <c r="CQ163" t="s">
        <v>274</v>
      </c>
    </row>
    <row r="164" spans="1:95">
      <c r="A164" s="65" t="s">
        <v>294</v>
      </c>
      <c r="B164" s="82">
        <v>41946</v>
      </c>
      <c r="C164" t="s">
        <v>272</v>
      </c>
      <c r="D164" t="s">
        <v>273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1" t="s">
        <v>276</v>
      </c>
      <c r="AE164" t="s">
        <v>134</v>
      </c>
      <c r="AG164" t="s">
        <v>134</v>
      </c>
      <c r="AH164" s="61" t="s">
        <v>276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BW164" t="s">
        <v>290</v>
      </c>
      <c r="CQ164" t="s">
        <v>274</v>
      </c>
    </row>
    <row r="165" spans="1:95">
      <c r="A165" s="65" t="s">
        <v>295</v>
      </c>
      <c r="B165" s="82">
        <v>41946</v>
      </c>
      <c r="C165" t="s">
        <v>272</v>
      </c>
      <c r="D165" t="s">
        <v>273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BW165" t="s">
        <v>290</v>
      </c>
      <c r="CQ165" t="s">
        <v>274</v>
      </c>
    </row>
    <row r="166" spans="1:95">
      <c r="A166" s="65" t="s">
        <v>296</v>
      </c>
      <c r="B166" s="82">
        <v>41946</v>
      </c>
      <c r="C166" t="s">
        <v>272</v>
      </c>
      <c r="D166" t="s">
        <v>273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BW166" t="s">
        <v>290</v>
      </c>
      <c r="CQ166" t="s">
        <v>274</v>
      </c>
    </row>
    <row r="167" spans="1:95">
      <c r="A167" s="65" t="s">
        <v>297</v>
      </c>
      <c r="B167" s="82">
        <v>41946</v>
      </c>
      <c r="C167" t="s">
        <v>272</v>
      </c>
      <c r="D167" t="s">
        <v>273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BW167" t="s">
        <v>290</v>
      </c>
      <c r="CQ167" t="s">
        <v>274</v>
      </c>
    </row>
    <row r="168" spans="1:95">
      <c r="A168" s="65" t="s">
        <v>298</v>
      </c>
      <c r="B168" s="82">
        <v>41946</v>
      </c>
      <c r="C168" t="s">
        <v>272</v>
      </c>
      <c r="D168" t="s">
        <v>273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BW168" t="s">
        <v>291</v>
      </c>
      <c r="CQ168" t="s">
        <v>274</v>
      </c>
    </row>
    <row r="169" spans="1:95" ht="30">
      <c r="A169" s="65" t="s">
        <v>299</v>
      </c>
      <c r="B169" s="82">
        <v>41946</v>
      </c>
      <c r="C169" t="s">
        <v>272</v>
      </c>
      <c r="D169" t="s">
        <v>273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BW169" t="s">
        <v>291</v>
      </c>
      <c r="CQ169" t="s">
        <v>274</v>
      </c>
    </row>
    <row r="170" spans="1:95">
      <c r="A170" s="65" t="s">
        <v>300</v>
      </c>
      <c r="B170" s="82">
        <v>41946</v>
      </c>
      <c r="C170" t="s">
        <v>272</v>
      </c>
      <c r="D170" t="s">
        <v>273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BW170" t="s">
        <v>293</v>
      </c>
      <c r="CQ170" t="s">
        <v>274</v>
      </c>
    </row>
    <row r="171" spans="1:95">
      <c r="A171" s="65" t="s">
        <v>301</v>
      </c>
      <c r="B171" s="82">
        <v>41946</v>
      </c>
      <c r="C171" t="s">
        <v>272</v>
      </c>
      <c r="D171" t="s">
        <v>273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BW171" t="s">
        <v>293</v>
      </c>
      <c r="CQ171" t="s">
        <v>274</v>
      </c>
    </row>
    <row r="172" spans="1:95">
      <c r="A172" s="65" t="s">
        <v>302</v>
      </c>
      <c r="B172" s="82">
        <v>41946</v>
      </c>
      <c r="C172" t="s">
        <v>272</v>
      </c>
      <c r="D172" t="s">
        <v>273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BW172" t="s">
        <v>292</v>
      </c>
      <c r="CC172" s="61" t="s">
        <v>276</v>
      </c>
      <c r="CQ172" t="s">
        <v>274</v>
      </c>
    </row>
    <row r="173" spans="1:95">
      <c r="A173" s="65" t="s">
        <v>294</v>
      </c>
      <c r="B173" s="82">
        <v>41946</v>
      </c>
      <c r="C173" t="s">
        <v>272</v>
      </c>
      <c r="D173" t="s">
        <v>273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1" t="s">
        <v>276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BW173" t="s">
        <v>290</v>
      </c>
      <c r="CQ173" t="s">
        <v>274</v>
      </c>
    </row>
    <row r="174" spans="1:95">
      <c r="A174" s="65" t="s">
        <v>295</v>
      </c>
      <c r="B174" s="82">
        <v>41946</v>
      </c>
      <c r="C174" t="s">
        <v>276</v>
      </c>
      <c r="D174" t="s">
        <v>276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BW174" t="s">
        <v>290</v>
      </c>
      <c r="CQ174" t="s">
        <v>274</v>
      </c>
    </row>
    <row r="175" spans="1:95">
      <c r="A175" s="65" t="s">
        <v>296</v>
      </c>
      <c r="B175" s="82">
        <v>41946</v>
      </c>
      <c r="C175" t="s">
        <v>272</v>
      </c>
      <c r="D175" t="s">
        <v>272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BW175" t="s">
        <v>290</v>
      </c>
      <c r="CQ175" t="s">
        <v>274</v>
      </c>
    </row>
    <row r="176" spans="1:95">
      <c r="A176" s="65" t="s">
        <v>297</v>
      </c>
      <c r="B176" s="82">
        <v>41946</v>
      </c>
      <c r="C176" t="s">
        <v>272</v>
      </c>
      <c r="D176" t="s">
        <v>272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2" t="s">
        <v>275</v>
      </c>
      <c r="X176" s="61" t="s">
        <v>276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BW176" t="s">
        <v>290</v>
      </c>
      <c r="CQ176" t="s">
        <v>274</v>
      </c>
    </row>
    <row r="177" spans="1:95">
      <c r="A177" s="65" t="s">
        <v>298</v>
      </c>
      <c r="B177" s="82">
        <v>41946</v>
      </c>
      <c r="C177" t="s">
        <v>272</v>
      </c>
      <c r="D177" t="s">
        <v>272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BW177" t="s">
        <v>291</v>
      </c>
      <c r="CQ177" t="s">
        <v>274</v>
      </c>
    </row>
    <row r="178" spans="1:95" ht="30">
      <c r="A178" s="65" t="s">
        <v>299</v>
      </c>
      <c r="B178" s="82">
        <v>41946</v>
      </c>
      <c r="C178" t="s">
        <v>272</v>
      </c>
      <c r="D178" t="s">
        <v>272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BW178" t="s">
        <v>291</v>
      </c>
      <c r="CM178" s="61" t="s">
        <v>276</v>
      </c>
      <c r="CQ178" t="s">
        <v>274</v>
      </c>
    </row>
    <row r="179" spans="1:95">
      <c r="A179" s="65" t="s">
        <v>300</v>
      </c>
      <c r="B179" s="82">
        <v>41946</v>
      </c>
      <c r="C179" t="s">
        <v>272</v>
      </c>
      <c r="D179" t="s">
        <v>272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BW179" t="s">
        <v>293</v>
      </c>
      <c r="CC179" s="61" t="s">
        <v>276</v>
      </c>
      <c r="CD179" s="62" t="s">
        <v>275</v>
      </c>
      <c r="CQ179" t="s">
        <v>274</v>
      </c>
    </row>
    <row r="180" spans="1:95">
      <c r="A180" s="65" t="s">
        <v>301</v>
      </c>
      <c r="B180" s="82">
        <v>41946</v>
      </c>
      <c r="C180" t="s">
        <v>272</v>
      </c>
      <c r="D180" t="s">
        <v>272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BW180" t="s">
        <v>293</v>
      </c>
      <c r="CQ180" t="s">
        <v>274</v>
      </c>
    </row>
    <row r="181" spans="1:95">
      <c r="A181" s="65" t="s">
        <v>302</v>
      </c>
      <c r="B181" s="82">
        <v>41946</v>
      </c>
      <c r="C181" t="s">
        <v>272</v>
      </c>
      <c r="D181" t="s">
        <v>272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2" t="s">
        <v>275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BW181" t="s">
        <v>292</v>
      </c>
      <c r="CQ181" t="s">
        <v>274</v>
      </c>
    </row>
    <row r="182" spans="1:95">
      <c r="A182" s="65" t="s">
        <v>294</v>
      </c>
      <c r="B182" s="82">
        <v>41946</v>
      </c>
      <c r="C182" t="s">
        <v>272</v>
      </c>
      <c r="D182" t="s">
        <v>272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2" t="s">
        <v>275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BW182" t="s">
        <v>290</v>
      </c>
      <c r="CQ182" t="s">
        <v>274</v>
      </c>
    </row>
    <row r="183" spans="1:95">
      <c r="A183" s="65" t="s">
        <v>295</v>
      </c>
      <c r="B183" s="82">
        <v>41946</v>
      </c>
      <c r="C183" t="s">
        <v>272</v>
      </c>
      <c r="D183" t="s">
        <v>272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BW183" t="s">
        <v>290</v>
      </c>
      <c r="CQ183" t="s">
        <v>274</v>
      </c>
    </row>
    <row r="184" spans="1:95">
      <c r="A184" s="65" t="s">
        <v>296</v>
      </c>
      <c r="B184" s="82">
        <v>41946</v>
      </c>
      <c r="C184" t="s">
        <v>272</v>
      </c>
      <c r="D184" t="s">
        <v>273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BW184" t="s">
        <v>290</v>
      </c>
      <c r="CQ184" t="s">
        <v>274</v>
      </c>
    </row>
    <row r="185" spans="1:95">
      <c r="A185" s="65" t="s">
        <v>297</v>
      </c>
      <c r="B185" s="82">
        <v>41946</v>
      </c>
      <c r="C185" t="s">
        <v>272</v>
      </c>
      <c r="D185" t="s">
        <v>273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BW185" t="s">
        <v>290</v>
      </c>
      <c r="CQ185" t="s">
        <v>274</v>
      </c>
    </row>
    <row r="186" spans="1:95">
      <c r="A186" s="65" t="s">
        <v>298</v>
      </c>
      <c r="B186" s="82">
        <v>41946</v>
      </c>
      <c r="C186" t="s">
        <v>272</v>
      </c>
      <c r="D186" t="s">
        <v>273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2" t="s">
        <v>275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BW186" t="s">
        <v>291</v>
      </c>
      <c r="CQ186" t="s">
        <v>274</v>
      </c>
    </row>
    <row r="187" spans="1:95" ht="30">
      <c r="A187" s="65" t="s">
        <v>299</v>
      </c>
      <c r="B187" s="82">
        <v>41946</v>
      </c>
      <c r="C187" t="s">
        <v>272</v>
      </c>
      <c r="D187" t="s">
        <v>273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BW187" t="s">
        <v>291</v>
      </c>
      <c r="CI187" s="61" t="s">
        <v>276</v>
      </c>
      <c r="CQ187" t="s">
        <v>274</v>
      </c>
    </row>
    <row r="188" spans="1:95">
      <c r="A188" s="65" t="s">
        <v>300</v>
      </c>
      <c r="B188" s="82">
        <v>41946</v>
      </c>
      <c r="C188" t="s">
        <v>272</v>
      </c>
      <c r="D188" t="s">
        <v>273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BW188" t="s">
        <v>293</v>
      </c>
      <c r="CQ188" t="s">
        <v>274</v>
      </c>
    </row>
    <row r="189" spans="1:95">
      <c r="A189" s="65" t="s">
        <v>301</v>
      </c>
      <c r="B189" s="82">
        <v>41946</v>
      </c>
      <c r="C189" t="s">
        <v>272</v>
      </c>
      <c r="D189" t="s">
        <v>273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W189" t="s">
        <v>293</v>
      </c>
      <c r="BX189" s="62" t="s">
        <v>275</v>
      </c>
      <c r="CQ189" t="s">
        <v>274</v>
      </c>
    </row>
    <row r="190" spans="1:95">
      <c r="A190" s="65" t="s">
        <v>302</v>
      </c>
      <c r="B190" s="82">
        <v>41946</v>
      </c>
      <c r="C190" t="s">
        <v>272</v>
      </c>
      <c r="D190" t="s">
        <v>273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BW190" t="s">
        <v>292</v>
      </c>
      <c r="CQ190" t="s">
        <v>274</v>
      </c>
    </row>
    <row r="191" spans="1:95">
      <c r="A191" s="65" t="s">
        <v>294</v>
      </c>
      <c r="B191" s="82">
        <v>41946</v>
      </c>
      <c r="C191" t="s">
        <v>272</v>
      </c>
      <c r="D191" t="s">
        <v>273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BW191" t="s">
        <v>290</v>
      </c>
      <c r="CQ191" t="s">
        <v>274</v>
      </c>
    </row>
    <row r="192" spans="1:95">
      <c r="A192" s="65" t="s">
        <v>295</v>
      </c>
      <c r="B192" s="82">
        <v>41946</v>
      </c>
      <c r="C192" t="s">
        <v>272</v>
      </c>
      <c r="D192" t="s">
        <v>273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BW192" t="s">
        <v>290</v>
      </c>
      <c r="CQ192" t="s">
        <v>274</v>
      </c>
    </row>
    <row r="193" spans="1:95">
      <c r="A193" s="65" t="s">
        <v>296</v>
      </c>
      <c r="B193" s="82">
        <v>41946</v>
      </c>
      <c r="C193" t="s">
        <v>272</v>
      </c>
      <c r="D193" t="s">
        <v>273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BW193" t="s">
        <v>290</v>
      </c>
      <c r="CQ193" t="s">
        <v>274</v>
      </c>
    </row>
    <row r="194" spans="1:95">
      <c r="A194" s="65" t="s">
        <v>297</v>
      </c>
      <c r="B194" s="82">
        <v>41946</v>
      </c>
      <c r="C194" t="s">
        <v>272</v>
      </c>
      <c r="D194" t="s">
        <v>273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BW194" t="s">
        <v>290</v>
      </c>
      <c r="CQ194" t="s">
        <v>274</v>
      </c>
    </row>
    <row r="195" spans="1:95">
      <c r="A195" s="65" t="s">
        <v>298</v>
      </c>
      <c r="B195" s="82">
        <v>41946</v>
      </c>
      <c r="C195" t="s">
        <v>272</v>
      </c>
      <c r="D195" t="s">
        <v>273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BW195" t="s">
        <v>291</v>
      </c>
      <c r="CQ195" t="s">
        <v>274</v>
      </c>
    </row>
    <row r="196" spans="1:95" ht="30">
      <c r="A196" s="65" t="s">
        <v>299</v>
      </c>
      <c r="B196" s="82">
        <v>41946</v>
      </c>
      <c r="C196" t="s">
        <v>272</v>
      </c>
      <c r="D196" t="s">
        <v>273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BW196" t="s">
        <v>291</v>
      </c>
      <c r="CQ196" t="s">
        <v>274</v>
      </c>
    </row>
    <row r="197" spans="1:95">
      <c r="A197" s="65" t="s">
        <v>300</v>
      </c>
      <c r="B197" s="82">
        <v>41946</v>
      </c>
      <c r="C197" t="s">
        <v>272</v>
      </c>
      <c r="D197" t="s">
        <v>273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BW197" t="s">
        <v>293</v>
      </c>
      <c r="CQ197" t="s">
        <v>274</v>
      </c>
    </row>
    <row r="198" spans="1:95">
      <c r="A198" s="65" t="s">
        <v>301</v>
      </c>
      <c r="B198" s="82">
        <v>41946</v>
      </c>
      <c r="C198" t="s">
        <v>272</v>
      </c>
      <c r="D198" t="s">
        <v>273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BW198" t="s">
        <v>293</v>
      </c>
      <c r="CL198" s="61" t="s">
        <v>276</v>
      </c>
      <c r="CQ198" t="s">
        <v>274</v>
      </c>
    </row>
    <row r="199" spans="1:95">
      <c r="A199" s="65" t="s">
        <v>302</v>
      </c>
      <c r="B199" s="82">
        <v>41946</v>
      </c>
      <c r="C199" t="s">
        <v>272</v>
      </c>
      <c r="D199" t="s">
        <v>273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BW199" t="s">
        <v>292</v>
      </c>
      <c r="CQ199" t="s">
        <v>274</v>
      </c>
    </row>
    <row r="200" spans="1:95">
      <c r="A200" s="65" t="s">
        <v>294</v>
      </c>
      <c r="B200" s="82">
        <v>41946</v>
      </c>
      <c r="C200" t="s">
        <v>272</v>
      </c>
      <c r="D200" t="s">
        <v>272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W200" t="s">
        <v>290</v>
      </c>
      <c r="BY200" s="61" t="s">
        <v>276</v>
      </c>
      <c r="CQ200" t="s">
        <v>274</v>
      </c>
    </row>
    <row r="201" spans="1:95">
      <c r="A201" s="65" t="s">
        <v>295</v>
      </c>
      <c r="B201" s="82">
        <v>41946</v>
      </c>
      <c r="C201" t="s">
        <v>272</v>
      </c>
      <c r="D201" t="s">
        <v>272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BW201" t="s">
        <v>290</v>
      </c>
      <c r="CQ201" t="s">
        <v>274</v>
      </c>
    </row>
    <row r="202" spans="1:95">
      <c r="A202" s="65" t="s">
        <v>296</v>
      </c>
      <c r="B202" s="82">
        <v>41946</v>
      </c>
      <c r="C202" t="s">
        <v>272</v>
      </c>
      <c r="D202" t="s">
        <v>272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BW202" t="s">
        <v>290</v>
      </c>
      <c r="CO202" s="62" t="s">
        <v>275</v>
      </c>
      <c r="CP202" s="61" t="s">
        <v>276</v>
      </c>
      <c r="CQ202" t="s">
        <v>274</v>
      </c>
    </row>
    <row r="203" spans="1:95">
      <c r="A203" s="65" t="s">
        <v>297</v>
      </c>
      <c r="B203" s="82">
        <v>41946</v>
      </c>
      <c r="C203" t="s">
        <v>272</v>
      </c>
      <c r="D203" t="s">
        <v>272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BW203" t="s">
        <v>290</v>
      </c>
      <c r="CQ203" t="s">
        <v>274</v>
      </c>
    </row>
    <row r="204" spans="1:95">
      <c r="A204" s="65" t="s">
        <v>298</v>
      </c>
      <c r="B204" s="82">
        <v>41946</v>
      </c>
      <c r="C204" t="s">
        <v>272</v>
      </c>
      <c r="D204" t="s">
        <v>272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BW204" t="s">
        <v>291</v>
      </c>
      <c r="CQ204" t="s">
        <v>274</v>
      </c>
    </row>
    <row r="205" spans="1:95" ht="30">
      <c r="A205" s="65" t="s">
        <v>299</v>
      </c>
      <c r="B205" s="82">
        <v>41946</v>
      </c>
      <c r="C205" t="s">
        <v>272</v>
      </c>
      <c r="D205" t="s">
        <v>272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BW205" t="s">
        <v>291</v>
      </c>
      <c r="CQ205" t="s">
        <v>274</v>
      </c>
    </row>
    <row r="206" spans="1:95">
      <c r="A206" s="65" t="s">
        <v>300</v>
      </c>
      <c r="B206" s="82">
        <v>41946</v>
      </c>
      <c r="C206" t="s">
        <v>272</v>
      </c>
      <c r="D206" t="s">
        <v>272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BW206" t="s">
        <v>293</v>
      </c>
      <c r="CQ206" t="s">
        <v>274</v>
      </c>
    </row>
    <row r="207" spans="1:95">
      <c r="A207" s="65" t="s">
        <v>301</v>
      </c>
      <c r="B207" s="82">
        <v>41946</v>
      </c>
      <c r="C207" t="s">
        <v>272</v>
      </c>
      <c r="D207" t="s">
        <v>272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BW207" t="s">
        <v>293</v>
      </c>
      <c r="CQ207" t="s">
        <v>274</v>
      </c>
    </row>
    <row r="208" spans="1:95">
      <c r="A208" s="65" t="s">
        <v>302</v>
      </c>
      <c r="B208" s="82">
        <v>41946</v>
      </c>
      <c r="C208" t="s">
        <v>272</v>
      </c>
      <c r="D208" t="s">
        <v>272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BW208" t="s">
        <v>292</v>
      </c>
      <c r="CQ208" t="s">
        <v>274</v>
      </c>
    </row>
    <row r="209" spans="1:95">
      <c r="A209" s="65" t="s">
        <v>294</v>
      </c>
      <c r="B209" s="82">
        <v>41946</v>
      </c>
      <c r="C209" t="s">
        <v>272</v>
      </c>
      <c r="D209" t="s">
        <v>272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BW209" t="s">
        <v>290</v>
      </c>
      <c r="CQ209" t="s">
        <v>274</v>
      </c>
    </row>
    <row r="210" spans="1:95">
      <c r="A210" s="65" t="s">
        <v>295</v>
      </c>
      <c r="B210" s="82">
        <v>41946</v>
      </c>
      <c r="C210" t="s">
        <v>272</v>
      </c>
      <c r="D210" t="s">
        <v>273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BW210" t="s">
        <v>290</v>
      </c>
      <c r="CQ210" t="s">
        <v>274</v>
      </c>
    </row>
    <row r="211" spans="1:95">
      <c r="A211" s="65" t="s">
        <v>296</v>
      </c>
      <c r="B211" s="82">
        <v>41946</v>
      </c>
      <c r="C211" t="s">
        <v>272</v>
      </c>
      <c r="D211" t="s">
        <v>273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2" t="s">
        <v>275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BW211" t="s">
        <v>290</v>
      </c>
      <c r="CB211" s="62" t="s">
        <v>275</v>
      </c>
      <c r="CQ211" t="s">
        <v>274</v>
      </c>
    </row>
    <row r="212" spans="1:95">
      <c r="A212" s="65" t="s">
        <v>297</v>
      </c>
      <c r="B212" s="82">
        <v>41946</v>
      </c>
      <c r="C212" t="s">
        <v>272</v>
      </c>
      <c r="D212" t="s">
        <v>273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BW212" t="s">
        <v>290</v>
      </c>
      <c r="CQ212" t="s">
        <v>274</v>
      </c>
    </row>
    <row r="213" spans="1:95">
      <c r="A213" s="65" t="s">
        <v>298</v>
      </c>
      <c r="B213" s="82">
        <v>41946</v>
      </c>
      <c r="C213" t="s">
        <v>272</v>
      </c>
      <c r="D213" t="s">
        <v>273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BW213" t="s">
        <v>291</v>
      </c>
      <c r="CQ213" t="s">
        <v>274</v>
      </c>
    </row>
    <row r="214" spans="1:95" ht="30">
      <c r="A214" s="65" t="s">
        <v>299</v>
      </c>
      <c r="B214" s="82">
        <v>41946</v>
      </c>
      <c r="C214" t="s">
        <v>272</v>
      </c>
      <c r="D214" t="s">
        <v>273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BW214" t="s">
        <v>291</v>
      </c>
      <c r="CQ214" t="s">
        <v>274</v>
      </c>
    </row>
    <row r="215" spans="1:95">
      <c r="A215" s="65" t="s">
        <v>300</v>
      </c>
      <c r="B215" s="82">
        <v>41946</v>
      </c>
      <c r="C215" t="s">
        <v>272</v>
      </c>
      <c r="D215" t="s">
        <v>273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BW215" t="s">
        <v>293</v>
      </c>
      <c r="CQ215" t="s">
        <v>274</v>
      </c>
    </row>
    <row r="216" spans="1:95">
      <c r="A216" s="65" t="s">
        <v>301</v>
      </c>
      <c r="B216" s="82">
        <v>41946</v>
      </c>
      <c r="C216" t="s">
        <v>272</v>
      </c>
      <c r="D216" t="s">
        <v>273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2" t="s">
        <v>275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BW216" t="s">
        <v>293</v>
      </c>
      <c r="CQ216" t="s">
        <v>274</v>
      </c>
    </row>
    <row r="217" spans="1:95">
      <c r="A217" s="65" t="s">
        <v>302</v>
      </c>
      <c r="B217" s="82">
        <v>41946</v>
      </c>
      <c r="C217" t="s">
        <v>272</v>
      </c>
      <c r="D217" t="s">
        <v>273</v>
      </c>
      <c r="E217" t="s">
        <v>162</v>
      </c>
      <c r="F217" t="s">
        <v>157</v>
      </c>
      <c r="H217" t="s">
        <v>174</v>
      </c>
      <c r="L217" s="61" t="s">
        <v>276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BW217" t="s">
        <v>292</v>
      </c>
      <c r="CQ217" t="s">
        <v>274</v>
      </c>
    </row>
    <row r="218" spans="1:95">
      <c r="A218" s="65" t="s">
        <v>294</v>
      </c>
      <c r="B218" s="82">
        <v>41946</v>
      </c>
      <c r="C218" t="s">
        <v>272</v>
      </c>
      <c r="D218" t="s">
        <v>273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BW218" t="s">
        <v>290</v>
      </c>
      <c r="CQ218" t="s">
        <v>274</v>
      </c>
    </row>
    <row r="219" spans="1:95">
      <c r="A219" s="65" t="s">
        <v>295</v>
      </c>
      <c r="B219" s="82">
        <v>41946</v>
      </c>
      <c r="C219" t="s">
        <v>272</v>
      </c>
      <c r="D219" t="s">
        <v>273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BW219" t="s">
        <v>290</v>
      </c>
      <c r="CQ219" t="s">
        <v>274</v>
      </c>
    </row>
    <row r="220" spans="1:95">
      <c r="A220" s="65" t="s">
        <v>296</v>
      </c>
      <c r="B220" s="82">
        <v>41946</v>
      </c>
      <c r="C220" t="s">
        <v>272</v>
      </c>
      <c r="D220" t="s">
        <v>273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BW220" t="s">
        <v>290</v>
      </c>
      <c r="CQ220" t="s">
        <v>274</v>
      </c>
    </row>
    <row r="221" spans="1:95">
      <c r="A221" s="65" t="s">
        <v>297</v>
      </c>
      <c r="B221" s="82">
        <v>41946</v>
      </c>
      <c r="C221" t="s">
        <v>272</v>
      </c>
      <c r="D221" t="s">
        <v>273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BW221" t="s">
        <v>290</v>
      </c>
      <c r="CQ221" t="s">
        <v>274</v>
      </c>
    </row>
    <row r="222" spans="1:95">
      <c r="A222" s="65" t="s">
        <v>298</v>
      </c>
      <c r="B222" s="82">
        <v>41946</v>
      </c>
      <c r="C222" t="s">
        <v>272</v>
      </c>
      <c r="D222" t="s">
        <v>273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BW222" t="s">
        <v>291</v>
      </c>
      <c r="CQ222" t="s">
        <v>274</v>
      </c>
    </row>
    <row r="223" spans="1:95" ht="30">
      <c r="A223" s="65" t="s">
        <v>299</v>
      </c>
      <c r="B223" s="82">
        <v>41946</v>
      </c>
      <c r="C223" t="s">
        <v>272</v>
      </c>
      <c r="D223" t="s">
        <v>273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2" t="s">
        <v>275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BW223" t="s">
        <v>291</v>
      </c>
      <c r="CQ223" t="s">
        <v>274</v>
      </c>
    </row>
    <row r="224" spans="1:95">
      <c r="A224" s="65" t="s">
        <v>300</v>
      </c>
      <c r="B224" s="82">
        <v>41946</v>
      </c>
      <c r="C224" t="s">
        <v>272</v>
      </c>
      <c r="D224" t="s">
        <v>272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BW224" t="s">
        <v>293</v>
      </c>
      <c r="CQ224" t="s">
        <v>274</v>
      </c>
    </row>
    <row r="225" spans="1:95">
      <c r="A225" s="65" t="s">
        <v>301</v>
      </c>
      <c r="B225" s="82">
        <v>41946</v>
      </c>
      <c r="C225" t="s">
        <v>272</v>
      </c>
      <c r="D225" t="s">
        <v>272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BW225" t="s">
        <v>293</v>
      </c>
      <c r="CQ225" t="s">
        <v>274</v>
      </c>
    </row>
    <row r="226" spans="1:95">
      <c r="A226" s="65" t="s">
        <v>302</v>
      </c>
      <c r="B226" s="82">
        <v>41946</v>
      </c>
      <c r="C226" t="s">
        <v>272</v>
      </c>
      <c r="D226" t="s">
        <v>272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BW226" t="s">
        <v>292</v>
      </c>
      <c r="CQ226" t="s">
        <v>274</v>
      </c>
    </row>
    <row r="227" spans="1:95">
      <c r="A227" s="65" t="s">
        <v>294</v>
      </c>
      <c r="B227" s="82">
        <v>41946</v>
      </c>
      <c r="C227" t="s">
        <v>272</v>
      </c>
      <c r="D227" t="s">
        <v>272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1" t="s">
        <v>276</v>
      </c>
      <c r="AJ227" s="61" t="s">
        <v>276</v>
      </c>
      <c r="AK227" s="61" t="s">
        <v>276</v>
      </c>
      <c r="AM227" t="s">
        <v>136</v>
      </c>
      <c r="AN227" t="s">
        <v>134</v>
      </c>
      <c r="AO227" s="61" t="s">
        <v>276</v>
      </c>
      <c r="AP227" s="61" t="s">
        <v>276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1" t="s">
        <v>276</v>
      </c>
      <c r="BD227" s="61" t="s">
        <v>276</v>
      </c>
      <c r="BE227" s="61" t="s">
        <v>276</v>
      </c>
      <c r="BF227" s="61" t="s">
        <v>276</v>
      </c>
      <c r="BG227" s="61" t="s">
        <v>276</v>
      </c>
      <c r="BH227" s="61" t="s">
        <v>276</v>
      </c>
      <c r="BI227" s="61" t="s">
        <v>276</v>
      </c>
      <c r="BJ227" t="s">
        <v>133</v>
      </c>
      <c r="BK227" s="61" t="s">
        <v>276</v>
      </c>
      <c r="BL227" s="61" t="s">
        <v>276</v>
      </c>
      <c r="BM227" s="61" t="s">
        <v>276</v>
      </c>
      <c r="BN227" s="61" t="s">
        <v>276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BW227" t="s">
        <v>290</v>
      </c>
      <c r="CQ227" t="s">
        <v>274</v>
      </c>
    </row>
    <row r="228" spans="1:95">
      <c r="A228" s="65" t="s">
        <v>295</v>
      </c>
      <c r="B228" s="82">
        <v>41946</v>
      </c>
      <c r="C228" t="s">
        <v>272</v>
      </c>
      <c r="D228" t="s">
        <v>272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BW228" t="s">
        <v>290</v>
      </c>
      <c r="CQ228" t="s">
        <v>274</v>
      </c>
    </row>
    <row r="229" spans="1:95">
      <c r="A229" s="65" t="s">
        <v>296</v>
      </c>
      <c r="B229" s="82">
        <v>41946</v>
      </c>
      <c r="C229" t="s">
        <v>272</v>
      </c>
      <c r="D229" t="s">
        <v>272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2" t="s">
        <v>275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BW229" t="s">
        <v>290</v>
      </c>
      <c r="CQ229" t="s">
        <v>274</v>
      </c>
    </row>
    <row r="230" spans="1:95">
      <c r="A230" s="65" t="s">
        <v>297</v>
      </c>
      <c r="B230" s="82">
        <v>41946</v>
      </c>
      <c r="C230" t="s">
        <v>272</v>
      </c>
      <c r="D230" t="s">
        <v>272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BW230" t="s">
        <v>290</v>
      </c>
      <c r="CQ230" t="s">
        <v>274</v>
      </c>
    </row>
    <row r="231" spans="1:95">
      <c r="A231" s="65" t="s">
        <v>298</v>
      </c>
      <c r="B231" s="82">
        <v>41946</v>
      </c>
      <c r="C231" t="s">
        <v>272</v>
      </c>
      <c r="D231" t="s">
        <v>272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BW231" t="s">
        <v>291</v>
      </c>
      <c r="CQ231" t="s">
        <v>274</v>
      </c>
    </row>
    <row r="232" spans="1:95" ht="30">
      <c r="A232" s="65" t="s">
        <v>299</v>
      </c>
      <c r="B232" s="82">
        <v>41946</v>
      </c>
      <c r="C232" t="s">
        <v>272</v>
      </c>
      <c r="D232" t="s">
        <v>273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BW232" t="s">
        <v>291</v>
      </c>
      <c r="CQ232" t="s">
        <v>274</v>
      </c>
    </row>
    <row r="233" spans="1:95">
      <c r="A233" s="65" t="s">
        <v>300</v>
      </c>
      <c r="B233" s="82">
        <v>41946</v>
      </c>
      <c r="C233" t="s">
        <v>272</v>
      </c>
      <c r="D233" t="s">
        <v>273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BW233" t="s">
        <v>293</v>
      </c>
      <c r="CQ233" t="s">
        <v>274</v>
      </c>
    </row>
    <row r="234" spans="1:95">
      <c r="A234" s="65" t="s">
        <v>301</v>
      </c>
      <c r="B234" s="82">
        <v>41946</v>
      </c>
      <c r="C234" t="s">
        <v>272</v>
      </c>
      <c r="D234" t="s">
        <v>273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BW234" t="s">
        <v>293</v>
      </c>
      <c r="CQ234" t="s">
        <v>274</v>
      </c>
    </row>
    <row r="235" spans="1:95">
      <c r="A235" s="65" t="s">
        <v>302</v>
      </c>
      <c r="B235" s="82">
        <v>41946</v>
      </c>
      <c r="C235" t="s">
        <v>272</v>
      </c>
      <c r="D235" t="s">
        <v>273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BW235" t="s">
        <v>292</v>
      </c>
      <c r="CQ235" t="s">
        <v>274</v>
      </c>
    </row>
    <row r="236" spans="1:95">
      <c r="A236" s="65" t="s">
        <v>294</v>
      </c>
      <c r="B236" s="82">
        <v>41946</v>
      </c>
      <c r="C236" t="s">
        <v>272</v>
      </c>
      <c r="D236" t="s">
        <v>273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BW236" t="s">
        <v>290</v>
      </c>
      <c r="CQ236" t="s">
        <v>274</v>
      </c>
    </row>
    <row r="237" spans="1:95">
      <c r="A237" s="65" t="s">
        <v>295</v>
      </c>
      <c r="B237" s="82">
        <v>41946</v>
      </c>
      <c r="C237" t="s">
        <v>272</v>
      </c>
      <c r="D237" t="s">
        <v>273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BW237" t="s">
        <v>290</v>
      </c>
      <c r="CQ237" t="s">
        <v>274</v>
      </c>
    </row>
    <row r="238" spans="1:95">
      <c r="A238" s="65" t="s">
        <v>296</v>
      </c>
      <c r="B238" s="82">
        <v>41946</v>
      </c>
      <c r="C238" t="s">
        <v>272</v>
      </c>
      <c r="D238" t="s">
        <v>273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2" t="s">
        <v>290</v>
      </c>
      <c r="CQ238" t="s">
        <v>274</v>
      </c>
    </row>
    <row r="239" spans="1:95">
      <c r="A239" s="65" t="s">
        <v>297</v>
      </c>
      <c r="B239" s="82">
        <v>41946</v>
      </c>
      <c r="C239" t="s">
        <v>272</v>
      </c>
      <c r="D239" t="s">
        <v>273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BW239" t="s">
        <v>290</v>
      </c>
      <c r="CQ239" t="s">
        <v>274</v>
      </c>
    </row>
    <row r="240" spans="1:95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workbookViewId="0">
      <selection activeCell="B2" sqref="B2:B71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4" customWidth="1"/>
    <col min="9" max="9" width="17.42578125" style="65" customWidth="1"/>
    <col min="10" max="10" width="24.42578125" customWidth="1"/>
    <col min="11" max="11" width="9.140625" style="56"/>
    <col min="12" max="12" width="18" style="2" bestFit="1" customWidth="1"/>
  </cols>
  <sheetData>
    <row r="1" spans="1:12" ht="15.75" thickBot="1">
      <c r="A1" s="55" t="s">
        <v>151</v>
      </c>
      <c r="B1" s="60" t="s">
        <v>164</v>
      </c>
      <c r="C1" s="60" t="s">
        <v>165</v>
      </c>
      <c r="D1" s="60" t="s">
        <v>166</v>
      </c>
      <c r="E1" s="60" t="s">
        <v>167</v>
      </c>
      <c r="F1" s="60" t="s">
        <v>168</v>
      </c>
      <c r="G1" s="60" t="s">
        <v>169</v>
      </c>
      <c r="H1" s="63" t="s">
        <v>278</v>
      </c>
      <c r="I1" s="63" t="s">
        <v>288</v>
      </c>
      <c r="J1" s="60" t="s">
        <v>287</v>
      </c>
      <c r="K1" s="60" t="s">
        <v>289</v>
      </c>
      <c r="L1" s="83" t="s">
        <v>312</v>
      </c>
    </row>
    <row r="2" spans="1:12">
      <c r="A2">
        <v>11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4" t="s">
        <v>279</v>
      </c>
      <c r="I2" s="65">
        <v>1000001</v>
      </c>
      <c r="J2" t="s">
        <v>294</v>
      </c>
      <c r="K2" s="56" t="s">
        <v>290</v>
      </c>
      <c r="L2" s="84">
        <v>41944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4" t="s">
        <v>279</v>
      </c>
      <c r="I3" s="65">
        <v>1000002</v>
      </c>
      <c r="J3" t="s">
        <v>295</v>
      </c>
      <c r="K3" s="56" t="s">
        <v>290</v>
      </c>
      <c r="L3" s="84">
        <v>41946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4" t="s">
        <v>280</v>
      </c>
      <c r="I4" s="65">
        <v>1000003</v>
      </c>
      <c r="J4" t="s">
        <v>296</v>
      </c>
      <c r="K4" s="56" t="s">
        <v>290</v>
      </c>
      <c r="L4" s="84"/>
    </row>
    <row r="5" spans="1:12">
      <c r="B5" s="56">
        <v>4</v>
      </c>
      <c r="C5" s="56" t="s">
        <v>174</v>
      </c>
      <c r="D5" s="56" t="s">
        <v>175</v>
      </c>
      <c r="H5" s="64" t="s">
        <v>281</v>
      </c>
      <c r="I5" s="65">
        <v>1000004</v>
      </c>
      <c r="J5" t="s">
        <v>297</v>
      </c>
      <c r="K5" s="56" t="s">
        <v>290</v>
      </c>
    </row>
    <row r="6" spans="1:12">
      <c r="B6" s="56">
        <v>5</v>
      </c>
      <c r="C6" s="56" t="s">
        <v>176</v>
      </c>
      <c r="D6" s="56" t="s">
        <v>177</v>
      </c>
      <c r="H6" s="64" t="s">
        <v>282</v>
      </c>
      <c r="I6" s="65">
        <v>2000001</v>
      </c>
      <c r="J6" t="s">
        <v>298</v>
      </c>
      <c r="K6" s="56" t="s">
        <v>291</v>
      </c>
    </row>
    <row r="7" spans="1:12">
      <c r="B7" s="56">
        <v>6</v>
      </c>
      <c r="C7" s="56" t="s">
        <v>178</v>
      </c>
      <c r="D7" s="56" t="s">
        <v>179</v>
      </c>
      <c r="H7" s="64" t="s">
        <v>283</v>
      </c>
      <c r="I7" s="65">
        <v>2000002</v>
      </c>
      <c r="J7" t="s">
        <v>299</v>
      </c>
      <c r="K7" s="56" t="s">
        <v>291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4" t="s">
        <v>109</v>
      </c>
      <c r="I8" s="65">
        <v>3000001</v>
      </c>
      <c r="J8" t="s">
        <v>300</v>
      </c>
      <c r="K8" s="56" t="s">
        <v>293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4" t="s">
        <v>65</v>
      </c>
      <c r="I9" s="65">
        <v>3000002</v>
      </c>
      <c r="J9" t="s">
        <v>301</v>
      </c>
      <c r="K9" s="56" t="s">
        <v>293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4" t="s">
        <v>91</v>
      </c>
      <c r="I10" s="65">
        <v>4000001</v>
      </c>
      <c r="J10" t="s">
        <v>302</v>
      </c>
      <c r="K10" s="56" t="s">
        <v>292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4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4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4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4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4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4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4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4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4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4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4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4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4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4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4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4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4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4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4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4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4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4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4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4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4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4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4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4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4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4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4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4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4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4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4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4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4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4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4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4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4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4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4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4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4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4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4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4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4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4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4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4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4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4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4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4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4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4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4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4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4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M1:R5"/>
  <sheetViews>
    <sheetView tabSelected="1" topLeftCell="G1" workbookViewId="0">
      <selection activeCell="M5" sqref="M5"/>
    </sheetView>
  </sheetViews>
  <sheetFormatPr defaultRowHeight="15"/>
  <cols>
    <col min="13" max="17" width="19.42578125" customWidth="1"/>
    <col min="18" max="19" width="10.28515625" customWidth="1"/>
    <col min="20" max="22" width="19.42578125" customWidth="1"/>
    <col min="23" max="23" width="17" customWidth="1"/>
    <col min="24" max="24" width="17" bestFit="1" customWidth="1"/>
    <col min="25" max="25" width="8.7109375" customWidth="1"/>
    <col min="26" max="30" width="11.42578125" bestFit="1" customWidth="1"/>
    <col min="32" max="37" width="11.42578125" bestFit="1" customWidth="1"/>
    <col min="38" max="38" width="8.28515625" customWidth="1"/>
    <col min="39" max="39" width="8.85546875" customWidth="1"/>
    <col min="40" max="40" width="11.85546875" bestFit="1" customWidth="1"/>
    <col min="41" max="41" width="10.28515625" bestFit="1" customWidth="1"/>
  </cols>
  <sheetData>
    <row r="1" spans="13:18">
      <c r="M1" s="57" t="s">
        <v>277</v>
      </c>
      <c r="N1" t="s">
        <v>311</v>
      </c>
    </row>
    <row r="2" spans="13:18">
      <c r="M2" s="57" t="s">
        <v>314</v>
      </c>
      <c r="N2" t="s">
        <v>311</v>
      </c>
    </row>
    <row r="4" spans="13:18">
      <c r="M4" s="57" t="s">
        <v>286</v>
      </c>
    </row>
    <row r="5" spans="13:18">
      <c r="M5" t="s">
        <v>291</v>
      </c>
      <c r="N5" t="s">
        <v>290</v>
      </c>
      <c r="O5" t="s">
        <v>292</v>
      </c>
      <c r="P5" t="s">
        <v>293</v>
      </c>
      <c r="Q5" t="s">
        <v>315</v>
      </c>
      <c r="R5" t="s">
        <v>153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Formulario de Pesquisa</vt:lpstr>
      <vt:lpstr>Gráficos</vt:lpstr>
      <vt:lpstr>Dados</vt:lpstr>
      <vt:lpstr>original</vt:lpstr>
      <vt:lpstr>CONFIG</vt:lpstr>
      <vt:lpstr>Plan1</vt:lpstr>
      <vt:lpstr>'Formulario de Pesquisa'!Area_de_impressao</vt:lpstr>
      <vt:lpstr>data</vt:lpstr>
      <vt:lpstr>data_evento</vt:lpstr>
      <vt:lpstr>Questões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2014-10-22T21:27:34Z</dcterms:modified>
</cp:coreProperties>
</file>